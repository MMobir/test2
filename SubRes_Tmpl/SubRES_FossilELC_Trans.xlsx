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08C125B8-08C8-4A99-8749-D78E3637CBCF}" xr6:coauthVersionLast="47" xr6:coauthVersionMax="47" xr10:uidLastSave="{00000000-0000-0000-0000-000000000000}"/>
  <bookViews>
    <workbookView xWindow="41625" yWindow="4530" windowWidth="23040" windowHeight="12120" activeTab="4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Y34" i="22" s="1"/>
  <c r="CX3" i="22"/>
  <c r="CX33" i="22" s="1"/>
  <c r="CW3" i="22"/>
  <c r="CW34" i="22" s="1"/>
  <c r="CV3" i="22"/>
  <c r="CV7" i="22" s="1"/>
  <c r="CU3" i="22"/>
  <c r="CU8" i="22" s="1"/>
  <c r="CT3" i="22"/>
  <c r="CS3" i="22"/>
  <c r="CS18" i="22" s="1"/>
  <c r="CR3" i="22"/>
  <c r="CR25" i="22" s="1"/>
  <c r="CQ3" i="22"/>
  <c r="CP3" i="22"/>
  <c r="CO3" i="22"/>
  <c r="CO9" i="22" s="1"/>
  <c r="CN3" i="22"/>
  <c r="CN27" i="22" s="1"/>
  <c r="CM3" i="22"/>
  <c r="CM26" i="22" s="1"/>
  <c r="CL3" i="22"/>
  <c r="CL13" i="22" s="1"/>
  <c r="CK3" i="22"/>
  <c r="CK12" i="22" s="1"/>
  <c r="CJ3" i="22"/>
  <c r="CJ14" i="22" s="1"/>
  <c r="CI3" i="22"/>
  <c r="CI6" i="22" s="1"/>
  <c r="CH3" i="22"/>
  <c r="CH27" i="22" s="1"/>
  <c r="CG3" i="22"/>
  <c r="CF3" i="22"/>
  <c r="CF28" i="22" s="1"/>
  <c r="CE3" i="22"/>
  <c r="CE13" i="22" s="1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2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N5" i="22" s="1"/>
  <c r="BM3" i="22"/>
  <c r="BM34" i="22" s="1"/>
  <c r="BL3" i="22"/>
  <c r="BL36" i="22" s="1"/>
  <c r="BK3" i="22"/>
  <c r="BK34" i="22" s="1"/>
  <c r="BJ3" i="22"/>
  <c r="BJ20" i="22" s="1"/>
  <c r="BI3" i="22"/>
  <c r="BI24" i="22" s="1"/>
  <c r="BH3" i="22"/>
  <c r="BH21" i="22" s="1"/>
  <c r="BG3" i="22"/>
  <c r="BG16" i="22" s="1"/>
  <c r="BF3" i="22"/>
  <c r="BF21" i="22" s="1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Y32" i="22" s="1"/>
  <c r="AX3" i="22"/>
  <c r="AX19" i="22" s="1"/>
  <c r="AW3" i="22"/>
  <c r="AW36" i="22" s="1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M35" i="22" s="1"/>
  <c r="AL3" i="22"/>
  <c r="AL25" i="22" s="1"/>
  <c r="AK3" i="22"/>
  <c r="AK24" i="22" s="1"/>
  <c r="AJ3" i="22"/>
  <c r="AJ4" i="22" s="1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AI3" i="22"/>
  <c r="AI27" i="22" s="1"/>
  <c r="AH3" i="22"/>
  <c r="AH24" i="22" s="1"/>
  <c r="AG3" i="22"/>
  <c r="AG25" i="22" s="1"/>
  <c r="AF3" i="22"/>
  <c r="AF22" i="22" s="1"/>
  <c r="AE3" i="22"/>
  <c r="AE16" i="22" s="1"/>
  <c r="AD3" i="22"/>
  <c r="AC3" i="22"/>
  <c r="AC28" i="22" s="1"/>
  <c r="AB3" i="22"/>
  <c r="AB17" i="22" s="1"/>
  <c r="AA3" i="22"/>
  <c r="AA9" i="22" s="1"/>
  <c r="Z3" i="22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O23" i="22" s="1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H22" i="22" s="1"/>
  <c r="G3" i="22"/>
  <c r="F3" i="22"/>
  <c r="E3" i="22"/>
  <c r="E11" i="22" s="1"/>
  <c r="D3" i="22"/>
  <c r="D14" i="22" s="1"/>
  <c r="G6" i="21"/>
  <c r="BN14" i="22"/>
  <c r="CD36" i="22"/>
  <c r="BT6" i="22"/>
  <c r="CA13" i="22"/>
  <c r="AQ21" i="22"/>
  <c r="AQ17" i="22"/>
  <c r="AQ33" i="22"/>
  <c r="AY31" i="22"/>
  <c r="BG36" i="22"/>
  <c r="BG32" i="22"/>
  <c r="BG33" i="22"/>
  <c r="BG13" i="22"/>
  <c r="CA5" i="22"/>
  <c r="AQ7" i="22"/>
  <c r="AU9" i="22"/>
  <c r="AR21" i="22"/>
  <c r="BX14" i="22"/>
  <c r="AS20" i="22"/>
  <c r="AU4" i="22"/>
  <c r="AU8" i="22"/>
  <c r="AV31" i="22"/>
  <c r="AL26" i="22"/>
  <c r="AT20" i="22"/>
  <c r="AT23" i="22"/>
  <c r="BJ15" i="22"/>
  <c r="BJ12" i="22"/>
  <c r="CD5" i="22"/>
  <c r="AT7" i="22"/>
  <c r="BG10" i="22"/>
  <c r="AM16" i="22"/>
  <c r="AU36" i="22"/>
  <c r="AU29" i="22"/>
  <c r="AU34" i="22"/>
  <c r="AU35" i="22"/>
  <c r="AU21" i="22"/>
  <c r="AU17" i="22"/>
  <c r="AU31" i="22"/>
  <c r="AU19" i="22"/>
  <c r="AU30" i="22"/>
  <c r="AU26" i="22"/>
  <c r="AU10" i="22"/>
  <c r="AU15" i="22"/>
  <c r="AU25" i="22"/>
  <c r="AU24" i="22"/>
  <c r="AU22" i="22"/>
  <c r="BC36" i="22"/>
  <c r="BS22" i="22"/>
  <c r="CA36" i="22"/>
  <c r="CA32" i="22"/>
  <c r="CA33" i="22"/>
  <c r="CA22" i="22"/>
  <c r="CA30" i="22"/>
  <c r="CA26" i="22"/>
  <c r="CA20" i="22"/>
  <c r="CA11" i="22"/>
  <c r="CA12" i="22"/>
  <c r="CI28" i="22"/>
  <c r="AU7" i="22"/>
  <c r="CA7" i="22"/>
  <c r="AN34" i="22"/>
  <c r="AN30" i="22"/>
  <c r="AN26" i="22"/>
  <c r="AN31" i="22"/>
  <c r="AV36" i="22"/>
  <c r="AV32" i="22"/>
  <c r="AV34" i="22"/>
  <c r="AV21" i="22"/>
  <c r="AV17" i="22"/>
  <c r="AV29" i="22"/>
  <c r="AV18" i="22"/>
  <c r="AV24" i="22"/>
  <c r="AV33" i="22"/>
  <c r="AV10" i="22"/>
  <c r="AV19" i="22"/>
  <c r="BD15" i="22"/>
  <c r="BD27" i="22"/>
  <c r="BT32" i="22"/>
  <c r="BT34" i="22"/>
  <c r="BT30" i="22"/>
  <c r="BT17" i="22"/>
  <c r="BT18" i="22"/>
  <c r="BT29" i="22"/>
  <c r="BT10" i="22"/>
  <c r="BT31" i="22"/>
  <c r="BT27" i="22"/>
  <c r="CB16" i="22"/>
  <c r="BT7" i="22"/>
  <c r="W32" i="22"/>
  <c r="W16" i="22"/>
  <c r="W22" i="22"/>
  <c r="AE25" i="22"/>
  <c r="AE17" i="22"/>
  <c r="AE18" i="22"/>
  <c r="AE30" i="22"/>
  <c r="AA10" i="22"/>
  <c r="AD13" i="22"/>
  <c r="W14" i="22"/>
  <c r="V23" i="22"/>
  <c r="V27" i="22"/>
  <c r="X27" i="22"/>
  <c r="AF33" i="22"/>
  <c r="AE13" i="22"/>
  <c r="AD17" i="22"/>
  <c r="Q34" i="22"/>
  <c r="Q26" i="22"/>
  <c r="Q18" i="22"/>
  <c r="Q35" i="22"/>
  <c r="Q27" i="22"/>
  <c r="Q29" i="22"/>
  <c r="Q6" i="22"/>
  <c r="Z7" i="22"/>
  <c r="Q14" i="22"/>
  <c r="X16" i="22"/>
  <c r="Q21" i="22"/>
  <c r="Q5" i="22"/>
  <c r="Q13" i="22"/>
  <c r="Q4" i="22"/>
  <c r="W10" i="22"/>
  <c r="AE10" i="22"/>
  <c r="Q15" i="22"/>
  <c r="AD18" i="22"/>
  <c r="Q31" i="22"/>
  <c r="E7" i="22"/>
  <c r="Q11" i="22"/>
  <c r="Q25" i="22"/>
  <c r="E14" i="22"/>
  <c r="P20" i="22"/>
  <c r="Q23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R7" i="22"/>
  <c r="CP10" i="22"/>
  <c r="CR11" i="22"/>
  <c r="CR15" i="22"/>
  <c r="CL16" i="22"/>
  <c r="CP18" i="22"/>
  <c r="CR19" i="22"/>
  <c r="CR23" i="22"/>
  <c r="CP26" i="22"/>
  <c r="CR31" i="22"/>
  <c r="CR35" i="22"/>
  <c r="CL36" i="22"/>
  <c r="CY27" i="22"/>
  <c r="CU4" i="22"/>
  <c r="CM8" i="22"/>
  <c r="CY26" i="22"/>
  <c r="CM32" i="22"/>
  <c r="CR18" i="22"/>
  <c r="CL19" i="22"/>
  <c r="CR26" i="22"/>
  <c r="CV28" i="22"/>
  <c r="CP29" i="22"/>
  <c r="CR30" i="22"/>
  <c r="CL31" i="22"/>
  <c r="CR34" i="22"/>
  <c r="CY7" i="22"/>
  <c r="CO8" i="22"/>
  <c r="CO12" i="22"/>
  <c r="CO16" i="22"/>
  <c r="CQ17" i="22"/>
  <c r="CY25" i="22"/>
  <c r="CW28" i="22"/>
  <c r="CY29" i="22"/>
  <c r="CM31" i="22"/>
  <c r="CY4" i="22"/>
  <c r="CY8" i="22"/>
  <c r="CU10" i="22"/>
  <c r="CY20" i="22"/>
  <c r="CM22" i="22"/>
  <c r="CU22" i="22"/>
  <c r="CY28" i="22"/>
  <c r="CW31" i="22"/>
  <c r="BV22" i="22" l="1"/>
  <c r="BU24" i="22"/>
  <c r="AO25" i="22"/>
  <c r="BN13" i="22"/>
  <c r="CO19" i="22"/>
  <c r="CO28" i="22"/>
  <c r="V10" i="22"/>
  <c r="BC33" i="22"/>
  <c r="AU14" i="22"/>
  <c r="AU27" i="22"/>
  <c r="BG11" i="22"/>
  <c r="BV10" i="22"/>
  <c r="BG30" i="22"/>
  <c r="AQ26" i="22"/>
  <c r="BN28" i="22"/>
  <c r="CO31" i="22"/>
  <c r="CM10" i="22"/>
  <c r="CO24" i="22"/>
  <c r="X23" i="22"/>
  <c r="AY5" i="22"/>
  <c r="AQ10" i="22"/>
  <c r="BG18" i="22"/>
  <c r="AY35" i="22"/>
  <c r="BF12" i="22"/>
  <c r="AB23" i="22"/>
  <c r="AB31" i="22"/>
  <c r="BM20" i="22"/>
  <c r="BN11" i="22"/>
  <c r="X31" i="22"/>
  <c r="BN4" i="22"/>
  <c r="AQ25" i="22"/>
  <c r="AQ24" i="22"/>
  <c r="BG24" i="22"/>
  <c r="AY26" i="22"/>
  <c r="D36" i="22"/>
  <c r="E16" i="22"/>
  <c r="L8" i="22"/>
  <c r="CW25" i="22"/>
  <c r="X30" i="22"/>
  <c r="AB14" i="22"/>
  <c r="X11" i="22"/>
  <c r="AQ5" i="22"/>
  <c r="CO23" i="22"/>
  <c r="CW16" i="22"/>
  <c r="CO25" i="22"/>
  <c r="AB20" i="22"/>
  <c r="X21" i="22"/>
  <c r="CA24" i="22"/>
  <c r="AU16" i="22"/>
  <c r="AU23" i="22"/>
  <c r="AU32" i="22"/>
  <c r="BG15" i="22"/>
  <c r="AQ15" i="22"/>
  <c r="BG23" i="22"/>
  <c r="AQ12" i="22"/>
  <c r="I12" i="22"/>
  <c r="N18" i="22"/>
  <c r="D6" i="22"/>
  <c r="T33" i="22"/>
  <c r="Q8" i="22"/>
  <c r="I18" i="22"/>
  <c r="I26" i="22"/>
  <c r="T13" i="22"/>
  <c r="L33" i="22"/>
  <c r="Q33" i="22"/>
  <c r="Q16" i="22"/>
  <c r="L13" i="22"/>
  <c r="L24" i="22"/>
  <c r="Q17" i="22"/>
  <c r="Q24" i="22"/>
  <c r="AW11" i="22"/>
  <c r="CS31" i="22"/>
  <c r="U9" i="22"/>
  <c r="CS7" i="22"/>
  <c r="T32" i="22"/>
  <c r="CS30" i="22"/>
  <c r="U31" i="22"/>
  <c r="H32" i="22"/>
  <c r="AN28" i="22"/>
  <c r="L6" i="22"/>
  <c r="I4" i="22"/>
  <c r="AH36" i="22"/>
  <c r="I30" i="22"/>
  <c r="W13" i="22"/>
  <c r="X17" i="22"/>
  <c r="W27" i="22"/>
  <c r="BL32" i="22"/>
  <c r="AW7" i="22"/>
  <c r="AO8" i="22"/>
  <c r="BK10" i="22"/>
  <c r="BJ28" i="22"/>
  <c r="CK29" i="22"/>
  <c r="BW27" i="22"/>
  <c r="AY13" i="22"/>
  <c r="BV12" i="22"/>
  <c r="CS27" i="22"/>
  <c r="BJ4" i="22"/>
  <c r="BL21" i="22"/>
  <c r="L32" i="22"/>
  <c r="X18" i="22"/>
  <c r="CS29" i="22"/>
  <c r="CS26" i="22"/>
  <c r="CW15" i="22"/>
  <c r="I6" i="22"/>
  <c r="I29" i="22"/>
  <c r="X25" i="22"/>
  <c r="W18" i="22"/>
  <c r="BV5" i="22"/>
  <c r="BJ34" i="22"/>
  <c r="BW6" i="22"/>
  <c r="BW31" i="22"/>
  <c r="AY12" i="22"/>
  <c r="BV15" i="22"/>
  <c r="BU25" i="22"/>
  <c r="AY33" i="22"/>
  <c r="BW19" i="22"/>
  <c r="CS5" i="22"/>
  <c r="BV4" i="22"/>
  <c r="AY9" i="22"/>
  <c r="BJ9" i="22"/>
  <c r="BW23" i="22"/>
  <c r="CU27" i="22"/>
  <c r="U22" i="22"/>
  <c r="L11" i="22"/>
  <c r="AW8" i="22"/>
  <c r="BW25" i="22"/>
  <c r="CS14" i="22"/>
  <c r="AY30" i="22"/>
  <c r="V9" i="22"/>
  <c r="W30" i="22"/>
  <c r="CH5" i="22"/>
  <c r="BJ23" i="22"/>
  <c r="CS6" i="22"/>
  <c r="CW17" i="22"/>
  <c r="CX30" i="22"/>
  <c r="X32" i="22"/>
  <c r="CL4" i="22"/>
  <c r="I20" i="22"/>
  <c r="BU16" i="22"/>
  <c r="BK33" i="22"/>
  <c r="AY19" i="22"/>
  <c r="CM23" i="22"/>
  <c r="CS11" i="22"/>
  <c r="CY35" i="22"/>
  <c r="U14" i="22"/>
  <c r="AH35" i="22"/>
  <c r="I28" i="22"/>
  <c r="W5" i="22"/>
  <c r="P26" i="22"/>
  <c r="X7" i="22"/>
  <c r="W34" i="22"/>
  <c r="BD17" i="22"/>
  <c r="BU21" i="22"/>
  <c r="CA10" i="22"/>
  <c r="BK24" i="22"/>
  <c r="BZ12" i="22"/>
  <c r="BV9" i="22"/>
  <c r="AY23" i="22"/>
  <c r="AQ29" i="22"/>
  <c r="BV19" i="22"/>
  <c r="T24" i="22"/>
  <c r="BU34" i="22"/>
  <c r="I34" i="22"/>
  <c r="BV8" i="22"/>
  <c r="CS21" i="22"/>
  <c r="U7" i="22"/>
  <c r="BJ22" i="22"/>
  <c r="I14" i="22"/>
  <c r="AY34" i="22"/>
  <c r="I24" i="22"/>
  <c r="W20" i="22"/>
  <c r="BL30" i="22"/>
  <c r="AN32" i="22"/>
  <c r="BK16" i="22"/>
  <c r="CS17" i="22"/>
  <c r="CS23" i="22"/>
  <c r="CL18" i="22"/>
  <c r="CL11" i="22"/>
  <c r="CX6" i="22"/>
  <c r="I23" i="22"/>
  <c r="AH19" i="22"/>
  <c r="BU12" i="22"/>
  <c r="BK29" i="22"/>
  <c r="CU26" i="22"/>
  <c r="CU14" i="22"/>
  <c r="CW36" i="22"/>
  <c r="CW13" i="22"/>
  <c r="CX26" i="22"/>
  <c r="W15" i="22"/>
  <c r="W31" i="22"/>
  <c r="W21" i="22"/>
  <c r="L10" i="22"/>
  <c r="X33" i="22"/>
  <c r="AF7" i="22"/>
  <c r="W17" i="22"/>
  <c r="CS9" i="22"/>
  <c r="I11" i="22"/>
  <c r="I15" i="22"/>
  <c r="BJ10" i="22"/>
  <c r="W29" i="22"/>
  <c r="CW8" i="22"/>
  <c r="T6" i="22"/>
  <c r="CV23" i="22"/>
  <c r="CL7" i="22"/>
  <c r="AH27" i="22"/>
  <c r="W26" i="22"/>
  <c r="BK7" i="22"/>
  <c r="BU5" i="22"/>
  <c r="BW34" i="22"/>
  <c r="BV21" i="22"/>
  <c r="CS13" i="22"/>
  <c r="CO36" i="22"/>
  <c r="CN36" i="22"/>
  <c r="CS35" i="22"/>
  <c r="AB30" i="22"/>
  <c r="AA34" i="22"/>
  <c r="CS25" i="22"/>
  <c r="CY12" i="22"/>
  <c r="CS34" i="22"/>
  <c r="CS22" i="22"/>
  <c r="CW9" i="22"/>
  <c r="CV34" i="22"/>
  <c r="T17" i="22"/>
  <c r="I31" i="22"/>
  <c r="I36" i="22"/>
  <c r="AF26" i="22"/>
  <c r="P25" i="22"/>
  <c r="W6" i="22"/>
  <c r="BD21" i="22"/>
  <c r="BU23" i="22"/>
  <c r="AM7" i="22"/>
  <c r="CA31" i="22"/>
  <c r="BC23" i="22"/>
  <c r="BZ10" i="22"/>
  <c r="BY25" i="22"/>
  <c r="AY29" i="22"/>
  <c r="AQ19" i="22"/>
  <c r="BV23" i="22"/>
  <c r="CW23" i="22"/>
  <c r="CW11" i="22"/>
  <c r="CU31" i="22"/>
  <c r="CW33" i="22"/>
  <c r="CN21" i="22"/>
  <c r="AB13" i="22"/>
  <c r="W19" i="22"/>
  <c r="T25" i="22"/>
  <c r="Q12" i="22"/>
  <c r="I25" i="22"/>
  <c r="Q28" i="22"/>
  <c r="I27" i="22"/>
  <c r="AF17" i="22"/>
  <c r="V22" i="22"/>
  <c r="W25" i="22"/>
  <c r="BD26" i="22"/>
  <c r="AN35" i="22"/>
  <c r="BG5" i="22"/>
  <c r="CA35" i="22"/>
  <c r="BC21" i="22"/>
  <c r="AU18" i="22"/>
  <c r="BZ29" i="22"/>
  <c r="AS23" i="22"/>
  <c r="AY7" i="22"/>
  <c r="AQ2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Mahmoud Mobir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B23" authorId="1" shapeId="0" xr:uid="{87842B29-8B47-4853-A94B-966E2B95CDD4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Allowing early retirement for ELE. In case high CO2 price is modelled </t>
        </r>
      </text>
    </comment>
  </commentList>
</comments>
</file>

<file path=xl/sharedStrings.xml><?xml version="1.0" encoding="utf-8"?>
<sst xmlns="http://schemas.openxmlformats.org/spreadsheetml/2006/main" count="1061" uniqueCount="523">
  <si>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</si>
  <si>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</si>
  <si>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</si>
  <si>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</si>
  <si>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</si>
  <si>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</si>
  <si>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</si>
  <si>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</si>
  <si>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</si>
  <si>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</si>
  <si>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</si>
  <si>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</si>
  <si>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</si>
  <si>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</si>
  <si>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</si>
  <si>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</si>
  <si>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NCAP_TLIFE</t>
  </si>
  <si>
    <t>PSET_SET</t>
  </si>
  <si>
    <t>ELE</t>
  </si>
  <si>
    <t>AFR</t>
  </si>
  <si>
    <t>MID</t>
  </si>
  <si>
    <t>URA</t>
  </si>
  <si>
    <t>EFF</t>
  </si>
  <si>
    <t>EN_Gas*</t>
  </si>
  <si>
    <t>*0.90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</si>
  <si>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</si>
  <si>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</si>
  <si>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</si>
  <si>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</si>
  <si>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</si>
  <si>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</si>
  <si>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</si>
  <si>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</si>
  <si>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</si>
  <si>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</si>
  <si>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</si>
  <si>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</si>
  <si>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</si>
  <si>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</si>
  <si>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Region</t>
  </si>
  <si>
    <t>InCode</t>
  </si>
  <si>
    <t>InDesc</t>
  </si>
  <si>
    <t>AFR_N</t>
  </si>
  <si>
    <t>DZA</t>
  </si>
  <si>
    <t>Algeria</t>
  </si>
  <si>
    <t>EN_Biomass,EN_GeoThermal</t>
  </si>
  <si>
    <t>EGY</t>
  </si>
  <si>
    <t>Egypt</t>
  </si>
  <si>
    <t>ERI</t>
  </si>
  <si>
    <t>Eritrea</t>
  </si>
  <si>
    <t>LBY</t>
  </si>
  <si>
    <t>Libya</t>
  </si>
  <si>
    <t>MAR</t>
  </si>
  <si>
    <t>Morocco</t>
  </si>
  <si>
    <t>MLI</t>
  </si>
  <si>
    <t>Mali</t>
  </si>
  <si>
    <t>MRT</t>
  </si>
  <si>
    <t>Mauritania</t>
  </si>
  <si>
    <t>NER</t>
  </si>
  <si>
    <t>Niger</t>
  </si>
  <si>
    <t>SDN</t>
  </si>
  <si>
    <t>Sudan</t>
  </si>
  <si>
    <t>TCD</t>
  </si>
  <si>
    <t>Chad</t>
  </si>
  <si>
    <t>TUN</t>
  </si>
  <si>
    <t>Tunisia</t>
  </si>
  <si>
    <t>AFR_S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</si>
  <si>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</si>
  <si>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</si>
  <si>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</si>
  <si>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</si>
  <si>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</si>
  <si>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</si>
  <si>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</si>
  <si>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</si>
  <si>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</si>
  <si>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</si>
  <si>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</si>
  <si>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</si>
  <si>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</si>
  <si>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</si>
  <si>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</si>
  <si>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</si>
  <si>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</si>
  <si>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</si>
  <si>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</si>
  <si>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</si>
  <si>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</si>
  <si>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</si>
  <si>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</si>
  <si>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</si>
  <si>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</si>
  <si>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</si>
  <si>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</si>
  <si>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</si>
  <si>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</si>
  <si>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</si>
  <si>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</si>
  <si>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</si>
  <si>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</si>
  <si>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</si>
  <si>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</si>
  <si>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</si>
  <si>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</si>
  <si>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</si>
  <si>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</si>
  <si>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</si>
  <si>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</si>
  <si>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</si>
  <si>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</si>
  <si>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</si>
  <si>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</si>
  <si>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</si>
  <si>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MOZ</t>
  </si>
  <si>
    <t>Mozambique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</si>
  <si>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</si>
  <si>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</si>
  <si>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</si>
  <si>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</si>
  <si>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</si>
  <si>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</si>
  <si>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</si>
  <si>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</si>
  <si>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NGA</t>
  </si>
  <si>
    <t>Nigeria</t>
  </si>
  <si>
    <t>RWA</t>
  </si>
  <si>
    <t>Rwanda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</si>
  <si>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</si>
  <si>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</si>
  <si>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</si>
  <si>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</si>
  <si>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</si>
  <si>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</si>
  <si>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</si>
  <si>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</si>
  <si>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</si>
  <si>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</si>
  <si>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</si>
  <si>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</si>
  <si>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</si>
  <si>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</si>
  <si>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TGO</t>
  </si>
  <si>
    <t>Togo</t>
  </si>
  <si>
    <t>TZA</t>
  </si>
  <si>
    <t>Tanzania</t>
  </si>
  <si>
    <t>UGA</t>
  </si>
  <si>
    <t>Uganda</t>
  </si>
  <si>
    <t>ZAF</t>
  </si>
  <si>
    <t>South Africa</t>
  </si>
  <si>
    <t>ZAR</t>
  </si>
  <si>
    <t>Democratic Republic of Congo</t>
  </si>
  <si>
    <t>ZMB</t>
  </si>
  <si>
    <t>Zambia</t>
  </si>
  <si>
    <t>ZWE</t>
  </si>
  <si>
    <t>Zimbabwe</t>
  </si>
  <si>
    <t>ANZ</t>
  </si>
  <si>
    <t>AUS</t>
  </si>
  <si>
    <t>Australia</t>
  </si>
  <si>
    <t>NZL</t>
  </si>
  <si>
    <t>New Zealand</t>
  </si>
  <si>
    <t>BRZ</t>
  </si>
  <si>
    <t>BRA</t>
  </si>
  <si>
    <t>Brazil</t>
  </si>
  <si>
    <t>CAN</t>
  </si>
  <si>
    <t>Canada</t>
  </si>
  <si>
    <t>CHI</t>
  </si>
  <si>
    <t>CHN</t>
  </si>
  <si>
    <t>China</t>
  </si>
  <si>
    <t>CSA</t>
  </si>
  <si>
    <t>ABW</t>
  </si>
  <si>
    <t>Aruba</t>
  </si>
  <si>
    <t>ANT</t>
  </si>
  <si>
    <t>Netherlands Antilles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</si>
  <si>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</si>
  <si>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</si>
  <si>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</si>
  <si>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</si>
  <si>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</si>
  <si>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</si>
  <si>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</si>
  <si>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</si>
  <si>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</si>
  <si>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</si>
  <si>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</si>
  <si>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</si>
  <si>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</si>
  <si>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</si>
  <si>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CRI</t>
  </si>
  <si>
    <t>Costa Rica</t>
  </si>
  <si>
    <t>CUB</t>
  </si>
  <si>
    <t>Cuba</t>
  </si>
  <si>
    <t>CUW</t>
  </si>
  <si>
    <t>Curacao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</si>
  <si>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</si>
  <si>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</si>
  <si>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</si>
  <si>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</si>
  <si>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</si>
  <si>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</si>
  <si>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</si>
  <si>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</si>
  <si>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</si>
  <si>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</si>
  <si>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</si>
  <si>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</si>
  <si>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</si>
  <si>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</si>
  <si>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</si>
  <si>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</si>
  <si>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</si>
  <si>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</si>
  <si>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</si>
  <si>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</si>
  <si>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</si>
  <si>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</si>
  <si>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</si>
  <si>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</si>
  <si>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</si>
  <si>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</si>
  <si>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MAF</t>
  </si>
  <si>
    <t>St. Martin (French part)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</si>
  <si>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</si>
  <si>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</si>
  <si>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</si>
  <si>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</si>
  <si>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</si>
  <si>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</si>
  <si>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</si>
  <si>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</si>
  <si>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</si>
  <si>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</si>
  <si>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</si>
  <si>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</si>
  <si>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SUR</t>
  </si>
  <si>
    <t>Suriname</t>
  </si>
  <si>
    <t>SXM</t>
  </si>
  <si>
    <t>Sint Maarten (Dutch part)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</si>
  <si>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</si>
  <si>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</si>
  <si>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</si>
  <si>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</si>
  <si>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</si>
  <si>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</si>
  <si>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</si>
  <si>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</si>
  <si>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</si>
  <si>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</si>
  <si>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EUR</t>
  </si>
  <si>
    <t>ADO</t>
  </si>
  <si>
    <t>Andorra</t>
  </si>
  <si>
    <t>AUT</t>
  </si>
  <si>
    <t>Austria</t>
  </si>
  <si>
    <t>BEL</t>
  </si>
  <si>
    <t>Belgium</t>
  </si>
  <si>
    <t>CHE</t>
  </si>
  <si>
    <t>Switzerland</t>
  </si>
  <si>
    <t>CZE</t>
  </si>
  <si>
    <t>Czech Republic</t>
  </si>
  <si>
    <t>DEU</t>
  </si>
  <si>
    <t>Germany</t>
  </si>
  <si>
    <t>DNK</t>
  </si>
  <si>
    <t>Denmark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</si>
  <si>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</si>
  <si>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</si>
  <si>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</si>
  <si>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</si>
  <si>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</si>
  <si>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</si>
  <si>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</si>
  <si>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</si>
  <si>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</si>
  <si>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</si>
  <si>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GIB</t>
  </si>
  <si>
    <t>Gibraltar</t>
  </si>
  <si>
    <t>GRC</t>
  </si>
  <si>
    <t>Greece</t>
  </si>
  <si>
    <t>GRL</t>
  </si>
  <si>
    <t>Greenland</t>
  </si>
  <si>
    <t>HUN</t>
  </si>
  <si>
    <t>Hungary</t>
  </si>
  <si>
    <t>IMY</t>
  </si>
  <si>
    <t>Isle of Man</t>
  </si>
  <si>
    <t>IRL</t>
  </si>
  <si>
    <t>Ireland</t>
  </si>
  <si>
    <t>ISL</t>
  </si>
  <si>
    <t>Iceland</t>
  </si>
  <si>
    <t>ISR</t>
  </si>
  <si>
    <t>Israel</t>
  </si>
  <si>
    <t>ITA</t>
  </si>
  <si>
    <t>Italy</t>
  </si>
  <si>
    <t>LUX</t>
  </si>
  <si>
    <t>Luxembourg</t>
  </si>
  <si>
    <t>MCO</t>
  </si>
  <si>
    <t>Monaco</t>
  </si>
  <si>
    <t>NLD</t>
  </si>
  <si>
    <t>Netherlands</t>
  </si>
  <si>
    <t>NOR</t>
  </si>
  <si>
    <t>Norway</t>
  </si>
  <si>
    <t>POL</t>
  </si>
  <si>
    <t>Poland</t>
  </si>
  <si>
    <t>PRT</t>
  </si>
  <si>
    <t>Portugal</t>
  </si>
  <si>
    <t>SMR</t>
  </si>
  <si>
    <t>San Marino</t>
  </si>
  <si>
    <t>SVK</t>
  </si>
  <si>
    <t>Slovak Republic</t>
  </si>
  <si>
    <t>SVN</t>
  </si>
  <si>
    <t>Slovenia</t>
  </si>
  <si>
    <t>SWE</t>
  </si>
  <si>
    <t>Sweden</t>
  </si>
  <si>
    <t>TUR</t>
  </si>
  <si>
    <t>Turkey</t>
  </si>
  <si>
    <t>VAT</t>
  </si>
  <si>
    <t>Vatican</t>
  </si>
  <si>
    <t>IND</t>
  </si>
  <si>
    <t>India</t>
  </si>
  <si>
    <t>JPN</t>
  </si>
  <si>
    <t>Japan</t>
  </si>
  <si>
    <t>ARE</t>
  </si>
  <si>
    <t>United Arab Emirates</t>
  </si>
  <si>
    <t>BHR</t>
  </si>
  <si>
    <t>Bahrain</t>
  </si>
  <si>
    <t>CYP</t>
  </si>
  <si>
    <t>Cyprus</t>
  </si>
  <si>
    <t>IRN</t>
  </si>
  <si>
    <t>Iran</t>
  </si>
  <si>
    <t>IRQ</t>
  </si>
  <si>
    <t>Iraq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</si>
  <si>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</si>
  <si>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</si>
  <si>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</si>
  <si>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</si>
  <si>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</si>
  <si>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</si>
  <si>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</si>
  <si>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</si>
  <si>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</si>
  <si>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</si>
  <si>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</si>
  <si>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</si>
  <si>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SAU</t>
  </si>
  <si>
    <t>Saudi Arabia</t>
  </si>
  <si>
    <t>SYR</t>
  </si>
  <si>
    <t>Syrian Arab Republic</t>
  </si>
  <si>
    <t>YEM</t>
  </si>
  <si>
    <t>Yemen</t>
  </si>
  <si>
    <t>MXC</t>
  </si>
  <si>
    <t>CHL</t>
  </si>
  <si>
    <t>Chile</t>
  </si>
  <si>
    <t>COL</t>
  </si>
  <si>
    <t>Colombia</t>
  </si>
  <si>
    <t>MEX</t>
  </si>
  <si>
    <t>Mexico</t>
  </si>
  <si>
    <t>PRI</t>
  </si>
  <si>
    <t>Puerto Rico</t>
  </si>
  <si>
    <t>VIR</t>
  </si>
  <si>
    <t>Virgin Islands</t>
  </si>
  <si>
    <t>OAS</t>
  </si>
  <si>
    <t>AFG</t>
  </si>
  <si>
    <t>Afghanistan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</si>
  <si>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</si>
  <si>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</si>
  <si>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</si>
  <si>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</si>
  <si>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</si>
  <si>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</si>
  <si>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</si>
  <si>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</si>
  <si>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</si>
  <si>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</si>
  <si>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HKG</t>
  </si>
  <si>
    <t>Hong Kong SAR, China</t>
  </si>
  <si>
    <t>IDN</t>
  </si>
  <si>
    <t>Indonesia</t>
  </si>
  <si>
    <t>KHM</t>
  </si>
  <si>
    <t>Cambodia</t>
  </si>
  <si>
    <t>KIR</t>
  </si>
  <si>
    <t>Kiribati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</si>
  <si>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</si>
  <si>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</si>
  <si>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</si>
  <si>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</si>
  <si>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</si>
  <si>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</si>
  <si>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</si>
  <si>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</si>
  <si>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MHL</t>
  </si>
  <si>
    <t>Marshall Islands</t>
  </si>
  <si>
    <t>MMR</t>
  </si>
  <si>
    <t>Myanmar</t>
  </si>
  <si>
    <t>MNG</t>
  </si>
  <si>
    <t>Mongolia</t>
  </si>
  <si>
    <t>MNP</t>
  </si>
  <si>
    <t>Northern Mariana Islands</t>
  </si>
  <si>
    <t>MYS</t>
  </si>
  <si>
    <t>Malaysia</t>
  </si>
  <si>
    <t>NCL</t>
  </si>
  <si>
    <t>New Caledonia</t>
  </si>
  <si>
    <t>NIU</t>
  </si>
  <si>
    <t>Niue</t>
  </si>
  <si>
    <t>NPL</t>
  </si>
  <si>
    <t>Nepal</t>
  </si>
  <si>
    <t>NRU</t>
  </si>
  <si>
    <t>Nauru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</si>
  <si>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</si>
  <si>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</si>
  <si>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</si>
  <si>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</si>
  <si>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</si>
  <si>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</si>
  <si>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</si>
  <si>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</si>
  <si>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</si>
  <si>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</si>
  <si>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</si>
  <si>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</si>
  <si>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</si>
  <si>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</si>
  <si>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</si>
  <si>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</si>
  <si>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</si>
  <si>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</si>
  <si>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TMP</t>
  </si>
  <si>
    <t>Timor-Leste</t>
  </si>
  <si>
    <t>TON</t>
  </si>
  <si>
    <t>Tonga</t>
  </si>
  <si>
    <t>TUV</t>
  </si>
  <si>
    <t>Tuvalu</t>
  </si>
  <si>
    <t>TWN</t>
  </si>
  <si>
    <t>Taiwan</t>
  </si>
  <si>
    <t>VNM</t>
  </si>
  <si>
    <t>Vietnam</t>
  </si>
  <si>
    <t>VUT</t>
  </si>
  <si>
    <t>Vanuatu</t>
  </si>
  <si>
    <t>WSM</t>
  </si>
  <si>
    <t>Samoa</t>
  </si>
  <si>
    <t>RUS</t>
  </si>
  <si>
    <t>Russia</t>
  </si>
  <si>
    <t>SKO</t>
  </si>
  <si>
    <t>ASM</t>
  </si>
  <si>
    <t>American Samoa</t>
  </si>
  <si>
    <t>GUM</t>
  </si>
  <si>
    <t>Guam</t>
  </si>
  <si>
    <t>KOR</t>
  </si>
  <si>
    <t>South Korea</t>
  </si>
  <si>
    <t>ALB</t>
  </si>
  <si>
    <t>Albania</t>
  </si>
  <si>
    <t>ARM</t>
  </si>
  <si>
    <t>Armenia</t>
  </si>
  <si>
    <t>AZE</t>
  </si>
  <si>
    <t>Azerbaijan</t>
  </si>
  <si>
    <t>BGR</t>
  </si>
  <si>
    <t>Bulgaria</t>
  </si>
  <si>
    <t>BIH</t>
  </si>
  <si>
    <t>Bosnia and Herzegovina</t>
  </si>
  <si>
    <t>BLR</t>
  </si>
  <si>
    <t>Belarus</t>
  </si>
  <si>
    <t>FRO</t>
  </si>
  <si>
    <t>Faroe Islands</t>
  </si>
  <si>
    <t>GEO</t>
  </si>
  <si>
    <t>Georgia</t>
  </si>
  <si>
    <t>HRV</t>
  </si>
  <si>
    <t>Croatia</t>
  </si>
  <si>
    <t>KAZ</t>
  </si>
  <si>
    <t>Kazakhstan</t>
  </si>
  <si>
    <t>KGZ</t>
  </si>
  <si>
    <t>Kyrgyz Republic</t>
  </si>
  <si>
    <t>KSV</t>
  </si>
  <si>
    <t>Kosovo</t>
  </si>
  <si>
    <t>LIE</t>
  </si>
  <si>
    <t>Liechtenstein</t>
  </si>
  <si>
    <t>LTU</t>
  </si>
  <si>
    <t>Lithuania</t>
  </si>
  <si>
    <t>LVA</t>
  </si>
  <si>
    <t>Latvia</t>
  </si>
  <si>
    <t>MDA</t>
  </si>
  <si>
    <t>Moldova</t>
  </si>
  <si>
    <t>MKD</t>
  </si>
  <si>
    <t>Macedonia</t>
  </si>
  <si>
    <t>MLT</t>
  </si>
  <si>
    <t>Malta</t>
  </si>
  <si>
    <t>MNE</t>
  </si>
  <si>
    <t>Montenegro</t>
  </si>
  <si>
    <t>ROM</t>
  </si>
  <si>
    <t>Romania</t>
  </si>
  <si>
    <t>SRB</t>
  </si>
  <si>
    <t>Serbia</t>
  </si>
  <si>
    <t>TJK</t>
  </si>
  <si>
    <t>Tajikistan</t>
  </si>
  <si>
    <t>TKM</t>
  </si>
  <si>
    <t>Turkmenistan</t>
  </si>
  <si>
    <t>UKR</t>
  </si>
  <si>
    <t>Ukraine</t>
  </si>
  <si>
    <t>UZB</t>
  </si>
  <si>
    <t>Uzbekistan</t>
  </si>
  <si>
    <t>USA</t>
  </si>
  <si>
    <t>United States</t>
  </si>
  <si>
    <t>index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</si>
  <si>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</si>
  <si>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</si>
  <si>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</si>
  <si>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</si>
  <si>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</si>
  <si>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</si>
  <si>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</si>
  <si>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</si>
  <si>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</si>
  <si>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</si>
  <si>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FIXOM</t>
  </si>
  <si>
    <t>INVCOST</t>
  </si>
  <si>
    <t>EN_STG_PHS</t>
  </si>
  <si>
    <t>RCAP_BND</t>
  </si>
  <si>
    <t>Curr</t>
  </si>
  <si>
    <t>Attrib_Cond</t>
  </si>
  <si>
    <t>LimType</t>
  </si>
  <si>
    <t>CSET_CN</t>
  </si>
  <si>
    <t>Top_Check</t>
  </si>
  <si>
    <t>LO</t>
  </si>
  <si>
    <t>-ELCNUC</t>
  </si>
  <si>
    <t>EN_Z*</t>
  </si>
  <si>
    <t>-CAPTURE_*</t>
  </si>
  <si>
    <t>-EN_Z*,-CAPTURE_*</t>
  </si>
  <si>
    <t>Deactivated~TFM_INS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</si>
</sst>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$&quot;#,##0_);\(&quot;$&quot;#,##0\)"/>
    <numFmt numFmtId="164" formatCode="_ * #,##0.00_ ;_ * \-#,##0.00_ ;_ * &quot;-&quot;??_ ;_ @_ "/>
    <numFmt numFmtId="165" formatCode="m\o\n\th\ d\,\ yyyy"/>
    <numFmt numFmtId="166" formatCode="#.00"/>
    <numFmt numFmtId="167" formatCode="#."/>
    <numFmt numFmtId="168" formatCode="_-* #,##0_-;\-* #,##0_-;_-* &quot;-&quot;_-;_-@_-"/>
    <numFmt numFmtId="169" formatCode="_-* #,##0.00_-;\-* #,##0.00_-;_-* &quot;-&quot;??_-;_-@_-"/>
    <numFmt numFmtId="170" formatCode="_-&quot;$&quot;* #,##0.00_-;\-&quot;$&quot;* #,##0.00_-;_-&quot;$&quot;* &quot;-&quot;??_-;_-@_-"/>
    <numFmt numFmtId="171" formatCode="_-* #,##0.00\ _€_-;\-* #,##0.00\ _€_-;_-* &quot;-&quot;??\ _€_-;_-@_-"/>
    <numFmt numFmtId="172" formatCode="_([$€]* #,##0.00_);_([$€]* \(#,##0.00\);_([$€]* &quot;-&quot;??_);_(@_)"/>
    <numFmt numFmtId="173" formatCode="0.0%"/>
    <numFmt numFmtId="174" formatCode="\(##\);\(##\)"/>
    <numFmt numFmtId="175" formatCode="#,##0.0"/>
    <numFmt numFmtId="176" formatCode="_-[$€-2]\ * #,##0.00_-;\-[$€-2]\ * #,##0.00_-;_-[$€-2]\ * &quot;-&quot;??_-"/>
    <numFmt numFmtId="177" formatCode="#,##0;\-\ #,##0;_-\ &quot;- &quot;"/>
    <numFmt numFmtId="178" formatCode="_-&quot;€&quot;\ * #,##0.00_-;\-&quot;€&quot;\ * #,##0.00_-;_-&quot;€&quot;\ * &quot;-&quot;??_-;_-@_-"/>
    <numFmt numFmtId="179" formatCode="_([$€-2]* #,##0.00_);_([$€-2]* \(#,##0.00\);_([$€-2]* &quot;-&quot;??_)"/>
    <numFmt numFmtId="180" formatCode="General_)"/>
    <numFmt numFmtId="181" formatCode="\Te\x\t"/>
    <numFmt numFmtId="182" formatCode="yyyy"/>
  </numFmts>
  <fonts count="6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</font>
    <font>
      <u/>
      <sz val="10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??"/>
      <charset val="134"/>
    </font>
    <font>
      <sz val="9"/>
      <color indexed="8"/>
      <name val="Calibri"/>
      <family val="2"/>
    </font>
    <font>
      <sz val="12"/>
      <color indexed="8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ashed">
        <color indexed="55"/>
      </bottom>
      <diagonal/>
    </border>
  </borders>
  <cellStyleXfs count="300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5" fillId="0" borderId="3" applyNumberFormat="0" applyFont="0" applyProtection="0">
      <alignment wrapText="1"/>
    </xf>
    <xf numFmtId="164" fontId="7" fillId="0" borderId="0" applyFont="0" applyFill="0" applyBorder="0" applyAlignment="0" applyProtection="0"/>
    <xf numFmtId="165" fontId="12" fillId="0" borderId="0">
      <protection locked="0"/>
    </xf>
    <xf numFmtId="166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7" fontId="13" fillId="0" borderId="0">
      <protection locked="0"/>
    </xf>
    <xf numFmtId="167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164" fontId="7" fillId="0" borderId="0" applyFont="0" applyFill="0" applyBorder="0" applyAlignment="0" applyProtection="0"/>
    <xf numFmtId="0" fontId="19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2" fillId="0" borderId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4" fontId="26" fillId="28" borderId="9">
      <alignment horizontal="right" vertical="center"/>
    </xf>
    <xf numFmtId="4" fontId="26" fillId="28" borderId="9">
      <alignment horizontal="right" vertical="center"/>
    </xf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7" fillId="0" borderId="13">
      <alignment horizontal="left" vertical="center" wrapText="1" indent="2"/>
    </xf>
    <xf numFmtId="165" fontId="12" fillId="0" borderId="0">
      <protection locked="0"/>
    </xf>
    <xf numFmtId="3" fontId="46" fillId="0" borderId="12">
      <alignment horizontal="right" vertical="top"/>
    </xf>
    <xf numFmtId="0" fontId="4" fillId="33" borderId="9">
      <alignment horizontal="centerContinuous" vertical="top" wrapText="1"/>
    </xf>
    <xf numFmtId="0" fontId="47" fillId="0" borderId="0">
      <alignment vertical="top" wrapText="1"/>
    </xf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6" fontId="12" fillId="0" borderId="0">
      <protection locked="0"/>
    </xf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67" fontId="13" fillId="0" borderId="0">
      <protection locked="0"/>
    </xf>
    <xf numFmtId="167" fontId="13" fillId="0" borderId="0"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38" fillId="13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3" borderId="10" applyNumberFormat="0" applyAlignment="0" applyProtection="0"/>
    <xf numFmtId="0" fontId="38" fillId="16" borderId="10" applyNumberFormat="0" applyAlignment="0" applyProtection="0"/>
    <xf numFmtId="4" fontId="27" fillId="0" borderId="0" applyBorder="0">
      <alignment horizontal="right" vertical="center"/>
    </xf>
    <xf numFmtId="0" fontId="48" fillId="0" borderId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171" fontId="2" fillId="0" borderId="0" applyFont="0" applyFill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173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3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0" fontId="59" fillId="0" borderId="0">
      <alignment vertical="center"/>
    </xf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27" fillId="0" borderId="9" applyFill="0" applyBorder="0" applyProtection="0">
      <alignment horizontal="right" vertical="center"/>
    </xf>
    <xf numFmtId="0" fontId="28" fillId="0" borderId="0" applyNumberFormat="0" applyFill="0" applyBorder="0" applyProtection="0">
      <alignment horizontal="left" vertical="center"/>
    </xf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44" fillId="0" borderId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4" fontId="49" fillId="0" borderId="0">
      <alignment horizontal="right"/>
    </xf>
    <xf numFmtId="177" fontId="2" fillId="0" borderId="0" applyFont="0" applyFill="0" applyBorder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7" fillId="0" borderId="0">
      <alignment vertical="top" wrapText="1"/>
    </xf>
    <xf numFmtId="0" fontId="2" fillId="0" borderId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5" fontId="50" fillId="35" borderId="24">
      <alignment vertical="center"/>
    </xf>
    <xf numFmtId="173" fontId="51" fillId="35" borderId="24">
      <alignment vertical="center"/>
    </xf>
    <xf numFmtId="175" fontId="52" fillId="36" borderId="24">
      <alignment vertical="center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53" fillId="40" borderId="9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7" fillId="0" borderId="0"/>
    <xf numFmtId="0" fontId="45" fillId="0" borderId="0" applyNumberFormat="0" applyFill="0" applyBorder="0" applyAlignment="0" applyProtection="0">
      <alignment vertical="center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62" fillId="0" borderId="29" applyNumberFormat="0" applyFont="0" applyFill="0" applyProtection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5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NumberFormat="0" applyFont="0" applyFill="0" applyBorder="0" applyProtection="0">
      <alignment horizontal="left" vertical="center"/>
    </xf>
    <xf numFmtId="0" fontId="2" fillId="0" borderId="0" applyNumberFormat="0" applyFont="0" applyFill="0" applyBorder="0" applyProtection="0">
      <alignment horizontal="left" vertical="center"/>
    </xf>
    <xf numFmtId="0" fontId="61" fillId="0" borderId="0" applyNumberForma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0" fillId="0" borderId="0" xfId="0" applyFont="1"/>
    <xf numFmtId="0" fontId="0" fillId="0" borderId="0" xfId="0"/>
    <xf numFmtId="0" fontId="0" fillId="0" borderId="0" xfId="0"/>
    <xf numFmtId="2" fontId="0" fillId="0" borderId="0" xfId="0" applyNumberFormat="1"/>
    <xf numFmtId="0" fontId="19" fillId="5" borderId="0" xfId="51"/>
    <xf numFmtId="0" fontId="0" fillId="0" borderId="0" xfId="0"/>
    <xf numFmtId="2" fontId="0" fillId="0" borderId="0" xfId="0" applyNumberFormat="1"/>
    <xf numFmtId="0" fontId="0" fillId="0" borderId="0" xfId="0" quotePrefix="1"/>
    <xf numFmtId="181" fontId="4" fillId="2" borderId="1" xfId="2024" applyNumberFormat="1" applyFont="1" applyFill="1" applyBorder="1" applyAlignment="1">
      <alignment vertical="center"/>
    </xf>
    <xf numFmtId="181" fontId="5" fillId="0" borderId="0" xfId="2024" applyNumberFormat="1" applyFont="1"/>
    <xf numFmtId="0" fontId="1" fillId="0" borderId="0" xfId="53"/>
  </cellXfs>
  <cellStyles count="3004">
    <cellStyle name="???????" xfId="2931" xr:uid="{51E44ABF-D398-4867-8E2D-7E772DE87FA6}"/>
    <cellStyle name="20% - Accent1 2" xfId="60" xr:uid="{BA73A6BB-7E4E-48F7-8E6C-6B798DE978A4}"/>
    <cellStyle name="20% - Accent1 2 10" xfId="61" xr:uid="{B6C21C68-D96F-4910-82D0-FE6B0EEDFEC2}"/>
    <cellStyle name="20% - Accent1 2 11" xfId="62" xr:uid="{768BF4F1-62BE-46D3-AB16-F0EF615E19E6}"/>
    <cellStyle name="20% - Accent1 2 12" xfId="63" xr:uid="{66EF5AFC-C3CA-40CB-A9D0-E613AFAF5FAB}"/>
    <cellStyle name="20% - Accent1 2 13" xfId="64" xr:uid="{2361EF91-FC18-4722-BE08-19735F95F6BE}"/>
    <cellStyle name="20% - Accent1 2 14" xfId="65" xr:uid="{330EA99B-DC5E-498A-BDAF-BE9CA7022396}"/>
    <cellStyle name="20% - Accent1 2 15" xfId="66" xr:uid="{4F460435-AF49-43A4-B464-FEF9D74B2839}"/>
    <cellStyle name="20% - Accent1 2 2" xfId="67" xr:uid="{BE4A75B3-EA3E-4986-B61A-C33BB3AD27A8}"/>
    <cellStyle name="20% - Accent1 2 3" xfId="68" xr:uid="{9F4EDBB2-D040-4B88-9DC6-83D7EB053726}"/>
    <cellStyle name="20% - Accent1 2 4" xfId="69" xr:uid="{B8B497D6-C4C9-4FED-98A4-FAE53E400305}"/>
    <cellStyle name="20% - Accent1 2 5" xfId="70" xr:uid="{D03FBCD0-253D-4A47-8731-BA51226910AB}"/>
    <cellStyle name="20% - Accent1 2 6" xfId="71" xr:uid="{F33DE65F-988D-4C16-8BFE-C56112EF3066}"/>
    <cellStyle name="20% - Accent1 2 7" xfId="72" xr:uid="{ED6B1B80-0A92-4A00-9F1B-0FD507C6244E}"/>
    <cellStyle name="20% - Accent1 2 8" xfId="73" xr:uid="{363CBBD5-F05A-4EB6-9035-D300A1A11DD9}"/>
    <cellStyle name="20% - Accent1 2 9" xfId="74" xr:uid="{51466EE8-23BC-4CBF-B247-8C77F6989214}"/>
    <cellStyle name="20% - Accent1 3" xfId="75" xr:uid="{4AE8D49B-45F4-4E36-95DF-751FEAD7253E}"/>
    <cellStyle name="20% - Accent1 3 2" xfId="76" xr:uid="{6EAA5BDA-AAC1-43D0-A7B0-A6C3BE0FF248}"/>
    <cellStyle name="20% - Accent1 4" xfId="77" xr:uid="{EE371888-890D-420F-BEAC-DA522ECA7F3F}"/>
    <cellStyle name="20% - Accent1 5" xfId="78" xr:uid="{6D643A1B-0397-4BD2-B806-F213C6B2804D}"/>
    <cellStyle name="20% - Accent1 6" xfId="79" xr:uid="{133FD602-C118-4823-A8C6-F694F6368D14}"/>
    <cellStyle name="20% - Accent1 7" xfId="80" xr:uid="{C31B5FED-A8F4-4869-9637-2DBB7627BD55}"/>
    <cellStyle name="20% - Accent1 8" xfId="81" xr:uid="{0550B7C7-D1E7-42D0-8BDD-C96337E7E684}"/>
    <cellStyle name="20% - Accent2 2" xfId="82" xr:uid="{A779B1E7-C059-446E-9534-1011D96F70AD}"/>
    <cellStyle name="20% - Accent2 2 10" xfId="83" xr:uid="{90495985-6055-4A75-ACFA-A25FAB92F759}"/>
    <cellStyle name="20% - Accent2 2 11" xfId="84" xr:uid="{056CD036-15EC-402D-A896-0ADC5835A068}"/>
    <cellStyle name="20% - Accent2 2 12" xfId="85" xr:uid="{FD035218-976A-495C-8946-0B4F40B7126A}"/>
    <cellStyle name="20% - Accent2 2 13" xfId="86" xr:uid="{7E6B29EE-1577-4DAC-A48A-43D807B3970C}"/>
    <cellStyle name="20% - Accent2 2 14" xfId="87" xr:uid="{F6CBB4B2-3C56-48A7-9D7A-C64B3D929BFE}"/>
    <cellStyle name="20% - Accent2 2 15" xfId="88" xr:uid="{EF91D98F-7E69-4EEA-A50D-64F08CFB0AD1}"/>
    <cellStyle name="20% - Accent2 2 2" xfId="89" xr:uid="{77DE3D8C-90E1-439C-B861-740EA45EC3FC}"/>
    <cellStyle name="20% - Accent2 2 3" xfId="90" xr:uid="{FD95F1CA-D6DE-4983-914C-C1E1A202C301}"/>
    <cellStyle name="20% - Accent2 2 4" xfId="91" xr:uid="{7B839332-D82C-445D-B392-A7247419075B}"/>
    <cellStyle name="20% - Accent2 2 5" xfId="92" xr:uid="{B0C9435B-D583-48AF-A2EE-1B687E82719A}"/>
    <cellStyle name="20% - Accent2 2 6" xfId="93" xr:uid="{3FABF138-881E-4B74-A6E3-0D3A60E3C902}"/>
    <cellStyle name="20% - Accent2 2 7" xfId="94" xr:uid="{15B2861D-3C65-48E0-AEBC-0DF024CA3422}"/>
    <cellStyle name="20% - Accent2 2 8" xfId="95" xr:uid="{512C29D1-710E-43F2-B983-7EB7E2274369}"/>
    <cellStyle name="20% - Accent2 2 9" xfId="96" xr:uid="{506622EC-B59B-4232-B58F-0896A3681C07}"/>
    <cellStyle name="20% - Accent2 3" xfId="97" xr:uid="{2EE6C614-1E8F-4CB1-A0EF-78F098DE89D5}"/>
    <cellStyle name="20% - Accent2 3 2" xfId="98" xr:uid="{29535402-C4E8-4AC5-8409-D2A4268C48F8}"/>
    <cellStyle name="20% - Accent2 4" xfId="99" xr:uid="{D532FCC5-BF2B-491C-A489-80C48FDC51DD}"/>
    <cellStyle name="20% - Accent2 5" xfId="100" xr:uid="{A011C62E-DDCB-4F68-9AFF-3C193E17B04B}"/>
    <cellStyle name="20% - Accent2 6" xfId="101" xr:uid="{76C4456E-E35B-4161-BA88-C04A5610FFEF}"/>
    <cellStyle name="20% - Accent2 7" xfId="102" xr:uid="{3ACBD229-01C9-43A5-A098-5CE1CCD99896}"/>
    <cellStyle name="20% - Accent2 8" xfId="103" xr:uid="{B0BD3134-45A2-436E-AFDC-E5CD2315576E}"/>
    <cellStyle name="20% - Accent3 2" xfId="104" xr:uid="{817F8FDE-749D-4958-B77B-8942D82F15E7}"/>
    <cellStyle name="20% - Accent3 2 10" xfId="105" xr:uid="{F89B2D88-77D2-4A2C-9BFC-271EBD829FC7}"/>
    <cellStyle name="20% - Accent3 2 11" xfId="106" xr:uid="{E0948C81-B488-4FFA-953E-56EC86DF5323}"/>
    <cellStyle name="20% - Accent3 2 12" xfId="107" xr:uid="{76260F9A-EFBB-4F4F-A32F-6CB26323BB26}"/>
    <cellStyle name="20% - Accent3 2 13" xfId="108" xr:uid="{5E0D2F99-79A9-4F9E-881F-2FE2C4DD3D8E}"/>
    <cellStyle name="20% - Accent3 2 14" xfId="109" xr:uid="{057229F2-6415-4BE2-AD9C-8A3175C2A1E9}"/>
    <cellStyle name="20% - Accent3 2 15" xfId="110" xr:uid="{A5D27B8E-5845-416A-9A45-63ACF2EB2CFF}"/>
    <cellStyle name="20% - Accent3 2 2" xfId="111" xr:uid="{69CB5952-1C11-4CBC-9DA4-1D039C09FF38}"/>
    <cellStyle name="20% - Accent3 2 3" xfId="112" xr:uid="{4E58A912-3AFB-4EF6-A03C-4CFA9F4C5150}"/>
    <cellStyle name="20% - Accent3 2 4" xfId="113" xr:uid="{796CF6CD-D4A0-4D71-929B-D5084E56AF9F}"/>
    <cellStyle name="20% - Accent3 2 5" xfId="114" xr:uid="{E44CBF1A-67D9-49FC-82D8-F8F9C3A77163}"/>
    <cellStyle name="20% - Accent3 2 6" xfId="115" xr:uid="{65143455-5DB4-4027-8E01-ADE75C570900}"/>
    <cellStyle name="20% - Accent3 2 7" xfId="116" xr:uid="{CD43BF38-C7D0-41D9-9AA3-AC49FB78812C}"/>
    <cellStyle name="20% - Accent3 2 8" xfId="117" xr:uid="{88751D4A-936B-4D57-9C35-266FBFD8A000}"/>
    <cellStyle name="20% - Accent3 2 9" xfId="118" xr:uid="{1F014FCB-0505-4C8E-9DFF-3665B3200D11}"/>
    <cellStyle name="20% - Accent3 3" xfId="119" xr:uid="{F778732F-DB43-4851-BC6D-E56B74FAFE22}"/>
    <cellStyle name="20% - Accent3 3 2" xfId="120" xr:uid="{8D58594B-67F4-44FC-A545-090CDF22ED87}"/>
    <cellStyle name="20% - Accent3 4" xfId="121" xr:uid="{047B5C2C-2846-4853-B80E-967C6D88D31B}"/>
    <cellStyle name="20% - Accent3 5" xfId="122" xr:uid="{ABDA420D-A2B1-4811-9BAE-51601CA9C2F5}"/>
    <cellStyle name="20% - Accent3 6" xfId="123" xr:uid="{7936CED8-9FF7-479D-92CC-2BF8E6BF9E6A}"/>
    <cellStyle name="20% - Accent3 7" xfId="124" xr:uid="{05E33772-772A-4AB2-BE56-BECF4F565286}"/>
    <cellStyle name="20% - Accent3 8" xfId="125" xr:uid="{2BDCEFC5-C5DF-4754-AE03-88E38D889C2C}"/>
    <cellStyle name="20% - Accent4 2" xfId="126" xr:uid="{2B1A9AC1-7DD6-4565-BB09-F1C1811DC189}"/>
    <cellStyle name="20% - Accent4 2 10" xfId="127" xr:uid="{3E1B0F68-3B83-46C6-A99D-C95DCFA96F75}"/>
    <cellStyle name="20% - Accent4 2 11" xfId="128" xr:uid="{4FD7711F-2023-4DA2-8309-EDA1B10EB29B}"/>
    <cellStyle name="20% - Accent4 2 12" xfId="129" xr:uid="{9BFAD5E1-C63D-40D0-B080-90E1C158D977}"/>
    <cellStyle name="20% - Accent4 2 13" xfId="130" xr:uid="{136573BC-880D-4B05-ABB5-8CBF14BD25E6}"/>
    <cellStyle name="20% - Accent4 2 14" xfId="131" xr:uid="{33C508DC-807C-4BE4-90B8-A4E2C4505256}"/>
    <cellStyle name="20% - Accent4 2 15" xfId="132" xr:uid="{FC609C1A-DD00-4379-9734-B835CF78D8DB}"/>
    <cellStyle name="20% - Accent4 2 2" xfId="133" xr:uid="{26613FB3-F490-425D-8981-1E3E43C15C7A}"/>
    <cellStyle name="20% - Accent4 2 3" xfId="134" xr:uid="{AFB042C2-93D2-4930-8DA1-16A7197ADF75}"/>
    <cellStyle name="20% - Accent4 2 4" xfId="135" xr:uid="{DA8546CF-294F-4C75-8C2F-A58E3B9F38AD}"/>
    <cellStyle name="20% - Accent4 2 5" xfId="136" xr:uid="{DFE7AE05-7CE1-4E58-B189-F02D2DC663AB}"/>
    <cellStyle name="20% - Accent4 2 6" xfId="137" xr:uid="{1B834A1D-886D-477D-927B-912A66ED9CCC}"/>
    <cellStyle name="20% - Accent4 2 7" xfId="138" xr:uid="{1C72F209-D912-458E-B40B-984780A9B3B7}"/>
    <cellStyle name="20% - Accent4 2 8" xfId="139" xr:uid="{6C931106-1CC9-4F29-B95A-DA8167AD9302}"/>
    <cellStyle name="20% - Accent4 2 9" xfId="140" xr:uid="{D7AE646C-43AF-45EC-B41F-FC02956F55DD}"/>
    <cellStyle name="20% - Accent4 3" xfId="141" xr:uid="{623DFC87-444D-40E9-BE39-71ACDB177EB7}"/>
    <cellStyle name="20% - Accent4 3 2" xfId="142" xr:uid="{0EFD9A1E-E739-497C-B4DC-D724DF5302DE}"/>
    <cellStyle name="20% - Accent4 4" xfId="143" xr:uid="{BDF7A662-C468-4DD9-AB98-678857641F3F}"/>
    <cellStyle name="20% - Accent4 5" xfId="144" xr:uid="{3F50EFC7-971A-48ED-94C2-C03C491541B5}"/>
    <cellStyle name="20% - Accent4 6" xfId="145" xr:uid="{185A353E-ED9E-4B12-AB36-FFAB1FBB1472}"/>
    <cellStyle name="20% - Accent4 7" xfId="146" xr:uid="{8D5B2553-98FC-474B-B462-C8131AD07E38}"/>
    <cellStyle name="20% - Accent4 8" xfId="147" xr:uid="{FBBE0575-925E-4666-90B8-1D62C13E9CC7}"/>
    <cellStyle name="20% - Accent5 2" xfId="148" xr:uid="{F6C292E8-DE8C-4F01-B83C-F86F4927D6D7}"/>
    <cellStyle name="20% - Accent5 2 10" xfId="149" xr:uid="{76C7B8AA-1E45-4B62-BE28-042C4E62EADE}"/>
    <cellStyle name="20% - Accent5 2 11" xfId="150" xr:uid="{F918AFF4-0520-4FC2-94FF-71F0412EB826}"/>
    <cellStyle name="20% - Accent5 2 12" xfId="151" xr:uid="{81BD631E-5E9B-41D5-9F16-6CE357001B43}"/>
    <cellStyle name="20% - Accent5 2 13" xfId="152" xr:uid="{5BFE6B73-9409-4092-BC90-2204A3CD6CD2}"/>
    <cellStyle name="20% - Accent5 2 14" xfId="153" xr:uid="{C04BA371-E5E9-4AB9-92F5-362DEFEB1381}"/>
    <cellStyle name="20% - Accent5 2 15" xfId="154" xr:uid="{7384BB8A-74E5-44B2-A00B-76614E0B99E1}"/>
    <cellStyle name="20% - Accent5 2 2" xfId="155" xr:uid="{708B3BE4-B90B-4F02-A95D-7933425C50DD}"/>
    <cellStyle name="20% - Accent5 2 3" xfId="156" xr:uid="{1B3681EC-DB6E-4F48-813A-35B032E119C6}"/>
    <cellStyle name="20% - Accent5 2 4" xfId="157" xr:uid="{5DD6A5F2-9533-4312-8D3D-B16C92EC5D6D}"/>
    <cellStyle name="20% - Accent5 2 5" xfId="158" xr:uid="{3AD2C4E2-10BD-47BA-8034-CCC16D89ABD6}"/>
    <cellStyle name="20% - Accent5 2 6" xfId="159" xr:uid="{087BB481-A02D-4EFA-8ED0-15BF8478F55F}"/>
    <cellStyle name="20% - Accent5 2 7" xfId="160" xr:uid="{72A29FA3-4745-4FDE-8F85-66D33720E952}"/>
    <cellStyle name="20% - Accent5 2 8" xfId="161" xr:uid="{53EB3805-2807-4778-86AE-D9858232266B}"/>
    <cellStyle name="20% - Accent5 2 9" xfId="162" xr:uid="{9C67A160-9632-4356-B10C-5F1818180AE2}"/>
    <cellStyle name="20% - Accent5 3" xfId="163" xr:uid="{497F46B5-2CF2-4A1A-BEE3-208693D046D5}"/>
    <cellStyle name="20% - Accent5 4" xfId="164" xr:uid="{B42A9F73-38A4-4E20-BF47-31AADAFDD038}"/>
    <cellStyle name="20% - Accent5 5" xfId="165" xr:uid="{B33E4180-A275-446A-A414-923171B8C370}"/>
    <cellStyle name="20% - Accent5 6" xfId="166" xr:uid="{50CA73C1-209A-4CD1-9AAC-8F84761C9511}"/>
    <cellStyle name="20% - Accent5 7" xfId="167" xr:uid="{412A9476-A897-4B7B-B535-1E3AA50F97F2}"/>
    <cellStyle name="20% - Accent5 8" xfId="168" xr:uid="{ED20B7DA-0D47-44CE-A572-A757B7936C5F}"/>
    <cellStyle name="20% - Accent6 2" xfId="169" xr:uid="{8385EB6A-7CFD-495C-BFCA-0269EBCFF7A3}"/>
    <cellStyle name="20% - Accent6 2 10" xfId="170" xr:uid="{89892875-B1D3-4736-8A47-F2EB7E8BD154}"/>
    <cellStyle name="20% - Accent6 2 11" xfId="171" xr:uid="{5997237F-3D84-46D0-999E-6BB1A9372891}"/>
    <cellStyle name="20% - Accent6 2 12" xfId="172" xr:uid="{C1ABCF33-A2F7-46BD-AA39-0F5EA36DD69D}"/>
    <cellStyle name="20% - Accent6 2 13" xfId="173" xr:uid="{A2986E44-6730-427B-9A1E-4DA50DFCFFF2}"/>
    <cellStyle name="20% - Accent6 2 14" xfId="174" xr:uid="{EAEB8518-1107-44EE-8E50-EEB50F21A1F1}"/>
    <cellStyle name="20% - Accent6 2 15" xfId="175" xr:uid="{215DE6FA-90B0-4E64-AB03-DA01BB15D725}"/>
    <cellStyle name="20% - Accent6 2 2" xfId="176" xr:uid="{7A00DAD8-9FD4-4285-BB4B-B4E349276A5C}"/>
    <cellStyle name="20% - Accent6 2 3" xfId="177" xr:uid="{5478B7B4-F5CB-43C0-8F7A-DEFEC250AB63}"/>
    <cellStyle name="20% - Accent6 2 4" xfId="178" xr:uid="{DAB41E0D-A2DD-4815-819D-E21845835D6B}"/>
    <cellStyle name="20% - Accent6 2 5" xfId="179" xr:uid="{320845AC-39FA-4FE0-8CDD-5A81EA612660}"/>
    <cellStyle name="20% - Accent6 2 6" xfId="180" xr:uid="{1797329C-2557-4021-9FAD-A8FE847CCDDA}"/>
    <cellStyle name="20% - Accent6 2 7" xfId="181" xr:uid="{F0B82B40-5474-4318-93A1-1CF39A3518D5}"/>
    <cellStyle name="20% - Accent6 2 8" xfId="182" xr:uid="{51FB2AB5-BD4C-4F39-B3E6-FF09FBDE638C}"/>
    <cellStyle name="20% - Accent6 2 9" xfId="183" xr:uid="{E7BCD684-C7AD-4D43-B67A-BC507D7FD127}"/>
    <cellStyle name="20% - Accent6 3" xfId="184" xr:uid="{CED389D1-E82F-41EE-A22B-34EB05C7B205}"/>
    <cellStyle name="20% - Accent6 3 2" xfId="185" xr:uid="{587482BB-3372-491F-B3DA-68C3C80227B4}"/>
    <cellStyle name="20% - Accent6 4" xfId="186" xr:uid="{24537020-3D86-477C-8E96-90F7BB6500CF}"/>
    <cellStyle name="20% - Accent6 5" xfId="187" xr:uid="{7F79DCB2-0793-4972-A20D-44C7D1DE62DE}"/>
    <cellStyle name="20% - Accent6 6" xfId="188" xr:uid="{FED9354B-58FB-4BD5-8B40-9FBAE3787F20}"/>
    <cellStyle name="20% - Accent6 7" xfId="189" xr:uid="{DE8E4713-AF0F-4A40-96D2-C0D0793B5F24}"/>
    <cellStyle name="20% - Accent6 8" xfId="190" xr:uid="{617D189C-6BFE-4AA9-9E0D-EF00EFF1512A}"/>
    <cellStyle name="40% - Accent1 2" xfId="191" xr:uid="{759769C4-65E0-4790-94D3-C616F545DDEC}"/>
    <cellStyle name="40% - Accent1 2 10" xfId="192" xr:uid="{2100508B-CCA7-44C3-8915-29C585018B4E}"/>
    <cellStyle name="40% - Accent1 2 11" xfId="193" xr:uid="{85D1D9A4-FB74-42B5-ABAD-B2E6BD65D3AE}"/>
    <cellStyle name="40% - Accent1 2 12" xfId="194" xr:uid="{E15A8894-9363-41A1-AFC2-EC9D1D4C4AEF}"/>
    <cellStyle name="40% - Accent1 2 13" xfId="195" xr:uid="{2EBDA798-0240-4485-B514-89E0B95FCE62}"/>
    <cellStyle name="40% - Accent1 2 14" xfId="196" xr:uid="{3666DDBD-A07A-4127-A9C0-2DD2FAD9221B}"/>
    <cellStyle name="40% - Accent1 2 15" xfId="197" xr:uid="{2ADB718F-F30F-47DC-9DFE-129E021CD70E}"/>
    <cellStyle name="40% - Accent1 2 2" xfId="198" xr:uid="{9AA4E2B1-0D2B-400E-9F5F-08E7C9AE0330}"/>
    <cellStyle name="40% - Accent1 2 3" xfId="199" xr:uid="{1F322EB7-5152-4494-937E-9E0FF5BB218F}"/>
    <cellStyle name="40% - Accent1 2 4" xfId="200" xr:uid="{931F02F4-BDE7-41E1-8851-A18051423F2F}"/>
    <cellStyle name="40% - Accent1 2 5" xfId="201" xr:uid="{337D3DAA-1D81-4AB4-AAF7-0B5993D3C3EC}"/>
    <cellStyle name="40% - Accent1 2 6" xfId="202" xr:uid="{20DC9D42-C94D-439F-90DD-6F12D2BFC008}"/>
    <cellStyle name="40% - Accent1 2 7" xfId="203" xr:uid="{510186F0-A9BF-4750-B267-A5366BF3432C}"/>
    <cellStyle name="40% - Accent1 2 8" xfId="204" xr:uid="{7DD29BB7-6C7C-41F2-863A-2DC3E7C90F66}"/>
    <cellStyle name="40% - Accent1 2 9" xfId="205" xr:uid="{89559761-AD6F-467C-B48B-766FD0525619}"/>
    <cellStyle name="40% - Accent1 3" xfId="206" xr:uid="{4BFF6402-96BA-4E38-9230-F12C8BF8F397}"/>
    <cellStyle name="40% - Accent1 3 2" xfId="207" xr:uid="{C52741F0-4A14-43A7-B015-C25E75BB6D98}"/>
    <cellStyle name="40% - Accent1 4" xfId="208" xr:uid="{B47FB008-A872-4294-8C67-F3E8F2C76E5D}"/>
    <cellStyle name="40% - Accent1 5" xfId="209" xr:uid="{420B9C08-EAE7-4ED9-ACCF-E081784DEFEE}"/>
    <cellStyle name="40% - Accent1 6" xfId="210" xr:uid="{5540C9C7-5DE4-4BA8-80F9-E6321BBFAF53}"/>
    <cellStyle name="40% - Accent1 7" xfId="211" xr:uid="{362E6B4F-52B9-4ED2-9F41-A1FB20FAF7BB}"/>
    <cellStyle name="40% - Accent1 8" xfId="212" xr:uid="{BB426C3C-E3A6-4A48-98A8-A48A1FBA0F42}"/>
    <cellStyle name="40% - Accent2 2" xfId="213" xr:uid="{7618C72D-C5F9-4967-9CAF-52FE2309D11D}"/>
    <cellStyle name="40% - Accent2 2 10" xfId="214" xr:uid="{BE68386A-1699-4A02-8AF8-E358F8F7B3DD}"/>
    <cellStyle name="40% - Accent2 2 11" xfId="215" xr:uid="{6EFBC436-E97F-4D2A-938F-51F0A296691D}"/>
    <cellStyle name="40% - Accent2 2 12" xfId="216" xr:uid="{7D3425F7-6BE2-458B-9BFF-024C0655044A}"/>
    <cellStyle name="40% - Accent2 2 13" xfId="217" xr:uid="{E69AC34F-6103-499C-A6D6-F3D0C265E34E}"/>
    <cellStyle name="40% - Accent2 2 14" xfId="218" xr:uid="{90BEFABB-64AF-416C-A182-6F2278DA1EC5}"/>
    <cellStyle name="40% - Accent2 2 15" xfId="219" xr:uid="{09D9BFF7-2DC7-42CF-A864-DED2AF605363}"/>
    <cellStyle name="40% - Accent2 2 2" xfId="220" xr:uid="{C2E948CD-B9C2-4666-9421-1FA78FCA19F1}"/>
    <cellStyle name="40% - Accent2 2 3" xfId="221" xr:uid="{94E771B5-B34A-46C8-921D-59848270E917}"/>
    <cellStyle name="40% - Accent2 2 4" xfId="222" xr:uid="{66B525D9-ADDA-4B6C-A07B-C48EA56FF11A}"/>
    <cellStyle name="40% - Accent2 2 5" xfId="223" xr:uid="{8055693B-CC97-4DA3-8492-240482761213}"/>
    <cellStyle name="40% - Accent2 2 6" xfId="224" xr:uid="{234487A4-B7EA-42E7-9CC4-19200E3EBA2C}"/>
    <cellStyle name="40% - Accent2 2 7" xfId="225" xr:uid="{AA469D43-E484-4D52-B5C6-3757850B1780}"/>
    <cellStyle name="40% - Accent2 2 8" xfId="226" xr:uid="{0A8B42AC-85BF-4FBA-80D6-F8632642B3B7}"/>
    <cellStyle name="40% - Accent2 2 9" xfId="227" xr:uid="{5DA116CE-CCBC-4975-9B2C-1CEE475184B7}"/>
    <cellStyle name="40% - Accent2 3" xfId="228" xr:uid="{5DF96DAF-23CC-4925-9388-96755251A797}"/>
    <cellStyle name="40% - Accent2 4" xfId="229" xr:uid="{54DCFF1B-BCDE-4280-8456-671AAC3F31B4}"/>
    <cellStyle name="40% - Accent2 5" xfId="230" xr:uid="{B062760D-792C-4564-BE3C-1D081804E7AD}"/>
    <cellStyle name="40% - Accent2 6" xfId="231" xr:uid="{EECF00EC-7A17-482A-AF47-DDE2A356367B}"/>
    <cellStyle name="40% - Accent2 7" xfId="232" xr:uid="{9C0DD60E-2225-4FCE-AB0A-51677CF7BB2E}"/>
    <cellStyle name="40% - Accent2 8" xfId="233" xr:uid="{94A3DB91-A19C-4F4D-ADFE-5142106AB468}"/>
    <cellStyle name="40% - Accent3 2" xfId="234" xr:uid="{D60DB76B-A981-4A52-8137-605E48B9415E}"/>
    <cellStyle name="40% - Accent3 2 10" xfId="235" xr:uid="{A01187A9-0610-4782-99DD-32DFF6A0595F}"/>
    <cellStyle name="40% - Accent3 2 11" xfId="236" xr:uid="{ECFDFB58-0D6C-4F9E-9ABB-0758BAD5FD85}"/>
    <cellStyle name="40% - Accent3 2 12" xfId="237" xr:uid="{0C8D5841-4AC4-4E47-9F46-64E93403181B}"/>
    <cellStyle name="40% - Accent3 2 13" xfId="238" xr:uid="{398DD573-030D-48E6-8CB4-B9BF6E4FA9D2}"/>
    <cellStyle name="40% - Accent3 2 14" xfId="239" xr:uid="{14AE373D-E1CA-4C0D-8D3D-01DECE565163}"/>
    <cellStyle name="40% - Accent3 2 15" xfId="240" xr:uid="{74E12651-2499-4DBF-B875-9BF217AC3616}"/>
    <cellStyle name="40% - Accent3 2 2" xfId="241" xr:uid="{B2F2FB2F-AACE-4BE5-B2CC-DE72D54C9AC0}"/>
    <cellStyle name="40% - Accent3 2 3" xfId="242" xr:uid="{20B14CEB-13EC-4F95-B456-85210506BD66}"/>
    <cellStyle name="40% - Accent3 2 4" xfId="243" xr:uid="{290D00AE-CC41-4621-822F-9EE7EA903AB4}"/>
    <cellStyle name="40% - Accent3 2 5" xfId="244" xr:uid="{31C9A314-B27F-4C96-BED1-85C0DB0E8C29}"/>
    <cellStyle name="40% - Accent3 2 6" xfId="245" xr:uid="{A3A301A7-AED2-4224-93A2-B7EAFB2181CF}"/>
    <cellStyle name="40% - Accent3 2 7" xfId="246" xr:uid="{1D4E5F3C-A6E3-4B05-9B70-8EF961658B67}"/>
    <cellStyle name="40% - Accent3 2 8" xfId="247" xr:uid="{68B5F201-B92B-4042-81EC-E90FE422F022}"/>
    <cellStyle name="40% - Accent3 2 9" xfId="248" xr:uid="{FB8E9FD7-76E2-4C6A-8318-38C8C5649A85}"/>
    <cellStyle name="40% - Accent3 3" xfId="249" xr:uid="{B4B8E557-D328-4A04-9200-CA323678397F}"/>
    <cellStyle name="40% - Accent3 3 2" xfId="250" xr:uid="{059ACC20-0274-46F9-8512-56D849F61806}"/>
    <cellStyle name="40% - Accent3 4" xfId="251" xr:uid="{DFDC4264-1027-423E-AD10-2E81C3172E24}"/>
    <cellStyle name="40% - Accent3 5" xfId="252" xr:uid="{6B701D6E-06EE-4FE4-B5B1-8A9A7A6514A6}"/>
    <cellStyle name="40% - Accent3 6" xfId="253" xr:uid="{C3B6F732-FFD7-4897-AC17-5996F4D23462}"/>
    <cellStyle name="40% - Accent3 7" xfId="254" xr:uid="{6E4E16B0-8425-4DAB-9886-BEF5D10F5F93}"/>
    <cellStyle name="40% - Accent3 8" xfId="255" xr:uid="{CCB67D70-8F57-41EA-8871-21551B43F422}"/>
    <cellStyle name="40% - Accent4 2" xfId="256" xr:uid="{769B6DA2-C030-49FE-9145-FF997981FAAD}"/>
    <cellStyle name="40% - Accent4 2 10" xfId="257" xr:uid="{669E68ED-A9BB-4904-AF3B-0E373E128BE7}"/>
    <cellStyle name="40% - Accent4 2 11" xfId="258" xr:uid="{84C8934F-4BE7-4988-A640-8B903A16CDE9}"/>
    <cellStyle name="40% - Accent4 2 12" xfId="259" xr:uid="{2C6CE566-A85D-435F-870A-47255E195F77}"/>
    <cellStyle name="40% - Accent4 2 13" xfId="260" xr:uid="{0BAC4450-E800-4B1D-A950-863B5041C939}"/>
    <cellStyle name="40% - Accent4 2 14" xfId="261" xr:uid="{35174C51-AD8B-45B4-9919-80C5A24B95D6}"/>
    <cellStyle name="40% - Accent4 2 15" xfId="262" xr:uid="{D2098E59-B673-4ED9-8EA2-D5992929259D}"/>
    <cellStyle name="40% - Accent4 2 2" xfId="263" xr:uid="{C6EA6F08-19AE-4A98-8BBF-D20BF64157E6}"/>
    <cellStyle name="40% - Accent4 2 3" xfId="264" xr:uid="{1F9C9787-AE6B-4729-B01C-F86E0167DEC5}"/>
    <cellStyle name="40% - Accent4 2 4" xfId="265" xr:uid="{3057BC60-F504-4958-9F1D-3FC2827684E3}"/>
    <cellStyle name="40% - Accent4 2 5" xfId="266" xr:uid="{02FDBC8D-0550-4038-8FA3-FD1D2D6FAFB1}"/>
    <cellStyle name="40% - Accent4 2 6" xfId="267" xr:uid="{0417AB11-F5F1-400C-B243-45A55B4CE5C8}"/>
    <cellStyle name="40% - Accent4 2 7" xfId="268" xr:uid="{775CA8A0-A628-4CD2-BCF7-98A15D1E321F}"/>
    <cellStyle name="40% - Accent4 2 8" xfId="269" xr:uid="{15B0A3A9-A0C2-476A-924F-DF12AF63DE53}"/>
    <cellStyle name="40% - Accent4 2 9" xfId="270" xr:uid="{CE29CACF-1D9D-4A46-BD97-9BFDAAD951A4}"/>
    <cellStyle name="40% - Accent4 3" xfId="271" xr:uid="{7F92896C-BCD5-4355-96F8-8293268582E8}"/>
    <cellStyle name="40% - Accent4 3 2" xfId="272" xr:uid="{1EB9763E-CC23-4B5A-8F90-D7C729843EA7}"/>
    <cellStyle name="40% - Accent4 4" xfId="273" xr:uid="{3772C6FB-AEB4-4D30-B4A5-216043F795BE}"/>
    <cellStyle name="40% - Accent4 5" xfId="274" xr:uid="{BA818025-77E8-47AA-827B-A0F9F9ACD09F}"/>
    <cellStyle name="40% - Accent4 6" xfId="275" xr:uid="{6363F380-D785-4C2D-B838-7F3352C67B4B}"/>
    <cellStyle name="40% - Accent4 7" xfId="276" xr:uid="{D873A1AA-9E6E-4885-BCC0-A2D24914CDFC}"/>
    <cellStyle name="40% - Accent4 8" xfId="277" xr:uid="{F077D079-E0C1-48A0-933D-8A93BE0B3B90}"/>
    <cellStyle name="40% - Accent5 2" xfId="278" xr:uid="{4D9272FB-AB2D-4F54-A26F-73C1E53FCB1E}"/>
    <cellStyle name="40% - Accent5 2 10" xfId="279" xr:uid="{0A0165E1-224F-4598-B51C-B01217ABAE52}"/>
    <cellStyle name="40% - Accent5 2 11" xfId="280" xr:uid="{02BEEEAA-2A12-4146-AC59-D88B35C6C309}"/>
    <cellStyle name="40% - Accent5 2 12" xfId="281" xr:uid="{6B98A25D-76C7-42C7-8654-4D88A10BA86F}"/>
    <cellStyle name="40% - Accent5 2 13" xfId="282" xr:uid="{3B3F3969-55DD-404A-8096-307108F2EC70}"/>
    <cellStyle name="40% - Accent5 2 14" xfId="283" xr:uid="{17C639E5-FC15-4DD3-AEAD-5D63D4BF909B}"/>
    <cellStyle name="40% - Accent5 2 15" xfId="284" xr:uid="{14DF7AA0-E5E7-4601-9A64-91CF6E3D1428}"/>
    <cellStyle name="40% - Accent5 2 2" xfId="285" xr:uid="{65D46162-358A-4049-AA63-9256288D696F}"/>
    <cellStyle name="40% - Accent5 2 3" xfId="286" xr:uid="{642EE2C4-672D-428B-B9D7-20490370B45D}"/>
    <cellStyle name="40% - Accent5 2 4" xfId="287" xr:uid="{0FAF5D6A-60B2-4959-B66B-CB5239FAA08B}"/>
    <cellStyle name="40% - Accent5 2 5" xfId="288" xr:uid="{955CA788-0717-432E-A043-7A858872E702}"/>
    <cellStyle name="40% - Accent5 2 6" xfId="289" xr:uid="{CDBA8143-8734-470A-81A0-33BFACC99373}"/>
    <cellStyle name="40% - Accent5 2 7" xfId="290" xr:uid="{4CA0852D-E860-4288-B503-41D8CDD3E0A4}"/>
    <cellStyle name="40% - Accent5 2 8" xfId="291" xr:uid="{48C7DC89-E71C-4511-A1A9-77AA52538F12}"/>
    <cellStyle name="40% - Accent5 2 9" xfId="292" xr:uid="{776EA923-A522-495C-B756-56FC16531ACC}"/>
    <cellStyle name="40% - Accent5 3" xfId="293" xr:uid="{2F5BD4F1-BD2E-4A31-9548-2B5005E48540}"/>
    <cellStyle name="40% - Accent5 3 2" xfId="294" xr:uid="{B6E33D33-9720-46AD-A82C-28C27F96C7E2}"/>
    <cellStyle name="40% - Accent5 4" xfId="295" xr:uid="{DB20A26D-0ED5-4517-9533-CC2BF37B5AD7}"/>
    <cellStyle name="40% - Accent5 5" xfId="296" xr:uid="{1E8D66D6-86B3-4C10-81CE-BA84F00EFE65}"/>
    <cellStyle name="40% - Accent5 6" xfId="297" xr:uid="{52FA8A9A-48AF-402D-86F4-8A98F0900B53}"/>
    <cellStyle name="40% - Accent5 7" xfId="298" xr:uid="{98F1F296-B727-41B3-954A-23EB1AF33C31}"/>
    <cellStyle name="40% - Accent5 8" xfId="299" xr:uid="{4F987E80-BC66-463A-BF80-03DC9BE8A29C}"/>
    <cellStyle name="40% - Accent6 2" xfId="300" xr:uid="{0689FD95-5969-492C-8C8D-5060CF42CA28}"/>
    <cellStyle name="40% - Accent6 2 10" xfId="301" xr:uid="{7A2565AD-1732-48AD-B232-20C5A4663507}"/>
    <cellStyle name="40% - Accent6 2 11" xfId="302" xr:uid="{6DED3FC1-B4B8-4DA3-BC03-56AD1B9BE81C}"/>
    <cellStyle name="40% - Accent6 2 12" xfId="303" xr:uid="{4576A101-B913-420C-A15E-156B8DA0DB97}"/>
    <cellStyle name="40% - Accent6 2 13" xfId="304" xr:uid="{98915F11-17D7-4D05-A3B7-EC93FC19E736}"/>
    <cellStyle name="40% - Accent6 2 14" xfId="305" xr:uid="{CE2E1833-5EA9-4A46-A22B-2687CEC53020}"/>
    <cellStyle name="40% - Accent6 2 15" xfId="306" xr:uid="{CA166023-889B-4645-BA3D-85743A35F980}"/>
    <cellStyle name="40% - Accent6 2 2" xfId="307" xr:uid="{BD369D9E-10D9-4960-A628-540DA2A6B299}"/>
    <cellStyle name="40% - Accent6 2 3" xfId="308" xr:uid="{5082351F-B3EE-4533-A16A-E32BCAB645CC}"/>
    <cellStyle name="40% - Accent6 2 4" xfId="309" xr:uid="{DB496CE0-9F20-443A-B542-7AD26AFAAF35}"/>
    <cellStyle name="40% - Accent6 2 5" xfId="310" xr:uid="{6FD0BA85-C5E7-4549-AD9C-AC72FC95D8E3}"/>
    <cellStyle name="40% - Accent6 2 6" xfId="311" xr:uid="{3E6C0794-0398-4B80-A367-4B1B9FDAB6C8}"/>
    <cellStyle name="40% - Accent6 2 7" xfId="312" xr:uid="{E3C16B02-7944-4398-A799-57E3075247CE}"/>
    <cellStyle name="40% - Accent6 2 8" xfId="313" xr:uid="{768736B4-E0E2-449D-B50B-09DEC3D1C069}"/>
    <cellStyle name="40% - Accent6 2 9" xfId="314" xr:uid="{C8DF6F25-C17F-435B-8EE0-FCA9A7ECC315}"/>
    <cellStyle name="40% - Accent6 3" xfId="315" xr:uid="{FE23F929-8EDE-42EE-A27A-071EEAF40445}"/>
    <cellStyle name="40% - Accent6 3 2" xfId="316" xr:uid="{2A3D7127-667B-4B58-B5C7-875E31634825}"/>
    <cellStyle name="40% - Accent6 4" xfId="317" xr:uid="{03D4BCCC-0816-4E58-945C-3C628BC30567}"/>
    <cellStyle name="40% - Accent6 5" xfId="318" xr:uid="{5BC0A915-E85F-4C9B-B5A3-6E45B3D5B62E}"/>
    <cellStyle name="40% - Accent6 6" xfId="319" xr:uid="{4D20F252-DFB3-40F7-A642-6176A4315BAC}"/>
    <cellStyle name="40% - Accent6 7" xfId="320" xr:uid="{338DEEF2-DA77-4FF5-84AE-4C2674263051}"/>
    <cellStyle name="40% - Accent6 8" xfId="321" xr:uid="{C6B95FE3-F393-48AC-B987-FFB615A4C416}"/>
    <cellStyle name="5x indented GHG Textfiels" xfId="322" xr:uid="{046F9822-EFD4-4344-9CFF-CBF8DCB1EE58}"/>
    <cellStyle name="5x indented GHG Textfiels 2" xfId="323" xr:uid="{0EFF570E-FC02-492C-B8F4-CE50BB526E9F}"/>
    <cellStyle name="5x indented GHG Textfiels 2 2" xfId="1795" xr:uid="{FFCE41F2-2B0B-4DF6-8BB7-E6D031195091}"/>
    <cellStyle name="5x indented GHG Textfiels 2_default attrib" xfId="2929" xr:uid="{858E64EF-D5C4-4DE0-9D1B-1F05E340C8AE}"/>
    <cellStyle name="5x indented GHG Textfiels 3" xfId="1794" xr:uid="{3F7E3A2C-FF36-4C43-B89F-890014FA871A}"/>
    <cellStyle name="5x indented GHG Textfiels_default attrib" xfId="2930" xr:uid="{C03D19E3-9D3C-41F8-84A3-E8FBEC44873B}"/>
    <cellStyle name="60% - Accent1 2" xfId="324" xr:uid="{4B3CF3CD-087F-4CC3-A20D-5CDB643BE8F2}"/>
    <cellStyle name="60% - Accent1 2 10" xfId="325" xr:uid="{557510F8-7307-4133-A0E9-B18A52E70612}"/>
    <cellStyle name="60% - Accent1 2 2" xfId="326" xr:uid="{9DA3F436-6377-49BB-8C9B-821C300654CE}"/>
    <cellStyle name="60% - Accent1 2 3" xfId="327" xr:uid="{9D72FDE7-100F-419B-BE5B-1B1169ABBFBE}"/>
    <cellStyle name="60% - Accent1 2 4" xfId="328" xr:uid="{B4CB3C13-7544-4E97-BEE4-7113819FF20F}"/>
    <cellStyle name="60% - Accent1 2 5" xfId="329" xr:uid="{EE5E111E-B6ED-41CF-89EE-BE8B7A36E82C}"/>
    <cellStyle name="60% - Accent1 2 6" xfId="330" xr:uid="{3FB3A485-7F2D-432E-BD95-64DFF232CC84}"/>
    <cellStyle name="60% - Accent1 2 7" xfId="331" xr:uid="{F6F9110E-9EC1-46ED-8310-42471FCA324F}"/>
    <cellStyle name="60% - Accent1 2 8" xfId="332" xr:uid="{AE732C41-0EC4-45CB-BEC1-F302E292C159}"/>
    <cellStyle name="60% - Accent1 2 9" xfId="333" xr:uid="{88BAD6F1-96AB-4077-B5E6-1BE2B08EDA41}"/>
    <cellStyle name="60% - Accent1 3" xfId="334" xr:uid="{D7DDDB95-3D32-4035-B2B7-3728E45F633A}"/>
    <cellStyle name="60% - Accent1 3 2" xfId="335" xr:uid="{AF1E7891-2D93-4212-86CD-0D3328F51782}"/>
    <cellStyle name="60% - Accent2 2" xfId="336" xr:uid="{5D015EFA-842C-4226-8254-7B16DEB7ECBC}"/>
    <cellStyle name="60% - Accent2 2 10" xfId="337" xr:uid="{AF49F496-B50E-47EF-BCDA-82821CDABBC9}"/>
    <cellStyle name="60% - Accent2 2 2" xfId="338" xr:uid="{33B5996A-4D99-416A-8DAC-41666AAF3E8B}"/>
    <cellStyle name="60% - Accent2 2 3" xfId="339" xr:uid="{AE7BD0E6-3B53-4D2D-B428-5658862E4845}"/>
    <cellStyle name="60% - Accent2 2 4" xfId="340" xr:uid="{6415C530-4722-4CDA-A762-94B35A28BA1F}"/>
    <cellStyle name="60% - Accent2 2 5" xfId="341" xr:uid="{F257AD94-E026-45D9-8646-FABBDF550E94}"/>
    <cellStyle name="60% - Accent2 2 6" xfId="342" xr:uid="{AC4E3A7E-8A22-41E0-BFB3-171011C41D7C}"/>
    <cellStyle name="60% - Accent2 2 7" xfId="343" xr:uid="{1E6C7C8C-307A-4F2B-AA09-912F3FF3A375}"/>
    <cellStyle name="60% - Accent2 2 8" xfId="344" xr:uid="{88BA22D4-EE31-4342-A610-334B72D4256F}"/>
    <cellStyle name="60% - Accent2 2 9" xfId="345" xr:uid="{D42E86C1-2323-48C3-8F1D-FD5B4723B219}"/>
    <cellStyle name="60% - Accent2 3" xfId="346" xr:uid="{2A9B0D34-769F-4AD6-80CE-3F8EAB0DA822}"/>
    <cellStyle name="60% - Accent2 3 2" xfId="347" xr:uid="{622EB0B9-C217-462F-8104-6C582508D3E1}"/>
    <cellStyle name="60% - Accent3 2" xfId="348" xr:uid="{C61DA0BA-99EC-4490-A941-591541CFD91F}"/>
    <cellStyle name="60% - Accent3 2 10" xfId="349" xr:uid="{1ADD7140-FC4E-45ED-8157-6C1F4A761CC0}"/>
    <cellStyle name="60% - Accent3 2 2" xfId="350" xr:uid="{0FD3F996-601C-4EDE-9E1C-C5FE62E7E40E}"/>
    <cellStyle name="60% - Accent3 2 3" xfId="351" xr:uid="{72FF6BA7-D238-4BCB-86C7-59574C6BA1A1}"/>
    <cellStyle name="60% - Accent3 2 4" xfId="352" xr:uid="{4484B281-4D4B-4A23-B98C-BE7B03ABC019}"/>
    <cellStyle name="60% - Accent3 2 5" xfId="353" xr:uid="{964634E6-5B5C-4338-B6D5-F862C5DE6C05}"/>
    <cellStyle name="60% - Accent3 2 6" xfId="354" xr:uid="{D69DCE9E-D8E6-4323-961E-B400945FBECD}"/>
    <cellStyle name="60% - Accent3 2 7" xfId="355" xr:uid="{72F3DDD5-FEB7-47B3-B8FF-A05428BF7DC3}"/>
    <cellStyle name="60% - Accent3 2 8" xfId="356" xr:uid="{FB0EED85-6709-4161-8C35-848ADA515B2C}"/>
    <cellStyle name="60% - Accent3 2 9" xfId="357" xr:uid="{027BDEF5-C35C-4839-B703-3325298E7AA1}"/>
    <cellStyle name="60% - Accent3 3" xfId="358" xr:uid="{B87DE8AA-EBB9-4FB0-8F45-61A7FCB510E3}"/>
    <cellStyle name="60% - Accent3 3 2" xfId="359" xr:uid="{D5FFFECA-6B34-4485-B3B5-098D9381BCA8}"/>
    <cellStyle name="60% - Accent4 2" xfId="360" xr:uid="{B1076CB1-6C62-4F04-B094-65CF7202F015}"/>
    <cellStyle name="60% - Accent4 2 10" xfId="361" xr:uid="{68824D0A-BFC2-403C-B6F2-EA9B9C3313A6}"/>
    <cellStyle name="60% - Accent4 2 2" xfId="362" xr:uid="{CBE5FE64-F2A3-4CDB-A4F0-93DF251E8CC3}"/>
    <cellStyle name="60% - Accent4 2 3" xfId="363" xr:uid="{64C29004-15BB-41CA-9D67-6C2BA3420BA4}"/>
    <cellStyle name="60% - Accent4 2 4" xfId="364" xr:uid="{9075AD62-089A-4321-AE51-BCA5F53EC3B1}"/>
    <cellStyle name="60% - Accent4 2 5" xfId="365" xr:uid="{077F65B5-5146-4330-B3A3-75637F9F3F4C}"/>
    <cellStyle name="60% - Accent4 2 6" xfId="366" xr:uid="{D707045D-5B60-4898-9B86-66E5EB05067B}"/>
    <cellStyle name="60% - Accent4 2 7" xfId="367" xr:uid="{4DD1585A-240A-4AFD-B9F2-9F06D7D63303}"/>
    <cellStyle name="60% - Accent4 2 8" xfId="368" xr:uid="{11EB1B8F-62D2-4676-810E-A94329EA8400}"/>
    <cellStyle name="60% - Accent4 2 9" xfId="369" xr:uid="{5E078B29-B31C-4442-8935-05660847083C}"/>
    <cellStyle name="60% - Accent4 3" xfId="370" xr:uid="{7D07DE88-41B5-4715-AAE8-605D35EDBA0E}"/>
    <cellStyle name="60% - Accent4 3 2" xfId="371" xr:uid="{4D8EC46A-94B8-48C1-912D-B63C91A0DE42}"/>
    <cellStyle name="60% - Accent5 2" xfId="372" xr:uid="{59CE9E5E-C471-455D-A142-3B446F7BBFCC}"/>
    <cellStyle name="60% - Accent5 2 10" xfId="373" xr:uid="{34CAD060-F284-4C30-84FE-72D16C3B2E69}"/>
    <cellStyle name="60% - Accent5 2 2" xfId="374" xr:uid="{F8EB16A3-9BD1-4445-966A-C777097AA7EC}"/>
    <cellStyle name="60% - Accent5 2 3" xfId="375" xr:uid="{82794390-1FDE-4BB5-8676-D95EC95C70AE}"/>
    <cellStyle name="60% - Accent5 2 4" xfId="376" xr:uid="{CC4857D0-1560-425F-8F19-E0E78F044C3F}"/>
    <cellStyle name="60% - Accent5 2 5" xfId="377" xr:uid="{506002EF-3200-4C10-97B8-C708F78A5568}"/>
    <cellStyle name="60% - Accent5 2 6" xfId="378" xr:uid="{23B5C240-D9C9-4C3C-A85B-056BD86966BF}"/>
    <cellStyle name="60% - Accent5 2 7" xfId="379" xr:uid="{F582F98F-1083-4A8A-83D5-13FDA6D48B71}"/>
    <cellStyle name="60% - Accent5 2 8" xfId="380" xr:uid="{7FF9F177-687B-4BF0-BC29-AB4CE733D65E}"/>
    <cellStyle name="60% - Accent5 2 9" xfId="381" xr:uid="{07270AA7-F531-4B99-8846-BF7DBC0085D9}"/>
    <cellStyle name="60% - Accent5 3" xfId="382" xr:uid="{4A02BCB0-E4CE-4459-A63E-DCE54206DAC3}"/>
    <cellStyle name="60% - Accent5 3 2" xfId="383" xr:uid="{0A7734A7-453E-4409-9434-C41EAAACCB8D}"/>
    <cellStyle name="60% - Accent6 2" xfId="384" xr:uid="{77ADE6C0-2BD2-48C6-BC95-90CFEE62D207}"/>
    <cellStyle name="60% - Accent6 2 10" xfId="385" xr:uid="{46C14291-0689-4D72-9C3A-28CB8857D504}"/>
    <cellStyle name="60% - Accent6 2 2" xfId="386" xr:uid="{87D241F6-5395-49B8-9DE1-7A4E1C90CC12}"/>
    <cellStyle name="60% - Accent6 2 3" xfId="387" xr:uid="{BA796716-3DE4-4152-B36F-7CEE71C307FA}"/>
    <cellStyle name="60% - Accent6 2 4" xfId="388" xr:uid="{771C4D5C-AEFA-4997-8B64-36063AA940A7}"/>
    <cellStyle name="60% - Accent6 2 5" xfId="389" xr:uid="{95BCE636-BD39-4408-A152-C9122CA41D05}"/>
    <cellStyle name="60% - Accent6 2 6" xfId="390" xr:uid="{0607C229-22A1-432C-86D0-48A559709142}"/>
    <cellStyle name="60% - Accent6 2 7" xfId="391" xr:uid="{140F699A-4F1D-4C4D-9DC9-3994FF6B460A}"/>
    <cellStyle name="60% - Accent6 2 8" xfId="392" xr:uid="{35E4E163-AC46-4522-803C-528250ACD5D2}"/>
    <cellStyle name="60% - Accent6 2 9" xfId="393" xr:uid="{3D84875F-137F-44F9-9A7D-2425FFDD2F11}"/>
    <cellStyle name="60% - Accent6 3" xfId="394" xr:uid="{B99355B9-238B-4C32-8371-2DB6396802C2}"/>
    <cellStyle name="60% - Accent6 3 2" xfId="395" xr:uid="{5909BB73-DBA6-4385-B1AB-E54DA1DC50A3}"/>
    <cellStyle name="Accent1 2" xfId="396" xr:uid="{5B802D28-695F-4B05-BCC2-E8CB4C1AA06C}"/>
    <cellStyle name="Accent1 2 10" xfId="397" xr:uid="{62A3B3A5-0AA8-425F-AC26-EB7E5840AF71}"/>
    <cellStyle name="Accent1 2 2" xfId="398" xr:uid="{8F3C95AC-8DE2-4438-B111-D3DE1A49624C}"/>
    <cellStyle name="Accent1 2 3" xfId="399" xr:uid="{91B4500D-D675-4FFB-AC2A-68D5B51C5F6E}"/>
    <cellStyle name="Accent1 2 4" xfId="400" xr:uid="{67F2A030-8834-4669-9679-7CB7A36734AA}"/>
    <cellStyle name="Accent1 2 5" xfId="401" xr:uid="{78E1A0EA-2725-4E0F-A5D6-C3718585F9BC}"/>
    <cellStyle name="Accent1 2 6" xfId="402" xr:uid="{600B4C72-FBD7-4DC5-BC85-67A3CB7CC996}"/>
    <cellStyle name="Accent1 2 7" xfId="403" xr:uid="{FC8DA222-4C6E-4D78-88FF-B17F293D3E63}"/>
    <cellStyle name="Accent1 2 8" xfId="404" xr:uid="{E4CB7F11-2F91-423D-94CB-80E908BA679D}"/>
    <cellStyle name="Accent1 2 9" xfId="405" xr:uid="{DEE430E9-613C-4D4C-854C-3067A3CFD154}"/>
    <cellStyle name="Accent1 3" xfId="406" xr:uid="{AED4C4AD-41DE-4E05-B791-B1D8659386F7}"/>
    <cellStyle name="Accent1 3 2" xfId="407" xr:uid="{28333DC1-4D20-434A-B3EC-83D1311C87EB}"/>
    <cellStyle name="Accent2 2" xfId="408" xr:uid="{72DBA4D4-4FF1-494D-8424-C835A494DC4D}"/>
    <cellStyle name="Accent2 2 10" xfId="409" xr:uid="{7FE67A39-7241-424B-916F-E0B13826C1A5}"/>
    <cellStyle name="Accent2 2 2" xfId="410" xr:uid="{F62248AD-0420-4ABA-A324-A56E74C78E17}"/>
    <cellStyle name="Accent2 2 3" xfId="411" xr:uid="{E2AE46A2-ACBA-469B-AE66-F1A97D6812FA}"/>
    <cellStyle name="Accent2 2 4" xfId="412" xr:uid="{7F7EDBD4-6A78-43AB-998A-FD62806B8AB6}"/>
    <cellStyle name="Accent2 2 5" xfId="413" xr:uid="{CEBEEB12-D954-4527-9E83-1089F4E6625A}"/>
    <cellStyle name="Accent2 2 6" xfId="414" xr:uid="{489B9B18-6443-4222-9510-561E4F085D94}"/>
    <cellStyle name="Accent2 2 7" xfId="415" xr:uid="{6853D270-7564-4932-B7B4-C442CE4FDF6B}"/>
    <cellStyle name="Accent2 2 8" xfId="416" xr:uid="{47ED13E7-D49F-456C-A2DF-EE9619A19FEB}"/>
    <cellStyle name="Accent2 2 9" xfId="417" xr:uid="{F5E8E0FC-4287-411A-BA69-72195435904D}"/>
    <cellStyle name="Accent2 3" xfId="418" xr:uid="{CEC88D5C-B77D-4786-B26F-747ACF9CD0A5}"/>
    <cellStyle name="Accent2 3 2" xfId="419" xr:uid="{754480D1-B08A-4F3F-A8EA-E18C33C53B5F}"/>
    <cellStyle name="Accent3 2" xfId="420" xr:uid="{CBAA1DD3-2D68-4638-8A03-46C6376CA366}"/>
    <cellStyle name="Accent3 2 10" xfId="421" xr:uid="{F33E7F9D-8404-40EA-8198-522401B0C9A7}"/>
    <cellStyle name="Accent3 2 2" xfId="422" xr:uid="{BB1A9159-1BF4-42B7-985D-8DC8E051FE4D}"/>
    <cellStyle name="Accent3 2 3" xfId="423" xr:uid="{435F8410-8E7E-4698-8051-15845AECF477}"/>
    <cellStyle name="Accent3 2 4" xfId="424" xr:uid="{99F1EE14-BBED-4054-9DCA-874806F46C00}"/>
    <cellStyle name="Accent3 2 5" xfId="425" xr:uid="{F7EB2971-75C3-401A-9798-FF7860A15894}"/>
    <cellStyle name="Accent3 2 6" xfId="426" xr:uid="{EFBEDBB5-1C22-4C74-9B91-AA6730E3D2CB}"/>
    <cellStyle name="Accent3 2 7" xfId="427" xr:uid="{368CEB64-BD96-41DD-8399-06B66BADFC2A}"/>
    <cellStyle name="Accent3 2 8" xfId="428" xr:uid="{48EC6D14-D874-4CBA-BD71-97D992721FD7}"/>
    <cellStyle name="Accent3 2 9" xfId="429" xr:uid="{5A2BC7A9-D549-4A3A-8E58-85C7C5C4F1EA}"/>
    <cellStyle name="Accent3 3" xfId="430" xr:uid="{AFB94F4F-5733-4BE8-9136-ECD5B1137D74}"/>
    <cellStyle name="Accent3 3 2" xfId="431" xr:uid="{DBE39E14-155A-4C68-A279-7DD6821B52D4}"/>
    <cellStyle name="Accent4 2" xfId="432" xr:uid="{22A7F47F-3790-4287-B674-CD8A6F140566}"/>
    <cellStyle name="Accent4 2 10" xfId="433" xr:uid="{D428D942-6ADE-4244-8589-3C9BD247BAF8}"/>
    <cellStyle name="Accent4 2 2" xfId="434" xr:uid="{DE63A49B-A561-4EB6-8544-F01338E2051F}"/>
    <cellStyle name="Accent4 2 3" xfId="435" xr:uid="{04BF3FAC-4FB4-49A2-95B0-DE66068AF327}"/>
    <cellStyle name="Accent4 2 4" xfId="436" xr:uid="{1FE5832A-9F16-4A88-82ED-CAE2A6A0999D}"/>
    <cellStyle name="Accent4 2 5" xfId="437" xr:uid="{EA4D0375-BF85-4A0B-B5B7-3D0929923E10}"/>
    <cellStyle name="Accent4 2 6" xfId="438" xr:uid="{F4EEA0E7-23F9-4DB7-B629-0C0ED6A22375}"/>
    <cellStyle name="Accent4 2 7" xfId="439" xr:uid="{5975BC5C-465C-46BE-8CAA-805C1ABC2115}"/>
    <cellStyle name="Accent4 2 8" xfId="440" xr:uid="{7087E163-74FA-42B9-906C-6C53EF5BF4BC}"/>
    <cellStyle name="Accent4 2 9" xfId="441" xr:uid="{A8D882BF-6F8A-42D8-B00E-DDEFBAF50298}"/>
    <cellStyle name="Accent4 3" xfId="442" xr:uid="{A0FB4E71-F454-46AE-A715-6DB6E7378C43}"/>
    <cellStyle name="Accent4 3 2" xfId="443" xr:uid="{8149B6EA-7CDF-4A5B-9ED0-2285479A0D0F}"/>
    <cellStyle name="Accent5 2" xfId="444" xr:uid="{B3F9437F-E244-483E-AB57-C56234D2DC26}"/>
    <cellStyle name="Accent5 2 10" xfId="445" xr:uid="{12A5B164-A971-497D-B238-E8CD04A8D8D3}"/>
    <cellStyle name="Accent5 2 2" xfId="446" xr:uid="{2125A971-FB4F-4E0B-A615-AAFC6383C2D1}"/>
    <cellStyle name="Accent5 2 3" xfId="447" xr:uid="{53FE269B-A494-4B00-8F1B-4A1BF2944641}"/>
    <cellStyle name="Accent5 2 4" xfId="448" xr:uid="{B10A681B-3CAE-4C62-BFC9-D13F779CFB59}"/>
    <cellStyle name="Accent5 2 5" xfId="449" xr:uid="{C78D1841-726F-4950-B226-0F312863A3FA}"/>
    <cellStyle name="Accent5 2 6" xfId="450" xr:uid="{DB4B0A8E-A4AC-4006-B3B9-172D55075F6A}"/>
    <cellStyle name="Accent5 2 7" xfId="451" xr:uid="{1C1220B0-1A40-4BF8-8979-E2BE942FE565}"/>
    <cellStyle name="Accent5 2 8" xfId="452" xr:uid="{1F0AD899-0C82-4624-A4C7-E75DE960E5D6}"/>
    <cellStyle name="Accent5 2 9" xfId="453" xr:uid="{41505C97-E106-4AD8-B018-27DB5FCEDC73}"/>
    <cellStyle name="Accent5 3" xfId="454" xr:uid="{F2B6D350-E9B8-4D31-8F98-7EB10A196A3C}"/>
    <cellStyle name="Accent6 2" xfId="455" xr:uid="{FD547847-B4F3-4138-9E8B-B299EFE98051}"/>
    <cellStyle name="Accent6 2 10" xfId="456" xr:uid="{A7E5C051-8AE5-4268-A0D8-E8C3E6248CBE}"/>
    <cellStyle name="Accent6 2 2" xfId="457" xr:uid="{84C1DECE-852B-4D23-8D00-A8F17418C9A3}"/>
    <cellStyle name="Accent6 2 3" xfId="458" xr:uid="{F0026351-EFB5-4559-AC04-18081567733C}"/>
    <cellStyle name="Accent6 2 4" xfId="459" xr:uid="{BCDAA2DF-99FE-434D-ABDC-2D6C10DD0486}"/>
    <cellStyle name="Accent6 2 5" xfId="460" xr:uid="{91DF31DD-4065-4844-80C3-F9C912BB5C2A}"/>
    <cellStyle name="Accent6 2 6" xfId="461" xr:uid="{AB642AD2-DDD7-4019-AEF6-D63022923D70}"/>
    <cellStyle name="Accent6 2 7" xfId="462" xr:uid="{4CF1A4AE-C2F7-48D5-965A-9D7C3E319479}"/>
    <cellStyle name="Accent6 2 8" xfId="463" xr:uid="{63E98067-DEE4-4539-B736-29316B28995D}"/>
    <cellStyle name="Accent6 2 9" xfId="464" xr:uid="{BB224727-EC29-429D-9145-B88B23264F4C}"/>
    <cellStyle name="Accent6 3" xfId="465" xr:uid="{1B3C0405-C7E6-43B1-9AF6-BBC0441EE945}"/>
    <cellStyle name="Accent6 3 2" xfId="466" xr:uid="{8996D226-94AF-4F55-A0A8-92EFBB848347}"/>
    <cellStyle name="AggOrange_CRFReport-template" xfId="467" xr:uid="{F81F53A7-6521-48A0-9281-6DBE6D176263}"/>
    <cellStyle name="AggOrange9_CRFReport-template" xfId="468" xr:uid="{EB789B4D-6C14-4346-9578-025DABBE22D6}"/>
    <cellStyle name="Bad 2" xfId="469" xr:uid="{59F5980F-9D66-4190-8CB4-4DCA98AA9762}"/>
    <cellStyle name="Bad 2 10" xfId="470" xr:uid="{0B2270F0-A212-4655-B62A-6A7F7096480D}"/>
    <cellStyle name="Bad 2 2" xfId="471" xr:uid="{4D873FE3-8AA6-4676-B158-27B467D00599}"/>
    <cellStyle name="Bad 2 3" xfId="472" xr:uid="{BAD14807-1944-4803-8F1A-8C62C336D675}"/>
    <cellStyle name="Bad 2 4" xfId="473" xr:uid="{AC9F79EF-5CD0-4BE2-A517-C5CE90DD8D7E}"/>
    <cellStyle name="Bad 2 5" xfId="474" xr:uid="{504E4420-9EB1-41C2-B5BD-4519599E8CB4}"/>
    <cellStyle name="Bad 2 6" xfId="475" xr:uid="{66EA129E-2A2B-4E7C-9CBF-8C67686C80A3}"/>
    <cellStyle name="Bad 2 7" xfId="476" xr:uid="{C352B2B3-590E-4341-AF00-29E64287D9BC}"/>
    <cellStyle name="Bad 2 8" xfId="477" xr:uid="{1F72D001-7F59-4B49-A828-9618C1C60381}"/>
    <cellStyle name="Bad 2 9" xfId="478" xr:uid="{2EB2E5AA-52D1-40C6-9431-8DA57073FC72}"/>
    <cellStyle name="Bad 3" xfId="479" xr:uid="{38C92C29-EC70-488F-91A9-2CC9A0B34AFC}"/>
    <cellStyle name="Bad 3 2" xfId="480" xr:uid="{5797E01B-6CB2-44B6-9C2B-116DC57FEB5D}"/>
    <cellStyle name="Body: normal cell" xfId="32" xr:uid="{2E9DC110-B3EB-4CCB-96F4-29EBDBBEDBB4}"/>
    <cellStyle name="Calculation 2" xfId="481" xr:uid="{407858D6-3F30-4DB4-919D-2649EDDD808F}"/>
    <cellStyle name="Calculation 2 10" xfId="482" xr:uid="{6DF27E1A-88C0-440B-A8E9-FA65137F21EB}"/>
    <cellStyle name="Calculation 2 2" xfId="483" xr:uid="{26877890-805F-42A1-9F06-0818C9DFFA05}"/>
    <cellStyle name="Calculation 2 3" xfId="484" xr:uid="{74D2E9A2-E1F8-4C22-8EE5-9F2003342765}"/>
    <cellStyle name="Calculation 2 4" xfId="485" xr:uid="{45CC005D-C49E-49BD-B0F2-B50EFF7ACF35}"/>
    <cellStyle name="Calculation 2 5" xfId="486" xr:uid="{00D46F07-BCF9-4902-A917-6D9899135BC6}"/>
    <cellStyle name="Calculation 2 6" xfId="487" xr:uid="{E93CD63A-57AA-482A-8D0B-AE9BAEDE82AE}"/>
    <cellStyle name="Calculation 2 7" xfId="488" xr:uid="{08FC710E-7FAD-405C-A67B-7E6EA2326B1A}"/>
    <cellStyle name="Calculation 2 8" xfId="489" xr:uid="{BBA70316-36BE-460F-9C41-A9291641F832}"/>
    <cellStyle name="Calculation 2 9" xfId="490" xr:uid="{CFA6529B-028B-4C8B-8FCE-CA30FD0F9FE8}"/>
    <cellStyle name="Calculation 3" xfId="491" xr:uid="{BC996763-3798-47F5-BFCC-5C9EF9BBB785}"/>
    <cellStyle name="Calculation 3 2" xfId="492" xr:uid="{535A63C0-E282-47CC-BB2B-5B3EDABA67C2}"/>
    <cellStyle name="Check Cell 2" xfId="493" xr:uid="{18C47621-9F64-4DA0-AF49-A9D2E9EB35F0}"/>
    <cellStyle name="Check Cell 2 10" xfId="494" xr:uid="{83BA44A5-42B2-4A89-8ED1-E8A734C68598}"/>
    <cellStyle name="Check Cell 2 2" xfId="495" xr:uid="{E870C33A-AC3A-4CBE-9036-7489F40A6954}"/>
    <cellStyle name="Check Cell 2 3" xfId="496" xr:uid="{62E1568A-4739-4B39-8487-CAC711F35251}"/>
    <cellStyle name="Check Cell 2 4" xfId="497" xr:uid="{322259C7-36CF-4270-BB1E-BF031D18ACBF}"/>
    <cellStyle name="Check Cell 2 5" xfId="498" xr:uid="{F5B26133-FCF3-4001-A5F7-65C261995578}"/>
    <cellStyle name="Check Cell 2 6" xfId="499" xr:uid="{15DEFAFA-AD2E-4D25-9766-0BD9552AAF03}"/>
    <cellStyle name="Check Cell 2 7" xfId="500" xr:uid="{51E63090-A682-48C7-BA07-532516DDBC2C}"/>
    <cellStyle name="Check Cell 2 8" xfId="501" xr:uid="{1CFCC694-3B50-4310-A574-017F8CD9C6BA}"/>
    <cellStyle name="Check Cell 2 9" xfId="502" xr:uid="{8CE9BBBE-1E14-4E01-A328-9714EE070241}"/>
    <cellStyle name="Check Cell 3" xfId="503" xr:uid="{A8D963B6-D448-45D5-9126-1F815F917EC5}"/>
    <cellStyle name="coin" xfId="504" xr:uid="{48A98A04-5C72-4248-ACF6-680E09810FA7}"/>
    <cellStyle name="coin 2" xfId="1796" xr:uid="{AAF2FA1E-3788-40DF-A18C-832160E4CA55}"/>
    <cellStyle name="Comma [0] 2 10" xfId="505" xr:uid="{D5A83FF4-3C3F-41FD-AF40-D25675FF0D3D}"/>
    <cellStyle name="Comma [0] 2 10 2" xfId="1797" xr:uid="{53991CF0-CBF1-4C73-8989-8626F28B096E}"/>
    <cellStyle name="Comma [0] 2 2" xfId="506" xr:uid="{528CFFE9-00DC-4295-BD83-8248100DD30B}"/>
    <cellStyle name="Comma [0] 2 2 2" xfId="1798" xr:uid="{78A25F5C-C188-4397-A267-174B86108E35}"/>
    <cellStyle name="Comma [0] 2 3" xfId="507" xr:uid="{8E6EF95B-FB75-4D81-87F6-CBEE886B0F8E}"/>
    <cellStyle name="Comma [0] 2 3 2" xfId="1799" xr:uid="{76C9B518-D376-40BB-A7D5-ADD32DF46573}"/>
    <cellStyle name="Comma [0] 2 4" xfId="508" xr:uid="{859D1253-CF05-44F2-8899-9130AF3A8AD4}"/>
    <cellStyle name="Comma [0] 2 4 2" xfId="1800" xr:uid="{938FD74F-3101-40C9-8824-91522CCAA58F}"/>
    <cellStyle name="Comma [0] 2 5" xfId="509" xr:uid="{FE2AEEEF-54ED-4C62-BA8D-902BD5FC8776}"/>
    <cellStyle name="Comma [0] 2 5 2" xfId="1801" xr:uid="{3D8CCB97-A66D-4E0A-8FC4-7FF28AEAE02D}"/>
    <cellStyle name="Comma [0] 2 6" xfId="510" xr:uid="{FB33932D-7D05-4D24-9A27-BA1325DD82DA}"/>
    <cellStyle name="Comma [0] 2 6 2" xfId="1802" xr:uid="{777F7448-B25D-43EA-877B-730EC6D6CD72}"/>
    <cellStyle name="Comma [0] 2 7" xfId="511" xr:uid="{A1C8CDBE-B85A-42AA-AA30-2BE77BF5014C}"/>
    <cellStyle name="Comma [0] 2 7 2" xfId="1803" xr:uid="{D5D8E55B-1182-4F73-ADB5-A06EDE28AC65}"/>
    <cellStyle name="Comma [0] 2 8" xfId="512" xr:uid="{5B33947F-99D1-476B-9FEF-2DB15D7AE681}"/>
    <cellStyle name="Comma [0] 2 8 2" xfId="1804" xr:uid="{55FE07E6-8CE8-426A-92B0-7D89373FBAE5}"/>
    <cellStyle name="Comma [0] 2 9" xfId="513" xr:uid="{F2DFCD76-CCB6-43F3-86F6-C35843256207}"/>
    <cellStyle name="Comma [0] 2 9 2" xfId="1805" xr:uid="{9CE55149-38CD-4674-9F18-25CFD60DEC95}"/>
    <cellStyle name="Comma 10 2" xfId="514" xr:uid="{1B523B52-8B8A-43DF-AF89-2B793C393531}"/>
    <cellStyle name="Comma 10 2 10" xfId="515" xr:uid="{D29E4A74-6C00-44D5-8608-E384259EFE71}"/>
    <cellStyle name="Comma 10 2 10 2" xfId="1807" xr:uid="{9461A58C-5E81-426C-8E3F-B03DFA7220C0}"/>
    <cellStyle name="Comma 10 2 11" xfId="516" xr:uid="{D806B5E2-55F6-448D-8D8B-F3DF0C089930}"/>
    <cellStyle name="Comma 10 2 11 2" xfId="1808" xr:uid="{0DD4557A-4275-48D3-BB7C-635454C6A06B}"/>
    <cellStyle name="Comma 10 2 12" xfId="517" xr:uid="{9AC2070C-39D3-4C5E-A9CE-BCFECCB1DA40}"/>
    <cellStyle name="Comma 10 2 12 2" xfId="1809" xr:uid="{36032392-914E-4FA2-BC9D-E879C8542383}"/>
    <cellStyle name="Comma 10 2 13" xfId="518" xr:uid="{5552CD20-D4FB-473C-9930-5D5796ED6B45}"/>
    <cellStyle name="Comma 10 2 13 2" xfId="1810" xr:uid="{509C7EB1-2D51-4461-A3BB-28B0BEC593EA}"/>
    <cellStyle name="Comma 10 2 14" xfId="519" xr:uid="{A68BE538-A29A-4239-8AE7-9B6584A43D7F}"/>
    <cellStyle name="Comma 10 2 14 2" xfId="1811" xr:uid="{BD727205-20A2-4871-A15D-A5735DDCDB68}"/>
    <cellStyle name="Comma 10 2 15" xfId="520" xr:uid="{F8C9E35A-F800-4D95-B19D-4F342F9B5940}"/>
    <cellStyle name="Comma 10 2 15 2" xfId="1812" xr:uid="{A1A17027-8ADE-4A43-88E8-CF65BA7BB2F7}"/>
    <cellStyle name="Comma 10 2 16" xfId="521" xr:uid="{CC31D41C-055D-407B-BB9E-F08A7B9CE085}"/>
    <cellStyle name="Comma 10 2 16 2" xfId="1813" xr:uid="{DC484940-A589-4E05-8ABD-84C3962C9650}"/>
    <cellStyle name="Comma 10 2 17" xfId="522" xr:uid="{2217F326-3E23-449D-8848-6635913F18C4}"/>
    <cellStyle name="Comma 10 2 17 2" xfId="1814" xr:uid="{85FDB5A4-7E79-4817-9141-B760BF5E0DE9}"/>
    <cellStyle name="Comma 10 2 18" xfId="1806" xr:uid="{4327AE18-FB25-430D-A399-51BE6F038343}"/>
    <cellStyle name="Comma 10 2 2" xfId="523" xr:uid="{AFE86668-6695-4251-A205-F9D445FB649D}"/>
    <cellStyle name="Comma 10 2 2 2" xfId="1815" xr:uid="{E52E0D07-61AC-4A4C-9AFD-627378A7DD61}"/>
    <cellStyle name="Comma 10 2 3" xfId="524" xr:uid="{AD9C7E9F-B2FC-45EF-B2D6-F86E64055594}"/>
    <cellStyle name="Comma 10 2 3 2" xfId="1816" xr:uid="{7DBE078C-E506-4CFD-A0F3-A37A9C6D26F9}"/>
    <cellStyle name="Comma 10 2 4" xfId="525" xr:uid="{316588FF-13EB-49A8-9C07-E4B97B381E1C}"/>
    <cellStyle name="Comma 10 2 4 2" xfId="1817" xr:uid="{EE9367F8-010B-40ED-B2AD-E5CA2597A15B}"/>
    <cellStyle name="Comma 10 2 5" xfId="526" xr:uid="{CD9BD09B-9413-44FE-9083-E880E9A07E51}"/>
    <cellStyle name="Comma 10 2 5 2" xfId="1818" xr:uid="{D4DC224E-C6C9-4F9D-AC8F-189031869CB3}"/>
    <cellStyle name="Comma 10 2 6" xfId="527" xr:uid="{EEDBF344-10E1-44A9-BBF4-92038CCD8AB0}"/>
    <cellStyle name="Comma 10 2 6 2" xfId="1819" xr:uid="{17F9F690-4319-4138-BF4C-E0F90DD7F8EC}"/>
    <cellStyle name="Comma 10 2 7" xfId="528" xr:uid="{EA7B9072-1DCE-41C7-9987-C010C36B3444}"/>
    <cellStyle name="Comma 10 2 7 2" xfId="1820" xr:uid="{F063C578-89AB-4109-98B8-E4205C520171}"/>
    <cellStyle name="Comma 10 2 8" xfId="529" xr:uid="{BDE6C541-24F9-4DE2-993D-7C5C7CE37AAC}"/>
    <cellStyle name="Comma 10 2 8 2" xfId="1821" xr:uid="{1E264319-09DB-4A7C-8D17-EBC8887375E8}"/>
    <cellStyle name="Comma 10 2 9" xfId="530" xr:uid="{034D471E-0B32-468A-933B-9C10774369FF}"/>
    <cellStyle name="Comma 10 2 9 2" xfId="1822" xr:uid="{672BD80D-988A-4330-9771-947F91B49450}"/>
    <cellStyle name="Comma 10 3" xfId="531" xr:uid="{75991629-D73B-449E-8AB3-78AE190D6F8F}"/>
    <cellStyle name="Comma 10 3 10" xfId="532" xr:uid="{ED393A69-3555-4366-8013-03A0C8BDC177}"/>
    <cellStyle name="Comma 10 3 10 2" xfId="1824" xr:uid="{F1BD0920-02B6-44E9-A38E-E8D919322C5D}"/>
    <cellStyle name="Comma 10 3 11" xfId="533" xr:uid="{9DE3CCFE-655E-41CB-B660-2E96CF242651}"/>
    <cellStyle name="Comma 10 3 11 2" xfId="1825" xr:uid="{EE44DD7A-9D1E-4FA7-A9ED-13AF31390DF7}"/>
    <cellStyle name="Comma 10 3 12" xfId="534" xr:uid="{529D2E50-D96D-43E8-BF65-4183BB0A6423}"/>
    <cellStyle name="Comma 10 3 12 2" xfId="1826" xr:uid="{38385676-868F-4F07-BD29-2BA992F1A52E}"/>
    <cellStyle name="Comma 10 3 13" xfId="535" xr:uid="{8DC98235-6FA5-4614-A576-AB4E680106C8}"/>
    <cellStyle name="Comma 10 3 13 2" xfId="1827" xr:uid="{75F1DC39-CBD2-4480-9606-4F00E5903347}"/>
    <cellStyle name="Comma 10 3 14" xfId="536" xr:uid="{1890584B-3F49-444E-8C95-3E6ED4551F20}"/>
    <cellStyle name="Comma 10 3 14 2" xfId="1828" xr:uid="{0022C30A-9D40-419D-8E94-137B1185C0A5}"/>
    <cellStyle name="Comma 10 3 15" xfId="537" xr:uid="{5509C2D9-9C0E-463C-8A5E-0DD82208E7B3}"/>
    <cellStyle name="Comma 10 3 15 2" xfId="1829" xr:uid="{0C9C4B71-146A-4E60-B57C-76143CF68C27}"/>
    <cellStyle name="Comma 10 3 16" xfId="538" xr:uid="{27F44389-5E3B-4D44-901A-66511D922887}"/>
    <cellStyle name="Comma 10 3 16 2" xfId="1830" xr:uid="{E135DE31-7786-4FAE-BC4A-0F2F22BBCBD2}"/>
    <cellStyle name="Comma 10 3 17" xfId="539" xr:uid="{C15B446F-4A18-490E-9692-7C3AC43E086C}"/>
    <cellStyle name="Comma 10 3 17 2" xfId="1831" xr:uid="{A1564F19-B105-4F84-9E0D-7FF0D58F3E99}"/>
    <cellStyle name="Comma 10 3 18" xfId="1823" xr:uid="{7384750F-8AE7-4569-AA59-514165027894}"/>
    <cellStyle name="Comma 10 3 2" xfId="540" xr:uid="{0FDDF297-207F-4936-B9C4-7AFB0F78703A}"/>
    <cellStyle name="Comma 10 3 2 2" xfId="1832" xr:uid="{1031E4FC-DD1E-4C21-AD0D-12A2B7C25089}"/>
    <cellStyle name="Comma 10 3 3" xfId="541" xr:uid="{99B467FA-9060-4759-B1B5-6F91C8B26A78}"/>
    <cellStyle name="Comma 10 3 3 2" xfId="1833" xr:uid="{21B5EDB3-480E-47B0-95DD-7D402887A702}"/>
    <cellStyle name="Comma 10 3 4" xfId="542" xr:uid="{C459EAAC-B2D1-4AD6-9B58-3FAA54823E90}"/>
    <cellStyle name="Comma 10 3 4 2" xfId="1834" xr:uid="{6FF44847-5F55-494A-8B95-BFABC561C879}"/>
    <cellStyle name="Comma 10 3 5" xfId="543" xr:uid="{7234E91A-C026-4C58-8623-2524BD21E3AE}"/>
    <cellStyle name="Comma 10 3 5 2" xfId="1835" xr:uid="{CEEC7272-1238-422E-BBD3-EFB2ACEFA1C8}"/>
    <cellStyle name="Comma 10 3 6" xfId="544" xr:uid="{1B129A55-38A8-44A3-82F2-8D601B906F4C}"/>
    <cellStyle name="Comma 10 3 6 2" xfId="1836" xr:uid="{62FCA610-E7E4-463B-8512-5B211D8029FE}"/>
    <cellStyle name="Comma 10 3 7" xfId="545" xr:uid="{FB7EA001-2938-4523-B65B-A5181DBD2152}"/>
    <cellStyle name="Comma 10 3 7 2" xfId="1837" xr:uid="{F03C60F0-8EBA-4417-B6EF-BF49483A80CE}"/>
    <cellStyle name="Comma 10 3 8" xfId="546" xr:uid="{00CBA4A1-0D40-41A8-9766-7E39E297160E}"/>
    <cellStyle name="Comma 10 3 8 2" xfId="1838" xr:uid="{7AA4D101-F8CC-4AE7-A546-9132974F0BD7}"/>
    <cellStyle name="Comma 10 3 9" xfId="547" xr:uid="{6AC21D5E-9A97-4F0F-B78B-ABDD60E902A3}"/>
    <cellStyle name="Comma 10 3 9 2" xfId="1839" xr:uid="{433069EC-B2FC-4061-AA90-0FA1A320748A}"/>
    <cellStyle name="Comma 10 4" xfId="548" xr:uid="{8905DFAD-A63D-4684-BFED-FD2E7779C64E}"/>
    <cellStyle name="Comma 10 4 10" xfId="549" xr:uid="{08358AB5-9FA9-4856-ADCF-901755258354}"/>
    <cellStyle name="Comma 10 4 10 2" xfId="1841" xr:uid="{542AB5EF-BE19-4A2F-9200-1B5B7BCA6EFC}"/>
    <cellStyle name="Comma 10 4 11" xfId="550" xr:uid="{44A81D3F-F201-4DB6-A90E-97209A9CC3E9}"/>
    <cellStyle name="Comma 10 4 11 2" xfId="1842" xr:uid="{60A24245-6E8C-42CA-9275-B71DA3AB4C52}"/>
    <cellStyle name="Comma 10 4 12" xfId="551" xr:uid="{B587F4EA-5C38-4CE7-B29F-7E4485C7D33D}"/>
    <cellStyle name="Comma 10 4 12 2" xfId="1843" xr:uid="{D5832EB9-4E1D-4594-A50E-78BB788E2E22}"/>
    <cellStyle name="Comma 10 4 13" xfId="552" xr:uid="{446F8793-45D2-4E75-8791-33EE51421183}"/>
    <cellStyle name="Comma 10 4 13 2" xfId="1844" xr:uid="{9CD159FA-AB55-4967-B4AE-C0C0F40EC858}"/>
    <cellStyle name="Comma 10 4 14" xfId="553" xr:uid="{20955784-0E74-47B3-9B18-4E364013588C}"/>
    <cellStyle name="Comma 10 4 14 2" xfId="1845" xr:uid="{11851C81-C11A-4D38-9030-E6EF1693A033}"/>
    <cellStyle name="Comma 10 4 15" xfId="554" xr:uid="{CDDF6DCD-0A66-4320-9FB8-EDE782C9A77C}"/>
    <cellStyle name="Comma 10 4 15 2" xfId="1846" xr:uid="{FCD0F4A0-F9A4-4BA1-AFC2-0A843A1DE72D}"/>
    <cellStyle name="Comma 10 4 16" xfId="555" xr:uid="{C5BA9354-CBF1-4FC4-85AF-6F27BA691731}"/>
    <cellStyle name="Comma 10 4 16 2" xfId="1847" xr:uid="{F9ADAE6F-59E0-4D52-AF86-541D9BCDDA54}"/>
    <cellStyle name="Comma 10 4 17" xfId="556" xr:uid="{3A1B8D18-3D51-4557-9363-4B937A655F24}"/>
    <cellStyle name="Comma 10 4 17 2" xfId="1848" xr:uid="{F5B9FD1A-0D03-41B6-B6ED-09192ED76F5B}"/>
    <cellStyle name="Comma 10 4 18" xfId="1840" xr:uid="{E842199D-95AB-40EB-90AF-DD6E704879A7}"/>
    <cellStyle name="Comma 10 4 2" xfId="557" xr:uid="{CA877B06-3C95-47E4-BC08-64CF8E5C96B3}"/>
    <cellStyle name="Comma 10 4 2 2" xfId="1849" xr:uid="{39A8075E-D27E-44B0-807D-057303A7D159}"/>
    <cellStyle name="Comma 10 4 3" xfId="558" xr:uid="{E13C95F7-9A07-41FA-B487-DA30F7E83104}"/>
    <cellStyle name="Comma 10 4 3 2" xfId="1850" xr:uid="{313E1DA5-A41B-49D1-B63C-2188DA059ECA}"/>
    <cellStyle name="Comma 10 4 4" xfId="559" xr:uid="{5FBB2AAA-3B25-4A7A-8533-3A6452BCB7FF}"/>
    <cellStyle name="Comma 10 4 4 2" xfId="1851" xr:uid="{C4A1D125-28BA-4B0A-812C-732260F5BADD}"/>
    <cellStyle name="Comma 10 4 5" xfId="560" xr:uid="{25CD91DA-CD8F-4869-95AA-602F735E54B5}"/>
    <cellStyle name="Comma 10 4 5 2" xfId="1852" xr:uid="{0DF2EBAC-927B-47A3-89E5-3C48404C3CF8}"/>
    <cellStyle name="Comma 10 4 6" xfId="561" xr:uid="{FEC2AC81-76B2-48A2-8DEF-F80B397033E7}"/>
    <cellStyle name="Comma 10 4 6 2" xfId="1853" xr:uid="{260CE52F-82B3-4CE6-80F4-34CEA9B14C36}"/>
    <cellStyle name="Comma 10 4 7" xfId="562" xr:uid="{22E956F0-115B-4A69-A46F-7E1C3D003D8F}"/>
    <cellStyle name="Comma 10 4 7 2" xfId="1854" xr:uid="{99CF468C-D912-45B6-A396-0EE443B7487B}"/>
    <cellStyle name="Comma 10 4 8" xfId="563" xr:uid="{AAE907F4-345F-42EF-B45C-1E904D42D07C}"/>
    <cellStyle name="Comma 10 4 8 2" xfId="1855" xr:uid="{34CECBA4-A219-4817-A7A4-FA1ACAF56A44}"/>
    <cellStyle name="Comma 10 4 9" xfId="564" xr:uid="{C406A7B5-7736-48AB-B698-818760B56AAF}"/>
    <cellStyle name="Comma 10 4 9 2" xfId="1856" xr:uid="{FF8E0140-A3F9-4919-830B-739631A9E334}"/>
    <cellStyle name="Comma 10 5" xfId="565" xr:uid="{5C247ED9-D166-4D1F-9D63-5072C9B9EA6D}"/>
    <cellStyle name="Comma 10 5 10" xfId="566" xr:uid="{EA98A42C-D965-4B64-AD14-E6C27DF66F0F}"/>
    <cellStyle name="Comma 10 5 10 2" xfId="1858" xr:uid="{D63F9928-DAA1-4E46-B5F7-F05D8E9C48BE}"/>
    <cellStyle name="Comma 10 5 11" xfId="567" xr:uid="{5926C09A-E241-49C6-ACD1-6617ADE78968}"/>
    <cellStyle name="Comma 10 5 11 2" xfId="1859" xr:uid="{3B80D1DB-AD3C-408B-9315-1D23F4E131F7}"/>
    <cellStyle name="Comma 10 5 12" xfId="568" xr:uid="{4A6EAE23-5F16-495D-A3B2-142F507080C7}"/>
    <cellStyle name="Comma 10 5 12 2" xfId="1860" xr:uid="{657531CF-A30C-48FC-AEA6-E657739EB2CA}"/>
    <cellStyle name="Comma 10 5 13" xfId="569" xr:uid="{1F7DF5A4-DED5-40B2-AE14-9314BBC79351}"/>
    <cellStyle name="Comma 10 5 13 2" xfId="1861" xr:uid="{54BA046B-6A20-4A01-8D0E-3DB5D0508B24}"/>
    <cellStyle name="Comma 10 5 14" xfId="570" xr:uid="{1243CDB1-4FEB-4758-B819-C5C788ECF70D}"/>
    <cellStyle name="Comma 10 5 14 2" xfId="1862" xr:uid="{A6404C85-583F-4E32-989F-0BF4F2A66CC0}"/>
    <cellStyle name="Comma 10 5 15" xfId="571" xr:uid="{6E981C84-1B9A-4B12-BE0E-74D141F32FFE}"/>
    <cellStyle name="Comma 10 5 15 2" xfId="1863" xr:uid="{AC1337F4-90AD-4CFE-81E9-01E60ECDA623}"/>
    <cellStyle name="Comma 10 5 16" xfId="572" xr:uid="{1A8E1E31-1752-41B3-BE8F-4065846CDE17}"/>
    <cellStyle name="Comma 10 5 16 2" xfId="1864" xr:uid="{9F93D121-5EDE-4A43-913A-428E235E365A}"/>
    <cellStyle name="Comma 10 5 17" xfId="573" xr:uid="{B7BFAED6-7C12-40AF-8794-20F60F03E470}"/>
    <cellStyle name="Comma 10 5 17 2" xfId="1865" xr:uid="{E76F45F1-4A00-4BA5-AE4E-E4AE02B18310}"/>
    <cellStyle name="Comma 10 5 18" xfId="1857" xr:uid="{754308C0-7140-487E-BEE2-7F6A7E61C414}"/>
    <cellStyle name="Comma 10 5 2" xfId="574" xr:uid="{D2BE08B9-AE50-436A-8038-77CD56F61510}"/>
    <cellStyle name="Comma 10 5 2 2" xfId="1866" xr:uid="{BF7BC0A6-DB16-4A61-956E-7BFDA5BBA206}"/>
    <cellStyle name="Comma 10 5 3" xfId="575" xr:uid="{C4066BF9-9B3F-48A3-8903-5A8028D63E80}"/>
    <cellStyle name="Comma 10 5 3 2" xfId="1867" xr:uid="{3AAAEAC7-12A5-4A86-94F7-1D85A61A9281}"/>
    <cellStyle name="Comma 10 5 4" xfId="576" xr:uid="{893AAC7E-DC15-4101-8A91-34589FB5EA5E}"/>
    <cellStyle name="Comma 10 5 4 2" xfId="1868" xr:uid="{F977E00F-3460-4F0F-A8DA-20D73DBAF423}"/>
    <cellStyle name="Comma 10 5 5" xfId="577" xr:uid="{077E4356-DE33-40A1-9162-E351FFD1E99E}"/>
    <cellStyle name="Comma 10 5 5 2" xfId="1869" xr:uid="{778B1B72-9E1A-4765-A84D-9D73C2CCD1A1}"/>
    <cellStyle name="Comma 10 5 6" xfId="578" xr:uid="{1584DCA9-A608-436C-B015-68AAD2057290}"/>
    <cellStyle name="Comma 10 5 6 2" xfId="1870" xr:uid="{FCABCEB5-4205-44CE-B328-89467C3C2DA1}"/>
    <cellStyle name="Comma 10 5 7" xfId="579" xr:uid="{CFC162D3-00BD-4338-8130-81661753DFEE}"/>
    <cellStyle name="Comma 10 5 7 2" xfId="1871" xr:uid="{E448518D-41DD-47DF-B7C9-A617392C072D}"/>
    <cellStyle name="Comma 10 5 8" xfId="580" xr:uid="{52BA02EC-1F95-491D-AB3B-6472A06E49C1}"/>
    <cellStyle name="Comma 10 5 8 2" xfId="1872" xr:uid="{93C89175-2F93-42EA-82BD-01BD233A3148}"/>
    <cellStyle name="Comma 10 5 9" xfId="581" xr:uid="{76374CDD-3AB5-4A58-91D3-AFA78DAB73C5}"/>
    <cellStyle name="Comma 10 5 9 2" xfId="1873" xr:uid="{311D6FE2-F328-4D0D-A65D-BD267E1CE20E}"/>
    <cellStyle name="Comma 10 6" xfId="582" xr:uid="{589A7D38-1D6D-469C-BA53-B74F8962413A}"/>
    <cellStyle name="Comma 10 6 10" xfId="583" xr:uid="{EF042D41-7E00-4F5C-98F2-651033A9FC76}"/>
    <cellStyle name="Comma 10 6 10 2" xfId="1875" xr:uid="{39EE298D-B68D-4BC4-8A13-4D3DDFA008CE}"/>
    <cellStyle name="Comma 10 6 11" xfId="584" xr:uid="{BF422541-A10D-404C-B2EB-A8CCA30E4EA1}"/>
    <cellStyle name="Comma 10 6 11 2" xfId="1876" xr:uid="{912E74F9-8E58-4E92-B45D-48610EF46BCC}"/>
    <cellStyle name="Comma 10 6 12" xfId="585" xr:uid="{52EB8E7D-4FC8-40A9-8EC6-E9EE2B7BD0EE}"/>
    <cellStyle name="Comma 10 6 12 2" xfId="1877" xr:uid="{FED26912-36A6-4D86-885E-F6CD4D617F2C}"/>
    <cellStyle name="Comma 10 6 13" xfId="586" xr:uid="{EFF06E0B-CAAA-462E-8BF6-061373307E88}"/>
    <cellStyle name="Comma 10 6 13 2" xfId="1878" xr:uid="{7B297061-FE43-4F48-934D-7358C0FC790F}"/>
    <cellStyle name="Comma 10 6 14" xfId="587" xr:uid="{711AD5D9-10A9-48A0-83E8-683D6C97450D}"/>
    <cellStyle name="Comma 10 6 14 2" xfId="1879" xr:uid="{EBCDA658-B175-4B1A-81EA-D968A9E3A00D}"/>
    <cellStyle name="Comma 10 6 15" xfId="588" xr:uid="{8884F86E-C43A-4DA7-99AE-481B5C96BA96}"/>
    <cellStyle name="Comma 10 6 15 2" xfId="1880" xr:uid="{6BB7CCE1-B17E-44D2-908B-CA59D7A9212F}"/>
    <cellStyle name="Comma 10 6 16" xfId="589" xr:uid="{912D0E8F-2699-4E4E-93BD-A2256C8E57CB}"/>
    <cellStyle name="Comma 10 6 16 2" xfId="1881" xr:uid="{E99C4DE7-A883-4DF7-9F3D-D5796C1745AB}"/>
    <cellStyle name="Comma 10 6 17" xfId="590" xr:uid="{414A99C1-4097-4A79-B738-BB6FD327E649}"/>
    <cellStyle name="Comma 10 6 17 2" xfId="1882" xr:uid="{98B2B8AA-9FDE-4FE4-BE26-966301FF6AA8}"/>
    <cellStyle name="Comma 10 6 18" xfId="1874" xr:uid="{B573565B-FFFD-4C8F-92CC-78C4F8834A6B}"/>
    <cellStyle name="Comma 10 6 2" xfId="591" xr:uid="{1D95E70C-490C-4E30-843D-B6268C0F6F19}"/>
    <cellStyle name="Comma 10 6 2 2" xfId="1883" xr:uid="{1A08394C-18DE-4DDC-A976-7AFA15BAD354}"/>
    <cellStyle name="Comma 10 6 3" xfId="592" xr:uid="{9857B9F0-91DD-4418-B578-527DD6C9D91B}"/>
    <cellStyle name="Comma 10 6 3 2" xfId="1884" xr:uid="{439DE6A7-793D-4953-BD95-0C8A28401109}"/>
    <cellStyle name="Comma 10 6 4" xfId="593" xr:uid="{A8DAFC3A-DF0E-450A-9D7F-F80934EDF48E}"/>
    <cellStyle name="Comma 10 6 4 2" xfId="1885" xr:uid="{CBC380BF-2239-4FD9-AF17-0E41966FA8AF}"/>
    <cellStyle name="Comma 10 6 5" xfId="594" xr:uid="{45DF9D88-767E-45B4-8E1B-B319EE146BC0}"/>
    <cellStyle name="Comma 10 6 5 2" xfId="1886" xr:uid="{F6DE01EF-3310-4370-A44D-F32B10D58B6D}"/>
    <cellStyle name="Comma 10 6 6" xfId="595" xr:uid="{3E7F7918-BABC-4BFC-B578-0E4E8A8203F2}"/>
    <cellStyle name="Comma 10 6 6 2" xfId="1887" xr:uid="{60E8DD4A-D308-41CF-AF9E-4A061D3B051F}"/>
    <cellStyle name="Comma 10 6 7" xfId="596" xr:uid="{4888C672-3865-4C16-B99C-1699FC641A47}"/>
    <cellStyle name="Comma 10 6 7 2" xfId="1888" xr:uid="{7820544D-6B1E-438E-A96D-937ED9D35123}"/>
    <cellStyle name="Comma 10 6 8" xfId="597" xr:uid="{F6D57619-21FB-4986-A928-F6301F5A1341}"/>
    <cellStyle name="Comma 10 6 8 2" xfId="1889" xr:uid="{2920A8CC-7CE2-42D0-B7E9-D77B5395BC4C}"/>
    <cellStyle name="Comma 10 6 9" xfId="598" xr:uid="{6A75532D-85FC-496F-80F7-8CCCCD6FFF4A}"/>
    <cellStyle name="Comma 10 6 9 2" xfId="1890" xr:uid="{947A0A68-6B95-4304-B305-2702195893A6}"/>
    <cellStyle name="Comma 10 7" xfId="599" xr:uid="{C003B9DF-A803-41DC-AB7F-15CB1ECB17C9}"/>
    <cellStyle name="Comma 10 7 10" xfId="600" xr:uid="{CCD37C07-2259-4430-9816-4029C2587066}"/>
    <cellStyle name="Comma 10 7 10 2" xfId="1892" xr:uid="{408CECE9-CD22-4A2E-BDAF-41BCA8CD7D1C}"/>
    <cellStyle name="Comma 10 7 11" xfId="601" xr:uid="{A1B115E7-447C-4943-8D5A-541ACBC15D9E}"/>
    <cellStyle name="Comma 10 7 11 2" xfId="1893" xr:uid="{AEDC684E-DE2E-4319-BE70-5EC36FD7421B}"/>
    <cellStyle name="Comma 10 7 12" xfId="602" xr:uid="{40CBA92D-3DF8-49CF-8696-AC4792D2982A}"/>
    <cellStyle name="Comma 10 7 12 2" xfId="1894" xr:uid="{48C363FD-052E-48CC-A00E-DB2BD8147901}"/>
    <cellStyle name="Comma 10 7 13" xfId="603" xr:uid="{DEE47F17-DCEF-4199-A067-914932233A47}"/>
    <cellStyle name="Comma 10 7 13 2" xfId="1895" xr:uid="{AB5D8945-32E0-426E-80D8-06202FC27D36}"/>
    <cellStyle name="Comma 10 7 14" xfId="604" xr:uid="{89D36B31-205E-44CA-8DC7-EBED2016DC40}"/>
    <cellStyle name="Comma 10 7 14 2" xfId="1896" xr:uid="{B1BE638E-B066-47F5-BDBE-4AF04248132D}"/>
    <cellStyle name="Comma 10 7 15" xfId="605" xr:uid="{9ECEB379-0338-4995-B67E-11A74276FCCE}"/>
    <cellStyle name="Comma 10 7 15 2" xfId="1897" xr:uid="{1489B4D5-3068-46A2-8499-E5118F8BF5DD}"/>
    <cellStyle name="Comma 10 7 16" xfId="606" xr:uid="{AD4C3D66-3315-44C1-A104-59FE2EBF4308}"/>
    <cellStyle name="Comma 10 7 16 2" xfId="1898" xr:uid="{BB584F09-5165-46A4-B455-1488652513B1}"/>
    <cellStyle name="Comma 10 7 17" xfId="607" xr:uid="{CBA65F71-F6DD-4428-A9C0-01A0A42684B4}"/>
    <cellStyle name="Comma 10 7 17 2" xfId="1899" xr:uid="{144A6E91-7F80-4E39-9AC4-025C3083269F}"/>
    <cellStyle name="Comma 10 7 18" xfId="1891" xr:uid="{7FA31D71-FCF5-4782-B2DD-84DEDFA9BE5E}"/>
    <cellStyle name="Comma 10 7 2" xfId="608" xr:uid="{93718A9E-4B43-4BC8-939A-B5AB9DC34C88}"/>
    <cellStyle name="Comma 10 7 2 2" xfId="1900" xr:uid="{A6EEA677-6572-41FD-A110-5A7A294D987E}"/>
    <cellStyle name="Comma 10 7 3" xfId="609" xr:uid="{7F257640-3605-4A79-BD8B-E327171838BA}"/>
    <cellStyle name="Comma 10 7 3 2" xfId="1901" xr:uid="{40179BD3-A1E8-41FF-B909-337E6AE9B392}"/>
    <cellStyle name="Comma 10 7 4" xfId="610" xr:uid="{27E6CBED-9583-412D-A7A7-173B601F086F}"/>
    <cellStyle name="Comma 10 7 4 2" xfId="1902" xr:uid="{D2E8E2AC-51C9-4AC5-B422-270C3CC5793B}"/>
    <cellStyle name="Comma 10 7 5" xfId="611" xr:uid="{C2E2B0A0-D0B7-4B2E-8BD4-3C11EECC668C}"/>
    <cellStyle name="Comma 10 7 5 2" xfId="1903" xr:uid="{9BC44D70-514A-4E23-ACD5-C2F43CE9CA34}"/>
    <cellStyle name="Comma 10 7 6" xfId="612" xr:uid="{A4D4D368-0394-45EB-B0AB-5F972542FC8C}"/>
    <cellStyle name="Comma 10 7 6 2" xfId="1904" xr:uid="{5BFA8A86-75E3-4597-86B2-1F717608110B}"/>
    <cellStyle name="Comma 10 7 7" xfId="613" xr:uid="{381A97C1-1521-4F5B-BBBD-30B1C5CC1EB0}"/>
    <cellStyle name="Comma 10 7 7 2" xfId="1905" xr:uid="{3BE9D0ED-CE5E-46E6-B500-F006E73FF5FF}"/>
    <cellStyle name="Comma 10 7 8" xfId="614" xr:uid="{3F692789-5C60-4F6D-BB85-F0D39EA5A511}"/>
    <cellStyle name="Comma 10 7 8 2" xfId="1906" xr:uid="{4F082AB6-A022-495F-9DC0-450F3F2280C8}"/>
    <cellStyle name="Comma 10 7 9" xfId="615" xr:uid="{4018C50E-252D-49BC-9BE5-09D76B2B5A83}"/>
    <cellStyle name="Comma 10 7 9 2" xfId="1907" xr:uid="{0B503562-8736-4E32-A335-D9D16C6D1701}"/>
    <cellStyle name="Comma 10 8" xfId="616" xr:uid="{E9C532E7-8A6C-4580-BDBD-E9018AECED7C}"/>
    <cellStyle name="Comma 10 8 10" xfId="617" xr:uid="{705CE859-8F88-463A-A2AD-2C3B0FB92683}"/>
    <cellStyle name="Comma 10 8 10 2" xfId="1909" xr:uid="{32432234-3BF3-4AE8-9438-98E03D4C6FA1}"/>
    <cellStyle name="Comma 10 8 11" xfId="618" xr:uid="{B32CB67C-B560-4957-9DA5-0633469DCDBE}"/>
    <cellStyle name="Comma 10 8 11 2" xfId="1910" xr:uid="{A793A7B1-0E57-49D3-B868-34479E902FF7}"/>
    <cellStyle name="Comma 10 8 12" xfId="619" xr:uid="{099B5B8B-021D-4ECF-9870-21F7DB05028A}"/>
    <cellStyle name="Comma 10 8 12 2" xfId="1911" xr:uid="{961D8F7E-0070-4C53-9780-93B7045E0835}"/>
    <cellStyle name="Comma 10 8 13" xfId="620" xr:uid="{279B546B-F824-454C-AF32-5B4C01DD6359}"/>
    <cellStyle name="Comma 10 8 13 2" xfId="1912" xr:uid="{37EF6297-72C5-4A2B-8CA2-8478A55DDAF3}"/>
    <cellStyle name="Comma 10 8 14" xfId="621" xr:uid="{9AA44A33-9866-482A-830B-9D71059486F9}"/>
    <cellStyle name="Comma 10 8 14 2" xfId="1913" xr:uid="{3AB2D2FA-5421-4BDE-A2ED-9E52E973B03C}"/>
    <cellStyle name="Comma 10 8 15" xfId="622" xr:uid="{85A6BA9A-CA23-4B26-9B9B-EC2EC7023C34}"/>
    <cellStyle name="Comma 10 8 15 2" xfId="1914" xr:uid="{A29BCBFC-91F9-4FF4-A078-97D01E6F5565}"/>
    <cellStyle name="Comma 10 8 16" xfId="623" xr:uid="{BF9A82FB-A9F7-4B08-A3A9-B9F8F40B5974}"/>
    <cellStyle name="Comma 10 8 16 2" xfId="1915" xr:uid="{C87ADB73-5281-4DF1-8556-D36059706003}"/>
    <cellStyle name="Comma 10 8 17" xfId="624" xr:uid="{B60976D6-8D19-4056-AD43-DECB3FF6BCF9}"/>
    <cellStyle name="Comma 10 8 17 2" xfId="1916" xr:uid="{7EB20083-0720-4E20-97AF-7569C3C1FECB}"/>
    <cellStyle name="Comma 10 8 18" xfId="1908" xr:uid="{BEEE2AFC-B829-4D83-B1A6-7EB7078F6A22}"/>
    <cellStyle name="Comma 10 8 2" xfId="625" xr:uid="{C30E35D2-8FCD-4B55-82BE-C0E0043AB194}"/>
    <cellStyle name="Comma 10 8 2 2" xfId="1917" xr:uid="{4F1B7E09-2157-42AE-8757-A8B46F48BB75}"/>
    <cellStyle name="Comma 10 8 3" xfId="626" xr:uid="{361E9D97-8A42-4504-BD60-F3A4AF2B4341}"/>
    <cellStyle name="Comma 10 8 3 2" xfId="1918" xr:uid="{77D72C56-F425-4D15-8959-4A4227F334D0}"/>
    <cellStyle name="Comma 10 8 4" xfId="627" xr:uid="{E9F0060A-32E7-45EA-BA73-5763DBB1DBBD}"/>
    <cellStyle name="Comma 10 8 4 2" xfId="1919" xr:uid="{26592BE3-0423-4615-B49E-843AE9A3D352}"/>
    <cellStyle name="Comma 10 8 5" xfId="628" xr:uid="{BC821C01-871E-434D-B6EF-063A4E339693}"/>
    <cellStyle name="Comma 10 8 5 2" xfId="1920" xr:uid="{14164A80-83F4-4F6C-93F6-6B89340409E9}"/>
    <cellStyle name="Comma 10 8 6" xfId="629" xr:uid="{3B5F4829-FC29-4FAC-92E3-C2F11A1AC193}"/>
    <cellStyle name="Comma 10 8 6 2" xfId="1921" xr:uid="{8415B463-CD26-4352-AEFA-087F81ABBB6F}"/>
    <cellStyle name="Comma 10 8 7" xfId="630" xr:uid="{F9A7E730-FF6E-43A0-9E8A-42A80C9EAF36}"/>
    <cellStyle name="Comma 10 8 7 2" xfId="1922" xr:uid="{48E1216F-9ABF-4B53-9375-5B813ADDCEDC}"/>
    <cellStyle name="Comma 10 8 8" xfId="631" xr:uid="{E629BAEA-FA85-44CE-B785-70783BC959B2}"/>
    <cellStyle name="Comma 10 8 8 2" xfId="1923" xr:uid="{CD3EA9ED-D747-4691-8EAD-26E096030AC7}"/>
    <cellStyle name="Comma 10 8 9" xfId="632" xr:uid="{00E8439B-F86D-403E-9B63-DDCBC568407D}"/>
    <cellStyle name="Comma 10 8 9 2" xfId="1924" xr:uid="{24F6F06A-1B37-415B-B0A5-A5538797C981}"/>
    <cellStyle name="Comma 2" xfId="33" xr:uid="{4E25F3D2-80E8-4BEF-A3F9-F2E72F8B9E76}"/>
    <cellStyle name="Comma 2 10" xfId="634" xr:uid="{3286373D-B37B-4D13-B3BD-26D61521D476}"/>
    <cellStyle name="Comma 2 10 2" xfId="1926" xr:uid="{003987F9-2141-406B-B152-9D3A56AC933D}"/>
    <cellStyle name="Comma 2 11" xfId="635" xr:uid="{55A5C5A1-EA7A-47A4-B8D4-F61685E30862}"/>
    <cellStyle name="Comma 2 11 2" xfId="1927" xr:uid="{BAF99F50-DFB1-4FB1-9012-6DCF5EF591FD}"/>
    <cellStyle name="Comma 2 12" xfId="636" xr:uid="{CB0A6B45-9C76-429B-8788-8A4C9FCA4008}"/>
    <cellStyle name="Comma 2 12 2" xfId="1928" xr:uid="{C890DE37-1CF7-4A82-80E3-4CF7DCD1E8BD}"/>
    <cellStyle name="Comma 2 13" xfId="637" xr:uid="{521895E8-7B1A-4F99-B59A-8685901615D0}"/>
    <cellStyle name="Comma 2 13 2" xfId="1929" xr:uid="{A096EBB3-AC7B-4F71-B3A6-B35F0DF7D807}"/>
    <cellStyle name="Comma 2 14" xfId="638" xr:uid="{6F66F909-18D4-4F77-9E7D-343BDC7CB112}"/>
    <cellStyle name="Comma 2 14 2" xfId="1930" xr:uid="{F433A0BC-08AB-4416-89D4-DA6BFA3C2D6C}"/>
    <cellStyle name="Comma 2 15" xfId="639" xr:uid="{67356C35-FAC5-4544-9CAA-F2AD974627FA}"/>
    <cellStyle name="Comma 2 15 2" xfId="1931" xr:uid="{90DE59E0-9697-42DF-B441-86B182E0675E}"/>
    <cellStyle name="Comma 2 16" xfId="640" xr:uid="{61D228F7-05BB-443F-AEB5-750E0D9EAE2A}"/>
    <cellStyle name="Comma 2 16 2" xfId="1932" xr:uid="{B1E421FC-2AD6-4CE0-9837-85B963F67219}"/>
    <cellStyle name="Comma 2 17" xfId="1925" xr:uid="{53B2AB6C-A3F7-4DBF-A900-4B92DE7C56B9}"/>
    <cellStyle name="Comma 2 18" xfId="633" xr:uid="{339FAA1D-7313-43AC-9A72-F9E7A91C17B6}"/>
    <cellStyle name="Comma 2 2" xfId="50" xr:uid="{E59550C1-B490-456C-B73D-00582D221D96}"/>
    <cellStyle name="Comma 2 2 2" xfId="58" xr:uid="{BAA2320E-DAA2-4766-AFDE-7CC9FD14784D}"/>
    <cellStyle name="Comma 2 2 2 2" xfId="1933" xr:uid="{831BA851-5E24-45FF-AC94-EA69A8201245}"/>
    <cellStyle name="Comma 2 2 3" xfId="641" xr:uid="{B6ABACA1-7DC1-4FA6-8F41-4B47D03B4EA0}"/>
    <cellStyle name="Comma 2 3" xfId="57" xr:uid="{2B0DF038-5498-4BC2-91D2-6A55E3A7269D}"/>
    <cellStyle name="Comma 2 3 2" xfId="1934" xr:uid="{B2A7B469-2251-43BE-B02B-C62F11C33EE2}"/>
    <cellStyle name="Comma 2 3 3" xfId="642" xr:uid="{2C57A212-D5A4-4F9D-8EE1-4392E3D5E699}"/>
    <cellStyle name="Comma 2 4" xfId="643" xr:uid="{B33061FE-5FA8-49E3-BB66-3830ADFEDB49}"/>
    <cellStyle name="Comma 2 4 2" xfId="1935" xr:uid="{006B70CB-3CC4-4173-8D4D-0CAB80DAE63E}"/>
    <cellStyle name="Comma 2 5" xfId="644" xr:uid="{6768816D-377D-40A6-B04E-58EC5820C640}"/>
    <cellStyle name="Comma 2 5 2" xfId="1936" xr:uid="{67B18056-F9E4-4BA1-A5CF-EA362293884A}"/>
    <cellStyle name="Comma 2 6" xfId="645" xr:uid="{DCEF3F54-11E5-4435-8ED4-24B5C1861A8F}"/>
    <cellStyle name="Comma 2 6 2" xfId="1937" xr:uid="{ACEDB50B-3CEB-46FE-B0B0-FEAE58CE8674}"/>
    <cellStyle name="Comma 2 7" xfId="646" xr:uid="{AC501965-ED96-4C60-8920-89E8AFF911B8}"/>
    <cellStyle name="Comma 2 7 2" xfId="1938" xr:uid="{FDC75FD4-A240-4679-B058-02EBDB7A9281}"/>
    <cellStyle name="Comma 2 8" xfId="647" xr:uid="{AD9EEE50-0DD3-4FE9-88F8-6F90708B1F7F}"/>
    <cellStyle name="Comma 2 8 2" xfId="1939" xr:uid="{2C2306E1-5E36-4C9F-B3FD-7EE1C3067A5C}"/>
    <cellStyle name="Comma 2 9" xfId="648" xr:uid="{E129CDC0-AC41-47B4-8D5D-A6F1DA2AD01F}"/>
    <cellStyle name="Comma 2 9 2" xfId="1940" xr:uid="{E9CDE9E3-50AA-425C-BCEC-A096E7B2644E}"/>
    <cellStyle name="Comma 3" xfId="649" xr:uid="{92FEABDB-1A01-4F28-BD48-1FBBB3BB2748}"/>
    <cellStyle name="Comma 3 2" xfId="650" xr:uid="{F50E5B44-E5A2-4ED8-B3A8-92BA41BBA085}"/>
    <cellStyle name="Comma 3 2 2" xfId="1942" xr:uid="{24975F22-DB4D-4BEE-948E-5F4308A46DDC}"/>
    <cellStyle name="Comma 3 3" xfId="651" xr:uid="{A48414F7-E9EA-4104-BF94-EA292FF1EAFD}"/>
    <cellStyle name="Comma 3 3 2" xfId="1943" xr:uid="{2073268A-E2DF-422A-B6CE-3B5A4F4CAB04}"/>
    <cellStyle name="Comma 3 4" xfId="652" xr:uid="{8FAC77B8-E06D-457F-B595-C63C7063F329}"/>
    <cellStyle name="Comma 3 4 2" xfId="1944" xr:uid="{B27368A0-2E3B-4330-B5F3-F21812054338}"/>
    <cellStyle name="Comma 3 5" xfId="653" xr:uid="{82273623-4F3E-416E-A7DE-0B809FE8FE65}"/>
    <cellStyle name="Comma 3 5 2" xfId="1945" xr:uid="{8479005C-03EA-4E90-85CE-29F97F7802B3}"/>
    <cellStyle name="Comma 3 6" xfId="654" xr:uid="{E6E08A19-B155-4425-B4C1-51EA8160DB61}"/>
    <cellStyle name="Comma 3 6 2" xfId="1946" xr:uid="{88FA5550-F5F7-41C4-B6CC-30C1A1CE353F}"/>
    <cellStyle name="Comma 3 7" xfId="655" xr:uid="{8C2EBB76-5365-4C90-A1DC-337C90286CA6}"/>
    <cellStyle name="Comma 3 7 2" xfId="1947" xr:uid="{3AB8FE76-1906-4C22-AE81-B6FBB9E6A3C3}"/>
    <cellStyle name="Comma 3 8" xfId="656" xr:uid="{747BBF38-D6E0-48BC-B1D1-61E18B5A77E8}"/>
    <cellStyle name="Comma 3 8 2" xfId="1948" xr:uid="{3F40916A-BFC1-461E-9FD2-DE72E6D251D1}"/>
    <cellStyle name="Comma 3 9" xfId="1941" xr:uid="{610FBD3A-F893-45FA-B1B0-14F03A1F1B38}"/>
    <cellStyle name="Comma 4" xfId="657" xr:uid="{D630109F-5251-45BA-845C-9AB02CC227C7}"/>
    <cellStyle name="Comma 4 2" xfId="658" xr:uid="{E72CEE97-74D3-4021-96FE-7318DD4E6E37}"/>
    <cellStyle name="Comma 4 2 2" xfId="1950" xr:uid="{1701E011-7ED9-4943-9ECD-20D9EA13E042}"/>
    <cellStyle name="Comma 4 3" xfId="659" xr:uid="{DDC1DF91-4371-4FB2-B8F2-44389A1DE522}"/>
    <cellStyle name="Comma 4 3 2" xfId="1951" xr:uid="{D673CCE0-1DFD-495D-A355-D1D1AE6A9A81}"/>
    <cellStyle name="Comma 4 4" xfId="660" xr:uid="{DEC58B57-BAAE-4E01-A9B2-FAB52B7DC9C6}"/>
    <cellStyle name="Comma 4 4 2" xfId="1952" xr:uid="{BC4B2078-F81E-4D3F-AB2C-41C6E9860640}"/>
    <cellStyle name="Comma 4 5" xfId="661" xr:uid="{C4A9019A-EF08-4B3D-80DF-9189DBEFA192}"/>
    <cellStyle name="Comma 4 5 2" xfId="1953" xr:uid="{66E366B2-DF60-42B5-8235-AC7832A7A223}"/>
    <cellStyle name="Comma 4 6" xfId="662" xr:uid="{34CBF797-F62D-49B5-ABB3-7030E48A3BB8}"/>
    <cellStyle name="Comma 4 6 2" xfId="1954" xr:uid="{EEAE7E5F-827E-4605-BC4F-0C331D72E87B}"/>
    <cellStyle name="Comma 4 7" xfId="663" xr:uid="{3E02E8CD-BF8F-43D0-A13E-926E9A314E1E}"/>
    <cellStyle name="Comma 4 7 2" xfId="1955" xr:uid="{F6DC9745-3C5A-4347-9080-545897BFBAF5}"/>
    <cellStyle name="Comma 4 8" xfId="664" xr:uid="{F0DACF71-5BBD-4BD5-864A-C83588A3AD5B}"/>
    <cellStyle name="Comma 4 8 2" xfId="1956" xr:uid="{4C146B2F-DE03-4645-A4F2-9DEB729836A0}"/>
    <cellStyle name="Comma 4 9" xfId="1949" xr:uid="{D25B1E33-9B93-4D54-8999-D6AA0D33F238}"/>
    <cellStyle name="Comma 5" xfId="665" xr:uid="{1687E254-CE00-4822-87AA-C3A570A715B3}"/>
    <cellStyle name="Comma 5 2" xfId="666" xr:uid="{FDFDA2AE-A9D0-4A8A-89B2-0CD551C1BB0C}"/>
    <cellStyle name="Comma 5 2 2" xfId="1958" xr:uid="{49CDCC4F-D58C-4E39-8816-29850FD693BD}"/>
    <cellStyle name="Comma 5 3" xfId="667" xr:uid="{3E8C9690-A83D-41E6-85DE-3F3D93D36A05}"/>
    <cellStyle name="Comma 5 3 2" xfId="1959" xr:uid="{A3E1D440-D184-4178-997A-D4767D583E94}"/>
    <cellStyle name="Comma 5 4" xfId="668" xr:uid="{2F56CFF4-7836-4FAD-B873-8E68A7FF41A4}"/>
    <cellStyle name="Comma 5 4 2" xfId="1960" xr:uid="{3BA11A14-66ED-43E2-9FB7-09B8ADBA207C}"/>
    <cellStyle name="Comma 5 5" xfId="669" xr:uid="{0E739FCF-8E48-41DE-8FDD-E9A81CA49A07}"/>
    <cellStyle name="Comma 5 5 2" xfId="1961" xr:uid="{ADAC3885-D7D3-4B1E-AE3A-E90D742C24CE}"/>
    <cellStyle name="Comma 5 6" xfId="670" xr:uid="{CA927ABD-6DD6-4C64-89D3-2C6D6CBB573E}"/>
    <cellStyle name="Comma 5 6 2" xfId="1962" xr:uid="{429B9EA8-32AC-4D8E-B70B-3D3D81CE2632}"/>
    <cellStyle name="Comma 5 7" xfId="671" xr:uid="{D4966921-FA1D-44B9-A868-041FBB000E4D}"/>
    <cellStyle name="Comma 5 7 2" xfId="1963" xr:uid="{16CE52AE-1958-499B-ABBA-3484179CE180}"/>
    <cellStyle name="Comma 5 8" xfId="672" xr:uid="{CD4C9972-589C-47EB-BB2F-E1541839DAEF}"/>
    <cellStyle name="Comma 5 8 2" xfId="1964" xr:uid="{22FA6976-B6FF-4016-A379-EDBBEAB3493D}"/>
    <cellStyle name="Comma 5 9" xfId="1957" xr:uid="{7111B831-73BC-4016-A7E4-EA5331313B5B}"/>
    <cellStyle name="Comma 6" xfId="673" xr:uid="{15913C27-0241-47D4-A2D2-0CB698B99ED5}"/>
    <cellStyle name="Comma 6 2" xfId="674" xr:uid="{A725B2B9-B745-4A53-B4A8-04EC5AB7D19D}"/>
    <cellStyle name="Comma 6 2 2" xfId="1966" xr:uid="{1CEA6B50-0C41-4AA3-AD94-DD86209ED5BF}"/>
    <cellStyle name="Comma 6 3" xfId="675" xr:uid="{0094054C-26B9-417D-9A27-56A6B72C42FC}"/>
    <cellStyle name="Comma 6 3 2" xfId="1967" xr:uid="{665CE97A-A2A3-4F62-8C1D-FEEDF514B26F}"/>
    <cellStyle name="Comma 6 4" xfId="676" xr:uid="{B16C2404-C9C4-4CD9-BCBB-216D8AE396CC}"/>
    <cellStyle name="Comma 6 4 2" xfId="1968" xr:uid="{44394AB9-18FB-4E3E-8DB6-2E2EC360B9BE}"/>
    <cellStyle name="Comma 6 5" xfId="677" xr:uid="{6BCACCFC-BD48-4FC0-BD80-E4413AAFD1CF}"/>
    <cellStyle name="Comma 6 5 2" xfId="1969" xr:uid="{25127435-E02E-4BFE-8DA9-CCB895963F9E}"/>
    <cellStyle name="Comma 6 6" xfId="678" xr:uid="{DCD24CD6-9142-4234-B7EF-13248061228A}"/>
    <cellStyle name="Comma 6 6 2" xfId="1970" xr:uid="{72BB0FE9-21F1-41C5-8099-97DE45C63FEF}"/>
    <cellStyle name="Comma 6 7" xfId="679" xr:uid="{A9CC0AA3-B6E6-40E8-8B4E-8F2264BA1D13}"/>
    <cellStyle name="Comma 6 7 2" xfId="1971" xr:uid="{8CEDEBB1-6ED7-4EDF-8699-BEDF62C59B7E}"/>
    <cellStyle name="Comma 6 8" xfId="680" xr:uid="{DD60D301-5C49-4F61-BBF9-ED51DD55A60E}"/>
    <cellStyle name="Comma 6 8 2" xfId="1972" xr:uid="{477260E1-8D9E-4EC3-BE14-BBC9E3087917}"/>
    <cellStyle name="Comma 6 9" xfId="1965" xr:uid="{E14934A0-80AC-4C69-B2E2-583384828137}"/>
    <cellStyle name="Comma 7" xfId="681" xr:uid="{03175912-E983-476D-903E-445891A163A4}"/>
    <cellStyle name="Comma 7 10" xfId="682" xr:uid="{65297610-3E3C-44ED-81FF-DA5E1A78D7D4}"/>
    <cellStyle name="Comma 7 10 2" xfId="1973" xr:uid="{034FB8D9-D1F0-4183-897E-852D76FE9CD3}"/>
    <cellStyle name="Comma 7 11" xfId="683" xr:uid="{892C9B33-8C5B-4CC0-950E-4C049DAD78BA}"/>
    <cellStyle name="Comma 7 11 2" xfId="1974" xr:uid="{1A93E760-62A8-4E1E-81F9-74E109955643}"/>
    <cellStyle name="Comma 7 12" xfId="684" xr:uid="{36E6E656-014C-486E-A8B7-8027CF4A364B}"/>
    <cellStyle name="Comma 7 12 2" xfId="1975" xr:uid="{D906271E-86E5-4666-AD3A-BFB38871845D}"/>
    <cellStyle name="Comma 7 13" xfId="685" xr:uid="{EF95CA70-42F5-42D5-B3A4-66BC6E5584A5}"/>
    <cellStyle name="Comma 7 13 2" xfId="1976" xr:uid="{A7392F41-4701-46E8-8898-7DEF12EE086E}"/>
    <cellStyle name="Comma 7 14" xfId="686" xr:uid="{90C90635-508A-4F21-BD52-51300344614B}"/>
    <cellStyle name="Comma 7 14 2" xfId="1977" xr:uid="{F5E274DD-51A5-4E5D-9FD5-2A84E6516C5F}"/>
    <cellStyle name="Comma 7 15" xfId="687" xr:uid="{268860E6-9F05-4BD4-8191-13D11FD7F1D3}"/>
    <cellStyle name="Comma 7 15 2" xfId="1978" xr:uid="{AE626BAD-E7A4-4AC7-A29F-08352F6C3273}"/>
    <cellStyle name="Comma 7 16" xfId="688" xr:uid="{3061A64A-700F-4076-A426-85C763B88B27}"/>
    <cellStyle name="Comma 7 16 2" xfId="1979" xr:uid="{78499B31-5991-4199-86F2-1524E168EE52}"/>
    <cellStyle name="Comma 7 17" xfId="689" xr:uid="{18630AF1-E0A6-48FD-9468-9266732AFEB4}"/>
    <cellStyle name="Comma 7 17 2" xfId="1980" xr:uid="{7D2C5DE7-F934-475D-BBCC-B1609431D8DF}"/>
    <cellStyle name="Comma 7 18" xfId="690" xr:uid="{49B774FA-1F00-4401-8658-78AAF2549E5E}"/>
    <cellStyle name="Comma 7 18 2" xfId="1981" xr:uid="{31AA9C0D-0381-4482-A5FE-AD49CB158D2A}"/>
    <cellStyle name="Comma 7 19" xfId="691" xr:uid="{77F3BD37-1760-43B9-87D2-E478A0E25A8C}"/>
    <cellStyle name="Comma 7 19 2" xfId="1982" xr:uid="{28921C65-F540-4992-91B6-C329097FDF82}"/>
    <cellStyle name="Comma 7 2" xfId="692" xr:uid="{423E3DF3-629E-4060-8E3D-C614DE9D496D}"/>
    <cellStyle name="Comma 7 2 2" xfId="1983" xr:uid="{EEC26258-7199-4B75-A5E7-73A6EC6EAB8B}"/>
    <cellStyle name="Comma 7 20" xfId="693" xr:uid="{DB1CB2CA-EC95-4D8E-AFA1-AB3DCD27118B}"/>
    <cellStyle name="Comma 7 20 2" xfId="1984" xr:uid="{B06D2D84-8CFE-4522-9120-D1261DE97365}"/>
    <cellStyle name="Comma 7 21" xfId="694" xr:uid="{B4BD2169-B45D-4615-BB3A-924EE4A67498}"/>
    <cellStyle name="Comma 7 21 2" xfId="1985" xr:uid="{511A670C-D36E-4E86-A3BE-7535EDFF63AA}"/>
    <cellStyle name="Comma 7 3" xfId="695" xr:uid="{636447E4-6F99-4727-85AD-F92B2FA982FB}"/>
    <cellStyle name="Comma 7 3 10" xfId="696" xr:uid="{2DBE61CC-64A5-4428-851A-4B299C4C7DCB}"/>
    <cellStyle name="Comma 7 3 10 2" xfId="1987" xr:uid="{CFECA908-65E4-4D0F-A88A-9B66EBD41BA4}"/>
    <cellStyle name="Comma 7 3 11" xfId="697" xr:uid="{48DA45D2-D59A-46C3-AD10-9844E7656254}"/>
    <cellStyle name="Comma 7 3 11 2" xfId="1988" xr:uid="{F3786209-9589-44C5-A44E-B0B9D226DE2B}"/>
    <cellStyle name="Comma 7 3 12" xfId="698" xr:uid="{2693A756-2173-419D-B4B3-93E71F38FA3B}"/>
    <cellStyle name="Comma 7 3 12 2" xfId="1989" xr:uid="{AD648B8F-6917-45FC-926C-676CC1E77326}"/>
    <cellStyle name="Comma 7 3 13" xfId="699" xr:uid="{434398EE-EBCC-4311-A1EA-499DD6C8320E}"/>
    <cellStyle name="Comma 7 3 13 2" xfId="1990" xr:uid="{E93F451B-372A-4EF4-9364-96886E2EF040}"/>
    <cellStyle name="Comma 7 3 14" xfId="700" xr:uid="{3C30B433-0684-425F-B3F1-028813CC6D1E}"/>
    <cellStyle name="Comma 7 3 14 2" xfId="1991" xr:uid="{D4CA79A6-13E8-4BB8-B441-6B686E026D09}"/>
    <cellStyle name="Comma 7 3 15" xfId="701" xr:uid="{3603F069-4E0E-49AD-848A-61316498F2A8}"/>
    <cellStyle name="Comma 7 3 15 2" xfId="1992" xr:uid="{E013DCCD-9EE7-4555-BEA6-01CC719FE6F1}"/>
    <cellStyle name="Comma 7 3 16" xfId="1986" xr:uid="{80389601-3878-4938-ADD3-E791093DD5CA}"/>
    <cellStyle name="Comma 7 3 2" xfId="702" xr:uid="{4CA85C3A-74DE-4785-8443-D50F4FDD59BF}"/>
    <cellStyle name="Comma 7 3 2 2" xfId="1993" xr:uid="{0F305085-A69F-4183-B5E2-A1EBA92B19D7}"/>
    <cellStyle name="Comma 7 3 3" xfId="703" xr:uid="{A70CB50D-5F49-4235-A000-FCA7E40899AD}"/>
    <cellStyle name="Comma 7 3 3 2" xfId="1994" xr:uid="{B628734A-D853-4880-8E2B-EC1C2FF3F91E}"/>
    <cellStyle name="Comma 7 3 4" xfId="704" xr:uid="{5832D3EA-CB8D-403C-92A2-2D988AE5B383}"/>
    <cellStyle name="Comma 7 3 4 2" xfId="1995" xr:uid="{99911D7A-3951-4B5D-815F-4EBF60DFD941}"/>
    <cellStyle name="Comma 7 3 5" xfId="705" xr:uid="{829C2873-4579-4991-8165-1D13F8ACEA97}"/>
    <cellStyle name="Comma 7 3 5 2" xfId="1996" xr:uid="{6A91758D-7265-4A18-813E-3F96BBCBE894}"/>
    <cellStyle name="Comma 7 3 6" xfId="706" xr:uid="{28D34572-0C72-4A66-982E-3C63E1F83228}"/>
    <cellStyle name="Comma 7 3 6 2" xfId="1997" xr:uid="{23C0FD23-6A9B-4D3C-8E10-6BA276326936}"/>
    <cellStyle name="Comma 7 3 7" xfId="707" xr:uid="{AEE771D6-A54A-48B0-8155-8B8D1E8CBD61}"/>
    <cellStyle name="Comma 7 3 7 2" xfId="1998" xr:uid="{016113F3-D9F8-43EC-A533-8B4494FDD827}"/>
    <cellStyle name="Comma 7 3 8" xfId="708" xr:uid="{9558DD79-3A8D-4B42-8FC1-A865741CF6AF}"/>
    <cellStyle name="Comma 7 3 8 2" xfId="1999" xr:uid="{54BA97DC-7FDB-47D9-A93B-DE0384F42EC0}"/>
    <cellStyle name="Comma 7 3 9" xfId="709" xr:uid="{91C8B9CD-29E6-48F6-AA8F-AB11BB5928FA}"/>
    <cellStyle name="Comma 7 3 9 2" xfId="2000" xr:uid="{3A3BFE7A-16A5-47B7-B11D-4E571688C886}"/>
    <cellStyle name="Comma 7 4" xfId="710" xr:uid="{117326A7-D871-4BD6-ACAA-65C5A81BE4FD}"/>
    <cellStyle name="Comma 7 4 2" xfId="2001" xr:uid="{DF0B2497-2AF4-4D00-B7F0-A02FB4941046}"/>
    <cellStyle name="Comma 7 5" xfId="711" xr:uid="{9FD48D84-EF4B-44F2-9D9D-74B894B12844}"/>
    <cellStyle name="Comma 7 5 2" xfId="2002" xr:uid="{1ABD916A-552B-4FBC-88A1-B0606AAB46C6}"/>
    <cellStyle name="Comma 7 6" xfId="712" xr:uid="{56075CCD-0674-45A6-9A72-AAA5F9399A80}"/>
    <cellStyle name="Comma 7 6 2" xfId="2003" xr:uid="{26C02E52-DBF7-4B27-BAF3-66AABDCD8990}"/>
    <cellStyle name="Comma 7 7" xfId="713" xr:uid="{E64BE4BF-AE0A-4AC4-9E8B-3B2A17BDE34D}"/>
    <cellStyle name="Comma 7 7 2" xfId="2004" xr:uid="{1B415091-2CB1-4F57-8027-DEDA869E7DA3}"/>
    <cellStyle name="Comma 7 8" xfId="714" xr:uid="{DFCB0E3D-2B51-4B5E-BFE1-E3C3CE5A81CE}"/>
    <cellStyle name="Comma 7 8 2" xfId="2005" xr:uid="{0C5715E8-7811-437A-BE0E-880017A04DDC}"/>
    <cellStyle name="Comma 7 9" xfId="715" xr:uid="{CECAF391-B926-43F4-81BD-A510FA5C1635}"/>
    <cellStyle name="Comma 7 9 2" xfId="2006" xr:uid="{7B6816EE-8480-4430-BA56-07D8BBE4A3D9}"/>
    <cellStyle name="Comma 8" xfId="716" xr:uid="{989028BE-CE98-4D2A-8D75-1191E872B6BA}"/>
    <cellStyle name="Comma 8 2" xfId="717" xr:uid="{B4EE83A3-D306-4562-B6E5-C4BA51E03D15}"/>
    <cellStyle name="Comma 8 2 2" xfId="2007" xr:uid="{EE064ACD-9980-477E-9B60-CB994FB23E69}"/>
    <cellStyle name="Comma 8 3" xfId="718" xr:uid="{E2E9062E-81C7-46B8-B48A-6F9510F72680}"/>
    <cellStyle name="Comma 8 3 2" xfId="2008" xr:uid="{6047609A-E43B-4F7D-B49A-705D32141476}"/>
    <cellStyle name="Comma 8 4" xfId="719" xr:uid="{AB3CBF3B-BD5D-4F85-A700-1E1082FDE1B5}"/>
    <cellStyle name="Comma 8 4 2" xfId="2009" xr:uid="{57B5B24B-5473-4B30-89FE-7FA0C18A07FB}"/>
    <cellStyle name="Comma 8 5" xfId="720" xr:uid="{5CF99760-9C05-4940-BFDA-50CD8583D8FC}"/>
    <cellStyle name="Comma 8 5 2" xfId="2010" xr:uid="{91C3A3B9-C6D7-4354-B134-5BC5196819D7}"/>
    <cellStyle name="Comma 8 6" xfId="721" xr:uid="{327E5B2B-A592-4A57-B4F1-D1F72FF0AD74}"/>
    <cellStyle name="Comma 8 6 2" xfId="2011" xr:uid="{AA184A26-A240-4DE5-9D4D-7AAF15F0A5D5}"/>
    <cellStyle name="Comma 8 7" xfId="722" xr:uid="{970F85E9-F562-4CED-B32B-39CB3CC80B13}"/>
    <cellStyle name="Comma 8 7 2" xfId="2012" xr:uid="{5FD0C94C-DCFC-4FB5-8D3A-CA79030DD81A}"/>
    <cellStyle name="Comma 8 8" xfId="723" xr:uid="{A9D1A278-6754-4E5D-B00F-A5EC7A461618}"/>
    <cellStyle name="Comma 8 8 2" xfId="2013" xr:uid="{99034C92-68CF-425D-853A-5C642381080E}"/>
    <cellStyle name="Comma 9 2" xfId="724" xr:uid="{C6328F8A-81A6-445C-9D8F-68E533EBB218}"/>
    <cellStyle name="Comma 9 2 2" xfId="2014" xr:uid="{43CA7380-21B5-464B-817D-5316C04F2282}"/>
    <cellStyle name="Comma 9 3" xfId="725" xr:uid="{90BB5662-F750-42FB-B894-81261430EBF4}"/>
    <cellStyle name="Comma 9 4" xfId="726" xr:uid="{2A0A92E3-A9AE-4345-804F-F56D2DF33425}"/>
    <cellStyle name="Comma 9 5" xfId="727" xr:uid="{DA47957D-ADE1-4BF8-A3AA-B6960F983F64}"/>
    <cellStyle name="Comma 9 6" xfId="728" xr:uid="{B4B5D01D-9312-4345-84DD-94610FFC9049}"/>
    <cellStyle name="Comma 9 7" xfId="729" xr:uid="{E01F606A-F8C3-4FFB-BC67-802A30DD6422}"/>
    <cellStyle name="Comma 9 8" xfId="730" xr:uid="{38314AA4-D164-4406-B192-90769576FA10}"/>
    <cellStyle name="Comma 9 9" xfId="731" xr:uid="{E143A7A1-CA12-4AE3-A713-5F4161E3C19A}"/>
    <cellStyle name="Currency 2 2" xfId="732" xr:uid="{F693D6F8-1F0B-4935-8833-EF33AE4D6915}"/>
    <cellStyle name="Currency 2 2 2" xfId="2015" xr:uid="{25C95D35-211D-4084-B959-8471B337FAC4}"/>
    <cellStyle name="CustomizationCells" xfId="733" xr:uid="{1F24C69B-147F-4E61-91AF-A033D9ABA34F}"/>
    <cellStyle name="Date" xfId="34" xr:uid="{9EEDE2D1-EB00-488F-BD96-88D8E3571359}"/>
    <cellStyle name="Date 2" xfId="734" xr:uid="{10852413-79BE-489B-B594-B14B2BEB083C}"/>
    <cellStyle name="donn_normal" xfId="735" xr:uid="{CD470762-F156-4041-B2EF-E5E27C81AA8D}"/>
    <cellStyle name="ent_col_ser" xfId="736" xr:uid="{6F2CF255-044C-45AB-93AD-E3A95C25057A}"/>
    <cellStyle name="entete_source" xfId="737" xr:uid="{A91E0F2A-D340-4A74-9AA7-0201FB5EDFA5}"/>
    <cellStyle name="Euro" xfId="738" xr:uid="{BE8F41AC-07F4-4E8C-BCE1-EF113B47A4F2}"/>
    <cellStyle name="Euro 2" xfId="739" xr:uid="{266960EA-3207-4A1F-9752-F427068BE0A0}"/>
    <cellStyle name="Euro 2 2" xfId="740" xr:uid="{62511430-5B8B-4CD9-8FF4-74CFE0B6F9BA}"/>
    <cellStyle name="Euro 2 2 2" xfId="741" xr:uid="{01C09BC2-4929-43B6-93FB-7D51447A7FCD}"/>
    <cellStyle name="Euro 2 2 2 2" xfId="2019" xr:uid="{35A6C837-50F0-4820-B8F5-7D3E35DBC005}"/>
    <cellStyle name="Euro 2 2 2_default attrib" xfId="2926" xr:uid="{BEBF3B43-E585-478D-9A8A-D58F23335CEE}"/>
    <cellStyle name="Euro 2 2 3" xfId="2018" xr:uid="{D504FF62-EDBB-4062-BC4E-487238BFDD4F}"/>
    <cellStyle name="Euro 2 2_default attrib" xfId="3003" xr:uid="{F8E08F2A-67BD-4FB7-AC68-B489CA06A7E5}"/>
    <cellStyle name="Euro 2 3" xfId="742" xr:uid="{6E60C9B9-5243-4DD0-87BB-5B5F17983F29}"/>
    <cellStyle name="Euro 2 3 2" xfId="2020" xr:uid="{D4D42534-62F1-4E03-BD33-F311C20BE3E8}"/>
    <cellStyle name="Euro 2 3_default attrib" xfId="2925" xr:uid="{2F2F3526-1961-4C83-B3A2-526B6FBC4E98}"/>
    <cellStyle name="Euro 2 4" xfId="2017" xr:uid="{50606AF7-71A1-457F-A324-C499410FC2EB}"/>
    <cellStyle name="Euro 2_default attrib" xfId="2927" xr:uid="{BD9FE123-A171-4055-8EE1-28744A80ED37}"/>
    <cellStyle name="Euro 3" xfId="743" xr:uid="{D7F5E836-EC51-4E95-8742-77EAEDA982D3}"/>
    <cellStyle name="Euro 3 2" xfId="2021" xr:uid="{A6233076-B3DA-46F4-B260-B222539DA503}"/>
    <cellStyle name="Euro 3_default attrib" xfId="3002" xr:uid="{D9D84DD8-3C52-408E-BA84-422C316B61DB}"/>
    <cellStyle name="Euro 4" xfId="744" xr:uid="{E4898819-6572-4CA9-8579-B84B11CE7C01}"/>
    <cellStyle name="Euro 4 2" xfId="2022" xr:uid="{33CC5999-C7B2-4B84-9E03-8AA020B4B4D6}"/>
    <cellStyle name="Euro 5" xfId="2016" xr:uid="{CE4E86BF-CD9F-4118-A67B-3AD95D18D9F6}"/>
    <cellStyle name="Euro_default attrib" xfId="2928" xr:uid="{01771C80-3D8B-4450-8EFA-7E8B262A0883}"/>
    <cellStyle name="Explanatory Text 2" xfId="745" xr:uid="{B1CDA7BE-1C51-4C04-8762-0A4257D0B76F}"/>
    <cellStyle name="Explanatory Text 2 10" xfId="746" xr:uid="{A1C949B4-5DDD-4154-A586-76A47BC22C62}"/>
    <cellStyle name="Explanatory Text 2 2" xfId="747" xr:uid="{50DF5125-9730-430D-999D-37587E0A55B7}"/>
    <cellStyle name="Explanatory Text 2 3" xfId="748" xr:uid="{D5B6B84B-D605-4142-ADD9-4BA46EB05127}"/>
    <cellStyle name="Explanatory Text 2 4" xfId="749" xr:uid="{66B5BF88-3131-44EB-9F60-37709303C678}"/>
    <cellStyle name="Explanatory Text 2 5" xfId="750" xr:uid="{7730A51C-B62D-4B0F-8F98-A1D197D67AEB}"/>
    <cellStyle name="Explanatory Text 2 6" xfId="751" xr:uid="{69FEDA7A-9B2D-4178-91E3-6211376417F2}"/>
    <cellStyle name="Explanatory Text 2 7" xfId="752" xr:uid="{09D7CE9B-6392-41FA-B46E-84749C899195}"/>
    <cellStyle name="Explanatory Text 2 8" xfId="753" xr:uid="{9D64BB38-2334-42C5-B4CF-67E8333798D1}"/>
    <cellStyle name="Explanatory Text 2 9" xfId="754" xr:uid="{78928ED7-C48A-4AAE-9196-3514C52E3D7E}"/>
    <cellStyle name="Explanatory Text 3" xfId="755" xr:uid="{225D969D-4155-4508-8D2D-3695175A0730}"/>
    <cellStyle name="Fixed" xfId="35" xr:uid="{28893498-40F5-4C61-8585-2186BAB163FC}"/>
    <cellStyle name="Fixed 2" xfId="756" xr:uid="{8A31F93F-ADC1-44A0-923E-71144480D037}"/>
    <cellStyle name="Font: Calibri, 9pt regular" xfId="36" xr:uid="{5E719AFE-FADA-465B-A199-CA1E824B0B5F}"/>
    <cellStyle name="Footnotes: all except top row" xfId="37" xr:uid="{0072BC7F-913A-4AFF-BA3F-BE21F42F0EDC}"/>
    <cellStyle name="Footnotes: top row" xfId="38" xr:uid="{EB12F0EB-3545-4E4B-9BB8-1A8CC24D2C05}"/>
    <cellStyle name="Good 2" xfId="757" xr:uid="{BF90A8CB-FFC1-46F1-9DCE-E243A4C0F65A}"/>
    <cellStyle name="Good 2 10" xfId="758" xr:uid="{FB65149B-94CD-4CA5-85A2-B2CE9F3EBF1A}"/>
    <cellStyle name="Good 2 2" xfId="759" xr:uid="{B661802F-A9B0-4CC4-ACB8-9817343B235C}"/>
    <cellStyle name="Good 2 3" xfId="760" xr:uid="{AE267BEC-2B0A-47C1-8A67-B1F633A14F6E}"/>
    <cellStyle name="Good 2 4" xfId="761" xr:uid="{F2D2093A-67F7-41FF-8726-F324AB88260D}"/>
    <cellStyle name="Good 2 5" xfId="762" xr:uid="{741AB837-420D-4A9B-BA66-44E5A458F1A8}"/>
    <cellStyle name="Good 2 6" xfId="763" xr:uid="{F5BF7F8F-4B48-4B0D-B40D-26DE21DA4625}"/>
    <cellStyle name="Good 2 7" xfId="764" xr:uid="{DAEE848B-97C6-45DF-8A14-1DBEA5C094BE}"/>
    <cellStyle name="Good 2 8" xfId="765" xr:uid="{4AB59EF7-A7C6-44E0-875F-BEF0DE4C3A19}"/>
    <cellStyle name="Good 2 9" xfId="766" xr:uid="{7576EF57-1CDD-4EFF-B2C0-8A67FA36553E}"/>
    <cellStyle name="Good 3" xfId="767" xr:uid="{E53F55B1-1366-4AC0-8BCA-939086983700}"/>
    <cellStyle name="Good 3 2" xfId="768" xr:uid="{DD44498B-8562-4196-B762-86AAB3C3110C}"/>
    <cellStyle name="Header: bottom row" xfId="39" xr:uid="{8DEF5415-AAB8-4616-A63F-EBBF23962D4B}"/>
    <cellStyle name="Header: top rows" xfId="40" xr:uid="{FD1E3697-CB45-485F-BB56-B65C12748072}"/>
    <cellStyle name="Heading 1 2" xfId="769" xr:uid="{0B4CE9D5-9C1D-4D5D-8223-6D7EC85C3BEF}"/>
    <cellStyle name="Heading 1 2 10" xfId="770" xr:uid="{75015DE0-4129-489D-B6F6-01BAC4BF0DAA}"/>
    <cellStyle name="Heading 1 2 2" xfId="771" xr:uid="{05F23D2A-8888-460E-BD24-FD60A915B079}"/>
    <cellStyle name="Heading 1 2 3" xfId="772" xr:uid="{C41BF15E-5724-439B-AC7C-4E38AE0EA8D6}"/>
    <cellStyle name="Heading 1 2 4" xfId="773" xr:uid="{BEC4A3A8-B400-4A8C-9224-421A8995A374}"/>
    <cellStyle name="Heading 1 2 5" xfId="774" xr:uid="{985B80CC-A516-43EF-B74C-DA4A9DF45643}"/>
    <cellStyle name="Heading 1 2 6" xfId="775" xr:uid="{988E7725-3AAF-44A0-BC3D-BBCE95FBED51}"/>
    <cellStyle name="Heading 1 2 7" xfId="776" xr:uid="{46221616-7B38-4EF4-BD50-5FA4CF1DC929}"/>
    <cellStyle name="Heading 1 2 8" xfId="777" xr:uid="{4446B457-98E0-4487-8069-0B6D597CCEDC}"/>
    <cellStyle name="Heading 1 2 9" xfId="778" xr:uid="{4D53D2DF-4557-4C13-AF8D-552019F455F8}"/>
    <cellStyle name="Heading 1 3" xfId="779" xr:uid="{A9FB189C-595E-4B59-B17C-628A1B2BDA75}"/>
    <cellStyle name="Heading 1 3 2" xfId="780" xr:uid="{C13DD286-D988-4266-9562-3A79526C4697}"/>
    <cellStyle name="Heading 2 2" xfId="781" xr:uid="{6018407A-272B-4A55-9651-2A1B1B3270BA}"/>
    <cellStyle name="Heading 2 2 10" xfId="782" xr:uid="{1F5F8D74-DF46-43AA-94F2-D4F9096E4B8D}"/>
    <cellStyle name="Heading 2 2 2" xfId="783" xr:uid="{112FE2D0-9F94-4609-B531-4F5B310232D8}"/>
    <cellStyle name="Heading 2 2 3" xfId="784" xr:uid="{CB6E3258-FBCD-4A3F-993F-B449D82DD595}"/>
    <cellStyle name="Heading 2 2 4" xfId="785" xr:uid="{7732BCD0-8FE2-441A-A42B-0C77AE3B1D0B}"/>
    <cellStyle name="Heading 2 2 5" xfId="786" xr:uid="{5352EB7A-E776-4EB7-8793-EE4384699B95}"/>
    <cellStyle name="Heading 2 2 6" xfId="787" xr:uid="{7550394B-5C70-4E19-9E83-1B8F3EEF0A76}"/>
    <cellStyle name="Heading 2 2 7" xfId="788" xr:uid="{EE99C375-ED80-4DCB-8A4F-9936B01C6887}"/>
    <cellStyle name="Heading 2 2 8" xfId="789" xr:uid="{B19B7317-4F95-430B-9046-EF6D54FB596F}"/>
    <cellStyle name="Heading 2 2 9" xfId="790" xr:uid="{EB7F8910-4687-4354-80B2-6FA94E041FDD}"/>
    <cellStyle name="Heading 2 3" xfId="791" xr:uid="{EF0C9B54-A7E9-4A14-A77A-EA740FBDB919}"/>
    <cellStyle name="Heading 2 3 2" xfId="792" xr:uid="{8BD054CF-EC1C-4C70-8229-88DE4E8A6F8F}"/>
    <cellStyle name="Heading 3 2" xfId="793" xr:uid="{09BB48DA-6C1D-451C-AA38-C50E198AF744}"/>
    <cellStyle name="Heading 3 2 10" xfId="794" xr:uid="{8001791F-C1D2-45D1-B986-EF82FE9E77EE}"/>
    <cellStyle name="Heading 3 2 2" xfId="795" xr:uid="{2F1453A8-44FB-4254-96D1-E06AB4625229}"/>
    <cellStyle name="Heading 3 2 3" xfId="796" xr:uid="{D5EC608E-7046-4436-A7CE-CEFE10CD2E8D}"/>
    <cellStyle name="Heading 3 2 4" xfId="797" xr:uid="{0B5292A2-609E-416D-BF70-71C750BE9CEC}"/>
    <cellStyle name="Heading 3 2 5" xfId="798" xr:uid="{400223B7-F04B-4708-AFCE-E26D93FE3071}"/>
    <cellStyle name="Heading 3 2 6" xfId="799" xr:uid="{781D4E6B-034A-444C-BCD7-9E5B28BB3950}"/>
    <cellStyle name="Heading 3 2 7" xfId="800" xr:uid="{00CDB284-4D54-4971-93F8-F1B00B709CA1}"/>
    <cellStyle name="Heading 3 2 8" xfId="801" xr:uid="{328C2EFE-B003-403E-BC67-09E27F70078E}"/>
    <cellStyle name="Heading 3 2 9" xfId="802" xr:uid="{56BAE7DC-370E-4C2C-B425-702C9CA17D66}"/>
    <cellStyle name="Heading 3 3" xfId="803" xr:uid="{56845C1B-8101-4AE9-9072-00D9B5C3E62C}"/>
    <cellStyle name="Heading 3 3 2" xfId="804" xr:uid="{04B258CC-02C5-4ED4-8EC0-3C72CB18EDE4}"/>
    <cellStyle name="Heading 4 2" xfId="805" xr:uid="{AD937E73-367E-4CD8-BD5A-3F527338044F}"/>
    <cellStyle name="Heading 4 2 10" xfId="806" xr:uid="{4B75E7F8-0205-425A-8974-9CE15947A1D8}"/>
    <cellStyle name="Heading 4 2 2" xfId="807" xr:uid="{623851B5-FE7A-430E-9B83-8C45BB045E7E}"/>
    <cellStyle name="Heading 4 2 3" xfId="808" xr:uid="{B7B3D48F-2DA5-4574-BEF4-A4FCD1A70D99}"/>
    <cellStyle name="Heading 4 2 4" xfId="809" xr:uid="{7CB0EA5C-0272-4EA3-981E-7FCF405DBF6C}"/>
    <cellStyle name="Heading 4 2 5" xfId="810" xr:uid="{3ED07A5B-BC2A-4654-82D2-2C0FEB3758B4}"/>
    <cellStyle name="Heading 4 2 6" xfId="811" xr:uid="{A7BBF54D-BE2A-4D33-B8A9-63476AC2B873}"/>
    <cellStyle name="Heading 4 2 7" xfId="812" xr:uid="{FDB73E2A-E067-493C-BA38-97FDF7148A5F}"/>
    <cellStyle name="Heading 4 2 8" xfId="813" xr:uid="{3851D256-31BF-4BB6-814E-BC7BE7F29FF6}"/>
    <cellStyle name="Heading 4 2 9" xfId="814" xr:uid="{377BE72C-3807-407B-A987-9A230499F3A7}"/>
    <cellStyle name="Heading 4 3" xfId="815" xr:uid="{203A69D6-1C8F-477D-9143-9CEC895F69E9}"/>
    <cellStyle name="Heading 4 3 2" xfId="816" xr:uid="{E735D77B-34A2-4700-AB59-D8F574EBBF19}"/>
    <cellStyle name="Heading1" xfId="41" xr:uid="{9482AD06-2649-43BC-9C2B-EAB330365766}"/>
    <cellStyle name="Heading1 2" xfId="817" xr:uid="{1A8EC794-4DF6-4234-BEB3-AE8A40FA2D6A}"/>
    <cellStyle name="Heading2" xfId="42" xr:uid="{E878A1AA-6E44-4F76-AC54-1A77211EC199}"/>
    <cellStyle name="Heading2 2" xfId="818" xr:uid="{875B5D8F-B38C-44B9-8982-7A6A2436DC9C}"/>
    <cellStyle name="Hyperlink 2" xfId="819" xr:uid="{6E68B85F-7E30-4BCF-87F4-F4C8BA51489A}"/>
    <cellStyle name="Input 2" xfId="820" xr:uid="{49BB3BE5-CAB5-44E4-8BE7-0DE8B8E764B4}"/>
    <cellStyle name="Input 2 10" xfId="821" xr:uid="{2E27733B-58D0-4E44-B448-2D1020E2C0F4}"/>
    <cellStyle name="Input 2 2" xfId="822" xr:uid="{D3A820C6-7EE6-464C-A9E4-D7C8580777B8}"/>
    <cellStyle name="Input 2 3" xfId="823" xr:uid="{2B6700D9-5B37-4BED-BC1B-FB6EC9A2C9F9}"/>
    <cellStyle name="Input 2 4" xfId="824" xr:uid="{009E122C-59E4-4ECC-B298-51F5FC666F38}"/>
    <cellStyle name="Input 2 5" xfId="825" xr:uid="{C77DF317-3F12-4D91-B534-23EEE1A80BA9}"/>
    <cellStyle name="Input 2 6" xfId="826" xr:uid="{A8FA913C-C100-4A81-99D4-FB7D91331E56}"/>
    <cellStyle name="Input 2 7" xfId="827" xr:uid="{46765B3C-DB72-4917-AB02-6AE6962D0D7D}"/>
    <cellStyle name="Input 2 8" xfId="828" xr:uid="{EF58E913-1B46-4422-81C5-642485451D8F}"/>
    <cellStyle name="Input 2 9" xfId="829" xr:uid="{12F23325-6F01-4AAE-BBD8-F553E9E5745A}"/>
    <cellStyle name="Input 3" xfId="830" xr:uid="{F8E48A51-0A54-4ECE-8688-757E86285DD4}"/>
    <cellStyle name="Input 3 2" xfId="831" xr:uid="{64ADEF8B-C5D8-47D8-8206-ACAA7AB7DC6D}"/>
    <cellStyle name="InputCells" xfId="832" xr:uid="{84B57855-609E-4293-8FBA-A9D8208A38CF}"/>
    <cellStyle name="ligne_titre_0" xfId="833" xr:uid="{B1BA9F6C-C40B-485E-AC49-229564E634F0}"/>
    <cellStyle name="Linked Cell 2" xfId="834" xr:uid="{F2760084-1D76-42F6-858A-F9F2AF158767}"/>
    <cellStyle name="Linked Cell 2 10" xfId="835" xr:uid="{024E6F31-8562-4E1D-9944-B58870DA3B67}"/>
    <cellStyle name="Linked Cell 2 2" xfId="836" xr:uid="{BDEB8E38-D00F-433B-9AA7-17531486B49A}"/>
    <cellStyle name="Linked Cell 2 3" xfId="837" xr:uid="{18E598F9-8DDC-404F-B811-820B233844E4}"/>
    <cellStyle name="Linked Cell 2 4" xfId="838" xr:uid="{E8AC3565-E1EF-4D04-AFAB-8CBB6648935D}"/>
    <cellStyle name="Linked Cell 2 5" xfId="839" xr:uid="{C04587B6-2B15-40C2-8957-D0EC2D43C860}"/>
    <cellStyle name="Linked Cell 2 6" xfId="840" xr:uid="{F34A8CD5-1733-4F50-954D-DFEFFD78093B}"/>
    <cellStyle name="Linked Cell 2 7" xfId="841" xr:uid="{22D27A6B-3125-4C84-8C6E-235FF3094663}"/>
    <cellStyle name="Linked Cell 2 8" xfId="842" xr:uid="{41205562-5B98-463D-8C50-0A531D831E93}"/>
    <cellStyle name="Linked Cell 2 9" xfId="843" xr:uid="{E799320A-32C6-424C-838B-8839DCFBDEC9}"/>
    <cellStyle name="Linked Cell 3" xfId="844" xr:uid="{9C72A9B3-6150-44AD-868C-9DBC8A91B8FC}"/>
    <cellStyle name="Linked Cell 3 2" xfId="845" xr:uid="{88D2DA76-47C6-44BF-9FF6-91B46E9527D4}"/>
    <cellStyle name="Migliaia_Oil&amp;Gas IFE ARC POLITO" xfId="846" xr:uid="{D410CD64-1B0B-4CD8-A4B0-53CB3779177F}"/>
    <cellStyle name="Neutral" xfId="51" builtinId="28"/>
    <cellStyle name="Neutral 2" xfId="847" xr:uid="{C513855C-3E94-4C1D-B610-A035B3966A1A}"/>
    <cellStyle name="Neutral 2 10" xfId="848" xr:uid="{BF33E93C-1AFC-4357-A444-B86223D08BE0}"/>
    <cellStyle name="Neutral 2 2" xfId="849" xr:uid="{BD167E8F-4CBC-4742-A482-28E989FD7AC0}"/>
    <cellStyle name="Neutral 2 3" xfId="850" xr:uid="{DB9D0CD3-6643-4DDB-A433-CBBEB2595BDE}"/>
    <cellStyle name="Neutral 2 4" xfId="851" xr:uid="{1785892E-1134-4CA0-92FC-0518CD00E80D}"/>
    <cellStyle name="Neutral 2 5" xfId="852" xr:uid="{3728ADBA-FB62-45FA-B03B-7B177CC042E1}"/>
    <cellStyle name="Neutral 2 6" xfId="853" xr:uid="{88039802-41CD-4221-A30A-FEDB41096058}"/>
    <cellStyle name="Neutral 2 7" xfId="854" xr:uid="{F37B30AE-4155-4ABE-9FDB-505E1EA878D0}"/>
    <cellStyle name="Neutral 2 8" xfId="855" xr:uid="{A856EFA4-EFB1-4A69-92DD-C59173288C53}"/>
    <cellStyle name="Neutral 2 9" xfId="856" xr:uid="{9794B31D-5F45-4C13-9367-14FD354DFDCD}"/>
    <cellStyle name="Neutral 3" xfId="857" xr:uid="{F7E920AF-D6F6-44F5-82EF-08C03D97BC79}"/>
    <cellStyle name="Neutral 3 2" xfId="858" xr:uid="{B3B98648-D962-409E-BA12-E95F773B45C4}"/>
    <cellStyle name="Normal" xfId="0" builtinId="0"/>
    <cellStyle name="Normal 10" xfId="30" xr:uid="{00000000-0005-0000-0000-000001000000}"/>
    <cellStyle name="Normal 10 2" xfId="859" xr:uid="{DB7F6814-05CB-49DF-A46E-B4670D6B8844}"/>
    <cellStyle name="Normal 10 2 2" xfId="2024" xr:uid="{9ADB42C6-9EDF-4CD5-B636-B4FB4BA26C52}"/>
    <cellStyle name="Normal 10 3" xfId="860" xr:uid="{67DAD4EC-A85E-4C21-A2AB-7661A462CD58}"/>
    <cellStyle name="Normal 10 3 2" xfId="2025" xr:uid="{C58706DD-28BE-46B5-ABA0-6C21342EF547}"/>
    <cellStyle name="Normal 10 4" xfId="861" xr:uid="{673BFD97-AD20-443E-8AFB-F77F3387C3F8}"/>
    <cellStyle name="Normal 10 4 2" xfId="2026" xr:uid="{B0A25DB1-DE9F-4E52-94DB-1167F6490A83}"/>
    <cellStyle name="Normal 10 5" xfId="862" xr:uid="{3B1F1782-0B23-48F7-8F80-6CAC7AF4E4D6}"/>
    <cellStyle name="Normal 10 5 2" xfId="2027" xr:uid="{D1094871-1BE3-4AAF-A8C0-C2DAC7B2C38C}"/>
    <cellStyle name="Normal 10 6" xfId="863" xr:uid="{29059D5A-B375-436F-A530-D188C89DE04E}"/>
    <cellStyle name="Normal 10 6 2" xfId="2028" xr:uid="{C47131C2-8839-49A3-BB8F-547F99B4A1DB}"/>
    <cellStyle name="Normal 10 7" xfId="864" xr:uid="{9DC7E370-BB3A-4C92-8260-CC11840A21BB}"/>
    <cellStyle name="Normal 10 7 2" xfId="2029" xr:uid="{3D4CF507-8B4A-4D73-9308-15669B836D4D}"/>
    <cellStyle name="Normal 10 8" xfId="865" xr:uid="{6734E0C8-4431-47F2-A16D-BED4D74C5E7B}"/>
    <cellStyle name="Normal 10 8 2" xfId="2030" xr:uid="{1822A755-D801-4DD7-9252-B4EF0C1465F1}"/>
    <cellStyle name="Normal 10 9" xfId="2023" xr:uid="{0397D4A2-36D0-418B-943A-8D91D4BE1B50}"/>
    <cellStyle name="Normal 11" xfId="866" xr:uid="{B084037E-E90C-49CF-A610-48B2470480E2}"/>
    <cellStyle name="Normal 11 2" xfId="1" xr:uid="{00000000-0005-0000-0000-000002000000}"/>
    <cellStyle name="Normal 11 2 2" xfId="2032" xr:uid="{E8F02D01-28CD-47AC-B964-0EC3D98568EC}"/>
    <cellStyle name="Normal 11 2 3" xfId="867" xr:uid="{051D30B6-2388-4E58-B9FD-5A437B53AE83}"/>
    <cellStyle name="Normal 11 2_default attrib" xfId="2998" xr:uid="{C709D410-3D20-4A67-BF16-7E34671AFDAB}"/>
    <cellStyle name="Normal 11 3" xfId="2" xr:uid="{00000000-0005-0000-0000-000003000000}"/>
    <cellStyle name="Normal 11 3 2" xfId="2033" xr:uid="{10E8FF2A-6D21-4898-AE4D-070AA32F5AFA}"/>
    <cellStyle name="Normal 11 3 3" xfId="868" xr:uid="{84A85BA5-1EC2-42CA-A4E9-C25FE5231F60}"/>
    <cellStyle name="Normal 11 3_default attrib" xfId="3001" xr:uid="{672D3F67-48F5-4307-800F-59C009B278F6}"/>
    <cellStyle name="Normal 11 4" xfId="3" xr:uid="{00000000-0005-0000-0000-000004000000}"/>
    <cellStyle name="Normal 11 4 2" xfId="2034" xr:uid="{7C2A1BB6-A1B7-4E78-A32E-9F48F6B0E69F}"/>
    <cellStyle name="Normal 11 4 3" xfId="869" xr:uid="{ED5A590B-9FE0-4DA4-A23E-512A2E7EC225}"/>
    <cellStyle name="Normal 11 4_default attrib" xfId="2924" xr:uid="{FD83184B-D4EE-40E1-9BAE-E4321EC0971D}"/>
    <cellStyle name="Normal 11 5" xfId="870" xr:uid="{2C98B099-B1DC-4807-8126-313F78C9112D}"/>
    <cellStyle name="Normal 11 5 2" xfId="2035" xr:uid="{51AF9C00-0530-401D-8A63-09E587B29556}"/>
    <cellStyle name="Normal 11 6" xfId="871" xr:uid="{A30569D9-3232-4CCC-914B-3FDA6E25390A}"/>
    <cellStyle name="Normal 11 6 2" xfId="2036" xr:uid="{EF7B0907-42B2-4A47-8F85-528892A82E1B}"/>
    <cellStyle name="Normal 11 7" xfId="872" xr:uid="{D5859C91-B8D1-43B5-A62D-C278C57D4F20}"/>
    <cellStyle name="Normal 11 7 2" xfId="2037" xr:uid="{F15C3FF7-B249-4CAD-993D-34229BC6C837}"/>
    <cellStyle name="Normal 11 8" xfId="873" xr:uid="{2080323D-F1CC-4798-8C2C-8E42743FBECF}"/>
    <cellStyle name="Normal 11 8 2" xfId="2038" xr:uid="{E57D3D53-65DD-4D61-956D-A3CE5D452FB7}"/>
    <cellStyle name="Normal 11 9" xfId="2031" xr:uid="{D6EEB15D-11CA-457B-9187-0C7ECE745B71}"/>
    <cellStyle name="Normal 12" xfId="874" xr:uid="{6185E074-B413-41BA-A5CB-69CEC46CAF4A}"/>
    <cellStyle name="Normal 12 2" xfId="4" xr:uid="{00000000-0005-0000-0000-000005000000}"/>
    <cellStyle name="Normal 12 2 2" xfId="2040" xr:uid="{AE061E56-D05A-46FB-9217-A00400C42869}"/>
    <cellStyle name="Normal 12 2 3" xfId="875" xr:uid="{7AF1BE39-B18F-46A5-A2CC-89058EABB12B}"/>
    <cellStyle name="Normal 12 2_default attrib" xfId="3000" xr:uid="{CA9A3A06-B920-44A4-9277-C3FD1CAF6ADD}"/>
    <cellStyle name="Normal 12 3" xfId="5" xr:uid="{00000000-0005-0000-0000-000006000000}"/>
    <cellStyle name="Normal 12 3 2" xfId="2041" xr:uid="{5D440522-0AAD-4800-A5F6-FCFE199D9BDC}"/>
    <cellStyle name="Normal 12 3 3" xfId="876" xr:uid="{2E15D042-A7BE-44D3-9CB6-E35AD84C5FE8}"/>
    <cellStyle name="Normal 12 3_default attrib" xfId="2923" xr:uid="{AC16DC28-CF1B-4498-836F-8FA034065861}"/>
    <cellStyle name="Normal 12 4" xfId="6" xr:uid="{00000000-0005-0000-0000-000007000000}"/>
    <cellStyle name="Normal 12 4 2" xfId="2042" xr:uid="{7E917051-73A8-489D-8C04-A1DF0CB34B67}"/>
    <cellStyle name="Normal 12 4 3" xfId="877" xr:uid="{3D9ABE1F-E225-466A-AABC-44E47DDAB662}"/>
    <cellStyle name="Normal 12 4_default attrib" xfId="2999" xr:uid="{87DC1572-D6FB-44BC-8127-D3DAB92AA2E7}"/>
    <cellStyle name="Normal 12 5" xfId="878" xr:uid="{8A4FED4C-F66A-4FC9-BDAA-FEDC8C3A0678}"/>
    <cellStyle name="Normal 12 5 2" xfId="2043" xr:uid="{02A86CB9-3EF2-4238-8C5D-B9FAEE93C6A4}"/>
    <cellStyle name="Normal 12 6" xfId="879" xr:uid="{50AA0A7C-D330-4BB8-9E0A-4598E8E3DDFB}"/>
    <cellStyle name="Normal 12 6 2" xfId="2044" xr:uid="{E6F02944-4FD3-4E6F-BE68-C1470F97AA0A}"/>
    <cellStyle name="Normal 12 7" xfId="880" xr:uid="{AA1A8079-A724-41CB-A9C2-2D0C6FEB1100}"/>
    <cellStyle name="Normal 12 7 2" xfId="2045" xr:uid="{A57688C1-5E7E-43E7-871B-56C954C5A64B}"/>
    <cellStyle name="Normal 12 8" xfId="881" xr:uid="{C5437097-CD75-4F55-AE31-F11C00FAE4E1}"/>
    <cellStyle name="Normal 12 8 2" xfId="2046" xr:uid="{7D251034-8535-4DC2-9D18-702E801B9B25}"/>
    <cellStyle name="Normal 12 9" xfId="2039" xr:uid="{62DA994F-FDBF-49E8-8165-37CC810B729B}"/>
    <cellStyle name="Normal 13" xfId="882" xr:uid="{40D2234A-63F3-4A54-AA38-16CAB705DB81}"/>
    <cellStyle name="Normal 13 10" xfId="883" xr:uid="{6E99A423-FA40-404F-8BE5-309D06607FB5}"/>
    <cellStyle name="Normal 13 10 2" xfId="2048" xr:uid="{B1079CB1-EE95-4D90-823A-E79D1D83B1C0}"/>
    <cellStyle name="Normal 13 10_default attrib" xfId="2922" xr:uid="{7DBD38D5-63BC-48FF-A895-FEE1BE110291}"/>
    <cellStyle name="Normal 13 11" xfId="884" xr:uid="{77B10272-F188-4213-9832-6F644E719E7E}"/>
    <cellStyle name="Normal 13 11 2" xfId="2049" xr:uid="{4BC028DD-8D2E-4FED-ABE7-388C18EDEFFE}"/>
    <cellStyle name="Normal 13 11_default attrib" xfId="2921" xr:uid="{03B78F06-79BD-4817-A3F3-83B559D43F82}"/>
    <cellStyle name="Normal 13 12" xfId="885" xr:uid="{BAB0E447-F2B4-4A37-8D00-B7AED5F8A380}"/>
    <cellStyle name="Normal 13 13" xfId="886" xr:uid="{410144E0-79A6-42B0-8A98-1F0110852404}"/>
    <cellStyle name="Normal 13 13 2" xfId="2050" xr:uid="{6944076A-B703-4B4F-9B26-1B6408A4C34E}"/>
    <cellStyle name="Normal 13 13_default attrib" xfId="2920" xr:uid="{2B4A68FD-B1B1-4B19-9A2B-F6D4B82435F5}"/>
    <cellStyle name="Normal 13 14" xfId="887" xr:uid="{C983488C-690F-4C22-B003-76C47116767C}"/>
    <cellStyle name="Normal 13 14 2" xfId="2051" xr:uid="{3FD7DB85-653B-42F7-BE24-0B49AAB0C3FA}"/>
    <cellStyle name="Normal 13 14_default attrib" xfId="2919" xr:uid="{C1E26D57-0847-4E5B-B188-D85C237A328E}"/>
    <cellStyle name="Normal 13 15" xfId="888" xr:uid="{F41D056D-29AD-4414-B5A5-40D1D869F558}"/>
    <cellStyle name="Normal 13 15 2" xfId="2052" xr:uid="{F566FE8D-5344-4558-8FC3-2B385176A57C}"/>
    <cellStyle name="Normal 13 15_default attrib" xfId="2918" xr:uid="{0109060D-069D-4DE4-81A2-ADC1A47067DD}"/>
    <cellStyle name="Normal 13 16" xfId="889" xr:uid="{8A484506-922A-47BE-99CB-71547E1A72F0}"/>
    <cellStyle name="Normal 13 16 2" xfId="2053" xr:uid="{534F5FA1-6239-4ADD-8694-4DE461240865}"/>
    <cellStyle name="Normal 13 16_default attrib" xfId="2991" xr:uid="{17F62DA0-0527-45F9-9067-262EAF94A457}"/>
    <cellStyle name="Normal 13 17" xfId="890" xr:uid="{B074BA1A-084D-440D-B607-74F691ACE3B7}"/>
    <cellStyle name="Normal 13 18" xfId="891" xr:uid="{42913598-F759-42E2-85C3-A2062AC7F9BE}"/>
    <cellStyle name="Normal 13 19" xfId="892" xr:uid="{B3788D9D-B239-4929-A2E5-11C6365A424D}"/>
    <cellStyle name="Normal 13 2" xfId="7" xr:uid="{00000000-0005-0000-0000-000008000000}"/>
    <cellStyle name="Normal 13 2 2" xfId="894" xr:uid="{5258051C-F20E-44A5-97ED-C5DD4F111DC3}"/>
    <cellStyle name="Normal 13 2 2 2" xfId="2054" xr:uid="{755FFDFF-5B4A-49A1-9098-E1C02F72C24C}"/>
    <cellStyle name="Normal 13 2 2_default attrib" xfId="2997" xr:uid="{BB2AE0B2-046D-4B0B-8FE9-9EE3D755EFE8}"/>
    <cellStyle name="Normal 13 2 3" xfId="895" xr:uid="{0D09574E-B5ED-4847-B273-DF147773764F}"/>
    <cellStyle name="Normal 13 2 3 2" xfId="2055" xr:uid="{067BA3EB-14F1-4B4B-AF17-FF65A9184C3B}"/>
    <cellStyle name="Normal 13 2 3_default attrib" xfId="2996" xr:uid="{CF480EE1-5E92-44C0-9A7E-4D5047A6E577}"/>
    <cellStyle name="Normal 13 2 4" xfId="896" xr:uid="{50E27058-8353-4F78-88B4-EFA5D5285833}"/>
    <cellStyle name="Normal 13 2 4 2" xfId="2056" xr:uid="{5E1964D4-4288-4417-9723-F6781619643F}"/>
    <cellStyle name="Normal 13 2 4_default attrib" xfId="2995" xr:uid="{24532891-BA11-4BAE-AD6D-97631C05485F}"/>
    <cellStyle name="Normal 13 2 5" xfId="897" xr:uid="{3C47D1C2-BE88-40B1-8FE3-E2126B452872}"/>
    <cellStyle name="Normal 13 2 5 2" xfId="2057" xr:uid="{B7145EAB-A006-47BC-A0B5-23C8FDB9F320}"/>
    <cellStyle name="Normal 13 2 5_default attrib" xfId="2994" xr:uid="{795CE322-5F3B-4467-8D67-B4D13A935965}"/>
    <cellStyle name="Normal 13 2 6" xfId="898" xr:uid="{B35C1BAB-EA11-41F9-B48E-B3C366D435F2}"/>
    <cellStyle name="Normal 13 2 6 2" xfId="2058" xr:uid="{395F2C52-D897-447F-B0BE-87816D76DDF2}"/>
    <cellStyle name="Normal 13 2 6_default attrib" xfId="2993" xr:uid="{007F1135-7062-40DA-BDDE-035105ED79B5}"/>
    <cellStyle name="Normal 13 2 7" xfId="899" xr:uid="{8053300C-9351-4588-B8E4-511102FE4010}"/>
    <cellStyle name="Normal 13 2 7 2" xfId="2059" xr:uid="{00B6A15E-91D4-43E3-9222-AC3952BD6449}"/>
    <cellStyle name="Normal 13 2 7_default attrib" xfId="2992" xr:uid="{66018034-C03B-4296-92D7-B770FF18B218}"/>
    <cellStyle name="Normal 13 2 8" xfId="900" xr:uid="{5C4F3139-81FF-431B-958E-3143E7C82F9E}"/>
    <cellStyle name="Normal 13 2 8 2" xfId="2060" xr:uid="{E99819BC-128B-4EE2-891F-52AEDBE026E7}"/>
    <cellStyle name="Normal 13 2 8_default attrib" xfId="2916" xr:uid="{38057C11-8FAE-437B-87E3-A31EB46E7B2B}"/>
    <cellStyle name="Normal 13 2 9" xfId="893" xr:uid="{4B0878EE-0970-48AB-933A-DDEC76845CAA}"/>
    <cellStyle name="Normal 13 2_default attrib" xfId="2917" xr:uid="{7DA8F250-0313-437A-B8D4-B6763DC2F61A}"/>
    <cellStyle name="Normal 13 20" xfId="901" xr:uid="{AA712AC5-8DBA-444D-9AB8-9426B0E21CEC}"/>
    <cellStyle name="Normal 13 21" xfId="902" xr:uid="{3E0559BC-788B-4EAF-B76A-5AF830105CA3}"/>
    <cellStyle name="Normal 13 22" xfId="903" xr:uid="{06C77A9C-C43F-45C3-B9C8-136EC5ABC97A}"/>
    <cellStyle name="Normal 13 23" xfId="904" xr:uid="{5F843851-716A-4CEA-9872-DF2D7CD8CE3F}"/>
    <cellStyle name="Normal 13 23 2" xfId="2061" xr:uid="{752D546C-90CC-4E07-BAA7-216FECFAA1CE}"/>
    <cellStyle name="Normal 13 24" xfId="905" xr:uid="{BD99B5CC-AB68-47CC-B7E6-5DB36CFFEC3D}"/>
    <cellStyle name="Normal 13 24 2" xfId="2062" xr:uid="{0C5AE035-F50B-40A4-B6C3-1667B2EDA60C}"/>
    <cellStyle name="Normal 13 25" xfId="906" xr:uid="{C7BE4E7E-CA2F-43D2-8B8A-C93BC4C289CB}"/>
    <cellStyle name="Normal 13 25 2" xfId="2063" xr:uid="{587EF527-CF2C-44C0-9CCF-862AD2D3203D}"/>
    <cellStyle name="Normal 13 26" xfId="907" xr:uid="{E05443B9-7B1D-4B9F-9611-8BA11922F53D}"/>
    <cellStyle name="Normal 13 26 2" xfId="2064" xr:uid="{ED36FF3F-8B85-4A17-BD5E-D5196D18B9EA}"/>
    <cellStyle name="Normal 13 27" xfId="908" xr:uid="{2CAA9CB2-D1EA-4D79-8BB3-85C5D842B3E3}"/>
    <cellStyle name="Normal 13 27 2" xfId="2065" xr:uid="{30F75F93-7176-4899-BE33-7CCE3FDC4894}"/>
    <cellStyle name="Normal 13 28" xfId="909" xr:uid="{B06FAF15-3E00-41B3-BF49-C91A71DBF945}"/>
    <cellStyle name="Normal 13 28 2" xfId="2066" xr:uid="{EAFD8BEF-B4B6-43C8-8647-5C5FCC7177B2}"/>
    <cellStyle name="Normal 13 29" xfId="910" xr:uid="{9DE9B524-20E6-465D-9277-E5A11E83D6C9}"/>
    <cellStyle name="Normal 13 29 2" xfId="2067" xr:uid="{E5180C5D-20CB-46B3-81C7-01DDB690DDC8}"/>
    <cellStyle name="Normal 13 3" xfId="8" xr:uid="{00000000-0005-0000-0000-000009000000}"/>
    <cellStyle name="Normal 13 3 2" xfId="2068" xr:uid="{5517471B-4013-4C7E-BC5D-5AAF2F377296}"/>
    <cellStyle name="Normal 13 3 3" xfId="911" xr:uid="{7ADA67BA-1773-47FC-827F-2C13B720AB79}"/>
    <cellStyle name="Normal 13 3_default attrib" xfId="2990" xr:uid="{492B2DC0-F9EA-4135-A7B7-530F96903033}"/>
    <cellStyle name="Normal 13 30" xfId="912" xr:uid="{4E23B031-0B76-497E-811F-8BA9EFE054BD}"/>
    <cellStyle name="Normal 13 30 2" xfId="2069" xr:uid="{EC8E38C4-5C3C-4632-930D-DF7714B58EDB}"/>
    <cellStyle name="Normal 13 31" xfId="913" xr:uid="{90742E1A-5617-4C26-A6CC-88869D9D3208}"/>
    <cellStyle name="Normal 13 31 2" xfId="2070" xr:uid="{7EE35FD6-71D2-42F2-B60E-E96890D1C7FB}"/>
    <cellStyle name="Normal 13 32" xfId="914" xr:uid="{9C43453C-3EA2-48B6-979A-3ABD5AF63617}"/>
    <cellStyle name="Normal 13 32 2" xfId="2071" xr:uid="{A7B89E88-5664-4F3C-B96A-C08253F1E68C}"/>
    <cellStyle name="Normal 13 33" xfId="915" xr:uid="{7E7C93AB-8A96-4FFF-8812-87C898CEC337}"/>
    <cellStyle name="Normal 13 33 2" xfId="2072" xr:uid="{F97CB8F6-754C-4AB8-8B64-779428478EE9}"/>
    <cellStyle name="Normal 13 34" xfId="916" xr:uid="{08696D0F-64A8-4E91-8B49-25BDCAA1C192}"/>
    <cellStyle name="Normal 13 34 2" xfId="2073" xr:uid="{3E5A3DF1-F386-4DAB-B902-9ED6CF971CBC}"/>
    <cellStyle name="Normal 13 35" xfId="917" xr:uid="{EBC60046-594B-40FA-BC6A-B16538D069A4}"/>
    <cellStyle name="Normal 13 35 2" xfId="2074" xr:uid="{F9C7F78F-F926-4337-8E5A-005059EE8817}"/>
    <cellStyle name="Normal 13 36" xfId="918" xr:uid="{27E7D36A-5936-4C70-A26E-9E5DDFCAFC9E}"/>
    <cellStyle name="Normal 13 36 2" xfId="2075" xr:uid="{847B1A36-315A-495C-81D9-870C5B634EB5}"/>
    <cellStyle name="Normal 13 37" xfId="919" xr:uid="{335420C7-4CA8-415F-97E1-A535F70F8433}"/>
    <cellStyle name="Normal 13 37 2" xfId="2076" xr:uid="{0523E620-9BDD-4568-8FBC-C34EB3AB4C79}"/>
    <cellStyle name="Normal 13 38" xfId="920" xr:uid="{008DE3C2-C020-408B-9176-2BF38CF75CE2}"/>
    <cellStyle name="Normal 13 38 2" xfId="2077" xr:uid="{52CCA7DD-1562-48A7-86CF-FD263D1E72A7}"/>
    <cellStyle name="Normal 13 39" xfId="2047" xr:uid="{661FB457-342C-4864-99E0-0A2667335505}"/>
    <cellStyle name="Normal 13 4" xfId="9" xr:uid="{00000000-0005-0000-0000-00000A000000}"/>
    <cellStyle name="Normal 13 4 2" xfId="2078" xr:uid="{FC65A867-348B-433B-922C-052C3D93E28E}"/>
    <cellStyle name="Normal 13 4 3" xfId="921" xr:uid="{F5C9E1D4-D6B3-447E-84E3-0C31AF0FA637}"/>
    <cellStyle name="Normal 13 4_default attrib" xfId="2989" xr:uid="{62547935-AB73-4938-923E-A9A9DF407FF7}"/>
    <cellStyle name="Normal 13 5" xfId="922" xr:uid="{B55937E8-0271-4AD4-93A7-C070B4FB163A}"/>
    <cellStyle name="Normal 13 6" xfId="923" xr:uid="{4B9ECEF9-6253-4ED4-BA05-EAF580EFB8D9}"/>
    <cellStyle name="Normal 13 7" xfId="924" xr:uid="{AC7306CE-395B-460E-B6A8-34DCBBC0FBE0}"/>
    <cellStyle name="Normal 13 8" xfId="925" xr:uid="{742755F0-5750-43B3-B665-F1465F89D406}"/>
    <cellStyle name="Normal 13 9" xfId="926" xr:uid="{4EC3D2E6-3941-48C8-A562-362DE3C60566}"/>
    <cellStyle name="Normal 13 9 2" xfId="2079" xr:uid="{6C9E804D-994C-42F6-A25F-80A25AB4A4E1}"/>
    <cellStyle name="Normal 13 9_default attrib" xfId="2988" xr:uid="{70201A7E-4075-4653-8BE6-90C1B5F3BBE6}"/>
    <cellStyle name="Normal 14" xfId="927" xr:uid="{1594D23B-70A9-40A6-8C3B-3FCE253480F2}"/>
    <cellStyle name="Normal 14 10" xfId="928" xr:uid="{672C6382-EDB8-4B34-8CF4-B2F7D4353D0A}"/>
    <cellStyle name="Normal 14 10 2" xfId="2080" xr:uid="{46510745-5E98-4B51-AF54-0EB52B1436F9}"/>
    <cellStyle name="Normal 14 10_default attrib" xfId="2987" xr:uid="{4D07E4C8-9A24-486B-AF31-4E589991A4BC}"/>
    <cellStyle name="Normal 14 11" xfId="929" xr:uid="{C571A4B7-51BB-4673-B42A-A8A21D430CDE}"/>
    <cellStyle name="Normal 14 11 2" xfId="2081" xr:uid="{57D1ED6C-27F6-45D1-9D71-CFA4705CEA0D}"/>
    <cellStyle name="Normal 14 11_default attrib" xfId="2986" xr:uid="{1BE140BA-B29A-48C1-84AC-ABDC02486FC1}"/>
    <cellStyle name="Normal 14 12" xfId="930" xr:uid="{164F73A1-008A-436D-9191-E7E1DFE61651}"/>
    <cellStyle name="Normal 14 12 2" xfId="2082" xr:uid="{0D3355ED-3411-4134-A8EC-6582EBDEE363}"/>
    <cellStyle name="Normal 14 12_default attrib" xfId="2985" xr:uid="{39D99904-0892-44D5-AFFF-83811130FF19}"/>
    <cellStyle name="Normal 14 13" xfId="931" xr:uid="{5E84D2CF-5899-47E3-A449-1FEF326BF00F}"/>
    <cellStyle name="Normal 14 13 2" xfId="2083" xr:uid="{62728E79-9135-4FA0-B6D7-1E6225280AE7}"/>
    <cellStyle name="Normal 14 13_default attrib" xfId="2984" xr:uid="{8C373D48-120C-46A5-A06A-962344FC58F5}"/>
    <cellStyle name="Normal 14 14" xfId="932" xr:uid="{05ABDF6E-6308-42E7-8392-FBDDD68AC42C}"/>
    <cellStyle name="Normal 14 14 2" xfId="2084" xr:uid="{75759231-6C0D-4B90-9687-03EDC9080C33}"/>
    <cellStyle name="Normal 14 14_default attrib" xfId="2915" xr:uid="{0AACC834-9D3E-4CBA-9F83-B8AB2AD7DE71}"/>
    <cellStyle name="Normal 14 15" xfId="933" xr:uid="{E838B26D-1F8A-47DA-A2C9-27FEA4A0C8E1}"/>
    <cellStyle name="Normal 14 15 2" xfId="2085" xr:uid="{8CEB4F76-B57C-4E9D-B3D9-12F56628FCA1}"/>
    <cellStyle name="Normal 14 15_default attrib" xfId="2983" xr:uid="{CC9DA5B0-8C5C-4A7A-B684-DD7569997C2C}"/>
    <cellStyle name="Normal 14 2" xfId="10" xr:uid="{00000000-0005-0000-0000-00000B000000}"/>
    <cellStyle name="Normal 14 2 2" xfId="935" xr:uid="{FA20A412-CECF-4A7F-B866-48BF64D4EFF4}"/>
    <cellStyle name="Normal 14 2 2 2" xfId="2087" xr:uid="{5B4D62AF-53A1-4A83-8583-3B43BBD6B756}"/>
    <cellStyle name="Normal 14 2 3" xfId="936" xr:uid="{B85EC128-2411-440C-8970-A06990568EB1}"/>
    <cellStyle name="Normal 14 2 3 2" xfId="2088" xr:uid="{01A16E62-E05F-4EFC-9C18-32F03F6E684C}"/>
    <cellStyle name="Normal 14 2 4" xfId="937" xr:uid="{6F40FBE7-4661-4950-A858-3A4F4B5D0834}"/>
    <cellStyle name="Normal 14 2 4 2" xfId="2089" xr:uid="{E06F3459-EB66-4C44-A018-D724F45040DE}"/>
    <cellStyle name="Normal 14 2 5" xfId="938" xr:uid="{9E859F7F-D1BD-4525-8CDA-7FF74A1F6F2E}"/>
    <cellStyle name="Normal 14 2 5 2" xfId="2090" xr:uid="{ACA1498E-FF23-4EC3-877B-F061E610588C}"/>
    <cellStyle name="Normal 14 2 6" xfId="939" xr:uid="{0A1EDAD2-C5C4-45C9-AC16-729977644134}"/>
    <cellStyle name="Normal 14 2 6 2" xfId="2091" xr:uid="{760836F5-D798-4843-956D-74F6AA329ECD}"/>
    <cellStyle name="Normal 14 2 7" xfId="940" xr:uid="{0805D070-0D1D-4828-B4CC-1D41135B3A14}"/>
    <cellStyle name="Normal 14 2 7 2" xfId="2092" xr:uid="{A7865BF4-BDB0-427B-9608-FA3B88545ADF}"/>
    <cellStyle name="Normal 14 2 8" xfId="2086" xr:uid="{B9178DAC-2993-43BA-850C-5209C0A7DDED}"/>
    <cellStyle name="Normal 14 2 9" xfId="934" xr:uid="{414AFA8B-64FB-4DB1-9D1A-D411FA84C064}"/>
    <cellStyle name="Normal 14 2_default attrib" xfId="2982" xr:uid="{C710CD2C-4868-4969-8500-96DB6D6028AC}"/>
    <cellStyle name="Normal 14 3" xfId="11" xr:uid="{00000000-0005-0000-0000-00000C000000}"/>
    <cellStyle name="Normal 14 3 2" xfId="2093" xr:uid="{54358215-9D31-430B-860C-7DC4DE98F3EF}"/>
    <cellStyle name="Normal 14 3 3" xfId="941" xr:uid="{7C2758CE-1B8B-4371-8B7C-65B8713F5F38}"/>
    <cellStyle name="Normal 14 3_default attrib" xfId="2981" xr:uid="{60B13094-DD51-427E-9640-D23491F6D53F}"/>
    <cellStyle name="Normal 14 4" xfId="12" xr:uid="{00000000-0005-0000-0000-00000D000000}"/>
    <cellStyle name="Normal 14 4 2" xfId="2094" xr:uid="{2460FAB8-3F52-43E7-A936-9B4EF6B63F0B}"/>
    <cellStyle name="Normal 14 4 3" xfId="942" xr:uid="{46A518F7-C3CA-42E1-AD5B-E7013066730A}"/>
    <cellStyle name="Normal 14 4_default attrib" xfId="2914" xr:uid="{48824984-2ECA-4693-9CF1-BA7F5656F47B}"/>
    <cellStyle name="Normal 14 5" xfId="943" xr:uid="{9D310730-216B-43BF-A15F-96AEE77BC1C0}"/>
    <cellStyle name="Normal 14 5 2" xfId="2095" xr:uid="{842B81D2-8BCF-40AE-807B-8BC14BF28EF7}"/>
    <cellStyle name="Normal 14 5_default attrib" xfId="2913" xr:uid="{1394FB2A-E0B9-4F2C-AA45-778698DFFAD2}"/>
    <cellStyle name="Normal 14 6" xfId="944" xr:uid="{EED2E063-908D-45E1-BCBE-376AB1287FEB}"/>
    <cellStyle name="Normal 14 6 2" xfId="2096" xr:uid="{5F6D90FD-171A-4016-AE59-8FD73FCE26E2}"/>
    <cellStyle name="Normal 14 7" xfId="945" xr:uid="{BEB32048-6551-41A7-BF2C-A86D9ED7C6B3}"/>
    <cellStyle name="Normal 14 7 2" xfId="2097" xr:uid="{513D5848-04B6-4612-95A2-B6AA8FB642D4}"/>
    <cellStyle name="Normal 14 8" xfId="946" xr:uid="{F7E4E163-94AF-457F-BCC6-2CC3CE6F46F5}"/>
    <cellStyle name="Normal 14 8 2" xfId="2098" xr:uid="{7749550B-F1A4-48A1-8CC3-7E6112F22291}"/>
    <cellStyle name="Normal 14 9" xfId="947" xr:uid="{20FA1388-D8C2-4256-B365-098A33286401}"/>
    <cellStyle name="Normal 14 9 2" xfId="2099" xr:uid="{9FECCE96-DC95-4256-93F6-8998FE000F73}"/>
    <cellStyle name="Normal 15" xfId="948" xr:uid="{8308196C-61BD-4DBF-BCF1-3BA379E2EF0E}"/>
    <cellStyle name="Normal 15 2" xfId="13" xr:uid="{00000000-0005-0000-0000-00000E000000}"/>
    <cellStyle name="Normal 15 2 2" xfId="2100" xr:uid="{2019E82E-029C-410A-88EE-174D42CF99F8}"/>
    <cellStyle name="Normal 15 2 3" xfId="949" xr:uid="{36BE6683-65D2-4CCA-9198-27780CEE9F5C}"/>
    <cellStyle name="Normal 15 2_default attrib" xfId="2912" xr:uid="{AEC7A044-A716-4EBE-92F7-C181D2BF4C5C}"/>
    <cellStyle name="Normal 15 3" xfId="14" xr:uid="{00000000-0005-0000-0000-00000F000000}"/>
    <cellStyle name="Normal 15 3 2" xfId="2101" xr:uid="{AEED8D27-3B35-4419-AFD1-7681994B69FA}"/>
    <cellStyle name="Normal 15 3 3" xfId="950" xr:uid="{730E7140-56E4-41D5-83A5-E3BAA423095F}"/>
    <cellStyle name="Normal 15 3_default attrib" xfId="2980" xr:uid="{00F99269-B0E4-4222-A724-D48D1F99B428}"/>
    <cellStyle name="Normal 15 4" xfId="15" xr:uid="{00000000-0005-0000-0000-000010000000}"/>
    <cellStyle name="Normal 15 4 2" xfId="2102" xr:uid="{56C09995-16CC-44FB-A0B1-4F3536A52C4D}"/>
    <cellStyle name="Normal 15 4 3" xfId="951" xr:uid="{B53E0A27-B9F1-40C0-A288-94B58BF3F155}"/>
    <cellStyle name="Normal 15 4_default attrib" xfId="2911" xr:uid="{B3C48D94-1299-4618-B19D-B31BB96CFA60}"/>
    <cellStyle name="Normal 15 5" xfId="952" xr:uid="{4ABCA699-0E38-451B-A9C2-C2313978E34C}"/>
    <cellStyle name="Normal 15 5 2" xfId="2103" xr:uid="{4F4B5CD7-B506-49BE-A3A5-1F5384BF2D0C}"/>
    <cellStyle name="Normal 15 6" xfId="953" xr:uid="{C62F525E-D370-4A16-9527-600D15FC20C2}"/>
    <cellStyle name="Normal 15 6 2" xfId="2104" xr:uid="{6AD01C74-5714-4E0D-9B03-9AB33D3B3CB4}"/>
    <cellStyle name="Normal 16" xfId="954" xr:uid="{FC961EF5-DC32-4F2C-9F90-5A9D79839C7D}"/>
    <cellStyle name="Normal 16 2" xfId="955" xr:uid="{41852755-ECAD-41EC-BBFF-F8E13E72BA6F}"/>
    <cellStyle name="Normal 16 2 2" xfId="2106" xr:uid="{05E57213-A5A3-480A-9011-968CC3795C8C}"/>
    <cellStyle name="Normal 16 3" xfId="956" xr:uid="{E4353A94-B7D1-4F14-ADC8-5242136E8204}"/>
    <cellStyle name="Normal 16 3 2" xfId="2107" xr:uid="{409479B6-0996-47A5-9CB9-4D46426C8383}"/>
    <cellStyle name="Normal 16 4" xfId="957" xr:uid="{96B311D6-8827-4650-A1AE-DB130EBF520C}"/>
    <cellStyle name="Normal 16 4 2" xfId="2108" xr:uid="{350C6F9E-345F-4723-9F1F-C9FDA19E828C}"/>
    <cellStyle name="Normal 16 5" xfId="958" xr:uid="{4EA62509-C1FB-4A84-A124-0DFC0E76F057}"/>
    <cellStyle name="Normal 16 5 2" xfId="2109" xr:uid="{EEC989A2-18D3-4585-90EF-BD018E398FA6}"/>
    <cellStyle name="Normal 16 6" xfId="959" xr:uid="{7ED0B0F0-196E-455B-957B-A47DAFF94B82}"/>
    <cellStyle name="Normal 16 6 2" xfId="2110" xr:uid="{C36687B8-EB63-4C69-8F51-6702BC3AD34A}"/>
    <cellStyle name="Normal 16 7" xfId="2105" xr:uid="{E680C7AB-9019-4EEE-9DA4-20C335B3E5C1}"/>
    <cellStyle name="Normal 16_default attrib" xfId="2979" xr:uid="{969121EC-49EF-49E3-8F62-C38C5AE0C4C3}"/>
    <cellStyle name="Normal 17" xfId="960" xr:uid="{A993EB3C-6FA2-41FF-963D-9ED90C55A31F}"/>
    <cellStyle name="Normal 17 10" xfId="961" xr:uid="{A6814109-F143-4143-BC03-F5A3F544A7F3}"/>
    <cellStyle name="Normal 17 10 2" xfId="2112" xr:uid="{2167E0B8-9DEA-4907-A748-56B70E8D1D7A}"/>
    <cellStyle name="Normal 17 11" xfId="962" xr:uid="{3C2FAE1F-F9F6-460D-A863-7055FF3B6922}"/>
    <cellStyle name="Normal 17 11 2" xfId="2113" xr:uid="{CEC49820-566A-4F37-8BFB-64E369C921CC}"/>
    <cellStyle name="Normal 17 12" xfId="963" xr:uid="{77BB202F-8284-403B-BAF7-866F450D22C6}"/>
    <cellStyle name="Normal 17 12 2" xfId="2114" xr:uid="{95161548-2B88-4081-9D2B-CB364749441D}"/>
    <cellStyle name="Normal 17 13" xfId="964" xr:uid="{0E5BF878-2F79-4953-9352-AC5D5AB86D25}"/>
    <cellStyle name="Normal 17 13 2" xfId="2115" xr:uid="{6AC017E4-2DC6-4DA5-9415-612B74DF21D1}"/>
    <cellStyle name="Normal 17 14" xfId="2111" xr:uid="{73CD6540-49BC-4D92-B083-2853F9C8F5E4}"/>
    <cellStyle name="Normal 17 2" xfId="965" xr:uid="{3BC3FD45-9B86-45C6-AE01-747AC6CCD232}"/>
    <cellStyle name="Normal 17 2 2" xfId="2116" xr:uid="{3F215C67-2525-47E1-8493-178EC73FE56F}"/>
    <cellStyle name="Normal 17 3" xfId="966" xr:uid="{9E52EFCF-D0BE-4332-A68C-C89C4C538F05}"/>
    <cellStyle name="Normal 17 3 2" xfId="2117" xr:uid="{D547914F-30C2-4FCF-9698-54AC968119AE}"/>
    <cellStyle name="Normal 17 4" xfId="967" xr:uid="{CDC8797A-7D45-402D-BE47-6D3748701265}"/>
    <cellStyle name="Normal 17 4 2" xfId="2118" xr:uid="{3E9D2639-CEBC-4946-B1BD-C69877A14B0F}"/>
    <cellStyle name="Normal 17 5" xfId="968" xr:uid="{DD7BCE61-8C4A-4E7E-80DC-7C83D815CE62}"/>
    <cellStyle name="Normal 17 5 2" xfId="2119" xr:uid="{7186F312-6F66-4F3A-B817-C5AC3B11BDB9}"/>
    <cellStyle name="Normal 17 6" xfId="969" xr:uid="{F080B4FD-598B-4FBF-838A-926CF6A3C55F}"/>
    <cellStyle name="Normal 17 6 2" xfId="2120" xr:uid="{7DC2358B-20A6-445C-BC37-0C8B01D692DF}"/>
    <cellStyle name="Normal 17 7" xfId="970" xr:uid="{1E62AB2D-CAC1-47B7-AEC6-62875C80AB48}"/>
    <cellStyle name="Normal 17 7 2" xfId="2121" xr:uid="{C05E59CD-AE29-45DC-895D-1BDA3FB80A31}"/>
    <cellStyle name="Normal 17 8" xfId="971" xr:uid="{1710F5AB-A61B-4FEB-A919-E48E9DE93B34}"/>
    <cellStyle name="Normal 17 8 2" xfId="2122" xr:uid="{677D8756-999E-4F26-814E-884C7C9D520B}"/>
    <cellStyle name="Normal 17 9" xfId="972" xr:uid="{F251A741-9297-418E-9D54-1F762A4AEFA6}"/>
    <cellStyle name="Normal 17 9 2" xfId="2123" xr:uid="{34C0E2C7-36B8-4220-BE48-87F75C54B39D}"/>
    <cellStyle name="Normal 17_default attrib" xfId="2910" xr:uid="{64EBA96B-9D47-4D28-AEA3-78ACBF84B4D2}"/>
    <cellStyle name="Normal 18" xfId="973" xr:uid="{1577EC76-065A-4FD5-A36B-C8D0C0792A17}"/>
    <cellStyle name="Normal 18 2" xfId="2124" xr:uid="{30039B6E-D20C-40C6-B745-9BECFB6B2F22}"/>
    <cellStyle name="Normal 18_default attrib" xfId="2978" xr:uid="{01ECAE21-5BE8-4EDD-9359-D534D6DBA4EC}"/>
    <cellStyle name="Normal 19" xfId="59" xr:uid="{D15C7D1A-010F-4122-A557-41A5F1E4DFCA}"/>
    <cellStyle name="Normal 2" xfId="16" xr:uid="{00000000-0005-0000-0000-000011000000}"/>
    <cellStyle name="Normal 2 10" xfId="17" xr:uid="{00000000-0005-0000-0000-000012000000}"/>
    <cellStyle name="Normal 2 10 2" xfId="2126" xr:uid="{E2B78828-0A1C-4E0D-BC42-FD6A19F2728B}"/>
    <cellStyle name="Normal 2 11" xfId="975" xr:uid="{E7D0927B-6B7F-4DA1-A10B-2EA4002B6878}"/>
    <cellStyle name="Normal 2 11 2" xfId="2127" xr:uid="{4521604B-E6FC-4FC2-8383-20F147081ED4}"/>
    <cellStyle name="Normal 2 12" xfId="976" xr:uid="{3639DA53-2869-454F-9532-084A40807B5C}"/>
    <cellStyle name="Normal 2 12 2" xfId="2128" xr:uid="{CD8DC9AB-0601-4002-A25B-F5D5638AE0AE}"/>
    <cellStyle name="Normal 2 13" xfId="977" xr:uid="{88C01517-32D5-48C6-97E5-6138C1C9D27F}"/>
    <cellStyle name="Normal 2 13 2" xfId="2129" xr:uid="{BF726961-7C15-48A8-9444-777BC46FF519}"/>
    <cellStyle name="Normal 2 14" xfId="978" xr:uid="{CEDF19E6-2358-43FD-8225-26B4CAFD13EC}"/>
    <cellStyle name="Normal 2 14 2" xfId="2130" xr:uid="{4749D3FD-E042-4324-BE46-12CA47E56CCA}"/>
    <cellStyle name="Normal 2 15" xfId="979" xr:uid="{86EB657A-CD71-435B-91FC-E2BB70A5A971}"/>
    <cellStyle name="Normal 2 15 2" xfId="2131" xr:uid="{3F55CC00-08D0-49CF-9EC5-3356D2892ADB}"/>
    <cellStyle name="Normal 2 16" xfId="980" xr:uid="{3114B1EA-1ADA-4529-8A8B-C5B2781CC99B}"/>
    <cellStyle name="Normal 2 16 2" xfId="2132" xr:uid="{E9FA4D90-C489-46C9-881A-396BA02CE900}"/>
    <cellStyle name="Normal 2 17" xfId="981" xr:uid="{26192D10-276C-406C-9BD5-66CC8C4D6C06}"/>
    <cellStyle name="Normal 2 17 2" xfId="2133" xr:uid="{9F8804DF-DA7C-4239-A770-C1A6B47E99C8}"/>
    <cellStyle name="Normal 2 18" xfId="2125" xr:uid="{5E4DF97E-5A3A-4735-9FD6-4311DB97C621}"/>
    <cellStyle name="Normal 2 19" xfId="974" xr:uid="{23D9BDEE-243D-439A-B27A-CE4C60840E9E}"/>
    <cellStyle name="Normal 2 2" xfId="18" xr:uid="{00000000-0005-0000-0000-000013000000}"/>
    <cellStyle name="Normal 2 2 10" xfId="982" xr:uid="{9F6785E1-AA1C-445D-88BE-0283535AD514}"/>
    <cellStyle name="Normal 2 2 10 2" xfId="2135" xr:uid="{C678B595-6564-4A60-98D4-41ECA702CEC1}"/>
    <cellStyle name="Normal 2 2 10_default attrib" xfId="2909" xr:uid="{6A6A95EF-C44C-4682-AC60-1BA70305D073}"/>
    <cellStyle name="Normal 2 2 11" xfId="983" xr:uid="{38A5F5E5-B249-408E-A72A-0C027432CE26}"/>
    <cellStyle name="Normal 2 2 11 2" xfId="2136" xr:uid="{F0EAFCA9-3F46-454D-9089-8CB3DF007F54}"/>
    <cellStyle name="Normal 2 2 11_default attrib" xfId="2908" xr:uid="{2D0FF6F5-6921-46CD-8AB8-2C8519F72891}"/>
    <cellStyle name="Normal 2 2 12" xfId="984" xr:uid="{4A7056C3-EFEA-4B17-AE25-257A33EDD65C}"/>
    <cellStyle name="Normal 2 2 12 2" xfId="2137" xr:uid="{5B44796B-3956-4269-AE6A-4AD102B48925}"/>
    <cellStyle name="Normal 2 2 12_default attrib" xfId="2907" xr:uid="{4298B057-D778-4355-8C32-C3891F65DC7F}"/>
    <cellStyle name="Normal 2 2 13" xfId="985" xr:uid="{E04B55AA-A841-4D83-BD4D-DCDFFED13198}"/>
    <cellStyle name="Normal 2 2 13 2" xfId="2138" xr:uid="{A142A1F5-46C6-436E-B3AF-0DA52D30238A}"/>
    <cellStyle name="Normal 2 2 13_default attrib" xfId="2906" xr:uid="{7C57C4E4-DC6E-47FE-9465-F26845014ED3}"/>
    <cellStyle name="Normal 2 2 14" xfId="986" xr:uid="{42AD1037-56AC-45BE-84EA-F6F95817B128}"/>
    <cellStyle name="Normal 2 2 14 2" xfId="2139" xr:uid="{CD26DFA4-A46F-410E-B69B-4C7753C7699C}"/>
    <cellStyle name="Normal 2 2 15" xfId="2134" xr:uid="{DD81E944-F651-48BF-B87D-89737706218C}"/>
    <cellStyle name="Normal 2 2 2" xfId="987" xr:uid="{C32C1100-57E0-4EBD-98CB-945180D2A642}"/>
    <cellStyle name="Normal 2 2 2 2" xfId="2140" xr:uid="{58101976-07D3-4984-A6C7-FB45744DF046}"/>
    <cellStyle name="Normal 2 2 2_default attrib" xfId="2905" xr:uid="{2B4EA3C0-9ED6-477F-9F3E-CD20559C513D}"/>
    <cellStyle name="Normal 2 2 3" xfId="988" xr:uid="{84A88E2B-BE31-48EF-896E-A0775F68925E}"/>
    <cellStyle name="Normal 2 2 3 2" xfId="2141" xr:uid="{78B1A2AF-AE93-4361-BA58-4E4A88F634BE}"/>
    <cellStyle name="Normal 2 2 3_default attrib" xfId="2976" xr:uid="{F40393F3-7C9A-4C0A-AEBF-89FBCB08E558}"/>
    <cellStyle name="Normal 2 2 4" xfId="989" xr:uid="{3739CA34-BAE3-4CEC-B10F-FF6DAFC16289}"/>
    <cellStyle name="Normal 2 2 4 2" xfId="2142" xr:uid="{2CAE8CB5-0C67-4D22-901D-07ABD1C99FEC}"/>
    <cellStyle name="Normal 2 2 4_default attrib" xfId="2975" xr:uid="{DA4DCB52-0E57-4656-A00A-780B0B85ED74}"/>
    <cellStyle name="Normal 2 2 5" xfId="990" xr:uid="{8BB4FAF5-442D-404B-9554-774C5755BBC3}"/>
    <cellStyle name="Normal 2 2 5 2" xfId="2143" xr:uid="{21084791-0761-4A78-819E-D6585D31D03F}"/>
    <cellStyle name="Normal 2 2 5_default attrib" xfId="2974" xr:uid="{2CB0632E-623F-4A43-9DC1-A1100CDD1A75}"/>
    <cellStyle name="Normal 2 2 6" xfId="991" xr:uid="{C9E23F25-C941-4491-A638-707CEC305EA0}"/>
    <cellStyle name="Normal 2 2 6 2" xfId="2144" xr:uid="{919DA973-7634-4073-B47F-375E53566353}"/>
    <cellStyle name="Normal 2 2 6_default attrib" xfId="2973" xr:uid="{C1A70182-4A0D-4F20-AD28-2C42E4A45084}"/>
    <cellStyle name="Normal 2 2 7" xfId="992" xr:uid="{4A9D852C-34E9-4F28-8398-9270AE7F7629}"/>
    <cellStyle name="Normal 2 2 7 2" xfId="2145" xr:uid="{2F21B40F-7CCE-44DD-BAC1-3B8B33EF9B24}"/>
    <cellStyle name="Normal 2 2 7_default attrib" xfId="2904" xr:uid="{8DA40792-1E57-41E8-B955-DBF3B1E8DBA0}"/>
    <cellStyle name="Normal 2 2 8" xfId="993" xr:uid="{08CDCD8E-2A6E-4F13-A78A-BE1ED06CE61B}"/>
    <cellStyle name="Normal 2 2 8 2" xfId="2146" xr:uid="{DBE63167-5D40-4854-9003-6B5D06EEDC4E}"/>
    <cellStyle name="Normal 2 2 8_default attrib" xfId="2903" xr:uid="{C6C6B7A8-8606-483E-A3CD-0804FA5C2E0A}"/>
    <cellStyle name="Normal 2 2 9" xfId="994" xr:uid="{E03AD6DE-F154-49D0-A830-2BE37243C210}"/>
    <cellStyle name="Normal 2 2 9 2" xfId="2147" xr:uid="{59665C83-27F4-435F-9939-E6684E958228}"/>
    <cellStyle name="Normal 2 2 9_default attrib" xfId="2902" xr:uid="{956D9918-71D7-472F-9289-ACCADE06CCF2}"/>
    <cellStyle name="Normal 2 3" xfId="19" xr:uid="{00000000-0005-0000-0000-000014000000}"/>
    <cellStyle name="Normal 2 3 10" xfId="995" xr:uid="{F5B896A8-7B25-44FB-83B0-B035F92AA5C1}"/>
    <cellStyle name="Normal 2 3 10 2" xfId="2149" xr:uid="{BB6DB639-B901-4EF7-BBC1-01F930DAB1C0}"/>
    <cellStyle name="Normal 2 3 10_default attrib" xfId="2901" xr:uid="{195610B0-33C2-446A-82D0-732E00E4F2B4}"/>
    <cellStyle name="Normal 2 3 11" xfId="996" xr:uid="{6F63A58D-86B0-4BBC-AE9F-DAE579A377D2}"/>
    <cellStyle name="Normal 2 3 11 2" xfId="2150" xr:uid="{9FB6D08A-B574-4622-B7A0-35931757F97F}"/>
    <cellStyle name="Normal 2 3 11_default attrib" xfId="2900" xr:uid="{9258D062-55DA-4D75-ACA3-572B3387CE6F}"/>
    <cellStyle name="Normal 2 3 12" xfId="997" xr:uid="{E577E1BD-8E0C-4C5A-9246-35AC50D5C701}"/>
    <cellStyle name="Normal 2 3 12 2" xfId="2151" xr:uid="{D2A1B8D6-BF13-4951-B18A-154EE5A04846}"/>
    <cellStyle name="Normal 2 3 12_default attrib" xfId="2899" xr:uid="{D1080394-EBC6-43D6-8B0F-7AC33C19D79A}"/>
    <cellStyle name="Normal 2 3 13" xfId="998" xr:uid="{EEBFD2EA-381D-42FF-8510-F366E0E3BFC2}"/>
    <cellStyle name="Normal 2 3 13 2" xfId="2152" xr:uid="{401D395C-6B63-4002-A486-41131CBC25A5}"/>
    <cellStyle name="Normal 2 3 13_default attrib" xfId="2898" xr:uid="{E74FC4BA-8021-421B-8F5A-1324A3390D61}"/>
    <cellStyle name="Normal 2 3 14" xfId="2148" xr:uid="{BA031270-379D-477E-A5A4-12CC939A68EB}"/>
    <cellStyle name="Normal 2 3 2" xfId="999" xr:uid="{6481FCCC-5B7B-4799-BB7C-4B8B6DC9F819}"/>
    <cellStyle name="Normal 2 3 2 2" xfId="2153" xr:uid="{3759AE3B-A0F8-4CCB-85A1-5961DBB15266}"/>
    <cellStyle name="Normal 2 3 2_default attrib" xfId="2972" xr:uid="{44C51BAE-77CA-4F73-AD9C-B77589CF15FA}"/>
    <cellStyle name="Normal 2 3 3" xfId="1000" xr:uid="{31DB05DC-4EC3-4161-9845-3B3EF2032D85}"/>
    <cellStyle name="Normal 2 3 3 2" xfId="2154" xr:uid="{2811B8FF-4589-4D9B-AB2C-40E5110693EE}"/>
    <cellStyle name="Normal 2 3 3_default attrib" xfId="2897" xr:uid="{89B46364-8473-408C-94BA-DAF3BE47720C}"/>
    <cellStyle name="Normal 2 3 4" xfId="1001" xr:uid="{2649CDC2-7269-44EF-B4D9-4D1D94220693}"/>
    <cellStyle name="Normal 2 3 4 2" xfId="2155" xr:uid="{77FE4F88-E54B-4466-9391-917EEA6014AF}"/>
    <cellStyle name="Normal 2 3 4_default attrib" xfId="2896" xr:uid="{1D4BC630-823B-4BCA-9B62-5810107C0902}"/>
    <cellStyle name="Normal 2 3 5" xfId="1002" xr:uid="{8F8265DB-9B65-4447-A4FB-E7DF059A707B}"/>
    <cellStyle name="Normal 2 3 5 2" xfId="2156" xr:uid="{4D6CEE00-3086-42F7-9050-6546BC8890F2}"/>
    <cellStyle name="Normal 2 3 5_default attrib" xfId="2895" xr:uid="{E8CD6756-99F2-459E-BB29-84AF3CCD0CB4}"/>
    <cellStyle name="Normal 2 3 6" xfId="1003" xr:uid="{DBC7764C-3E74-44B6-B21C-88E55F043AF3}"/>
    <cellStyle name="Normal 2 3 6 2" xfId="2157" xr:uid="{5BAB5183-7CCE-4DCE-BB57-074AF2BC1215}"/>
    <cellStyle name="Normal 2 3 6_default attrib" xfId="2894" xr:uid="{FDEFCCFB-2BA7-4BBB-B4A6-616F5058294D}"/>
    <cellStyle name="Normal 2 3 7" xfId="1004" xr:uid="{FF031BDE-BAC7-4FA9-BFA4-B3E232B4A555}"/>
    <cellStyle name="Normal 2 3 7 2" xfId="2158" xr:uid="{D2F234B5-716B-49D0-9CA9-0870A81620D7}"/>
    <cellStyle name="Normal 2 3 7_default attrib" xfId="2893" xr:uid="{7ADB6322-630A-4B23-82BF-2E9FFEA028B9}"/>
    <cellStyle name="Normal 2 3 8" xfId="1005" xr:uid="{A9B9105A-3D13-426B-A234-02D8A89A04DA}"/>
    <cellStyle name="Normal 2 3 8 2" xfId="2159" xr:uid="{98107043-405A-4C3A-88C0-6A2986A39582}"/>
    <cellStyle name="Normal 2 3 8_default attrib" xfId="2892" xr:uid="{D2FB5667-50C0-4929-AE28-757314E5D1E6}"/>
    <cellStyle name="Normal 2 3 9" xfId="1006" xr:uid="{945E6E94-80D0-4174-B952-8939FA5DC42F}"/>
    <cellStyle name="Normal 2 3 9 2" xfId="2160" xr:uid="{90BF402A-6ECE-4687-9A3A-9A108A2797C4}"/>
    <cellStyle name="Normal 2 3 9_default attrib" xfId="2891" xr:uid="{6831290C-8456-49A2-9BF2-360389B7B525}"/>
    <cellStyle name="Normal 2 4" xfId="20" xr:uid="{00000000-0005-0000-0000-000015000000}"/>
    <cellStyle name="Normal 2 4 10" xfId="1008" xr:uid="{4AF70468-C4F7-4459-BFEF-9EBF361924D7}"/>
    <cellStyle name="Normal 2 4 10 2" xfId="2162" xr:uid="{4B7DA591-8662-47BA-9345-EABF13E9E4FF}"/>
    <cellStyle name="Normal 2 4 10_default attrib" xfId="2971" xr:uid="{8FA38DA3-4E65-42B0-8594-973FF22F44A9}"/>
    <cellStyle name="Normal 2 4 11" xfId="1009" xr:uid="{8019F3E3-1636-4F0E-A399-39BEB0DE3186}"/>
    <cellStyle name="Normal 2 4 11 2" xfId="2163" xr:uid="{CAAB2520-4E86-4989-A66E-D30FB836B7EF}"/>
    <cellStyle name="Normal 2 4 11_default attrib" xfId="2970" xr:uid="{A5B27AEF-D560-4B46-81E1-59C40103BC73}"/>
    <cellStyle name="Normal 2 4 12" xfId="1010" xr:uid="{AC3EBE2A-E02A-4B50-81AE-644FECC6EF80}"/>
    <cellStyle name="Normal 2 4 12 2" xfId="2164" xr:uid="{A62EA350-A7E2-48FF-A1AC-2CED9FA1B5EF}"/>
    <cellStyle name="Normal 2 4 12_default attrib" xfId="2969" xr:uid="{99C4B594-A83E-4558-8785-DB3506269106}"/>
    <cellStyle name="Normal 2 4 13" xfId="1011" xr:uid="{CCD0B04F-E4BC-4B4E-AD02-8B89EE22C89A}"/>
    <cellStyle name="Normal 2 4 13 2" xfId="2165" xr:uid="{4FA975F8-A217-4195-8AAB-5923C8125276}"/>
    <cellStyle name="Normal 2 4 13_default attrib" xfId="2968" xr:uid="{FFB9DD69-D3B9-4650-82E5-0607B43FCC4F}"/>
    <cellStyle name="Normal 2 4 14" xfId="2161" xr:uid="{32ED66B2-0ADD-416D-ABAA-C0C45EB71869}"/>
    <cellStyle name="Normal 2 4 15" xfId="1007" xr:uid="{FC64595F-71BD-4DEA-8F32-54EC63413721}"/>
    <cellStyle name="Normal 2 4 16" xfId="55" xr:uid="{5CD4C213-5ACF-42AD-AAEC-D0DB64DF9B7D}"/>
    <cellStyle name="Normal 2 4 2" xfId="1012" xr:uid="{345C35FE-8FE8-4218-AA08-85296D6D1463}"/>
    <cellStyle name="Normal 2 4 2 2" xfId="2166" xr:uid="{E2FB2791-71BB-47FF-87AE-5CD1935A2C10}"/>
    <cellStyle name="Normal 2 4 2_default attrib" xfId="2967" xr:uid="{161DA2C6-93F3-4D9A-AEC5-66E52C228097}"/>
    <cellStyle name="Normal 2 4 3" xfId="1013" xr:uid="{F680386B-13A3-462B-BBF6-158FB468E9FA}"/>
    <cellStyle name="Normal 2 4 3 2" xfId="2167" xr:uid="{3F7372E5-56EC-47A5-B9D2-D2C33990054F}"/>
    <cellStyle name="Normal 2 4 3_default attrib" xfId="2966" xr:uid="{AABE7235-4992-4E2E-B05C-F217C687FFC7}"/>
    <cellStyle name="Normal 2 4 4" xfId="1014" xr:uid="{8C43202A-495C-4A1E-8F9C-29A7E2BE40F5}"/>
    <cellStyle name="Normal 2 4 4 2" xfId="2168" xr:uid="{A8C0EC08-C64E-4224-AFB7-7D13A4B665DA}"/>
    <cellStyle name="Normal 2 4 4_default attrib" xfId="2965" xr:uid="{89F9C49A-FF5B-41FD-A0D3-96AEFE36E232}"/>
    <cellStyle name="Normal 2 4 5" xfId="1015" xr:uid="{B67D2A20-C703-4508-94F3-E7E6A8C6423B}"/>
    <cellStyle name="Normal 2 4 5 2" xfId="2169" xr:uid="{43C865A3-C3D9-4FD9-8DB0-FFAF2F7FDF2C}"/>
    <cellStyle name="Normal 2 4 5_default attrib" xfId="2890" xr:uid="{4D9384D7-320D-4424-9A37-DF3E6D4EE233}"/>
    <cellStyle name="Normal 2 4 6" xfId="1016" xr:uid="{7AA0170B-2F58-40DA-978A-15C29CE48CF1}"/>
    <cellStyle name="Normal 2 4 6 2" xfId="2170" xr:uid="{920BC489-1278-4BC5-956C-8A747587562F}"/>
    <cellStyle name="Normal 2 4 6_default attrib" xfId="2963" xr:uid="{E51D012F-D143-4B5A-8DE5-CDB470D9D373}"/>
    <cellStyle name="Normal 2 4 7" xfId="1017" xr:uid="{BF7F6166-5A96-4266-A2D6-10C13B534167}"/>
    <cellStyle name="Normal 2 4 7 2" xfId="2171" xr:uid="{8624DF81-82D6-41FF-A27E-46B9902448FA}"/>
    <cellStyle name="Normal 2 4 7_default attrib" xfId="2962" xr:uid="{9870D984-46BD-4872-8B8B-AAEF79B79C1E}"/>
    <cellStyle name="Normal 2 4 8" xfId="1018" xr:uid="{93C7E61E-AAFD-4CAB-97CE-03A18E8DF4E3}"/>
    <cellStyle name="Normal 2 4 8 2" xfId="2172" xr:uid="{6DDB8160-20FD-4109-8190-2CA43258B399}"/>
    <cellStyle name="Normal 2 4 8_default attrib" xfId="2961" xr:uid="{6704C8FD-867B-49B9-844E-720077D6BA3B}"/>
    <cellStyle name="Normal 2 4 9" xfId="1019" xr:uid="{CD08B0FD-E670-482B-A49E-2F542EE2BFE6}"/>
    <cellStyle name="Normal 2 4 9 2" xfId="2173" xr:uid="{8332BB65-90AD-457A-BF49-5E3DBFC11F49}"/>
    <cellStyle name="Normal 2 4 9_default attrib" xfId="2960" xr:uid="{7700E66F-AC09-4CBE-AA3C-3203CF7229C9}"/>
    <cellStyle name="Normal 2 4_default attrib" xfId="2964" xr:uid="{A44332CE-61D1-429B-A1F8-CDDD6CA5BC03}"/>
    <cellStyle name="Normal 2 5" xfId="21" xr:uid="{00000000-0005-0000-0000-000016000000}"/>
    <cellStyle name="Normal 2 5 2" xfId="2174" xr:uid="{29C446D9-6204-462F-B6CF-A461780BD409}"/>
    <cellStyle name="Normal 2 6" xfId="22" xr:uid="{00000000-0005-0000-0000-000017000000}"/>
    <cellStyle name="Normal 2 6 2" xfId="2175" xr:uid="{2E887B9C-8989-44BB-9173-4C30BB4A05F6}"/>
    <cellStyle name="Normal 2 7" xfId="23" xr:uid="{00000000-0005-0000-0000-000018000000}"/>
    <cellStyle name="Normal 2 7 2" xfId="2176" xr:uid="{1208AB55-A82F-4562-8B4D-63FDB44346B1}"/>
    <cellStyle name="Normal 2 8" xfId="24" xr:uid="{00000000-0005-0000-0000-000019000000}"/>
    <cellStyle name="Normal 2 8 2" xfId="2177" xr:uid="{469E76A4-1948-4696-9C7D-FCBB3C3BC858}"/>
    <cellStyle name="Normal 2 9" xfId="25" xr:uid="{00000000-0005-0000-0000-00001A000000}"/>
    <cellStyle name="Normal 2 9 2" xfId="2178" xr:uid="{85194120-C1AB-4B9B-A91B-8A59992E06E9}"/>
    <cellStyle name="Normal 2_default attrib" xfId="2977" xr:uid="{6C8507F5-73BF-4DD2-8EE8-0263110A6C6E}"/>
    <cellStyle name="Normal 20" xfId="1020" xr:uid="{76AA37D8-E05A-4666-9546-2B2B761DB434}"/>
    <cellStyle name="Normal 21" xfId="1021" xr:uid="{81BCC3D1-B043-4688-8DAA-ED984F3F1BF8}"/>
    <cellStyle name="Normal 21 2" xfId="2179" xr:uid="{9955BCF3-13DA-4DE3-834B-7E867B2AA6FE}"/>
    <cellStyle name="Normal 26" xfId="1022" xr:uid="{D66CDDD6-C704-42C1-8C7F-D1FD424BC7FA}"/>
    <cellStyle name="Normal 26 2" xfId="2180" xr:uid="{4FDDA2A1-3F3D-420D-A0E1-E1396BF557C6}"/>
    <cellStyle name="Normal 3" xfId="26" xr:uid="{00000000-0005-0000-0000-00001B000000}"/>
    <cellStyle name="Normal 3 10" xfId="1024" xr:uid="{2CF06749-4A5B-4F34-8E36-05A022339BD2}"/>
    <cellStyle name="Normal 3 10 2" xfId="2182" xr:uid="{8943CC55-0BE6-41F9-9941-E46950D0F95F}"/>
    <cellStyle name="Normal 3 11" xfId="1025" xr:uid="{347DE6CD-8C60-4AA5-A66E-9343450EAFCC}"/>
    <cellStyle name="Normal 3 11 2" xfId="2183" xr:uid="{72AFE2A3-97B3-43AF-A930-27B7EFC1E3FB}"/>
    <cellStyle name="Normal 3 12" xfId="1026" xr:uid="{F579AF22-69A5-4BF9-B86A-05B8C8AC95EA}"/>
    <cellStyle name="Normal 3 12 2" xfId="2184" xr:uid="{9218FC31-6E86-48F8-B93E-99392CB6600C}"/>
    <cellStyle name="Normal 3 13" xfId="1027" xr:uid="{A2BE865B-8FB5-488D-AF77-6BFFB58E5FC8}"/>
    <cellStyle name="Normal 3 13 2" xfId="2185" xr:uid="{D2756FB8-F0D4-475F-8757-727193C76523}"/>
    <cellStyle name="Normal 3 14" xfId="2181" xr:uid="{A6043B5F-349E-4B8C-B551-41F08D3B59BE}"/>
    <cellStyle name="Normal 3 15" xfId="1023" xr:uid="{8B3BD62F-759D-4005-A519-1CA06F03E575}"/>
    <cellStyle name="Normal 3 2" xfId="27" xr:uid="{00000000-0005-0000-0000-00001C000000}"/>
    <cellStyle name="Normal 3 2 10" xfId="1028" xr:uid="{D86A5EDA-33BA-49F5-8631-B5C1C2617E3F}"/>
    <cellStyle name="Normal 3 2 2" xfId="1029" xr:uid="{928670BF-7488-4918-B1D9-09E862E91425}"/>
    <cellStyle name="Normal 3 2 2 2" xfId="2187" xr:uid="{8C458E79-8691-4E50-B8B4-4FC1AE08FE5D}"/>
    <cellStyle name="Normal 3 2 3" xfId="1030" xr:uid="{ABF35359-8E87-4A16-B484-177A7E77F5E3}"/>
    <cellStyle name="Normal 3 2 3 2" xfId="2188" xr:uid="{138E4C16-DABE-4CA2-9136-A1D7526C14CB}"/>
    <cellStyle name="Normal 3 2 4" xfId="1031" xr:uid="{BA708013-B2E9-477C-A679-8B35E84746DF}"/>
    <cellStyle name="Normal 3 2 4 2" xfId="2189" xr:uid="{90AE3150-B253-42A8-8138-C27A19D943E6}"/>
    <cellStyle name="Normal 3 2 5" xfId="1032" xr:uid="{EADB14DF-6CE9-4DE0-BA88-ADCF22A0F435}"/>
    <cellStyle name="Normal 3 2 5 2" xfId="2190" xr:uid="{9ED2F80A-29E8-4E6E-BA07-04990BD28F68}"/>
    <cellStyle name="Normal 3 2 6" xfId="1033" xr:uid="{24C18A02-706A-41EC-9A21-7E96CA40FF2E}"/>
    <cellStyle name="Normal 3 2 6 2" xfId="2191" xr:uid="{B6D09124-4535-4E3E-9030-BA0B626FDFA3}"/>
    <cellStyle name="Normal 3 2 7" xfId="1034" xr:uid="{BF9F5678-81BF-49EE-ABCB-2AAC935654CD}"/>
    <cellStyle name="Normal 3 2 7 2" xfId="2192" xr:uid="{46EC147E-C743-484A-B400-147FA4F51445}"/>
    <cellStyle name="Normal 3 2 8" xfId="1035" xr:uid="{F20EA122-FE6B-44D6-93A5-2BF4F0B788A4}"/>
    <cellStyle name="Normal 3 2 8 2" xfId="2193" xr:uid="{71E18BD9-1F7F-4CC4-93EA-342AD08BA320}"/>
    <cellStyle name="Normal 3 2 9" xfId="2186" xr:uid="{155ADC89-1C05-49E9-A21A-A7A5DBF6A084}"/>
    <cellStyle name="Normal 3 2_default attrib" xfId="2889" xr:uid="{6BE8B0B3-0FE1-4510-B9FA-A1F20AFAD0C2}"/>
    <cellStyle name="Normal 3 3" xfId="43" xr:uid="{D1E20EF8-FAF6-4EC8-90D3-376C3E6398C9}"/>
    <cellStyle name="Normal 3 3 10" xfId="1036" xr:uid="{7424223C-9628-41DA-B1E8-3B0CC76F0CCF}"/>
    <cellStyle name="Normal 3 3 2" xfId="1037" xr:uid="{FCDA6F46-6C93-41D0-B75E-A727D6144EEC}"/>
    <cellStyle name="Normal 3 3 2 2" xfId="2195" xr:uid="{40CE7A3C-FAF3-4516-94A9-A3926A274A7D}"/>
    <cellStyle name="Normal 3 3 3" xfId="1038" xr:uid="{C9EAF237-EA8F-4D8B-9004-6B697EA7A185}"/>
    <cellStyle name="Normal 3 3 3 2" xfId="2196" xr:uid="{0A5F5B62-62D8-493B-94CA-6C5BA5B1E77F}"/>
    <cellStyle name="Normal 3 3 4" xfId="1039" xr:uid="{07F79EDB-9CAC-49CE-99E1-D3212A96F776}"/>
    <cellStyle name="Normal 3 3 4 2" xfId="2197" xr:uid="{06B76D3C-C87E-44DA-A0E6-0E5BD6E54A7B}"/>
    <cellStyle name="Normal 3 3 5" xfId="1040" xr:uid="{2CE319A2-7581-4BD1-8A10-0BF057868087}"/>
    <cellStyle name="Normal 3 3 5 2" xfId="2198" xr:uid="{F30D64AA-226D-428D-969D-9006AB7C4E85}"/>
    <cellStyle name="Normal 3 3 6" xfId="1041" xr:uid="{83D00AD1-8B7B-49D4-A686-FA92941A1FE8}"/>
    <cellStyle name="Normal 3 3 6 2" xfId="2199" xr:uid="{73A615CE-66EE-494D-8947-C9790C3ED650}"/>
    <cellStyle name="Normal 3 3 7" xfId="1042" xr:uid="{24AAF53F-642E-4CF2-AED2-958C999DD903}"/>
    <cellStyle name="Normal 3 3 7 2" xfId="2200" xr:uid="{C3C61C76-1CDA-4E7D-ACE4-69973A5B4989}"/>
    <cellStyle name="Normal 3 3 8" xfId="1043" xr:uid="{81B557E4-8AFD-4102-98C8-E1CB88A08DF2}"/>
    <cellStyle name="Normal 3 3 8 2" xfId="2201" xr:uid="{CDB57769-19BC-45E1-BA59-84C6E8E81C7F}"/>
    <cellStyle name="Normal 3 3 9" xfId="2194" xr:uid="{21AFF8DD-8FB7-4373-BA4C-4686BC9E2CD7}"/>
    <cellStyle name="Normal 3 3_default attrib" xfId="2958" xr:uid="{BE0FCABE-6902-4339-96C2-0B120187EA55}"/>
    <cellStyle name="Normal 3 4" xfId="1044" xr:uid="{7D2BE566-4397-4D22-9203-B0EB11E8A0A2}"/>
    <cellStyle name="Normal 3 4 2" xfId="1045" xr:uid="{11284196-893D-4C18-B204-206F3C154D56}"/>
    <cellStyle name="Normal 3 4 2 2" xfId="2203" xr:uid="{52FFC2B8-19BA-4A06-86DF-D57C87A81FA5}"/>
    <cellStyle name="Normal 3 4 3" xfId="1046" xr:uid="{D42FCE3A-5DAD-47E2-8CA9-9A75C2353FC0}"/>
    <cellStyle name="Normal 3 4 3 2" xfId="2204" xr:uid="{01676583-03B1-41CE-A17D-324DE28D9235}"/>
    <cellStyle name="Normal 3 4 4" xfId="1047" xr:uid="{D1918072-8631-4EB0-B2C6-104C85F5F3D4}"/>
    <cellStyle name="Normal 3 4 4 2" xfId="2205" xr:uid="{B5D74ACD-8029-46BE-AFCD-8604692F6FED}"/>
    <cellStyle name="Normal 3 4 5" xfId="1048" xr:uid="{39CEA72E-9CC9-4369-9FF9-8671250AFA81}"/>
    <cellStyle name="Normal 3 4 5 2" xfId="2206" xr:uid="{4C974CC7-1E5A-4E5D-9ACB-4ED0D746B5E3}"/>
    <cellStyle name="Normal 3 4 6" xfId="1049" xr:uid="{B91283E4-843B-4B44-B3D6-D4B20BE539F9}"/>
    <cellStyle name="Normal 3 4 6 2" xfId="2207" xr:uid="{F4BC4BBB-0CBB-4CBC-A085-ECE954D3FB6B}"/>
    <cellStyle name="Normal 3 4 7" xfId="1050" xr:uid="{54916570-C3FA-478D-BA3B-0E864CD488BE}"/>
    <cellStyle name="Normal 3 4 7 2" xfId="2208" xr:uid="{E77C28A4-00D3-430F-8143-A649C3622E9F}"/>
    <cellStyle name="Normal 3 4 8" xfId="1051" xr:uid="{CF1F4ABC-9D1C-40FC-80F0-E04CB463C3C1}"/>
    <cellStyle name="Normal 3 4 8 2" xfId="2209" xr:uid="{DE2A00E6-5FBC-444A-A47D-5F5DC177BF25}"/>
    <cellStyle name="Normal 3 4 9" xfId="2202" xr:uid="{8B75EEFD-4817-43A2-97A2-93C3068AD359}"/>
    <cellStyle name="Normal 3 5" xfId="1052" xr:uid="{687FBB74-8D52-46FC-B627-979C2675B6DF}"/>
    <cellStyle name="Normal 3 5 2" xfId="1053" xr:uid="{EDEC0050-B539-4432-A952-D3B0929F0DA7}"/>
    <cellStyle name="Normal 3 5 2 2" xfId="2211" xr:uid="{D7A2A967-36AA-460E-B584-E36FB5FFDF0E}"/>
    <cellStyle name="Normal 3 5 3" xfId="1054" xr:uid="{7A30E6C2-C6F0-4259-B42A-311B8F1C21CC}"/>
    <cellStyle name="Normal 3 5 3 2" xfId="2212" xr:uid="{725C889C-1C62-490A-8DFD-6F5200098203}"/>
    <cellStyle name="Normal 3 5 4" xfId="1055" xr:uid="{D08BF7D6-6532-4DB3-A0BC-BDBB5765BAE5}"/>
    <cellStyle name="Normal 3 5 4 2" xfId="2213" xr:uid="{0ECF33D9-9E39-4908-B244-98853683ABA0}"/>
    <cellStyle name="Normal 3 5 5" xfId="1056" xr:uid="{C43E7C2E-EA2A-4533-BA45-2E5BA080CC27}"/>
    <cellStyle name="Normal 3 5 5 2" xfId="2214" xr:uid="{5068F333-E393-447D-9195-A41A3DF8B359}"/>
    <cellStyle name="Normal 3 5 6" xfId="1057" xr:uid="{5BC76145-E15C-4C02-A837-2D966D1325E6}"/>
    <cellStyle name="Normal 3 5 6 2" xfId="2215" xr:uid="{D848CE74-8F82-4C59-9623-3A9133A285E3}"/>
    <cellStyle name="Normal 3 5 7" xfId="1058" xr:uid="{36742626-69C6-46EB-83AC-75ACC92B14BE}"/>
    <cellStyle name="Normal 3 5 7 2" xfId="2216" xr:uid="{534363C3-98DF-4436-B7F4-49F8534BF520}"/>
    <cellStyle name="Normal 3 5 8" xfId="1059" xr:uid="{27DECAA7-FA7C-4469-BD37-BD122B5AAB24}"/>
    <cellStyle name="Normal 3 5 8 2" xfId="2217" xr:uid="{7333C83B-4624-4758-BB1C-EE92961EAC0A}"/>
    <cellStyle name="Normal 3 5 9" xfId="2210" xr:uid="{E542E16E-1042-4F71-9596-2D5A93830506}"/>
    <cellStyle name="Normal 3 6" xfId="1060" xr:uid="{93014CD0-8458-4EFD-9194-0162049251C7}"/>
    <cellStyle name="Normal 3 6 2" xfId="2218" xr:uid="{8CEA374F-1E9E-4A32-8DAD-9A74CB6B3EF8}"/>
    <cellStyle name="Normal 3 7" xfId="1061" xr:uid="{1A14DFEA-8DF8-4B23-BC05-144C5F1B4F02}"/>
    <cellStyle name="Normal 3 7 2" xfId="2219" xr:uid="{A8D98200-35BC-4D30-80F3-75091B494FA7}"/>
    <cellStyle name="Normal 3 8" xfId="1062" xr:uid="{6E1183E7-B276-4B1D-A33C-4DC7F25EA236}"/>
    <cellStyle name="Normal 3 8 2" xfId="2220" xr:uid="{60EC136D-9BA2-49EC-BD54-9C6E4F84D77D}"/>
    <cellStyle name="Normal 3 9" xfId="1063" xr:uid="{BFD8F705-A6E3-4A70-8E99-48250BAE3F50}"/>
    <cellStyle name="Normal 3 9 2" xfId="2221" xr:uid="{2187CBB3-F0F8-4324-A587-7CBAA2CF240D}"/>
    <cellStyle name="Normal 3_default attrib" xfId="2959" xr:uid="{4008DBCF-0C68-4464-99E2-9E9524BAE7E8}"/>
    <cellStyle name="Normal 4" xfId="28" xr:uid="{00000000-0005-0000-0000-00001D000000}"/>
    <cellStyle name="Normal 4 10" xfId="1065" xr:uid="{86DAE485-9303-48FD-B511-5267907B4814}"/>
    <cellStyle name="Normal 4 10 2" xfId="2223" xr:uid="{FBDD16B9-F43B-415A-A7D5-16FB01BF0B74}"/>
    <cellStyle name="Normal 4 11" xfId="1066" xr:uid="{572D20BF-01A2-4F91-981C-BEF3C78622A5}"/>
    <cellStyle name="Normal 4 11 2" xfId="2224" xr:uid="{30063E07-1BCD-43EC-91BD-2B0747FB0971}"/>
    <cellStyle name="Normal 4 12" xfId="1067" xr:uid="{270CFB91-7D99-42F7-A45F-EB94EEDD14ED}"/>
    <cellStyle name="Normal 4 12 2" xfId="2225" xr:uid="{DBA52160-BEA2-47E9-A91D-A93C04A6F062}"/>
    <cellStyle name="Normal 4 13" xfId="2222" xr:uid="{1FE4A4DD-ADA0-4FD5-AE30-50F2DCC025AA}"/>
    <cellStyle name="Normal 4 14" xfId="1064" xr:uid="{8399CCA6-751D-49AA-AC88-4CBB0A0AB9C8}"/>
    <cellStyle name="Normal 4 2" xfId="44" xr:uid="{AEAB831C-ACFA-4B78-8902-70C26AC41E6C}"/>
    <cellStyle name="Normal 4 2 10" xfId="1068" xr:uid="{C1AB290E-8887-4192-913E-C9207BAA8433}"/>
    <cellStyle name="Normal 4 2 2" xfId="1069" xr:uid="{799AEABE-AD99-4C73-849B-9C28F4C3D2B5}"/>
    <cellStyle name="Normal 4 2 2 10" xfId="1070" xr:uid="{81726BB4-CFCD-44CB-8B71-8D9F8375A213}"/>
    <cellStyle name="Normal 4 2 2 10 2" xfId="2228" xr:uid="{C8C88F02-F1B2-413A-86BC-D1D0F5C952BB}"/>
    <cellStyle name="Normal 4 2 2 10_default attrib" xfId="2957" xr:uid="{CF6285F5-F9ED-4A86-BBFF-051DE147027A}"/>
    <cellStyle name="Normal 4 2 2 11" xfId="1071" xr:uid="{5672F1E9-81F6-4D2B-A8EC-8710116EEC31}"/>
    <cellStyle name="Normal 4 2 2 11 2" xfId="2229" xr:uid="{51600D1D-121A-4DE7-A9D5-B33DCA2A0379}"/>
    <cellStyle name="Normal 4 2 2 11_default attrib" xfId="2886" xr:uid="{034CE8AD-01AB-49E7-942B-5431B3982AC9}"/>
    <cellStyle name="Normal 4 2 2 12" xfId="1072" xr:uid="{E665CD7B-8387-4B24-A0B2-37DB95499302}"/>
    <cellStyle name="Normal 4 2 2 12 2" xfId="2230" xr:uid="{C371E9D7-1054-4DDE-B81C-A7B66E990A82}"/>
    <cellStyle name="Normal 4 2 2 12_default attrib" xfId="2885" xr:uid="{FA20C290-F5E7-405D-8E15-DC5A29FAA4BE}"/>
    <cellStyle name="Normal 4 2 2 13" xfId="1073" xr:uid="{DAD24761-6ADD-4B93-8AE5-D4333AE4195F}"/>
    <cellStyle name="Normal 4 2 2 13 2" xfId="2231" xr:uid="{067912A7-1FE4-40EC-94C4-ED1597B92FB4}"/>
    <cellStyle name="Normal 4 2 2 13_default attrib" xfId="2884" xr:uid="{871FAF4A-180F-4201-884C-6D956DEF78EA}"/>
    <cellStyle name="Normal 4 2 2 14" xfId="2227" xr:uid="{685E199F-8D1C-402E-A8A2-0FEB86AC0973}"/>
    <cellStyle name="Normal 4 2 2 2" xfId="1074" xr:uid="{0FF96C97-EEEA-45EC-B90A-E3A62C0346D9}"/>
    <cellStyle name="Normal 4 2 2 2 10" xfId="1075" xr:uid="{513F7821-4704-4DAF-BD57-28CA22D0AD7C}"/>
    <cellStyle name="Normal 4 2 2 2 10 2" xfId="2233" xr:uid="{C881D673-44BA-44CA-B6A7-38752238A122}"/>
    <cellStyle name="Normal 4 2 2 2 11" xfId="1076" xr:uid="{078205D9-49D2-450E-96A3-9099F4336811}"/>
    <cellStyle name="Normal 4 2 2 2 11 2" xfId="2234" xr:uid="{BC099BEF-851D-4362-B6B2-4B93B02E37B0}"/>
    <cellStyle name="Normal 4 2 2 2 12" xfId="1077" xr:uid="{AB1D8C03-DF01-4783-A218-361B562E9592}"/>
    <cellStyle name="Normal 4 2 2 2 12 2" xfId="2235" xr:uid="{E1D29E03-8E4C-4AB9-A8A3-F33EB657CB25}"/>
    <cellStyle name="Normal 4 2 2 2 13" xfId="1078" xr:uid="{2F01B640-9A0C-439D-AB72-37E5616B20BB}"/>
    <cellStyle name="Normal 4 2 2 2 13 2" xfId="2236" xr:uid="{3D5F0EFE-7B30-4CF8-A9CD-CD286A6D2707}"/>
    <cellStyle name="Normal 4 2 2 2 14" xfId="2232" xr:uid="{F9AEFD77-E233-4B17-9B4F-68BFD51E6ACA}"/>
    <cellStyle name="Normal 4 2 2 2 2" xfId="1079" xr:uid="{5C3542B4-C763-4497-AAB3-188EADE470BF}"/>
    <cellStyle name="Normal 4 2 2 2 2 2" xfId="2237" xr:uid="{C495D246-9B1C-47CD-9800-06E415CA1151}"/>
    <cellStyle name="Normal 4 2 2 2 3" xfId="1080" xr:uid="{C71935AE-D628-4AF5-B60E-E1112D755E19}"/>
    <cellStyle name="Normal 4 2 2 2 3 2" xfId="2238" xr:uid="{060B2341-8CCB-4872-9EE9-C6DA735F1694}"/>
    <cellStyle name="Normal 4 2 2 2 4" xfId="1081" xr:uid="{9AE83F98-4AC1-478F-9D58-0E13122C2DEB}"/>
    <cellStyle name="Normal 4 2 2 2 4 2" xfId="2239" xr:uid="{86E0720A-62F9-48E5-87A7-DB429C3254CC}"/>
    <cellStyle name="Normal 4 2 2 2 5" xfId="1082" xr:uid="{05BBBA90-31F0-4746-B1CE-E7782E7471E5}"/>
    <cellStyle name="Normal 4 2 2 2 5 2" xfId="2240" xr:uid="{906DB846-DA55-4780-A8D9-2A88C1E932FB}"/>
    <cellStyle name="Normal 4 2 2 2 6" xfId="1083" xr:uid="{46F67AB1-C1A8-492D-843A-7A939DC98E40}"/>
    <cellStyle name="Normal 4 2 2 2 6 2" xfId="2241" xr:uid="{12EBA58B-8FED-4E1A-9FFC-80E55FF3C5C7}"/>
    <cellStyle name="Normal 4 2 2 2 7" xfId="1084" xr:uid="{255187AF-6A86-4994-8D5A-561F92F5F6F3}"/>
    <cellStyle name="Normal 4 2 2 2 7 2" xfId="2242" xr:uid="{729F57E7-3901-4341-A29F-B8C148ACF821}"/>
    <cellStyle name="Normal 4 2 2 2 8" xfId="1085" xr:uid="{965C8471-7060-4650-9F1B-879DFF83A4E6}"/>
    <cellStyle name="Normal 4 2 2 2 8 2" xfId="2243" xr:uid="{35184432-3CFA-4411-932F-6B4A84D0BB12}"/>
    <cellStyle name="Normal 4 2 2 2 9" xfId="1086" xr:uid="{19A96721-929D-49B5-97EB-DCF34F97C3AD}"/>
    <cellStyle name="Normal 4 2 2 2 9 2" xfId="2244" xr:uid="{5FBDC763-FB6B-4FC9-BDD1-500F80213612}"/>
    <cellStyle name="Normal 4 2 2 2_default attrib" xfId="2883" xr:uid="{3AD7C8E4-5E52-4157-B2C8-C4987ACAD089}"/>
    <cellStyle name="Normal 4 2 2 3" xfId="1087" xr:uid="{D37E5859-FFC3-495B-8EC0-D773D24A211F}"/>
    <cellStyle name="Normal 4 2 2 3 2" xfId="2245" xr:uid="{1F52F4A8-17FF-47D5-B771-F9C53F3A367D}"/>
    <cellStyle name="Normal 4 2 2 3_default attrib" xfId="2882" xr:uid="{165B34E5-C10F-438E-84F4-13BEA9B56269}"/>
    <cellStyle name="Normal 4 2 2 4" xfId="1088" xr:uid="{36248283-C86C-4B34-B098-BC0CC47656DF}"/>
    <cellStyle name="Normal 4 2 2 4 2" xfId="2246" xr:uid="{A799036E-0A9A-4150-9479-388AAEB5E6E6}"/>
    <cellStyle name="Normal 4 2 2 4_default attrib" xfId="2881" xr:uid="{5EB4FD76-7D10-4B6E-B8E8-3C55AC1238ED}"/>
    <cellStyle name="Normal 4 2 2 5" xfId="1089" xr:uid="{8939717D-B1C1-4068-BC76-60A7E024D4AD}"/>
    <cellStyle name="Normal 4 2 2 5 2" xfId="2247" xr:uid="{00513A8F-3667-4BCF-BCC0-83A3BFE2ED31}"/>
    <cellStyle name="Normal 4 2 2 5_default attrib" xfId="2880" xr:uid="{D90749BD-83CE-429C-B413-5718B66D855F}"/>
    <cellStyle name="Normal 4 2 2 6" xfId="1090" xr:uid="{39B2CB35-AD16-445E-BC77-B1F13EA13C95}"/>
    <cellStyle name="Normal 4 2 2 6 2" xfId="2248" xr:uid="{E75041BC-39B4-4FFF-9BDC-C53551DC162C}"/>
    <cellStyle name="Normal 4 2 2 6_default attrib" xfId="2879" xr:uid="{1D854CD8-EEE3-48AF-8720-B7D2D76DE556}"/>
    <cellStyle name="Normal 4 2 2 7" xfId="1091" xr:uid="{A16CDD59-D854-4E97-8D24-E22DA59BABB5}"/>
    <cellStyle name="Normal 4 2 2 7 2" xfId="2249" xr:uid="{BAA0BF91-F11B-47D4-AE1E-1156D2A99744}"/>
    <cellStyle name="Normal 4 2 2 7_default attrib" xfId="2956" xr:uid="{B131E63B-A272-4C42-95BA-F45EA784E9DB}"/>
    <cellStyle name="Normal 4 2 2 8" xfId="1092" xr:uid="{39E76CEF-BC96-474C-9B3B-D9FD10DF0DCC}"/>
    <cellStyle name="Normal 4 2 2 8 2" xfId="2250" xr:uid="{36CF468B-8AAC-4083-8D6F-C3907C3CDD91}"/>
    <cellStyle name="Normal 4 2 2 8_default attrib" xfId="2955" xr:uid="{EBDE786E-0A53-4A78-83A8-DB97DF7043D7}"/>
    <cellStyle name="Normal 4 2 2 9" xfId="1093" xr:uid="{A9563A11-12DE-4B59-A044-FC6E9FEE5B29}"/>
    <cellStyle name="Normal 4 2 2 9 2" xfId="2251" xr:uid="{FFEFB39F-EECE-48AB-A43B-04F705D20B3F}"/>
    <cellStyle name="Normal 4 2 2 9_default attrib" xfId="2954" xr:uid="{4E6E3B06-9DD6-465C-9A81-99E7A2A6766A}"/>
    <cellStyle name="Normal 4 2 3" xfId="1094" xr:uid="{6997A65D-7F15-460C-B29D-A0E65C0D1893}"/>
    <cellStyle name="Normal 4 2 3 2" xfId="2252" xr:uid="{ABD98FA6-EDA0-42C1-B5B7-F634DC4A756A}"/>
    <cellStyle name="Normal 4 2 4" xfId="1095" xr:uid="{148F706C-6FCA-4B94-833E-DB49C7953C0A}"/>
    <cellStyle name="Normal 4 2 4 2" xfId="2253" xr:uid="{3F3803A9-D0F6-4B5B-A676-5998E58DD7FE}"/>
    <cellStyle name="Normal 4 2 5" xfId="1096" xr:uid="{875C67BB-19CD-4CAD-85BC-55B2BE062545}"/>
    <cellStyle name="Normal 4 2 5 2" xfId="2254" xr:uid="{3D3B3A68-C379-4C32-8BC5-8A0156239FD2}"/>
    <cellStyle name="Normal 4 2 6" xfId="1097" xr:uid="{CC297769-39D8-4DA3-ACEA-7FEA69CB2E09}"/>
    <cellStyle name="Normal 4 2 6 2" xfId="2255" xr:uid="{9EEB0BC5-A576-4877-A206-97EB30F8E013}"/>
    <cellStyle name="Normal 4 2 7" xfId="1098" xr:uid="{7CC265C9-6650-4ACD-BD84-5F0BD1EF1747}"/>
    <cellStyle name="Normal 4 2 7 2" xfId="2256" xr:uid="{8597E44E-89EF-4069-8CEA-B9F8F81DD032}"/>
    <cellStyle name="Normal 4 2 8" xfId="1099" xr:uid="{DCEC1121-9285-4400-87C9-49EE49A4771B}"/>
    <cellStyle name="Normal 4 2 8 2" xfId="2257" xr:uid="{6E0C7C3B-CEEE-4F6B-A599-58C03C50758F}"/>
    <cellStyle name="Normal 4 2 9" xfId="2226" xr:uid="{5348848F-EA81-49F5-870D-118402FD66B9}"/>
    <cellStyle name="Normal 4 2_default attrib" xfId="2887" xr:uid="{8DC3BA93-C10F-4130-9693-7EB657C5135A}"/>
    <cellStyle name="Normal 4 3" xfId="31" xr:uid="{9776E7D6-7A73-4008-82AE-6C5382065DF2}"/>
    <cellStyle name="Normal 4 3 2" xfId="1100" xr:uid="{25E0866F-3ABD-422B-8DD9-15083FC345CA}"/>
    <cellStyle name="Normal 4 3 2 2" xfId="2259" xr:uid="{990B874C-2D0F-433B-B00C-2E7A29DD307D}"/>
    <cellStyle name="Normal 4 3 3" xfId="1101" xr:uid="{53C2CD7D-7811-4941-B31E-64F12196A30B}"/>
    <cellStyle name="Normal 4 3 3 2" xfId="2260" xr:uid="{A84CD266-3F12-44C2-9FFA-0CC1081EC821}"/>
    <cellStyle name="Normal 4 3 4" xfId="1102" xr:uid="{D9462CD5-6B7F-4119-B388-960B29C2E8E6}"/>
    <cellStyle name="Normal 4 3 4 2" xfId="2261" xr:uid="{1841835F-287A-49B1-A25E-15F94410872B}"/>
    <cellStyle name="Normal 4 3 5" xfId="1103" xr:uid="{84C0EA13-F9D5-427A-A442-D3117B89EABA}"/>
    <cellStyle name="Normal 4 3 5 2" xfId="2262" xr:uid="{07002B8B-25D2-49B0-B7C3-15BFE1C518C7}"/>
    <cellStyle name="Normal 4 3 6" xfId="1104" xr:uid="{0BAAC8B0-ED16-4013-A67C-B28198C0CC56}"/>
    <cellStyle name="Normal 4 3 6 2" xfId="2263" xr:uid="{0CDAB33E-2AB8-46E4-AC5B-33837A3A7BF0}"/>
    <cellStyle name="Normal 4 3 7" xfId="1105" xr:uid="{3E301D66-4C91-4C9F-9EE8-6DA077DC6E96}"/>
    <cellStyle name="Normal 4 3 7 2" xfId="2264" xr:uid="{C8F906D4-D957-4EDD-B594-99E5F508FBD5}"/>
    <cellStyle name="Normal 4 3 8" xfId="1106" xr:uid="{87AF5673-C1F4-499B-B575-86D550302030}"/>
    <cellStyle name="Normal 4 3 8 2" xfId="2265" xr:uid="{35B92B57-83C2-4852-9216-2BD36A9D7225}"/>
    <cellStyle name="Normal 4 3 9" xfId="2258" xr:uid="{9CA4A602-02AD-4578-9C6D-E05106245C09}"/>
    <cellStyle name="Normal 4 4" xfId="1107" xr:uid="{A80C1204-FB9A-4DAD-B1A1-344E1310DCC7}"/>
    <cellStyle name="Normal 4 4 2" xfId="1108" xr:uid="{29B487C8-3D5D-4A44-9CAC-6A9B3F899013}"/>
    <cellStyle name="Normal 4 4 2 2" xfId="2267" xr:uid="{28CB3A22-5A3E-4EFD-8185-7FFF4BAC1085}"/>
    <cellStyle name="Normal 4 4 3" xfId="1109" xr:uid="{FC98D67A-DD04-430C-BE96-DF04B69EFDEB}"/>
    <cellStyle name="Normal 4 4 3 2" xfId="2268" xr:uid="{CDE87035-B287-4787-B82B-777953A16BD2}"/>
    <cellStyle name="Normal 4 4 4" xfId="1110" xr:uid="{E4D09930-1DEB-4D17-9B37-83941A73CB5B}"/>
    <cellStyle name="Normal 4 4 4 2" xfId="2269" xr:uid="{1A2A63B0-0D9E-432F-98C1-20858B46E040}"/>
    <cellStyle name="Normal 4 4 5" xfId="1111" xr:uid="{B63AB6E8-1C14-433F-819B-580BF326D25B}"/>
    <cellStyle name="Normal 4 4 5 2" xfId="2270" xr:uid="{885E504F-3B1E-4CF0-997F-8D298CC26A75}"/>
    <cellStyle name="Normal 4 4 6" xfId="1112" xr:uid="{3DEBE99B-6CF9-4F3F-B2AA-2E0EF004530E}"/>
    <cellStyle name="Normal 4 4 6 2" xfId="2271" xr:uid="{D4B54FA3-E3B7-4A44-8BC2-461AE8FE3310}"/>
    <cellStyle name="Normal 4 4 7" xfId="1113" xr:uid="{E58F6C53-A199-42D1-B8C7-CF51D9D2D3AC}"/>
    <cellStyle name="Normal 4 4 7 2" xfId="2272" xr:uid="{A39C4719-51C0-4138-92FD-6224080F7D69}"/>
    <cellStyle name="Normal 4 4 8" xfId="1114" xr:uid="{78FC95B7-34BB-4368-B7DB-6DC63C44556F}"/>
    <cellStyle name="Normal 4 4 8 2" xfId="2273" xr:uid="{9FB63DF9-414B-476E-9054-B1B757794040}"/>
    <cellStyle name="Normal 4 4 9" xfId="2266" xr:uid="{0510A129-953E-4D86-9085-71819316C27F}"/>
    <cellStyle name="Normal 4 5" xfId="1115" xr:uid="{4EAB34B3-F197-45EC-966F-864C62E3F3C0}"/>
    <cellStyle name="Normal 4 5 2" xfId="1116" xr:uid="{52E82C3D-9235-447C-A2A6-9ACBB8735306}"/>
    <cellStyle name="Normal 4 5 2 2" xfId="2275" xr:uid="{2258BEA2-736E-49E0-972A-95606900C385}"/>
    <cellStyle name="Normal 4 5 3" xfId="1117" xr:uid="{EB6B0C8B-569A-47A0-96BA-F8D845506EC6}"/>
    <cellStyle name="Normal 4 5 3 2" xfId="2276" xr:uid="{7B2E07C1-1B63-4E92-914B-DDB48E5F1A0F}"/>
    <cellStyle name="Normal 4 5 4" xfId="1118" xr:uid="{0D06BEE8-9F46-408A-A83F-66E0EC23646C}"/>
    <cellStyle name="Normal 4 5 4 2" xfId="2277" xr:uid="{B2BA6915-06C5-4BCE-AE51-E172E5B5F683}"/>
    <cellStyle name="Normal 4 5 5" xfId="1119" xr:uid="{327002F7-D9B1-48DC-BFBA-7C414A323CF6}"/>
    <cellStyle name="Normal 4 5 5 2" xfId="2278" xr:uid="{7FE0F948-27E3-4F12-84ED-51164ED53891}"/>
    <cellStyle name="Normal 4 5 6" xfId="1120" xr:uid="{A52FBC69-F26F-419B-A6AB-26D3087CB866}"/>
    <cellStyle name="Normal 4 5 6 2" xfId="2279" xr:uid="{D45C0C7A-B29B-466B-99AE-0E90E5BFAD8E}"/>
    <cellStyle name="Normal 4 5 7" xfId="1121" xr:uid="{635B98AA-3BC1-4228-B5E2-A6FC7B997A64}"/>
    <cellStyle name="Normal 4 5 7 2" xfId="2280" xr:uid="{1C0AE574-6CA2-45FD-83FD-7759AE071F03}"/>
    <cellStyle name="Normal 4 5 8" xfId="1122" xr:uid="{9D3B5861-99E7-412E-9D34-48139A38697A}"/>
    <cellStyle name="Normal 4 5 8 2" xfId="2281" xr:uid="{7D9B396B-6879-4E6B-8006-DC2553226C22}"/>
    <cellStyle name="Normal 4 5 9" xfId="2274" xr:uid="{951F3B21-B8B4-4B2B-9AE9-8F5E291C4D00}"/>
    <cellStyle name="Normal 4 6" xfId="1123" xr:uid="{59868C05-90D2-411E-A538-4F5BB7ED4BC3}"/>
    <cellStyle name="Normal 4 6 2" xfId="2282" xr:uid="{FE0342E2-9BBE-4D8D-A3C9-244154D1F23B}"/>
    <cellStyle name="Normal 4 7" xfId="1124" xr:uid="{85926D43-51FA-4369-9937-4FE826EEE9F2}"/>
    <cellStyle name="Normal 4 7 2" xfId="2283" xr:uid="{18C92C34-CA76-48E6-9A0F-FD722702508D}"/>
    <cellStyle name="Normal 4 8" xfId="1125" xr:uid="{EC845F5E-ED49-499B-984B-40E8B0CD0645}"/>
    <cellStyle name="Normal 4 8 2" xfId="2284" xr:uid="{C61D9CE5-7F21-4E3E-882D-E5E52279E853}"/>
    <cellStyle name="Normal 4 9" xfId="1126" xr:uid="{7B930A5E-EB3B-4298-B933-5ACF631F236C}"/>
    <cellStyle name="Normal 4 9 2" xfId="2285" xr:uid="{00B04A8D-A40B-4154-8894-39187697BF74}"/>
    <cellStyle name="Normal 4_default attrib" xfId="2888" xr:uid="{526D0F56-9941-4F27-ABB6-8AB670212073}"/>
    <cellStyle name="Normal 5" xfId="1127" xr:uid="{BAA3E29A-518A-4BAA-9585-32C8E341A933}"/>
    <cellStyle name="Normal 5 10" xfId="1128" xr:uid="{4258222C-2FF5-4F13-A5B8-CA38E2C7BC72}"/>
    <cellStyle name="Normal 5 10 2" xfId="2287" xr:uid="{1E99AF46-D860-4140-B928-7F4C46EFD423}"/>
    <cellStyle name="Normal 5 11" xfId="1129" xr:uid="{68F19245-F535-4E0E-B1B1-16E13D006ED6}"/>
    <cellStyle name="Normal 5 11 2" xfId="2288" xr:uid="{7FC3D595-0522-402F-97CE-A95017DD79DF}"/>
    <cellStyle name="Normal 5 12" xfId="1130" xr:uid="{CD397792-3E06-4644-9900-08DC5CA9178E}"/>
    <cellStyle name="Normal 5 12 2" xfId="2289" xr:uid="{6CDC20EE-D793-49A9-BBF6-AF4348FDA31A}"/>
    <cellStyle name="Normal 5 13" xfId="1131" xr:uid="{203FB041-E7BE-4816-B18A-D95FAA609B62}"/>
    <cellStyle name="Normal 5 13 2" xfId="2290" xr:uid="{A319044A-E597-4F06-94DF-8B2EA6A2AF7F}"/>
    <cellStyle name="Normal 5 14" xfId="2286" xr:uid="{F2A29C14-67A2-46BA-99FD-30CAF65AC8FC}"/>
    <cellStyle name="Normal 5 2" xfId="1132" xr:uid="{9E784FAD-D566-422C-95B0-BE7976EE961F}"/>
    <cellStyle name="Normal 5 2 10" xfId="2291" xr:uid="{09C51623-026D-429D-B197-9978C95B6B5D}"/>
    <cellStyle name="Normal 5 2 2" xfId="1133" xr:uid="{F82E5A8A-95CA-4E27-AEC6-2DA73C769405}"/>
    <cellStyle name="Normal 5 2 2 10" xfId="1134" xr:uid="{C04F5289-D36C-4293-91CE-C87EDAD52CAA}"/>
    <cellStyle name="Normal 5 2 2 10 2" xfId="2293" xr:uid="{971BA4B8-DFD0-462A-8A71-E4C7986411E5}"/>
    <cellStyle name="Normal 5 2 2 10_default attrib" xfId="2952" xr:uid="{B787C9EB-29F6-478E-A746-391D8D770F66}"/>
    <cellStyle name="Normal 5 2 2 11" xfId="1135" xr:uid="{F4821103-2241-44EE-AB8A-9482972306B0}"/>
    <cellStyle name="Normal 5 2 2 11 2" xfId="2294" xr:uid="{A5751C58-9052-46DA-A4F9-5B6AA0E076EC}"/>
    <cellStyle name="Normal 5 2 2 11_default attrib" xfId="2951" xr:uid="{6681E274-358A-45BC-822B-D149445E49FC}"/>
    <cellStyle name="Normal 5 2 2 12" xfId="1136" xr:uid="{03F0C4B0-CF8E-40A0-8485-0BF2D196500B}"/>
    <cellStyle name="Normal 5 2 2 12 2" xfId="2295" xr:uid="{8C0165AD-95DB-476A-B09B-646AFE1E46FE}"/>
    <cellStyle name="Normal 5 2 2 12_default attrib" xfId="2950" xr:uid="{BC4762C2-141A-4E98-826F-0F532814C055}"/>
    <cellStyle name="Normal 5 2 2 13" xfId="1137" xr:uid="{EFFB5B3E-3B35-4FB9-A3BE-20DD22F69A46}"/>
    <cellStyle name="Normal 5 2 2 13 2" xfId="2296" xr:uid="{3A1739EF-ECC7-4E33-9838-FE6114757B63}"/>
    <cellStyle name="Normal 5 2 2 13_default attrib" xfId="2949" xr:uid="{281AE0DE-BD9D-4655-9692-242AAA439A07}"/>
    <cellStyle name="Normal 5 2 2 14" xfId="2292" xr:uid="{10B22E4B-1B09-4610-92D4-D495B8D6D98D}"/>
    <cellStyle name="Normal 5 2 2 2" xfId="1138" xr:uid="{2005947B-A5AF-4A4A-B888-6E3BCDD56BD3}"/>
    <cellStyle name="Normal 5 2 2 2 10" xfId="1139" xr:uid="{8BE8663E-8E98-430F-A396-B712B46B7E86}"/>
    <cellStyle name="Normal 5 2 2 2 10 2" xfId="2298" xr:uid="{B302AFA9-AA9E-4597-9AA8-09F923660C38}"/>
    <cellStyle name="Normal 5 2 2 2 11" xfId="1140" xr:uid="{7CAAAEF6-2EA0-4F5F-9C4E-7EF457A0B3FD}"/>
    <cellStyle name="Normal 5 2 2 2 11 2" xfId="2299" xr:uid="{B1C7D309-AD16-4940-B55E-09581C3B66B5}"/>
    <cellStyle name="Normal 5 2 2 2 12" xfId="1141" xr:uid="{34ADB1DA-0427-4E06-A2F6-32DBCA3E3D68}"/>
    <cellStyle name="Normal 5 2 2 2 12 2" xfId="2300" xr:uid="{6D3F57CD-2BDD-45E6-AD25-C4961D44BBC3}"/>
    <cellStyle name="Normal 5 2 2 2 13" xfId="1142" xr:uid="{D8CEF8B1-3E48-45B8-B730-2BD53AA35924}"/>
    <cellStyle name="Normal 5 2 2 2 13 2" xfId="2301" xr:uid="{9532A36E-3D71-43A2-92F6-1244D19F1FAE}"/>
    <cellStyle name="Normal 5 2 2 2 14" xfId="2297" xr:uid="{A875FE4D-3334-42AA-9A52-CE1161504396}"/>
    <cellStyle name="Normal 5 2 2 2 2" xfId="1143" xr:uid="{BCDF642F-56CE-4100-8E0E-E46C2B494D64}"/>
    <cellStyle name="Normal 5 2 2 2 2 2" xfId="2302" xr:uid="{4877C32D-C1BE-4D22-8518-5F9C17B42A1E}"/>
    <cellStyle name="Normal 5 2 2 2 3" xfId="1144" xr:uid="{371BBAE2-C463-422A-A4BC-DE005015F99A}"/>
    <cellStyle name="Normal 5 2 2 2 3 2" xfId="2303" xr:uid="{769F6F01-C112-474B-9F98-77B795CB2012}"/>
    <cellStyle name="Normal 5 2 2 2 4" xfId="1145" xr:uid="{ABE51D5B-1C58-41C7-BCBD-7E88922C10FA}"/>
    <cellStyle name="Normal 5 2 2 2 4 2" xfId="2304" xr:uid="{50C1078E-6F7F-4460-98F1-0AF06B78EC6D}"/>
    <cellStyle name="Normal 5 2 2 2 5" xfId="1146" xr:uid="{9756955F-BE8B-408C-B6B9-FDC3615104A9}"/>
    <cellStyle name="Normal 5 2 2 2 5 2" xfId="2305" xr:uid="{16385035-8599-4039-83A8-44E0CC6666A1}"/>
    <cellStyle name="Normal 5 2 2 2 6" xfId="1147" xr:uid="{DDED2AE5-94DC-4497-BEA3-DB3DB10BEFF6}"/>
    <cellStyle name="Normal 5 2 2 2 6 2" xfId="2306" xr:uid="{93FFB6E6-6A51-44A4-AB92-EF02982AE7FC}"/>
    <cellStyle name="Normal 5 2 2 2 7" xfId="1148" xr:uid="{E103427C-395C-4B32-9AEB-0D2B0C00D66F}"/>
    <cellStyle name="Normal 5 2 2 2 7 2" xfId="2307" xr:uid="{C5A74EC8-9BDE-40A3-9C6F-51FD0AF1993C}"/>
    <cellStyle name="Normal 5 2 2 2 8" xfId="1149" xr:uid="{5CF7302C-3C53-49B3-AA2B-2AE2C6EEB1D6}"/>
    <cellStyle name="Normal 5 2 2 2 8 2" xfId="2308" xr:uid="{CF3AD662-87C7-4287-AE28-DB5AD0F0DA5A}"/>
    <cellStyle name="Normal 5 2 2 2 9" xfId="1150" xr:uid="{05570733-6AE7-46C2-9D6C-1ECCF1084B23}"/>
    <cellStyle name="Normal 5 2 2 2 9 2" xfId="2309" xr:uid="{63FFA676-ECA0-4AA8-8448-7DE6948B8357}"/>
    <cellStyle name="Normal 5 2 2 2_default attrib" xfId="2948" xr:uid="{58598895-7321-46D6-B8D0-4A73F3715935}"/>
    <cellStyle name="Normal 5 2 2 3" xfId="1151" xr:uid="{8406B1BF-81EC-4CBE-8D34-E0ED62743B7C}"/>
    <cellStyle name="Normal 5 2 2 3 2" xfId="2310" xr:uid="{B26B5010-4CB4-4281-9624-1D6FAB4EB39E}"/>
    <cellStyle name="Normal 5 2 2 3_default attrib" xfId="2947" xr:uid="{5B5BD85F-358D-473D-97F9-16A9D389D0EB}"/>
    <cellStyle name="Normal 5 2 2 4" xfId="1152" xr:uid="{C63124F2-4EAC-4B1E-ADDE-1F0B0E18446E}"/>
    <cellStyle name="Normal 5 2 2 4 2" xfId="2311" xr:uid="{80EB57FE-3BDB-4B02-AD48-9C5DBF261041}"/>
    <cellStyle name="Normal 5 2 2 4_default attrib" xfId="2946" xr:uid="{42A1DDFC-6B31-4F9F-9AA0-73947EE9D64D}"/>
    <cellStyle name="Normal 5 2 2 5" xfId="1153" xr:uid="{41B7FFE7-ACF1-445C-9CEE-D26BE4451143}"/>
    <cellStyle name="Normal 5 2 2 5 2" xfId="2312" xr:uid="{390B660C-A52C-4260-845B-3742E657F566}"/>
    <cellStyle name="Normal 5 2 2 5_default attrib" xfId="54" xr:uid="{0756AE28-E37C-4769-824D-DA3F0AA2AD7D}"/>
    <cellStyle name="Normal 5 2 2 6" xfId="1154" xr:uid="{C7B8C149-1596-4C76-A3B0-D97E62893D49}"/>
    <cellStyle name="Normal 5 2 2 6 2" xfId="2313" xr:uid="{729DD04F-E6F5-48D0-A872-6DD2A32D347B}"/>
    <cellStyle name="Normal 5 2 2 6_default attrib" xfId="2945" xr:uid="{C90B3880-8CA6-4D7B-835B-6253048112F4}"/>
    <cellStyle name="Normal 5 2 2 7" xfId="1155" xr:uid="{2E812BC8-3257-4EA1-A2CF-957A1FA38AA6}"/>
    <cellStyle name="Normal 5 2 2 7 2" xfId="2314" xr:uid="{C42ABD67-F0CE-43B5-9B35-485EFE806576}"/>
    <cellStyle name="Normal 5 2 2 7_default attrib" xfId="2944" xr:uid="{6B2C9EA4-3150-4652-A41D-CCE3F1E05D93}"/>
    <cellStyle name="Normal 5 2 2 8" xfId="1156" xr:uid="{E384D9ED-DA40-48D7-B1C6-90A57C8E04FD}"/>
    <cellStyle name="Normal 5 2 2 8 2" xfId="2315" xr:uid="{8A1FBCB2-EC99-4277-8379-D0CFF9FF8C6B}"/>
    <cellStyle name="Normal 5 2 2 8_default attrib" xfId="2943" xr:uid="{83E53434-83A5-41C9-9FBA-1B68902C27B8}"/>
    <cellStyle name="Normal 5 2 2 9" xfId="1157" xr:uid="{955134E6-D387-48F2-B64C-AA151F9AB4BC}"/>
    <cellStyle name="Normal 5 2 2 9 2" xfId="2316" xr:uid="{836ED980-8720-4235-A58A-04C6B0D7ACB4}"/>
    <cellStyle name="Normal 5 2 2 9_default attrib" xfId="2942" xr:uid="{2CD942F8-8240-44F4-B480-7715EEECD150}"/>
    <cellStyle name="Normal 5 2 3" xfId="1158" xr:uid="{2E30145B-7B38-4E92-8CEC-E4BBB5720AD5}"/>
    <cellStyle name="Normal 5 2 3 2" xfId="2317" xr:uid="{25CBE15E-C63A-4732-908A-E43702566AB9}"/>
    <cellStyle name="Normal 5 2 4" xfId="1159" xr:uid="{B4AD0CFB-708D-40B3-AAE0-C0C5FEE790CB}"/>
    <cellStyle name="Normal 5 2 4 2" xfId="2318" xr:uid="{C4564F50-AC8C-4542-BC16-EA909D4CB703}"/>
    <cellStyle name="Normal 5 2 5" xfId="1160" xr:uid="{0BC9E328-A746-4699-842C-236F2D01E604}"/>
    <cellStyle name="Normal 5 2 5 2" xfId="2319" xr:uid="{7D5785F4-E85F-4E0C-9AEB-8E6C66531F06}"/>
    <cellStyle name="Normal 5 2 6" xfId="1161" xr:uid="{958D2C10-4A5A-4724-B0CC-AC8372CE1009}"/>
    <cellStyle name="Normal 5 2 6 2" xfId="2320" xr:uid="{AE6DF1BC-C510-484E-8F96-84EBE5CAE3A3}"/>
    <cellStyle name="Normal 5 2 7" xfId="1162" xr:uid="{08A8E081-AEF1-477F-9D04-A5027F6AC79A}"/>
    <cellStyle name="Normal 5 2 7 2" xfId="2321" xr:uid="{E68B0141-ED5E-488B-9F0F-E8EDF46FE90F}"/>
    <cellStyle name="Normal 5 2 8" xfId="1163" xr:uid="{845E79AD-04CB-4AA7-8AC6-77757556BBD7}"/>
    <cellStyle name="Normal 5 2 8 2" xfId="2322" xr:uid="{19C25EC4-5FCE-4EC0-A943-334A9BB464AF}"/>
    <cellStyle name="Normal 5 2 9" xfId="1164" xr:uid="{D4033DBB-6321-4321-AFAE-5D746CBC2D87}"/>
    <cellStyle name="Normal 5 2 9 2" xfId="2323" xr:uid="{855AD2F5-D9A7-4971-8475-58A90E0957AF}"/>
    <cellStyle name="Normal 5 2_default attrib" xfId="52" xr:uid="{47779C9A-C6B5-41BB-A094-59018EB403BF}"/>
    <cellStyle name="Normal 5 3" xfId="1165" xr:uid="{21A06356-D498-459C-ADC9-EFB6BE840CAF}"/>
    <cellStyle name="Normal 5 3 2" xfId="1166" xr:uid="{A5B8B946-9F9C-439B-B8E2-9C3DF4934D0C}"/>
    <cellStyle name="Normal 5 3 2 2" xfId="2325" xr:uid="{51408206-F01D-4579-9AEF-9D31CE86CB58}"/>
    <cellStyle name="Normal 5 3 3" xfId="1167" xr:uid="{65B2BCAB-66C0-4989-90A4-36470CF2AE15}"/>
    <cellStyle name="Normal 5 3 3 2" xfId="2326" xr:uid="{E186B026-8E17-44D2-B1D8-902DCEB701C0}"/>
    <cellStyle name="Normal 5 3 4" xfId="1168" xr:uid="{3D463FDE-79E9-4A42-9ED1-D3D79A685E1F}"/>
    <cellStyle name="Normal 5 3 4 2" xfId="2327" xr:uid="{085C258E-F0E2-4829-8FEF-2FF7467182BE}"/>
    <cellStyle name="Normal 5 3 5" xfId="1169" xr:uid="{01CE37CE-BC0E-4438-8504-01E9B70A6A4F}"/>
    <cellStyle name="Normal 5 3 5 2" xfId="2328" xr:uid="{644EEB5B-B528-4560-990E-7FAEC55430ED}"/>
    <cellStyle name="Normal 5 3 6" xfId="1170" xr:uid="{DBC056A3-1B71-45A7-A3CB-8D58699F1684}"/>
    <cellStyle name="Normal 5 3 6 2" xfId="2329" xr:uid="{9A800CF0-9BE7-46FA-814F-94A5DC2DE6E8}"/>
    <cellStyle name="Normal 5 3 7" xfId="1171" xr:uid="{D70BD7E2-4D5D-4F49-90F9-C04AED102ECD}"/>
    <cellStyle name="Normal 5 3 7 2" xfId="2330" xr:uid="{4DE94121-D181-4CE7-923C-598FCCC0E66C}"/>
    <cellStyle name="Normal 5 3 8" xfId="1172" xr:uid="{3F766756-8906-4127-95CF-6F85FF5256F7}"/>
    <cellStyle name="Normal 5 3 8 2" xfId="2331" xr:uid="{A068F306-94D7-46E8-B6D3-A13BB72AAA34}"/>
    <cellStyle name="Normal 5 3 9" xfId="2324" xr:uid="{3822C5AA-227C-4A2B-8EC8-ED127FD06763}"/>
    <cellStyle name="Normal 5 4" xfId="1173" xr:uid="{8A0E285B-3704-4226-9A69-117802C91F51}"/>
    <cellStyle name="Normal 5 4 2" xfId="1174" xr:uid="{39E47C8E-F1E0-4919-B62F-7D5763646908}"/>
    <cellStyle name="Normal 5 4 2 2" xfId="2333" xr:uid="{64676465-B334-4BDF-903A-54EF2EC94371}"/>
    <cellStyle name="Normal 5 4 3" xfId="1175" xr:uid="{3C6F5232-9548-4D52-AE13-0073571D0F0D}"/>
    <cellStyle name="Normal 5 4 3 2" xfId="2334" xr:uid="{9DE49052-1912-4692-82FB-391DF80B4127}"/>
    <cellStyle name="Normal 5 4 4" xfId="1176" xr:uid="{1BEA17C5-0C5D-4374-8520-36A2C97E3A69}"/>
    <cellStyle name="Normal 5 4 4 2" xfId="2335" xr:uid="{C7980359-AA34-4D87-AEB2-6574A0D8207E}"/>
    <cellStyle name="Normal 5 4 5" xfId="1177" xr:uid="{67E02421-1A1D-436D-B94C-F02F79C0D472}"/>
    <cellStyle name="Normal 5 4 5 2" xfId="2336" xr:uid="{E261F553-4362-4364-843E-7F27FDE5F112}"/>
    <cellStyle name="Normal 5 4 6" xfId="1178" xr:uid="{A4836223-7941-4643-A32C-F8C6944E8B8D}"/>
    <cellStyle name="Normal 5 4 6 2" xfId="2337" xr:uid="{48AFB029-5F7B-469F-A519-6AC2300F89A9}"/>
    <cellStyle name="Normal 5 4 7" xfId="1179" xr:uid="{028BC357-318C-4BDB-B8CB-91A143B3A304}"/>
    <cellStyle name="Normal 5 4 7 2" xfId="2338" xr:uid="{DCB5514A-839D-4965-8B49-5CAB45F67F22}"/>
    <cellStyle name="Normal 5 4 8" xfId="1180" xr:uid="{28042413-2AC4-4265-9325-3D9C4D0AE957}"/>
    <cellStyle name="Normal 5 4 8 2" xfId="2339" xr:uid="{B5F028AA-E430-4C2E-A326-D508B87FA587}"/>
    <cellStyle name="Normal 5 4 9" xfId="2332" xr:uid="{82A3C34B-0C7D-44B3-9664-A43A1DAD6DC9}"/>
    <cellStyle name="Normal 5 5" xfId="1181" xr:uid="{DEDA48AE-444D-4E65-81A3-8DDD272A9528}"/>
    <cellStyle name="Normal 5 5 2" xfId="1182" xr:uid="{43A00921-4289-49AE-865A-0FCE759B6C3A}"/>
    <cellStyle name="Normal 5 5 2 2" xfId="2341" xr:uid="{429C8881-286C-4F51-8D8B-6FAC1869534F}"/>
    <cellStyle name="Normal 5 5 3" xfId="1183" xr:uid="{63EC074A-86AC-452B-A1F2-3B6A0B5A289D}"/>
    <cellStyle name="Normal 5 5 3 2" xfId="2342" xr:uid="{DE9D7797-A328-427B-B59D-4150DCF51970}"/>
    <cellStyle name="Normal 5 5 4" xfId="1184" xr:uid="{D5E2ECA8-B669-4379-97F8-1C6366222BCF}"/>
    <cellStyle name="Normal 5 5 4 2" xfId="2343" xr:uid="{75CE8B28-DF4B-4F8F-991D-B4C451D7173D}"/>
    <cellStyle name="Normal 5 5 5" xfId="1185" xr:uid="{F03E20A1-5F56-40AF-982F-A9D8EA1ABE1B}"/>
    <cellStyle name="Normal 5 5 5 2" xfId="2344" xr:uid="{5005A87C-263E-40B1-9028-793B22F1826E}"/>
    <cellStyle name="Normal 5 5 6" xfId="1186" xr:uid="{03E44BCC-65B3-4F6F-A09B-AF1750B25662}"/>
    <cellStyle name="Normal 5 5 6 2" xfId="2345" xr:uid="{90DD89D3-ADC5-4067-AFA3-D68E784D4A90}"/>
    <cellStyle name="Normal 5 5 7" xfId="1187" xr:uid="{45178D79-6AAD-437D-8B40-32EE476913DD}"/>
    <cellStyle name="Normal 5 5 7 2" xfId="2346" xr:uid="{E4D47BEB-3C78-4971-A621-7AEF3F6FA038}"/>
    <cellStyle name="Normal 5 5 8" xfId="1188" xr:uid="{944F03F8-4296-461B-A6C1-DD620EC59739}"/>
    <cellStyle name="Normal 5 5 8 2" xfId="2347" xr:uid="{20B49534-0BBB-4027-A636-0011C857E4CB}"/>
    <cellStyle name="Normal 5 5 9" xfId="2340" xr:uid="{EA9868C6-A09B-45BA-B34D-BC0BCD58BFE8}"/>
    <cellStyle name="Normal 5 6" xfId="1189" xr:uid="{9E581CB2-A88A-40B1-B8DE-17A83A8AD490}"/>
    <cellStyle name="Normal 5 6 2" xfId="2348" xr:uid="{9A77E234-D69D-46DC-B056-97669B177119}"/>
    <cellStyle name="Normal 5 7" xfId="1190" xr:uid="{965A007D-02B8-4F7A-85AE-0FC5D9F56142}"/>
    <cellStyle name="Normal 5 7 2" xfId="2349" xr:uid="{6F7F3D4E-633C-44A5-B1E8-906CEBDE1DA9}"/>
    <cellStyle name="Normal 5 8" xfId="1191" xr:uid="{7B9EC2C4-6771-40E8-9EE1-1EE2C5BDF314}"/>
    <cellStyle name="Normal 5 8 2" xfId="2350" xr:uid="{F49A07D2-EDA6-488F-84F6-7A9B4F1C402E}"/>
    <cellStyle name="Normal 5 9" xfId="1192" xr:uid="{7A14878B-8701-4CCB-85D0-4DA41FF9019B}"/>
    <cellStyle name="Normal 5 9 2" xfId="2351" xr:uid="{E147E073-8D54-4A08-B9EA-EA87BDA5E514}"/>
    <cellStyle name="Normal 5_default attrib" xfId="2953" xr:uid="{A29F6332-80CF-4A00-A2F3-336CCB4FC4A5}"/>
    <cellStyle name="Normal 6" xfId="1193" xr:uid="{B82200F3-7C58-4E9C-A623-FEBA3A352F59}"/>
    <cellStyle name="Normal 6 10" xfId="1194" xr:uid="{5911EF52-339F-462B-ACC0-369A1715CEDC}"/>
    <cellStyle name="Normal 6 10 2" xfId="2353" xr:uid="{2476CBC0-9DE3-42AB-9E4F-2A2F5987F6F7}"/>
    <cellStyle name="Normal 6 11" xfId="1195" xr:uid="{AD0A18D5-B846-433D-839B-0BC71C2AC873}"/>
    <cellStyle name="Normal 6 11 2" xfId="2354" xr:uid="{C8700870-6674-4CED-94C5-F3FBAD5A9F47}"/>
    <cellStyle name="Normal 6 12" xfId="1196" xr:uid="{8C169BE9-962E-47F8-863C-4DBE86BF3C14}"/>
    <cellStyle name="Normal 6 12 2" xfId="2355" xr:uid="{E1478941-06DA-4636-AB3D-047BFA5082D6}"/>
    <cellStyle name="Normal 6 13" xfId="1197" xr:uid="{2235D6FE-9D30-4A2A-BDA5-58C3930820D8}"/>
    <cellStyle name="Normal 6 13 2" xfId="2356" xr:uid="{82923F51-E8D4-4AE6-ADBD-97EEA735E8AB}"/>
    <cellStyle name="Normal 6 14" xfId="2352" xr:uid="{813496E3-EDF0-4BF4-98EF-C5CBD3137808}"/>
    <cellStyle name="Normal 6 2" xfId="1198" xr:uid="{82068DAE-BEF2-46FB-AFC5-3527BE9FC6D5}"/>
    <cellStyle name="Normal 6 2 2" xfId="1199" xr:uid="{468E599C-ADD1-4D03-A171-396B1C1199CA}"/>
    <cellStyle name="Normal 6 2 2 10" xfId="1200" xr:uid="{B14702A9-56D9-43EF-B6A0-549FCEF34B0E}"/>
    <cellStyle name="Normal 6 2 2 10 2" xfId="2359" xr:uid="{194D884D-8686-4BE7-A869-B4E0B0AD1F91}"/>
    <cellStyle name="Normal 6 2 2 10_default attrib" xfId="2941" xr:uid="{EFBDFB48-7661-433D-9479-81B8F3043739}"/>
    <cellStyle name="Normal 6 2 2 11" xfId="1201" xr:uid="{06956B58-9E64-47E3-A143-7C92AB7FA99D}"/>
    <cellStyle name="Normal 6 2 2 11 2" xfId="2360" xr:uid="{B3103653-E01B-441C-8B61-3ED944048C7C}"/>
    <cellStyle name="Normal 6 2 2 11_default attrib" xfId="2940" xr:uid="{F25911B8-086D-48A5-B9DD-0C4820739521}"/>
    <cellStyle name="Normal 6 2 2 12" xfId="1202" xr:uid="{AE6CBF9F-6062-4796-9A87-6323FACF3BB9}"/>
    <cellStyle name="Normal 6 2 2 12 2" xfId="2361" xr:uid="{8CD6CC76-C1F7-4D2F-940A-6A4CD72CC928}"/>
    <cellStyle name="Normal 6 2 2 12_default attrib" xfId="2939" xr:uid="{0AE9425D-8AEF-4DE3-A954-508852869803}"/>
    <cellStyle name="Normal 6 2 2 13" xfId="1203" xr:uid="{B417C8E8-21E8-45BB-9C44-08544AB7F330}"/>
    <cellStyle name="Normal 6 2 2 13 2" xfId="2362" xr:uid="{2EFE5A4B-5663-4ECE-BC0B-4463513D2B4C}"/>
    <cellStyle name="Normal 6 2 2 13_default attrib" xfId="2878" xr:uid="{8D8B90C6-6938-4D11-9958-4949886BED7D}"/>
    <cellStyle name="Normal 6 2 2 14" xfId="2358" xr:uid="{7CD217ED-ABD2-4F8B-90CE-F1B66185E983}"/>
    <cellStyle name="Normal 6 2 2 2" xfId="1204" xr:uid="{667DE733-1193-4165-9DF9-E084AA14CDA1}"/>
    <cellStyle name="Normal 6 2 2 2 2" xfId="2363" xr:uid="{D9729D0C-6B4E-439C-94DA-A7102FF9E77A}"/>
    <cellStyle name="Normal 6 2 2 2_default attrib" xfId="2938" xr:uid="{E7FCA63A-90D3-4E9C-8112-4984B3F16EAC}"/>
    <cellStyle name="Normal 6 2 2 3" xfId="1205" xr:uid="{3D5A99D5-2617-4907-8B3C-86F53540C1D1}"/>
    <cellStyle name="Normal 6 2 2 3 2" xfId="2364" xr:uid="{F207B94F-85AA-4B5C-BE13-2B47E8E2ADAF}"/>
    <cellStyle name="Normal 6 2 2 3_default attrib" xfId="2937" xr:uid="{C6AA2FED-4EAD-46B1-A29F-6017FF96FB03}"/>
    <cellStyle name="Normal 6 2 2 4" xfId="1206" xr:uid="{9D342E1D-53AF-4B78-B57A-9717C06D7304}"/>
    <cellStyle name="Normal 6 2 2 4 2" xfId="2365" xr:uid="{0C30D3BF-CECE-4DD2-B85B-2901E962A1BA}"/>
    <cellStyle name="Normal 6 2 2 4_default attrib" xfId="2936" xr:uid="{2C7D65AF-66E9-4A60-9FC8-B3D00135BCD1}"/>
    <cellStyle name="Normal 6 2 2 5" xfId="1207" xr:uid="{34AD8F3F-17EF-4693-93C8-37385F5E5A00}"/>
    <cellStyle name="Normal 6 2 2 5 2" xfId="2366" xr:uid="{7216F74B-E513-4492-8680-7873CA054F43}"/>
    <cellStyle name="Normal 6 2 2 5_default attrib" xfId="2935" xr:uid="{A59A6C37-1080-4D29-8A8E-0D90912AB771}"/>
    <cellStyle name="Normal 6 2 2 6" xfId="1208" xr:uid="{35BDB042-4DAC-4C29-80C3-7CD6FEC66632}"/>
    <cellStyle name="Normal 6 2 2 6 2" xfId="2367" xr:uid="{9943DDA7-529F-4725-BC5F-8B389924AD73}"/>
    <cellStyle name="Normal 6 2 2 6_default attrib" xfId="2934" xr:uid="{10CA78B8-9B47-4377-A863-55894F360C0E}"/>
    <cellStyle name="Normal 6 2 2 7" xfId="1209" xr:uid="{AD1FBD4C-CAD5-4CDA-9D9C-A449EAA2503C}"/>
    <cellStyle name="Normal 6 2 2 7 2" xfId="2368" xr:uid="{EB1A848C-B1A1-49FE-B125-AA34BD6FD67F}"/>
    <cellStyle name="Normal 6 2 2 7_default attrib" xfId="2933" xr:uid="{8C833064-26AE-40FA-897F-295784F7B554}"/>
    <cellStyle name="Normal 6 2 2 8" xfId="1210" xr:uid="{6B9A7CD9-FA99-4ADB-85F8-B58C5271722E}"/>
    <cellStyle name="Normal 6 2 2 8 2" xfId="2369" xr:uid="{19FABF0B-16AC-4083-BBEC-1C88BBD1D7F7}"/>
    <cellStyle name="Normal 6 2 2 8_default attrib" xfId="2932" xr:uid="{82D7BE28-301B-421F-8408-7995BDAF782A}"/>
    <cellStyle name="Normal 6 2 2 9" xfId="1211" xr:uid="{85582B07-5A7C-4D64-867B-1A0E774D315B}"/>
    <cellStyle name="Normal 6 2 2 9 2" xfId="2370" xr:uid="{E8E05A20-D4FC-454D-BC21-79611ED9A238}"/>
    <cellStyle name="Normal 6 2 2 9_default attrib" xfId="2877" xr:uid="{8B801F35-9223-474F-94BA-19093E27F986}"/>
    <cellStyle name="Normal 6 2 3" xfId="1212" xr:uid="{60530CCD-E68B-4947-8259-882AC2887734}"/>
    <cellStyle name="Normal 6 2 3 2" xfId="2371" xr:uid="{D3277FE4-A41C-4F1D-9571-8C7473CA154F}"/>
    <cellStyle name="Normal 6 2 4" xfId="1213" xr:uid="{7942DBFC-6DDE-4DFE-B451-6BB67F8D8368}"/>
    <cellStyle name="Normal 6 2 4 2" xfId="2372" xr:uid="{B62AEF08-07B1-46B2-ADEC-2BDECC7D749E}"/>
    <cellStyle name="Normal 6 2 5" xfId="1214" xr:uid="{9C35715E-47BE-498B-B46A-C45D2DFD55C5}"/>
    <cellStyle name="Normal 6 2 5 2" xfId="2373" xr:uid="{4786F261-1FAC-403A-9CA4-E31B27877962}"/>
    <cellStyle name="Normal 6 2 6" xfId="1215" xr:uid="{A73620CD-0C02-46ED-8F31-E0C2409DAC9A}"/>
    <cellStyle name="Normal 6 2 6 2" xfId="2374" xr:uid="{B295CF13-F0BC-4CAE-B82B-012684520890}"/>
    <cellStyle name="Normal 6 2 7" xfId="1216" xr:uid="{85F6CE5F-9F9B-42EA-A06F-271C45859F73}"/>
    <cellStyle name="Normal 6 2 7 2" xfId="2375" xr:uid="{AD3FBDF5-1115-4175-BD45-13134EB8E11B}"/>
    <cellStyle name="Normal 6 2 8" xfId="1217" xr:uid="{08407F31-552B-46A0-9DE3-4E8C3658459A}"/>
    <cellStyle name="Normal 6 2 8 2" xfId="2376" xr:uid="{876AF81F-53DA-4A90-B101-4410F765C5E2}"/>
    <cellStyle name="Normal 6 2 9" xfId="2357" xr:uid="{CC24851F-C9A7-475D-9B2A-395D32A2E8C3}"/>
    <cellStyle name="Normal 6 3" xfId="1218" xr:uid="{9FADD8C8-6643-4AF5-82CE-443236F1C747}"/>
    <cellStyle name="Normal 6 3 2" xfId="1219" xr:uid="{CEA4E939-C3FD-4304-B131-065D3B269BAD}"/>
    <cellStyle name="Normal 6 3 2 2" xfId="2378" xr:uid="{BC8EFE39-2FBC-4E47-914D-75EB2396DA24}"/>
    <cellStyle name="Normal 6 3 3" xfId="1220" xr:uid="{42172986-5A8F-4671-BBC3-22EBAA88ACA2}"/>
    <cellStyle name="Normal 6 3 3 2" xfId="2379" xr:uid="{F9E5363A-E479-4330-9533-331B7C29F819}"/>
    <cellStyle name="Normal 6 3 4" xfId="1221" xr:uid="{B77965CD-928D-43D4-9C89-5550D8E27CEB}"/>
    <cellStyle name="Normal 6 3 4 2" xfId="2380" xr:uid="{F282F8F3-6664-4F04-A70C-95DD431C6EF6}"/>
    <cellStyle name="Normal 6 3 5" xfId="1222" xr:uid="{CB24E54A-3A59-4D26-9278-3914BF77EDDD}"/>
    <cellStyle name="Normal 6 3 5 2" xfId="2381" xr:uid="{4AF73C3A-6872-4022-8E7C-7FEA850A6F3B}"/>
    <cellStyle name="Normal 6 3 6" xfId="1223" xr:uid="{E52E4F8D-86D4-4252-BDF7-64FBC7C915A0}"/>
    <cellStyle name="Normal 6 3 6 2" xfId="2382" xr:uid="{86518CA6-835B-4F05-853A-DF391B7C6995}"/>
    <cellStyle name="Normal 6 3 7" xfId="1224" xr:uid="{B81F84A6-9AD1-4CE2-8394-E4731135FBBF}"/>
    <cellStyle name="Normal 6 3 7 2" xfId="2383" xr:uid="{86A17BF9-E5E1-4108-B929-8B299C4B7A2D}"/>
    <cellStyle name="Normal 6 3 8" xfId="1225" xr:uid="{6C7F1915-E425-475A-9455-4BCFBCDB0C67}"/>
    <cellStyle name="Normal 6 3 8 2" xfId="2384" xr:uid="{E62A5C0F-CCA6-45B0-96CA-586434F39575}"/>
    <cellStyle name="Normal 6 3 9" xfId="2377" xr:uid="{E2534BE8-11DD-4A7A-B868-BB6B681B12AF}"/>
    <cellStyle name="Normal 6 4" xfId="1226" xr:uid="{81931C6B-AFD0-4A56-96F6-4B1EC0DBB0DF}"/>
    <cellStyle name="Normal 6 4 2" xfId="1227" xr:uid="{CDAB3415-68EA-470C-BA94-7F53BCD1BCEC}"/>
    <cellStyle name="Normal 6 4 2 2" xfId="2386" xr:uid="{147A2150-A294-4681-8891-16456BA38019}"/>
    <cellStyle name="Normal 6 4 3" xfId="1228" xr:uid="{78A65CA5-F199-4113-8380-5AB87F3BA8C7}"/>
    <cellStyle name="Normal 6 4 3 2" xfId="2387" xr:uid="{8A6C232D-A3A9-46FE-9AD6-68EFDBF0486A}"/>
    <cellStyle name="Normal 6 4 4" xfId="1229" xr:uid="{A303C7C6-E7BA-416F-9BAD-96B008419853}"/>
    <cellStyle name="Normal 6 4 4 2" xfId="2388" xr:uid="{6255F8E3-14CF-4AE0-B11E-A1C16521D6AC}"/>
    <cellStyle name="Normal 6 4 5" xfId="1230" xr:uid="{71B66A9C-D3F9-4E74-8111-5DA17A04EF10}"/>
    <cellStyle name="Normal 6 4 5 2" xfId="2389" xr:uid="{19F07405-3505-47F3-9BC0-02385D6E9A96}"/>
    <cellStyle name="Normal 6 4 6" xfId="1231" xr:uid="{BAF43C3F-D31A-4EEF-9F92-78B5EC954E93}"/>
    <cellStyle name="Normal 6 4 6 2" xfId="2390" xr:uid="{0A2F773C-116D-4786-8E13-FDD3965439BC}"/>
    <cellStyle name="Normal 6 4 7" xfId="1232" xr:uid="{A00B71E7-7635-4A22-9F3C-C5F8E22437B6}"/>
    <cellStyle name="Normal 6 4 7 2" xfId="2391" xr:uid="{C8CDEAE5-DC42-491D-9EBE-C15463F3300D}"/>
    <cellStyle name="Normal 6 4 8" xfId="1233" xr:uid="{19A4B1C5-7A70-478D-B21C-4FA190A49EB4}"/>
    <cellStyle name="Normal 6 4 8 2" xfId="2392" xr:uid="{B95F3712-114D-442B-837B-39E30B069318}"/>
    <cellStyle name="Normal 6 4 9" xfId="2385" xr:uid="{CFB89046-11C1-41EA-845F-8A60B532D608}"/>
    <cellStyle name="Normal 6 5" xfId="1234" xr:uid="{6507E232-4181-4F6D-BBAF-6737BB82E2A8}"/>
    <cellStyle name="Normal 6 5 2" xfId="1235" xr:uid="{A256025E-9419-4564-BB12-B08BCEDA2247}"/>
    <cellStyle name="Normal 6 5 2 2" xfId="2394" xr:uid="{830578E4-21C8-40B7-B100-F20133C5810D}"/>
    <cellStyle name="Normal 6 5 3" xfId="1236" xr:uid="{1A5F5070-6677-420B-8F0B-B05B83AEC758}"/>
    <cellStyle name="Normal 6 5 3 2" xfId="2395" xr:uid="{759ABDFD-E1EF-4C79-ACAA-4C4429B8821B}"/>
    <cellStyle name="Normal 6 5 4" xfId="1237" xr:uid="{D1E5B573-0A6A-45CF-AB32-3FC930F877F2}"/>
    <cellStyle name="Normal 6 5 4 2" xfId="2396" xr:uid="{F86E5E47-A5FA-4A88-A272-ED79C173392D}"/>
    <cellStyle name="Normal 6 5 5" xfId="1238" xr:uid="{30C49988-F392-48E2-850D-E44526870944}"/>
    <cellStyle name="Normal 6 5 5 2" xfId="2397" xr:uid="{262055CC-9C22-4C05-9692-7B78936C65EF}"/>
    <cellStyle name="Normal 6 5 6" xfId="1239" xr:uid="{5F57C2DD-C0DA-4D86-B8C4-AE3F6F91BE23}"/>
    <cellStyle name="Normal 6 5 6 2" xfId="2398" xr:uid="{7EEF7838-B4D1-4A47-8069-3D647667595A}"/>
    <cellStyle name="Normal 6 5 7" xfId="1240" xr:uid="{BA2360DE-BB49-4C2D-BBD7-418F9FEF3D68}"/>
    <cellStyle name="Normal 6 5 7 2" xfId="2399" xr:uid="{53348DBB-3C16-4CB5-ADB8-85259C32A5E6}"/>
    <cellStyle name="Normal 6 5 8" xfId="1241" xr:uid="{859E4CE0-8A74-4666-85CC-31C46AF53E83}"/>
    <cellStyle name="Normal 6 5 8 2" xfId="2400" xr:uid="{1F853C99-D3E8-4503-9AE2-165C4BD2F78D}"/>
    <cellStyle name="Normal 6 5 9" xfId="2393" xr:uid="{6B8C9D0A-25A9-43AF-B387-B62DDDD2A1E0}"/>
    <cellStyle name="Normal 6 6" xfId="1242" xr:uid="{574295E3-9596-41E6-84C8-43AF18671AFB}"/>
    <cellStyle name="Normal 6 6 2" xfId="2401" xr:uid="{04F1CC1D-27D2-450E-ACC7-D744C4084BE0}"/>
    <cellStyle name="Normal 6 7" xfId="1243" xr:uid="{2485031B-2B1E-4B42-A3B8-DA1DFF3B6F50}"/>
    <cellStyle name="Normal 6 7 2" xfId="2402" xr:uid="{4D8F708F-7AC5-46F3-8C51-59B3AD68BD68}"/>
    <cellStyle name="Normal 6 8" xfId="1244" xr:uid="{76DED008-7D5F-4701-B12E-2B3477D47249}"/>
    <cellStyle name="Normal 6 8 2" xfId="2403" xr:uid="{0147BDF8-4B4D-42C9-84CF-80E0398B08A1}"/>
    <cellStyle name="Normal 6 9" xfId="1245" xr:uid="{61F69453-A1FF-415D-ADC4-05F23368B3D8}"/>
    <cellStyle name="Normal 6 9 2" xfId="2404" xr:uid="{F65A8AF1-E281-4066-B73B-CA9538A03310}"/>
    <cellStyle name="Normal 7" xfId="1246" xr:uid="{73EC4546-B7B5-4A33-B23B-386EF8C169B7}"/>
    <cellStyle name="Normal 7 10" xfId="1247" xr:uid="{EEA6941D-7A79-4FDA-8772-947A6F69EC62}"/>
    <cellStyle name="Normal 7 10 2" xfId="2406" xr:uid="{2F51A2EE-1DFB-4F32-BACD-32733C97D22F}"/>
    <cellStyle name="Normal 7 11" xfId="1248" xr:uid="{803697EC-F4B8-4783-99EA-3D0E29012A39}"/>
    <cellStyle name="Normal 7 11 2" xfId="2407" xr:uid="{F5B6016B-C954-4D69-8C7F-357549E323A6}"/>
    <cellStyle name="Normal 7 12" xfId="1249" xr:uid="{94C35DDF-DAF5-4571-AA14-281DA093CCA0}"/>
    <cellStyle name="Normal 7 12 2" xfId="2408" xr:uid="{3E6DD6EB-5F89-47C3-880A-D07C09A5C4D4}"/>
    <cellStyle name="Normal 7 13" xfId="2405" xr:uid="{D801EBC6-86F0-43D2-AF0B-329015E2C0FC}"/>
    <cellStyle name="Normal 7 2" xfId="1250" xr:uid="{036ED863-C0A8-47AA-86D3-FD854368D71E}"/>
    <cellStyle name="Normal 7 2 2" xfId="1251" xr:uid="{3B26E0F2-6D8D-4366-B4FD-C56071A523F4}"/>
    <cellStyle name="Normal 7 2 2 2" xfId="2410" xr:uid="{691341EA-DA3B-4CB0-AD54-0FED7010D2B9}"/>
    <cellStyle name="Normal 7 2 3" xfId="1252" xr:uid="{E420C925-39E8-43B2-90A3-6543C8D244F9}"/>
    <cellStyle name="Normal 7 2 3 2" xfId="2411" xr:uid="{251EEC30-8DA8-433C-AA5C-F928A6BD19AE}"/>
    <cellStyle name="Normal 7 2 4" xfId="1253" xr:uid="{ACD8532C-BED1-411B-B92D-A1019A65B628}"/>
    <cellStyle name="Normal 7 2 4 2" xfId="2412" xr:uid="{4884565F-FC54-4500-9CB1-113619D580F7}"/>
    <cellStyle name="Normal 7 2 5" xfId="1254" xr:uid="{7D89A8B7-AC5E-40BE-AA80-1955E86D8069}"/>
    <cellStyle name="Normal 7 2 5 2" xfId="2413" xr:uid="{F1D428AE-A230-4FEC-840D-2F757EB8840B}"/>
    <cellStyle name="Normal 7 2 6" xfId="1255" xr:uid="{13CD01CF-4D46-4F40-A81E-D05255E7CA4D}"/>
    <cellStyle name="Normal 7 2 6 2" xfId="2414" xr:uid="{E849AC4F-CC61-434C-BA98-A29CC96B95D9}"/>
    <cellStyle name="Normal 7 2 7" xfId="1256" xr:uid="{D7B017CE-C572-4AC8-96FE-A8C4347F64A2}"/>
    <cellStyle name="Normal 7 2 7 2" xfId="2415" xr:uid="{C034FCC2-654C-4208-ADEA-FE818AB73DBF}"/>
    <cellStyle name="Normal 7 2 8" xfId="1257" xr:uid="{C90228FD-42D5-4DDA-9491-E7DA04E411D1}"/>
    <cellStyle name="Normal 7 2 8 2" xfId="2416" xr:uid="{301E4EB4-BB7C-4F2B-BFC2-7200E1C10C5B}"/>
    <cellStyle name="Normal 7 2 9" xfId="2409" xr:uid="{6A3807DD-2FEA-47E7-8DD4-AC56E88C63A0}"/>
    <cellStyle name="Normal 7 3" xfId="1258" xr:uid="{D87D710A-C75D-4C97-A14C-C69A69067F4F}"/>
    <cellStyle name="Normal 7 3 2" xfId="1259" xr:uid="{8BBF9E65-4574-4357-820B-06DAE0EF36CB}"/>
    <cellStyle name="Normal 7 3 2 2" xfId="2418" xr:uid="{E6CC3687-AE05-40E4-A841-7D1EB5A0602C}"/>
    <cellStyle name="Normal 7 3 3" xfId="1260" xr:uid="{2EDAC17F-81BE-43DB-8A1D-4AFF223D1FD6}"/>
    <cellStyle name="Normal 7 3 3 2" xfId="2419" xr:uid="{BD22379F-7B2B-4B98-87BE-F315D87D1AC4}"/>
    <cellStyle name="Normal 7 3 4" xfId="1261" xr:uid="{9CF13393-C48E-4BA5-A3CE-9F9CFF353C87}"/>
    <cellStyle name="Normal 7 3 4 2" xfId="2420" xr:uid="{972147EF-610D-4D82-B95D-BA3C3C053BB7}"/>
    <cellStyle name="Normal 7 3 5" xfId="1262" xr:uid="{68E85A3A-E44E-4873-A1A9-B08BC941093F}"/>
    <cellStyle name="Normal 7 3 5 2" xfId="2421" xr:uid="{6F6EA535-C2B0-40ED-B3CF-F76338EB0CD1}"/>
    <cellStyle name="Normal 7 3 6" xfId="1263" xr:uid="{1E1997D7-2500-4DBE-B63D-18893FCD18CB}"/>
    <cellStyle name="Normal 7 3 6 2" xfId="2422" xr:uid="{C761AB8E-2056-4AB9-8039-6E1F56550D1D}"/>
    <cellStyle name="Normal 7 3 7" xfId="1264" xr:uid="{AD4F43D8-409E-4F8F-AF2C-1EB59B40DD69}"/>
    <cellStyle name="Normal 7 3 7 2" xfId="2423" xr:uid="{BC843ABD-0E91-4A59-B795-8FE0619980A2}"/>
    <cellStyle name="Normal 7 3 8" xfId="1265" xr:uid="{7C841BFF-E974-4058-8FA9-DE7F31FE1D43}"/>
    <cellStyle name="Normal 7 3 8 2" xfId="2424" xr:uid="{646FBD74-FFD0-49F7-9A49-3C1AF06A79B0}"/>
    <cellStyle name="Normal 7 3 9" xfId="2417" xr:uid="{45E31667-52CD-427A-BA50-8FDA3213FF0B}"/>
    <cellStyle name="Normal 7 4" xfId="1266" xr:uid="{A22351E5-B567-4D91-87C4-50709973B38A}"/>
    <cellStyle name="Normal 7 4 2" xfId="1267" xr:uid="{E24E9051-0784-449C-9D4A-36DF97F5964B}"/>
    <cellStyle name="Normal 7 4 2 2" xfId="2426" xr:uid="{78ACCE0B-119A-494B-B61F-2AE5DC373F5D}"/>
    <cellStyle name="Normal 7 4 3" xfId="1268" xr:uid="{C4943614-DE9A-4D60-A13E-C2E2A0850968}"/>
    <cellStyle name="Normal 7 4 3 2" xfId="2427" xr:uid="{EB5F2DFB-5AE0-4A05-8167-862A9D4ACDD5}"/>
    <cellStyle name="Normal 7 4 4" xfId="1269" xr:uid="{C4B3B9CE-9DB4-4D5B-9C90-E7FE6B7DA3F4}"/>
    <cellStyle name="Normal 7 4 4 2" xfId="2428" xr:uid="{CD986496-8ACD-4987-B360-D8378E3DC7F5}"/>
    <cellStyle name="Normal 7 4 5" xfId="1270" xr:uid="{2DE08509-F298-4072-99E3-2B222D4387CF}"/>
    <cellStyle name="Normal 7 4 5 2" xfId="2429" xr:uid="{B166C8B8-EDDE-4CBC-BBC1-FB7F2D5CB80A}"/>
    <cellStyle name="Normal 7 4 6" xfId="1271" xr:uid="{DF0DD5C0-85D8-4674-8104-90456F99736A}"/>
    <cellStyle name="Normal 7 4 6 2" xfId="2430" xr:uid="{45B43E74-5D0F-434D-B7B2-7A40A3B0C4EB}"/>
    <cellStyle name="Normal 7 4 7" xfId="1272" xr:uid="{52314103-42BF-4079-847F-9817DE7AEA61}"/>
    <cellStyle name="Normal 7 4 7 2" xfId="2431" xr:uid="{EA968528-8E2A-4E73-859A-D9A725E3E128}"/>
    <cellStyle name="Normal 7 4 8" xfId="1273" xr:uid="{5646EC2E-ABA3-45C8-80CB-8AA9322F3DB1}"/>
    <cellStyle name="Normal 7 4 8 2" xfId="2432" xr:uid="{C3528F59-2163-41ED-96C1-63347029E6DC}"/>
    <cellStyle name="Normal 7 4 9" xfId="2425" xr:uid="{A7934228-E0C4-4F35-BCBC-2F6B3D058915}"/>
    <cellStyle name="Normal 7 5" xfId="1274" xr:uid="{B3F84FDE-581C-46BC-8FE8-4780AB2712ED}"/>
    <cellStyle name="Normal 7 5 2" xfId="1275" xr:uid="{358F0B1E-3A7D-4E0B-B39A-1612708C417C}"/>
    <cellStyle name="Normal 7 5 2 2" xfId="2434" xr:uid="{D3B5A80D-AD1B-4C11-937B-B42A0B46947B}"/>
    <cellStyle name="Normal 7 5 3" xfId="1276" xr:uid="{BF37F377-D36D-45FD-BDE8-8BECDA595DF4}"/>
    <cellStyle name="Normal 7 5 3 2" xfId="2435" xr:uid="{42009577-E3C1-4D6A-AAF1-729987F1FF14}"/>
    <cellStyle name="Normal 7 5 4" xfId="1277" xr:uid="{4BD7A992-88A9-4FB5-B392-F204FD737173}"/>
    <cellStyle name="Normal 7 5 4 2" xfId="2436" xr:uid="{21965BF6-7F39-4BD4-BE4D-8CA7035E4830}"/>
    <cellStyle name="Normal 7 5 5" xfId="1278" xr:uid="{A339D0AF-712A-4390-B4B8-EAA1263FB6A1}"/>
    <cellStyle name="Normal 7 5 5 2" xfId="2437" xr:uid="{90597F4B-4492-4259-BDC8-D77289524B16}"/>
    <cellStyle name="Normal 7 5 6" xfId="1279" xr:uid="{3DC3F41A-BE52-496A-8D1D-0B7D54676AB6}"/>
    <cellStyle name="Normal 7 5 6 2" xfId="2438" xr:uid="{3138C36E-6EA8-4684-A424-AC754B3E7AF5}"/>
    <cellStyle name="Normal 7 5 7" xfId="1280" xr:uid="{84DAEF5A-FCA5-4967-8839-28DEF6ECDFF7}"/>
    <cellStyle name="Normal 7 5 7 2" xfId="2439" xr:uid="{1A1D39FA-95EF-4A80-ACDB-E93C2FE5D278}"/>
    <cellStyle name="Normal 7 5 8" xfId="1281" xr:uid="{B1F6572C-5B40-4B21-9C12-86A2C39977EB}"/>
    <cellStyle name="Normal 7 5 8 2" xfId="2440" xr:uid="{B4BD9A2E-0434-4BF9-8045-F3212D7EBD6E}"/>
    <cellStyle name="Normal 7 5 9" xfId="2433" xr:uid="{EBC6F823-4048-479A-AEAF-FF337E71F47E}"/>
    <cellStyle name="Normal 7 6" xfId="1282" xr:uid="{BF0D5446-2511-4C55-9FD9-FD3888802DFD}"/>
    <cellStyle name="Normal 7 6 2" xfId="2441" xr:uid="{B1968EEF-ECD1-42D8-AAEF-CD95EDFE85B8}"/>
    <cellStyle name="Normal 7 7" xfId="1283" xr:uid="{1EE3174D-1B17-48B4-B31F-8BE7E01CA762}"/>
    <cellStyle name="Normal 7 7 2" xfId="2442" xr:uid="{9B80367E-78C6-4C5D-B236-04233EDE3F79}"/>
    <cellStyle name="Normal 7 8" xfId="1284" xr:uid="{51CECC20-16E1-470A-942C-7A9C066DB97A}"/>
    <cellStyle name="Normal 7 8 2" xfId="2443" xr:uid="{225173F1-1232-40C6-BC66-39976C0C6FB5}"/>
    <cellStyle name="Normal 7 9" xfId="1285" xr:uid="{F00DF77E-C9F1-4AEA-B6A6-E0947ED53650}"/>
    <cellStyle name="Normal 7 9 2" xfId="2444" xr:uid="{FF2F44D1-8564-43BC-B2D0-AF695FEECFAC}"/>
    <cellStyle name="Normal 8" xfId="1286" xr:uid="{7CE211F5-9530-464E-9D1D-E0987D7E5F29}"/>
    <cellStyle name="Normal 8 10" xfId="1287" xr:uid="{8C6551E3-1DB0-4659-AC83-5C4F13126FD5}"/>
    <cellStyle name="Normal 8 10 2" xfId="2446" xr:uid="{25575577-7E53-4B1D-883C-517481039848}"/>
    <cellStyle name="Normal 8 11" xfId="1288" xr:uid="{5682EB68-5BC9-4B37-B840-B24AF9A35072}"/>
    <cellStyle name="Normal 8 11 2" xfId="2447" xr:uid="{C7021CA4-EA08-451C-95B7-FF056FDFD135}"/>
    <cellStyle name="Normal 8 12" xfId="1289" xr:uid="{5973E574-A677-4B3F-9E7D-A74DEE714B93}"/>
    <cellStyle name="Normal 8 12 2" xfId="2448" xr:uid="{354B2653-81DF-4335-A693-BAE0F16D95A8}"/>
    <cellStyle name="Normal 8 13" xfId="2445" xr:uid="{8CABEF40-4422-402E-A8F4-726F072168F8}"/>
    <cellStyle name="Normal 8 2" xfId="1290" xr:uid="{0394FCD7-4670-49AC-B854-51E553C960B3}"/>
    <cellStyle name="Normal 8 2 2" xfId="1291" xr:uid="{901A5DC2-2B8D-4E6F-BFF6-ADECF5E2B946}"/>
    <cellStyle name="Normal 8 2 2 2" xfId="2450" xr:uid="{30C8A595-D50C-4E88-B025-4B16CEDF8811}"/>
    <cellStyle name="Normal 8 2 3" xfId="1292" xr:uid="{DF755985-8303-494D-8FD4-7B8B5DC5DA9A}"/>
    <cellStyle name="Normal 8 2 3 2" xfId="2451" xr:uid="{94012910-0701-4301-B18D-D37DCC458E41}"/>
    <cellStyle name="Normal 8 2 4" xfId="1293" xr:uid="{B36F349F-6ED1-41CF-B595-6F362AF675CD}"/>
    <cellStyle name="Normal 8 2 4 2" xfId="2452" xr:uid="{1C9D7756-4257-41A2-A931-C52BFC4E6554}"/>
    <cellStyle name="Normal 8 2 5" xfId="1294" xr:uid="{7250F654-7B99-48D2-9530-94D1DE8131C1}"/>
    <cellStyle name="Normal 8 2 5 2" xfId="2453" xr:uid="{056B5512-0ABE-41D5-B450-F05DFC2A1C1C}"/>
    <cellStyle name="Normal 8 2 6" xfId="1295" xr:uid="{3F8D9E34-3BA4-4E32-AAE8-3C3F43399C13}"/>
    <cellStyle name="Normal 8 2 6 2" xfId="2454" xr:uid="{07FDD7A3-0AED-4853-AC8B-BD239766993B}"/>
    <cellStyle name="Normal 8 2 7" xfId="1296" xr:uid="{76694FC9-50FC-4E23-944F-8CA5B8ED47E3}"/>
    <cellStyle name="Normal 8 2 7 2" xfId="2455" xr:uid="{B046FA52-E743-4D95-B2E3-77EB2055AAD8}"/>
    <cellStyle name="Normal 8 2 8" xfId="1297" xr:uid="{FEC25924-9774-4E8F-91E2-9B5A6DE80AD4}"/>
    <cellStyle name="Normal 8 2 8 2" xfId="2456" xr:uid="{E2AC0229-37EF-4C13-8063-2ACEB09AF606}"/>
    <cellStyle name="Normal 8 2 9" xfId="2449" xr:uid="{2079691A-696B-4129-9CF0-9EB4F0C6DA4E}"/>
    <cellStyle name="Normal 8 3" xfId="1298" xr:uid="{AC679C2D-5740-455B-9A3F-53D6E2CC89BF}"/>
    <cellStyle name="Normal 8 3 2" xfId="1299" xr:uid="{EAA7506B-E80C-42AB-AB9C-26D732FA3432}"/>
    <cellStyle name="Normal 8 3 2 2" xfId="2458" xr:uid="{016F43AD-C497-4E37-92EB-042FD788621C}"/>
    <cellStyle name="Normal 8 3 3" xfId="1300" xr:uid="{3BE1723B-1F14-4C1B-9803-D60EEFB2D4B8}"/>
    <cellStyle name="Normal 8 3 3 2" xfId="2459" xr:uid="{DD693983-116A-47C3-9A8D-AC9E6788061F}"/>
    <cellStyle name="Normal 8 3 4" xfId="1301" xr:uid="{1B1F2D8C-4267-4B0C-ABE0-85D8EAC6523C}"/>
    <cellStyle name="Normal 8 3 4 2" xfId="2460" xr:uid="{E2428EA4-217B-4E69-B76A-A75BDF8E3D3B}"/>
    <cellStyle name="Normal 8 3 5" xfId="1302" xr:uid="{406B61D5-F7F3-4205-ADFD-0E67E7E8605A}"/>
    <cellStyle name="Normal 8 3 5 2" xfId="2461" xr:uid="{A40C6C24-1280-4ACC-A7C6-599C22883B87}"/>
    <cellStyle name="Normal 8 3 6" xfId="1303" xr:uid="{79AB5288-10E0-4CB4-8C5A-441374F6375D}"/>
    <cellStyle name="Normal 8 3 6 2" xfId="2462" xr:uid="{BA1B025F-B2E9-4274-82DA-15D449B6894E}"/>
    <cellStyle name="Normal 8 3 7" xfId="1304" xr:uid="{F3FA740C-DB3A-48FF-8FF1-F2D7A82CDD53}"/>
    <cellStyle name="Normal 8 3 7 2" xfId="2463" xr:uid="{5B2E393F-5886-4983-9CF4-FC6109160E78}"/>
    <cellStyle name="Normal 8 3 8" xfId="1305" xr:uid="{1BFD830D-3065-4B46-885D-604019CC0D6C}"/>
    <cellStyle name="Normal 8 3 8 2" xfId="2464" xr:uid="{05F1CE7C-AAC5-4AE4-B4A0-784D600BAF21}"/>
    <cellStyle name="Normal 8 3 9" xfId="2457" xr:uid="{2D3906D1-87CE-4DC7-8014-62AE1CCA75C5}"/>
    <cellStyle name="Normal 8 4" xfId="1306" xr:uid="{96859B6F-E3C3-4D45-9D68-D74D668B9AB7}"/>
    <cellStyle name="Normal 8 4 2" xfId="1307" xr:uid="{DB9DF317-7163-43B4-9E15-4C2766FABC73}"/>
    <cellStyle name="Normal 8 4 2 2" xfId="2466" xr:uid="{3F1EB3C9-444C-4AB5-9500-8BEEC94F8313}"/>
    <cellStyle name="Normal 8 4 3" xfId="1308" xr:uid="{3AEAC73A-0356-4DB6-A7FA-BA1CD17B12E1}"/>
    <cellStyle name="Normal 8 4 3 2" xfId="2467" xr:uid="{3A67A3F3-FAE4-4D2F-A8CB-58DBF7BEBF78}"/>
    <cellStyle name="Normal 8 4 4" xfId="1309" xr:uid="{E738AB58-2E5C-4017-8FAF-4F84AE0C3220}"/>
    <cellStyle name="Normal 8 4 4 2" xfId="2468" xr:uid="{CFD9C90B-F53A-40D4-BBC7-876555A09FC7}"/>
    <cellStyle name="Normal 8 4 5" xfId="1310" xr:uid="{EE9C255B-FA80-4DFE-B479-CC5CBFBAB9AF}"/>
    <cellStyle name="Normal 8 4 5 2" xfId="2469" xr:uid="{507C291A-F8A4-4D70-8A89-9A25FA1C3C58}"/>
    <cellStyle name="Normal 8 4 6" xfId="1311" xr:uid="{A444B263-772E-4A39-A32D-A56EF2FDE133}"/>
    <cellStyle name="Normal 8 4 6 2" xfId="2470" xr:uid="{FEA54FDB-2A3F-4603-AA26-E1ED53F6CC82}"/>
    <cellStyle name="Normal 8 4 7" xfId="1312" xr:uid="{ADB1CC0E-4B4D-47D2-9B50-1E36101FE356}"/>
    <cellStyle name="Normal 8 4 7 2" xfId="2471" xr:uid="{5B8D4033-AE8A-4E9D-862E-155760979841}"/>
    <cellStyle name="Normal 8 4 8" xfId="1313" xr:uid="{878B74AE-2A35-4697-83D0-9B00FFABB371}"/>
    <cellStyle name="Normal 8 4 8 2" xfId="2472" xr:uid="{1B4BDEE3-5A8E-4EBA-AEB8-28AB7E4478CE}"/>
    <cellStyle name="Normal 8 4 9" xfId="2465" xr:uid="{5E578613-DD32-4F2A-A952-6E1B43CD64D2}"/>
    <cellStyle name="Normal 8 5" xfId="1314" xr:uid="{52B5D54B-78AA-4D87-BF84-3A5B6404D8FC}"/>
    <cellStyle name="Normal 8 5 2" xfId="1315" xr:uid="{2F8A9243-3F3C-4518-86D2-36F60ACD189B}"/>
    <cellStyle name="Normal 8 5 2 2" xfId="2474" xr:uid="{CC15AD83-9B03-48B7-835E-28C053B664FA}"/>
    <cellStyle name="Normal 8 5 3" xfId="1316" xr:uid="{2D737CD9-626A-4A10-AE9D-37F4B2359751}"/>
    <cellStyle name="Normal 8 5 3 2" xfId="2475" xr:uid="{A58558EF-F372-48C3-A173-09CC6FFF4202}"/>
    <cellStyle name="Normal 8 5 4" xfId="1317" xr:uid="{FB55C262-4571-43A8-9719-D9A5E9A717D4}"/>
    <cellStyle name="Normal 8 5 4 2" xfId="2476" xr:uid="{0A47F25E-F944-4AC2-82B6-20356EF01B81}"/>
    <cellStyle name="Normal 8 5 5" xfId="1318" xr:uid="{13F9D74B-A0A3-4ED3-8A0B-82FF9C0ADD6F}"/>
    <cellStyle name="Normal 8 5 5 2" xfId="2477" xr:uid="{293D8D31-4041-4DB2-A228-A334A0ABCFF0}"/>
    <cellStyle name="Normal 8 5 6" xfId="1319" xr:uid="{E5599761-ACE7-4F06-BB1F-B7BFBC243024}"/>
    <cellStyle name="Normal 8 5 6 2" xfId="2478" xr:uid="{EE714967-70F8-4E14-9158-1D9BEDF98DAC}"/>
    <cellStyle name="Normal 8 5 7" xfId="1320" xr:uid="{DA61089B-76DA-46C7-8A36-480126E376E4}"/>
    <cellStyle name="Normal 8 5 7 2" xfId="2479" xr:uid="{654D833F-5292-4086-BBF4-D710061E9E57}"/>
    <cellStyle name="Normal 8 5 8" xfId="1321" xr:uid="{B52E0488-1818-4CF1-B601-410DBE748E44}"/>
    <cellStyle name="Normal 8 5 8 2" xfId="2480" xr:uid="{14A787EA-FBC8-4C0C-B1AA-68E8FDDF7AA4}"/>
    <cellStyle name="Normal 8 5 9" xfId="2473" xr:uid="{8BF53EE3-9EBE-4528-86AB-92C52447A4C4}"/>
    <cellStyle name="Normal 8 6" xfId="1322" xr:uid="{0CE59106-AAB4-4F00-9056-A1EF77E99651}"/>
    <cellStyle name="Normal 8 6 2" xfId="2481" xr:uid="{3299FD5D-B081-49C8-B69F-69F6D50F7A86}"/>
    <cellStyle name="Normal 8 7" xfId="1323" xr:uid="{B3E62D6F-AE9A-454A-9580-2386F522AD94}"/>
    <cellStyle name="Normal 8 7 2" xfId="2482" xr:uid="{DE6B4465-29EA-43FA-8A2F-C7C4BBD53CB3}"/>
    <cellStyle name="Normal 8 8" xfId="1324" xr:uid="{C0B1B6C0-D9C2-4E70-9578-3610A763C984}"/>
    <cellStyle name="Normal 8 8 2" xfId="2483" xr:uid="{6CFEF238-05A9-46EF-A1EE-8A54BF51C42B}"/>
    <cellStyle name="Normal 8 9" xfId="1325" xr:uid="{3D921C49-A3EA-4FAE-B962-45A95A820024}"/>
    <cellStyle name="Normal 8 9 2" xfId="2484" xr:uid="{6168B5FB-EA79-46BD-A84D-23C99458B2BA}"/>
    <cellStyle name="Normal 9" xfId="1326" xr:uid="{3480DB2A-3C74-4FCB-8D02-C7ACD9DA31CF}"/>
    <cellStyle name="Normal 9 2" xfId="1327" xr:uid="{78EAA9D7-D8D3-4806-BFEE-B94CC12D6D40}"/>
    <cellStyle name="Normal 9 2 2" xfId="2486" xr:uid="{AD865913-64F9-4258-BCC4-B57972BD32D9}"/>
    <cellStyle name="Normal 9 3" xfId="1328" xr:uid="{6950840C-04A5-4752-B3C1-F916AC2BF564}"/>
    <cellStyle name="Normal 9 3 2" xfId="2487" xr:uid="{243055B9-053C-44BC-906B-A75E3F4255A5}"/>
    <cellStyle name="Normal 9 4" xfId="1329" xr:uid="{0BADCB9A-54C4-46F7-A2BD-E5FBB3D134F7}"/>
    <cellStyle name="Normal 9 4 2" xfId="2488" xr:uid="{8B1E516F-4954-4EE5-91D0-722A1423584F}"/>
    <cellStyle name="Normal 9 5" xfId="1330" xr:uid="{C12B8B92-3369-4258-935F-17EA14CE788C}"/>
    <cellStyle name="Normal 9 5 2" xfId="2489" xr:uid="{57952994-147A-41CE-AA26-D962B147FDA1}"/>
    <cellStyle name="Normal 9 6" xfId="1331" xr:uid="{3403C724-B75E-4D49-8440-B1A4D295D7E4}"/>
    <cellStyle name="Normal 9 6 2" xfId="2490" xr:uid="{DE6D94BB-FAA0-4589-9AC0-E29BB93FAE82}"/>
    <cellStyle name="Normal 9 7" xfId="1332" xr:uid="{8B9F2C0C-2747-4EF6-A2FD-F98F44FE5244}"/>
    <cellStyle name="Normal 9 7 2" xfId="2491" xr:uid="{19F76FE0-0750-4793-9536-480C9CA3F18F}"/>
    <cellStyle name="Normal 9 8" xfId="1333" xr:uid="{10B84A9A-31E7-49FE-A1AB-8150F8D7923B}"/>
    <cellStyle name="Normal 9 8 2" xfId="2492" xr:uid="{72B6076C-FE12-4287-B324-C59B9A3B684D}"/>
    <cellStyle name="Normal 9 9" xfId="2485" xr:uid="{9B0747F6-8F23-4366-B8FB-53144B27A820}"/>
    <cellStyle name="Normal GHG Numbers (0.00)" xfId="1334" xr:uid="{E69EC1F6-F08A-47C2-B49E-EE1836F78456}"/>
    <cellStyle name="Normal GHG Textfiels Bold" xfId="1335" xr:uid="{8D3097FD-55B8-4413-BF11-17416F1C4DB1}"/>
    <cellStyle name="Normal GHG-Shade" xfId="1336" xr:uid="{783B62B0-9C2A-40A1-83D6-63C60495E4C3}"/>
    <cellStyle name="Normal GHG-Shade 2" xfId="1337" xr:uid="{CEFEEA24-7324-449D-B1F7-7BF69660ED77}"/>
    <cellStyle name="Normal GHG-Shade 2 2" xfId="2494" xr:uid="{42F9AF1F-32D2-4966-8FB8-0E96814918E3}"/>
    <cellStyle name="Normal GHG-Shade 3" xfId="2493" xr:uid="{C56516C6-B4B7-4F2A-96A4-ED0CABCF576B}"/>
    <cellStyle name="Normal_default attrib" xfId="53" xr:uid="{BFAC7FE4-7593-44CD-B484-754D78729E4D}"/>
    <cellStyle name="Normale_B2020" xfId="1338" xr:uid="{3A8E11AD-248B-4645-986E-D85B7F8C5F51}"/>
    <cellStyle name="Note 2" xfId="1339" xr:uid="{97B1A77E-9ABD-4B85-892E-9B7C524E564E}"/>
    <cellStyle name="Note 2 10" xfId="1340" xr:uid="{5851FD31-A1F6-410D-918B-06C3BB9B1A06}"/>
    <cellStyle name="Note 2 10 2" xfId="2496" xr:uid="{8BBD35F5-9187-48EC-8225-6F06D75194DD}"/>
    <cellStyle name="Note 2 11" xfId="1341" xr:uid="{09682E25-62ED-46AE-A996-DB71C38A6A39}"/>
    <cellStyle name="Note 2 11 2" xfId="2497" xr:uid="{00497757-AE26-4132-96FB-275D5D040EC3}"/>
    <cellStyle name="Note 2 12" xfId="1342" xr:uid="{3290659F-2ADA-4E42-B04B-F35B7346E5AE}"/>
    <cellStyle name="Note 2 12 2" xfId="2498" xr:uid="{24671257-D2C2-4B58-AF43-48FAEE98D66F}"/>
    <cellStyle name="Note 2 13" xfId="1343" xr:uid="{1DC706B6-ABA4-494D-AC45-8E237182C1A9}"/>
    <cellStyle name="Note 2 13 2" xfId="2499" xr:uid="{A9F310F9-020B-4217-A806-5F3719021D13}"/>
    <cellStyle name="Note 2 14" xfId="1344" xr:uid="{8214EDC6-2C70-4B3A-8911-9B206827EACE}"/>
    <cellStyle name="Note 2 14 2" xfId="2500" xr:uid="{4A42E363-DC89-4574-BBC2-5AFD7D227DE2}"/>
    <cellStyle name="Note 2 15" xfId="1345" xr:uid="{85294111-9C27-40E4-A9DF-0959ADB11D6C}"/>
    <cellStyle name="Note 2 15 2" xfId="2501" xr:uid="{F102E091-91BF-40A1-AA9B-746AA02BD669}"/>
    <cellStyle name="Note 2 16" xfId="2495" xr:uid="{E0CA938E-E0E9-43EF-A70F-E213544123A7}"/>
    <cellStyle name="Note 2 2" xfId="1346" xr:uid="{161DB44C-74CC-46FB-9BA1-9C8D4863E48B}"/>
    <cellStyle name="Note 2 2 2" xfId="1347" xr:uid="{59B54AC6-2F83-4ADC-B406-D87B8E8485F5}"/>
    <cellStyle name="Note 2 2 2 2" xfId="2502" xr:uid="{499524DB-FCFD-48FC-83B7-9518ACC95AE4}"/>
    <cellStyle name="Note 2 3" xfId="1348" xr:uid="{21FA8F4D-C8EB-47E4-89AD-DAE078C1182A}"/>
    <cellStyle name="Note 2 3 2" xfId="2503" xr:uid="{64BC1710-7E38-41EB-B6E9-1DD3DCADC02C}"/>
    <cellStyle name="Note 2 4" xfId="1349" xr:uid="{EF87A899-E087-4190-AC84-6B43075E8E40}"/>
    <cellStyle name="Note 2 4 2" xfId="2504" xr:uid="{27646554-565A-47F3-9F79-9F04AA82B978}"/>
    <cellStyle name="Note 2 5" xfId="1350" xr:uid="{4489F442-5D44-4028-AF0B-32C6246EFD9C}"/>
    <cellStyle name="Note 2 5 2" xfId="2505" xr:uid="{1BFAE192-624B-4032-811D-E424C4AFF2AD}"/>
    <cellStyle name="Note 2 6" xfId="1351" xr:uid="{78701291-90B7-4F29-94C7-07822728C950}"/>
    <cellStyle name="Note 2 6 2" xfId="2506" xr:uid="{472EC29E-477F-4A74-B46F-E6400BB768A6}"/>
    <cellStyle name="Note 2 7" xfId="1352" xr:uid="{894E54C6-2607-459A-ABD0-96F1DD692E4C}"/>
    <cellStyle name="Note 2 7 2" xfId="2507" xr:uid="{42A90B6C-A760-436A-AA18-267A89450C70}"/>
    <cellStyle name="Note 2 8" xfId="1353" xr:uid="{B10E3F37-E046-4F11-B11B-30ABB43DADC0}"/>
    <cellStyle name="Note 2 8 2" xfId="2508" xr:uid="{928095D7-FB04-4F5F-8E9C-1429BE8097C7}"/>
    <cellStyle name="Note 2 9" xfId="1354" xr:uid="{03E8D665-C43F-4CA7-911C-B68A026AB930}"/>
    <cellStyle name="Note 2 9 2" xfId="2509" xr:uid="{BD3B6231-34C9-4A83-B5C8-BA05327828B7}"/>
    <cellStyle name="Note 3" xfId="1355" xr:uid="{068D8B84-B467-43F0-9A8D-B164E1FEBF88}"/>
    <cellStyle name="Note 3 2" xfId="1356" xr:uid="{C729E8D4-5D22-4CC1-85B5-F9E7D5247821}"/>
    <cellStyle name="Note 3 2 2" xfId="2510" xr:uid="{FC6DE221-EDF0-4746-973D-B0533E7BD255}"/>
    <cellStyle name="Note 4" xfId="1357" xr:uid="{D8149489-B3A6-4891-AA80-227C64BEB5A6}"/>
    <cellStyle name="Note 4 2" xfId="2511" xr:uid="{FA859F8F-798C-4628-A506-C62EF10EF9FC}"/>
    <cellStyle name="Note 5" xfId="1358" xr:uid="{E406E129-3AB7-42D8-BE81-A0F6788348D6}"/>
    <cellStyle name="Note 5 2" xfId="2512" xr:uid="{EAF00A31-A7A8-4CB5-B088-6173448C3B52}"/>
    <cellStyle name="Note 6" xfId="1359" xr:uid="{4D79B7DC-B062-4F5C-8EF5-97B20BC1F135}"/>
    <cellStyle name="Note 6 2" xfId="2513" xr:uid="{2ECFD839-2792-46E8-AE34-CA9259BDB3DE}"/>
    <cellStyle name="Note 7" xfId="1360" xr:uid="{6FA3DD0D-0EAC-48D3-AB85-6D900633AE2B}"/>
    <cellStyle name="Note 7 2" xfId="2514" xr:uid="{EB5B39F5-3D0C-47CB-8A0A-018A13425BE0}"/>
    <cellStyle name="Note 8" xfId="1361" xr:uid="{D232B621-DA09-4C39-BCE8-9A434A465121}"/>
    <cellStyle name="Note 8 2" xfId="2515" xr:uid="{D4D51D20-5CAC-427E-B9D9-6454D4D44E76}"/>
    <cellStyle name="num_note" xfId="1362" xr:uid="{29973F68-127E-4D78-A24C-E0E0C4820EA7}"/>
    <cellStyle name="Nuovo" xfId="1363" xr:uid="{B3803314-1397-4F7A-AF87-CF730C81EEE2}"/>
    <cellStyle name="Nuovo 2" xfId="2516" xr:uid="{B3A2BB18-6435-45FD-957A-4225BCC8750B}"/>
    <cellStyle name="Output 2" xfId="1364" xr:uid="{ADDD08DE-4469-4A31-B2A7-64B3E9691DC4}"/>
    <cellStyle name="Output 2 10" xfId="1365" xr:uid="{978929C6-287B-415A-836D-E747A90EC08A}"/>
    <cellStyle name="Output 2 2" xfId="1366" xr:uid="{BD628492-2980-48E8-BF7A-C84DC4733EE6}"/>
    <cellStyle name="Output 2 3" xfId="1367" xr:uid="{0F1836E1-A995-4672-8203-AC54D219FDF0}"/>
    <cellStyle name="Output 2 4" xfId="1368" xr:uid="{793BB5DA-3E84-4A5E-9DF6-3033259877F5}"/>
    <cellStyle name="Output 2 5" xfId="1369" xr:uid="{3222FA9C-814C-409A-9D3C-232AD509B2F2}"/>
    <cellStyle name="Output 2 6" xfId="1370" xr:uid="{98790635-F914-4749-9D14-BC44697AAB19}"/>
    <cellStyle name="Output 2 7" xfId="1371" xr:uid="{7C7763CC-FF32-4BC6-BDFE-6DEA2C14C057}"/>
    <cellStyle name="Output 2 8" xfId="1372" xr:uid="{E0EBC2C8-13E0-416A-AD6E-0203A96611F3}"/>
    <cellStyle name="Output 2 9" xfId="1373" xr:uid="{2482D83F-48C7-41FF-AD3C-59514883FE16}"/>
    <cellStyle name="Output 3" xfId="1374" xr:uid="{F8C05C4A-EF10-4829-94A7-6011E89F9690}"/>
    <cellStyle name="Output 3 2" xfId="1375" xr:uid="{2CD4F023-5CDE-4E95-8DAD-B8121ACAF33D}"/>
    <cellStyle name="Parent row" xfId="45" xr:uid="{18EC3BBC-E607-43F0-8B37-D2ABC8647F99}"/>
    <cellStyle name="Percent 10" xfId="1376" xr:uid="{0B6CCB0A-15CF-4609-A95A-74AFB2DA4AB3}"/>
    <cellStyle name="Percent 10 2" xfId="1377" xr:uid="{5C54EF79-3D31-4725-9841-EB29F13F7B2C}"/>
    <cellStyle name="Percent 10 2 2" xfId="2518" xr:uid="{901D1848-055B-4445-B498-2A33967305B6}"/>
    <cellStyle name="Percent 10 3" xfId="1378" xr:uid="{2FCAEEE4-0B51-418E-AB4F-F517683F8ECB}"/>
    <cellStyle name="Percent 10 3 2" xfId="2519" xr:uid="{393DAA45-7544-404F-B694-5E5E6E778CF7}"/>
    <cellStyle name="Percent 10 4" xfId="1379" xr:uid="{024D053F-38D3-4686-8324-22A8076C6762}"/>
    <cellStyle name="Percent 10 4 2" xfId="2520" xr:uid="{787A466E-CDD5-4A85-A895-7FF46D5E274B}"/>
    <cellStyle name="Percent 10 5" xfId="1380" xr:uid="{B12267FC-8C9E-42C4-ACE8-7D2C151318D3}"/>
    <cellStyle name="Percent 10 5 2" xfId="2521" xr:uid="{64C7AA76-43AC-448B-BD9E-0058CEAC8C0C}"/>
    <cellStyle name="Percent 10 6" xfId="1381" xr:uid="{E68BF8F4-9609-4706-A806-38768C9A586C}"/>
    <cellStyle name="Percent 10 6 2" xfId="2522" xr:uid="{E7F47AAE-7754-4F90-987C-ED7B0E462176}"/>
    <cellStyle name="Percent 10 7" xfId="1382" xr:uid="{7DE52C90-299C-4568-A977-BF57C8667A50}"/>
    <cellStyle name="Percent 10 7 2" xfId="2523" xr:uid="{53D20C44-E017-4244-A299-218A426A525D}"/>
    <cellStyle name="Percent 10 8" xfId="1383" xr:uid="{503CE1E2-296E-4CCA-94B7-AAB59E21EAA5}"/>
    <cellStyle name="Percent 10 8 2" xfId="2524" xr:uid="{64313D03-E54E-44AA-9AAD-B3E3B967A54D}"/>
    <cellStyle name="Percent 10 9" xfId="2517" xr:uid="{37B8F4B4-062B-413A-B25D-88FB56078CFD}"/>
    <cellStyle name="Percent 11" xfId="1384" xr:uid="{4331C326-35E2-4757-83E4-A3627123B011}"/>
    <cellStyle name="Percent 11 2" xfId="1385" xr:uid="{5DA00793-5561-4EC0-BDBD-B6CA631B0EBE}"/>
    <cellStyle name="Percent 11 2 2" xfId="2526" xr:uid="{B03F0C46-989E-4CD8-B819-9CF77290A456}"/>
    <cellStyle name="Percent 11 3" xfId="1386" xr:uid="{6CFF7B38-8599-465B-999C-4EA369E1B16A}"/>
    <cellStyle name="Percent 11 3 2" xfId="2527" xr:uid="{0268ADD3-4360-442C-98D3-6EA5295C0193}"/>
    <cellStyle name="Percent 11 4" xfId="1387" xr:uid="{F7E43C82-23F5-451E-BECC-54810BD41AE3}"/>
    <cellStyle name="Percent 11 4 2" xfId="2528" xr:uid="{AF5DE854-032D-4DB4-BA60-43EF4B0DD08F}"/>
    <cellStyle name="Percent 11 5" xfId="1388" xr:uid="{B903D0CB-9E57-46DD-B751-BC3DA51A6838}"/>
    <cellStyle name="Percent 11 5 2" xfId="2529" xr:uid="{A1554C31-2916-4A0E-BAB6-DDC8EDCFE6B4}"/>
    <cellStyle name="Percent 11 6" xfId="1389" xr:uid="{86DEBE17-FC6C-4AD5-AC5F-17749655A987}"/>
    <cellStyle name="Percent 11 6 2" xfId="2530" xr:uid="{0C233EF8-71DF-47B6-A40E-E873E7B471AC}"/>
    <cellStyle name="Percent 11 7" xfId="1390" xr:uid="{ED8CAEEB-8CD5-427C-A57B-9D923F13B0D2}"/>
    <cellStyle name="Percent 11 7 2" xfId="2531" xr:uid="{1F1EFDB4-0F43-4F7B-A4DC-147B9DA5EFA8}"/>
    <cellStyle name="Percent 11 8" xfId="1391" xr:uid="{EF295BAF-C93E-4530-BAC7-A8E7079EF616}"/>
    <cellStyle name="Percent 11 8 2" xfId="2532" xr:uid="{078E25C4-B648-4417-98F2-2B22AF4F4960}"/>
    <cellStyle name="Percent 11 9" xfId="2525" xr:uid="{FD07BC3F-0C20-430B-AE3B-A1199A34DD47}"/>
    <cellStyle name="Percent 12" xfId="1392" xr:uid="{A2966A4B-D1A2-4C11-9FD1-05F91E6EC160}"/>
    <cellStyle name="Percent 12 2" xfId="1393" xr:uid="{ABBFB297-AA8F-48F7-8589-118997C7EAD1}"/>
    <cellStyle name="Percent 12 2 2" xfId="2534" xr:uid="{331B9B04-6F2F-4833-A72F-7570E7EC7436}"/>
    <cellStyle name="Percent 12 3" xfId="1394" xr:uid="{A78B711A-DD05-4B7E-832D-ECDC46C55F61}"/>
    <cellStyle name="Percent 12 3 2" xfId="2535" xr:uid="{FE97BEDE-E179-46DD-A374-B38349A4C33B}"/>
    <cellStyle name="Percent 12 4" xfId="1395" xr:uid="{618F0B12-D0C1-469E-AD22-1BB5C1915BAF}"/>
    <cellStyle name="Percent 12 4 2" xfId="2536" xr:uid="{0DECF9A4-59E2-4A64-8A47-11BE86B035BF}"/>
    <cellStyle name="Percent 12 5" xfId="1396" xr:uid="{F6F9A4B5-544C-46EF-84BF-5360ED8AEDD0}"/>
    <cellStyle name="Percent 12 5 2" xfId="2537" xr:uid="{208D8D82-0EA5-462B-A1DD-28F98061FF51}"/>
    <cellStyle name="Percent 12 6" xfId="1397" xr:uid="{923C3165-630F-4C99-B70F-EFD71E3DAF85}"/>
    <cellStyle name="Percent 12 6 2" xfId="2538" xr:uid="{FCF6F718-B179-4677-8FA7-38165BF812F4}"/>
    <cellStyle name="Percent 12 7" xfId="1398" xr:uid="{735CED4F-DFBA-48AC-8BB7-44D1ACBCC67F}"/>
    <cellStyle name="Percent 12 7 2" xfId="2539" xr:uid="{23E1D125-1B52-4BA7-86B1-B11F9562C1B3}"/>
    <cellStyle name="Percent 12 8" xfId="1399" xr:uid="{F651C1C9-76D9-49AB-9C6F-DE247068C7EF}"/>
    <cellStyle name="Percent 12 8 2" xfId="2540" xr:uid="{EFEB9374-024D-4DD8-AD0A-A247D00186B0}"/>
    <cellStyle name="Percent 12 9" xfId="2533" xr:uid="{8CC41A92-A839-4A36-BC14-3ECE4750E1AF}"/>
    <cellStyle name="Percent 13" xfId="1400" xr:uid="{2B4342D6-DA59-4AEA-917A-3641617CCF32}"/>
    <cellStyle name="Percent 13 2" xfId="1401" xr:uid="{0256699A-AF04-4294-AF2E-4318FF7AA751}"/>
    <cellStyle name="Percent 13 2 2" xfId="2542" xr:uid="{657148CE-80A2-437D-8EFA-EE345DEC67D0}"/>
    <cellStyle name="Percent 13 3" xfId="1402" xr:uid="{0EDF2F13-5655-4E02-8836-88660EB37DD2}"/>
    <cellStyle name="Percent 13 3 2" xfId="2543" xr:uid="{7D252B19-A95B-402D-9E00-4B509A276665}"/>
    <cellStyle name="Percent 13 4" xfId="1403" xr:uid="{F5A16106-1A4A-47AE-8403-C39A87D1DD15}"/>
    <cellStyle name="Percent 13 4 2" xfId="2544" xr:uid="{A644B79B-C18B-4CD8-9C6F-AC52C72F9F44}"/>
    <cellStyle name="Percent 13 5" xfId="1404" xr:uid="{3D0DE1CE-1D36-46F1-A106-898753B2E4E4}"/>
    <cellStyle name="Percent 13 5 2" xfId="2545" xr:uid="{EA706780-9379-426A-B5A6-6D3985503475}"/>
    <cellStyle name="Percent 13 6" xfId="1405" xr:uid="{DA58DEF3-5E8B-49DF-AED7-773E1300517B}"/>
    <cellStyle name="Percent 13 6 2" xfId="2546" xr:uid="{AE0B27A7-A167-4050-9F6A-AD0ABC098362}"/>
    <cellStyle name="Percent 13 7" xfId="1406" xr:uid="{E994A69D-DABE-4F69-AC04-9255B0FFAD57}"/>
    <cellStyle name="Percent 13 7 2" xfId="2547" xr:uid="{AC767F21-15C5-4004-B61B-9E097A20B5BE}"/>
    <cellStyle name="Percent 13 8" xfId="1407" xr:uid="{57B43C1D-E2F8-495D-9D35-34EA5E295041}"/>
    <cellStyle name="Percent 13 8 2" xfId="2548" xr:uid="{FC80EFFD-EC3A-499F-9375-76FB5FD30A9A}"/>
    <cellStyle name="Percent 13 9" xfId="2541" xr:uid="{BF22531E-23EB-4732-BCE9-1F217C559EAC}"/>
    <cellStyle name="Percent 14" xfId="1408" xr:uid="{155BC01C-E997-4007-9D2B-91AC5A518479}"/>
    <cellStyle name="Percent 14 2" xfId="1409" xr:uid="{7EA8E264-893C-46E9-B3EB-5F45639CC32E}"/>
    <cellStyle name="Percent 14 2 2" xfId="2550" xr:uid="{BF81F072-496C-43F6-96B0-C8FE440DEACF}"/>
    <cellStyle name="Percent 14 3" xfId="1410" xr:uid="{4EB90200-2AB4-4EE0-AEAF-F20AC21B8DE0}"/>
    <cellStyle name="Percent 14 3 2" xfId="2551" xr:uid="{439FF50D-F2E5-4D2E-BCD9-4E2A368EF0B4}"/>
    <cellStyle name="Percent 14 4" xfId="1411" xr:uid="{BDEC6F06-EB2C-460B-9B5C-EB4E4ABC9137}"/>
    <cellStyle name="Percent 14 4 2" xfId="2552" xr:uid="{D292FAFF-9931-4C6F-84D5-ACFEBC2D0971}"/>
    <cellStyle name="Percent 14 5" xfId="1412" xr:uid="{D81033E8-7077-4C26-B949-63DDD3DCC23A}"/>
    <cellStyle name="Percent 14 5 2" xfId="2553" xr:uid="{2D0C70E0-F7F1-412E-BBDB-E50247B684E4}"/>
    <cellStyle name="Percent 14 6" xfId="1413" xr:uid="{CEBEF03A-D7A6-4CEE-92DF-C8C4A86E9DF4}"/>
    <cellStyle name="Percent 14 6 2" xfId="2554" xr:uid="{B39A7611-AA17-453E-BB70-43CE721EE513}"/>
    <cellStyle name="Percent 14 7" xfId="1414" xr:uid="{2669B803-95AD-4847-8D9B-8262929BDAE9}"/>
    <cellStyle name="Percent 14 7 2" xfId="2555" xr:uid="{E8E920BD-9906-464A-8BE2-559BAD242238}"/>
    <cellStyle name="Percent 14 8" xfId="1415" xr:uid="{4F069C9B-CD82-4FB5-A2EB-8055B647DAA8}"/>
    <cellStyle name="Percent 14 8 2" xfId="2556" xr:uid="{353C7730-F842-4A99-A777-F9B4DEC3B6DE}"/>
    <cellStyle name="Percent 14 9" xfId="2549" xr:uid="{9F1BC23F-B436-4E23-ABDF-D42C8DD4ADB9}"/>
    <cellStyle name="Percent 15" xfId="1416" xr:uid="{686409A1-AF5C-40F6-A72E-8BEA3232FA4B}"/>
    <cellStyle name="Percent 15 10" xfId="1417" xr:uid="{AED25D15-3F05-421A-AEB0-4C27137168E8}"/>
    <cellStyle name="Percent 15 10 2" xfId="2557" xr:uid="{E6C0419D-CB41-4E44-99D6-686D140654E7}"/>
    <cellStyle name="Percent 15 11" xfId="1418" xr:uid="{68F44D48-0916-4842-B606-245C2B6781BF}"/>
    <cellStyle name="Percent 15 11 2" xfId="2558" xr:uid="{F773C5F0-E372-4C3E-8DDA-E26722264AFD}"/>
    <cellStyle name="Percent 15 12" xfId="1419" xr:uid="{D2660E80-334D-4223-803F-B2BDE76D51A5}"/>
    <cellStyle name="Percent 15 12 2" xfId="2559" xr:uid="{BB57EFB2-A989-4D40-B292-7132235A68B0}"/>
    <cellStyle name="Percent 15 13" xfId="1420" xr:uid="{09F277B4-F9C3-43D1-9692-17A2002EC95C}"/>
    <cellStyle name="Percent 15 13 2" xfId="2560" xr:uid="{BC89A1BF-3A36-4F6D-B13C-DA875537FD5E}"/>
    <cellStyle name="Percent 15 14" xfId="1421" xr:uid="{6EEEDF71-BAC2-4D38-87C4-DB35D4B9C7B2}"/>
    <cellStyle name="Percent 15 14 2" xfId="2561" xr:uid="{A8764F82-8DE6-4349-922B-93CDDDA8C6D9}"/>
    <cellStyle name="Percent 15 2" xfId="1422" xr:uid="{C6F69A0E-A645-450F-8153-F84969074315}"/>
    <cellStyle name="Percent 15 2 2" xfId="1423" xr:uid="{42ECC06B-5B0A-46F7-BDCE-3D907E25039B}"/>
    <cellStyle name="Percent 15 2 3" xfId="1424" xr:uid="{5E2EBC1C-1EA3-414A-AB4A-7858D24D5DAE}"/>
    <cellStyle name="Percent 15 2 4" xfId="1425" xr:uid="{1F1E2652-89DA-4E12-B49B-BB22C7A50489}"/>
    <cellStyle name="Percent 15 2 5" xfId="1426" xr:uid="{75F6AA0F-6F87-4DD8-8A64-AD8EC1FC5542}"/>
    <cellStyle name="Percent 15 2 6" xfId="1427" xr:uid="{FBBC9BB4-F24D-400B-9A09-CD2D2D82733E}"/>
    <cellStyle name="Percent 15 2 7" xfId="1428" xr:uid="{D39DE2AD-86A1-4201-A5EB-4BD5C113FB6B}"/>
    <cellStyle name="Percent 15 2 8" xfId="2562" xr:uid="{86D7718E-11EF-4A14-8ECC-0823A736D645}"/>
    <cellStyle name="Percent 15 3" xfId="1429" xr:uid="{1EBDDB6A-3B5F-49FF-87F9-22B7FF464ADA}"/>
    <cellStyle name="Percent 15 4" xfId="1430" xr:uid="{5935174D-63A8-4D19-BBE4-24BDC8D7C09F}"/>
    <cellStyle name="Percent 15 4 2" xfId="2563" xr:uid="{AF129643-036E-4DE8-A840-7AA9CD8C3463}"/>
    <cellStyle name="Percent 15 5" xfId="1431" xr:uid="{B4CE1581-E756-4BEB-A7A3-EC45DD1016B7}"/>
    <cellStyle name="Percent 15 6" xfId="1432" xr:uid="{DF3E59DC-2C6C-474F-8D4D-A2ED0435BA06}"/>
    <cellStyle name="Percent 15 7" xfId="1433" xr:uid="{D2CB0036-5005-483F-9A58-12EBAFA9E003}"/>
    <cellStyle name="Percent 15 8" xfId="1434" xr:uid="{A7A3C15C-08FD-494B-8E56-4B2EECC9F63F}"/>
    <cellStyle name="Percent 15 9" xfId="1435" xr:uid="{A6756750-6E88-4C0B-BDA9-CC541E21958A}"/>
    <cellStyle name="Percent 15 9 2" xfId="2564" xr:uid="{2EAB8C91-01BA-4883-9361-17862C044F9E}"/>
    <cellStyle name="Percent 16 2" xfId="1436" xr:uid="{E99083AA-35C7-476B-839D-971A843D91AA}"/>
    <cellStyle name="Percent 16 3" xfId="1437" xr:uid="{69A8D62D-4CF1-4DEA-948C-07B723CAC5E2}"/>
    <cellStyle name="Percent 16 3 10" xfId="1438" xr:uid="{BC901995-D46C-4B3F-BC8B-2B135D426DA6}"/>
    <cellStyle name="Percent 16 3 10 2" xfId="2566" xr:uid="{53A750C1-2A75-459E-9037-940AAE0B0834}"/>
    <cellStyle name="Percent 16 3 11" xfId="1439" xr:uid="{2D6DA138-9821-4F55-B7F7-65075FF03395}"/>
    <cellStyle name="Percent 16 3 11 2" xfId="2567" xr:uid="{1E4DF27C-0CD0-4C89-AA2A-85D151C5B951}"/>
    <cellStyle name="Percent 16 3 12" xfId="1440" xr:uid="{E434BFE1-F55E-4C98-9576-76729848D078}"/>
    <cellStyle name="Percent 16 3 12 2" xfId="2568" xr:uid="{A2CE86CD-6AA7-4001-BF1B-6B1852F1C16B}"/>
    <cellStyle name="Percent 16 3 13" xfId="1441" xr:uid="{270CDC8E-2792-4799-9382-425CA4B8D7FF}"/>
    <cellStyle name="Percent 16 3 13 2" xfId="2569" xr:uid="{331E851D-D574-4FA8-BC91-2F5C2BCD3DF6}"/>
    <cellStyle name="Percent 16 3 14" xfId="1442" xr:uid="{AFD198B2-8793-45C9-9F26-5EF93D1C7687}"/>
    <cellStyle name="Percent 16 3 14 2" xfId="2570" xr:uid="{7DF5F9DF-8ABE-47B4-B4F5-AD94F5D4C380}"/>
    <cellStyle name="Percent 16 3 15" xfId="1443" xr:uid="{8EF00F24-EE32-4745-AA47-1501AB2B4C15}"/>
    <cellStyle name="Percent 16 3 15 2" xfId="2571" xr:uid="{933B1EB3-C848-4419-9500-C28C56741096}"/>
    <cellStyle name="Percent 16 3 16" xfId="1444" xr:uid="{9B11DDEE-8108-4A6C-974C-AE0B20132637}"/>
    <cellStyle name="Percent 16 3 16 2" xfId="2572" xr:uid="{0CEB8EF5-EAA4-4FEC-8CB1-AD6D9E5ECFF6}"/>
    <cellStyle name="Percent 16 3 17" xfId="1445" xr:uid="{65A6BEE8-3FF7-4240-AB52-4DED52B7378D}"/>
    <cellStyle name="Percent 16 3 17 2" xfId="2573" xr:uid="{7A22CB0E-C94E-475A-B1E5-D2CFFAF38D69}"/>
    <cellStyle name="Percent 16 3 18" xfId="2565" xr:uid="{FFA7D7DA-17D9-4336-BF10-B596A215195B}"/>
    <cellStyle name="Percent 16 3 2" xfId="1446" xr:uid="{347B579D-795C-47D3-962A-9727AFDF26FA}"/>
    <cellStyle name="Percent 16 3 2 2" xfId="2574" xr:uid="{633135A0-C0F6-4641-A2EB-6314A1177BC1}"/>
    <cellStyle name="Percent 16 3 3" xfId="1447" xr:uid="{06E524A6-9BFA-47DB-869C-2C5E27902F7D}"/>
    <cellStyle name="Percent 16 3 3 2" xfId="2575" xr:uid="{9BCC9C1A-D149-42C2-98F3-307DB09DDF6C}"/>
    <cellStyle name="Percent 16 3 4" xfId="1448" xr:uid="{B592B17E-B1B8-404E-BD8A-38BF420694ED}"/>
    <cellStyle name="Percent 16 3 4 2" xfId="2576" xr:uid="{C2F36029-65C8-4836-B927-84CC9780E956}"/>
    <cellStyle name="Percent 16 3 5" xfId="1449" xr:uid="{886F8626-ED68-4DE8-AA3E-319016DFC580}"/>
    <cellStyle name="Percent 16 3 5 2" xfId="2577" xr:uid="{AF66CC01-34B1-4D2D-AE0F-33C236B3ACDF}"/>
    <cellStyle name="Percent 16 3 6" xfId="1450" xr:uid="{5E6A4FE1-5303-413E-8D3A-6D7E02791BE8}"/>
    <cellStyle name="Percent 16 3 6 2" xfId="2578" xr:uid="{F3059B02-A8A7-49DA-BBA6-2C2ED0316D03}"/>
    <cellStyle name="Percent 16 3 7" xfId="1451" xr:uid="{EE50909B-881C-4B7A-99A1-1566DDD963B0}"/>
    <cellStyle name="Percent 16 3 7 2" xfId="2579" xr:uid="{7A375BC5-0031-4C6D-9B18-87DAB93E0B9D}"/>
    <cellStyle name="Percent 16 3 8" xfId="1452" xr:uid="{B77F39C2-D096-4096-A7C0-DE75A3F886CC}"/>
    <cellStyle name="Percent 16 3 8 2" xfId="2580" xr:uid="{CABDEA1B-5345-432B-BC55-B7B15EAC46BD}"/>
    <cellStyle name="Percent 16 3 9" xfId="1453" xr:uid="{84FFC950-7B11-45C8-9834-78562EC18D66}"/>
    <cellStyle name="Percent 16 3 9 2" xfId="2581" xr:uid="{F1CA54A2-B401-4DA5-9EBE-681EAFCCC595}"/>
    <cellStyle name="Percent 16 4" xfId="1454" xr:uid="{6A8DAAD9-8278-47A9-85EC-1DEA23F05844}"/>
    <cellStyle name="Percent 16 4 10" xfId="1455" xr:uid="{2FBF74E5-D96B-4C31-9579-88EB443C072A}"/>
    <cellStyle name="Percent 16 4 10 2" xfId="2583" xr:uid="{D6C37355-C404-4C24-96DB-F0942D6ED104}"/>
    <cellStyle name="Percent 16 4 11" xfId="1456" xr:uid="{039C4940-3673-491C-AF0A-8E6A28139893}"/>
    <cellStyle name="Percent 16 4 11 2" xfId="2584" xr:uid="{0B89A86F-81FC-4B58-B48F-966400CB77A6}"/>
    <cellStyle name="Percent 16 4 12" xfId="1457" xr:uid="{3EB20D12-02FC-413B-836C-1C6C5DE7C5E5}"/>
    <cellStyle name="Percent 16 4 12 2" xfId="2585" xr:uid="{2AD9DDC1-2D2A-40A0-8E6C-F5E476F14F19}"/>
    <cellStyle name="Percent 16 4 13" xfId="1458" xr:uid="{D48BEF6C-6314-4614-9FE2-49451EEE6D78}"/>
    <cellStyle name="Percent 16 4 13 2" xfId="2586" xr:uid="{D7411F8A-F047-47FB-9E99-ADBB130793F3}"/>
    <cellStyle name="Percent 16 4 14" xfId="1459" xr:uid="{124CCB0A-BCFE-4F3E-8396-1A4E94A99038}"/>
    <cellStyle name="Percent 16 4 14 2" xfId="2587" xr:uid="{66D2F02C-E950-4788-9C64-943A57385FF0}"/>
    <cellStyle name="Percent 16 4 15" xfId="1460" xr:uid="{B09DFFA2-F6BB-4810-B1A2-D9507F033EE1}"/>
    <cellStyle name="Percent 16 4 15 2" xfId="2588" xr:uid="{A771FC90-2A29-4517-AD01-AB8B16C68B4D}"/>
    <cellStyle name="Percent 16 4 16" xfId="1461" xr:uid="{CFABFA9F-BB2E-49AE-B2DE-4B2074FE5B27}"/>
    <cellStyle name="Percent 16 4 16 2" xfId="2589" xr:uid="{080081DF-FDAE-45E8-9E28-36A19890DC08}"/>
    <cellStyle name="Percent 16 4 17" xfId="1462" xr:uid="{0227A1BE-5BA5-4ECB-8965-141B6B26CBFD}"/>
    <cellStyle name="Percent 16 4 17 2" xfId="2590" xr:uid="{5F03804E-ED6A-4BD3-A807-0482C538DDE5}"/>
    <cellStyle name="Percent 16 4 18" xfId="2582" xr:uid="{07F99EEF-4EC7-4559-91C3-7FCCBFAEA8C2}"/>
    <cellStyle name="Percent 16 4 2" xfId="1463" xr:uid="{B9FB6DCA-378C-4B0E-8E6B-45F27C3AF058}"/>
    <cellStyle name="Percent 16 4 2 2" xfId="2591" xr:uid="{7FE613D2-CAC4-44DC-9BC4-639C30DC71DB}"/>
    <cellStyle name="Percent 16 4 3" xfId="1464" xr:uid="{EE98419B-CA00-4BE6-AB25-E06FAB62B38F}"/>
    <cellStyle name="Percent 16 4 3 2" xfId="2592" xr:uid="{A23B5377-F3FB-4961-8262-ACCEB6F0BAD3}"/>
    <cellStyle name="Percent 16 4 4" xfId="1465" xr:uid="{EDBB0EE9-54F9-4108-A63E-B1F9FF5AC9FE}"/>
    <cellStyle name="Percent 16 4 4 2" xfId="2593" xr:uid="{97CDA923-E80A-4775-AC89-77734A49A275}"/>
    <cellStyle name="Percent 16 4 5" xfId="1466" xr:uid="{DC7E960D-09C0-473B-8FE5-3CAF350A880F}"/>
    <cellStyle name="Percent 16 4 5 2" xfId="2594" xr:uid="{90FFEBD2-C85D-4123-8584-044DA90E7B66}"/>
    <cellStyle name="Percent 16 4 6" xfId="1467" xr:uid="{4791FC9D-35B0-466E-B5A1-86F64BAE5011}"/>
    <cellStyle name="Percent 16 4 6 2" xfId="2595" xr:uid="{9D13F3A7-A5EE-48B9-AD3D-88852648F8D6}"/>
    <cellStyle name="Percent 16 4 7" xfId="1468" xr:uid="{2E947886-EDCB-4447-9CC5-498024914A02}"/>
    <cellStyle name="Percent 16 4 7 2" xfId="2596" xr:uid="{BABAD6D8-A196-458F-B547-51D51F2AF053}"/>
    <cellStyle name="Percent 16 4 8" xfId="1469" xr:uid="{5E8A1FEB-4B38-4E92-99BF-DF08FE8AF804}"/>
    <cellStyle name="Percent 16 4 8 2" xfId="2597" xr:uid="{FF5C410F-1F17-4027-9D7C-B85D3EB25E58}"/>
    <cellStyle name="Percent 16 4 9" xfId="1470" xr:uid="{6073C418-31C4-4CB2-962E-0DA211382B0C}"/>
    <cellStyle name="Percent 16 4 9 2" xfId="2598" xr:uid="{8787E7FE-C303-4E5C-BA5A-8936C8CC3B9A}"/>
    <cellStyle name="Percent 16 5" xfId="1471" xr:uid="{D46B68CF-D399-4BF2-B67B-20AE9F86B0A9}"/>
    <cellStyle name="Percent 16 5 10" xfId="1472" xr:uid="{C0CE6CD1-92C6-4ACE-8FCD-2A112769D5EF}"/>
    <cellStyle name="Percent 16 5 10 2" xfId="2600" xr:uid="{A4EB7E7B-AC2A-495A-92C3-0FBFA29CE4D5}"/>
    <cellStyle name="Percent 16 5 11" xfId="1473" xr:uid="{606FA0D3-E213-4302-ACFB-F000D3AB9E60}"/>
    <cellStyle name="Percent 16 5 11 2" xfId="2601" xr:uid="{C762FCB0-49C1-4487-87BA-6413CE7B1741}"/>
    <cellStyle name="Percent 16 5 12" xfId="1474" xr:uid="{0BC84615-F6A6-414A-A1A5-D7AE829B7723}"/>
    <cellStyle name="Percent 16 5 12 2" xfId="2602" xr:uid="{02092E8C-9482-4279-AC14-D546AA3DB893}"/>
    <cellStyle name="Percent 16 5 13" xfId="1475" xr:uid="{89C8A58C-3ABA-45EA-BA80-9D1080B70EF8}"/>
    <cellStyle name="Percent 16 5 13 2" xfId="2603" xr:uid="{4240B409-7B3B-4014-BBD1-CAE60DCFAE92}"/>
    <cellStyle name="Percent 16 5 14" xfId="1476" xr:uid="{BF84FE3B-CC7A-492B-B4FD-F7EF494367D3}"/>
    <cellStyle name="Percent 16 5 14 2" xfId="2604" xr:uid="{6BC48CF6-1B76-43C3-B802-8C120029EC78}"/>
    <cellStyle name="Percent 16 5 15" xfId="1477" xr:uid="{53A7DA68-7E85-4C7E-8DE7-ECBBD49E4E48}"/>
    <cellStyle name="Percent 16 5 15 2" xfId="2605" xr:uid="{5E029157-9E1E-451D-9088-E3F92FCBEF34}"/>
    <cellStyle name="Percent 16 5 16" xfId="1478" xr:uid="{28F6E52B-0C3E-4A61-92EE-16832152C7FE}"/>
    <cellStyle name="Percent 16 5 16 2" xfId="2606" xr:uid="{80FEA45A-05A2-499D-AE3C-69595B1515AF}"/>
    <cellStyle name="Percent 16 5 17" xfId="1479" xr:uid="{18A2290D-369B-4481-AF29-07167B57275B}"/>
    <cellStyle name="Percent 16 5 17 2" xfId="2607" xr:uid="{75D076D1-3BA4-49E1-B445-48FB4615CE4B}"/>
    <cellStyle name="Percent 16 5 18" xfId="2599" xr:uid="{3127CC65-7514-4250-9476-286FCDA4163C}"/>
    <cellStyle name="Percent 16 5 2" xfId="1480" xr:uid="{625F4A69-E1C0-404F-8FFD-34ED9A6EB3F7}"/>
    <cellStyle name="Percent 16 5 2 2" xfId="2608" xr:uid="{5E1BD1AD-854A-47B8-8CF8-39141F5CE6B1}"/>
    <cellStyle name="Percent 16 5 3" xfId="1481" xr:uid="{01139C99-E31C-4440-B068-D8CF138D3516}"/>
    <cellStyle name="Percent 16 5 3 2" xfId="2609" xr:uid="{77FE3401-3D52-4DA1-8DE4-213F1B1BCC40}"/>
    <cellStyle name="Percent 16 5 4" xfId="1482" xr:uid="{AA8E1511-B8A4-4214-92F9-B2874E21F0EB}"/>
    <cellStyle name="Percent 16 5 4 2" xfId="2610" xr:uid="{861B3FFB-A987-4D6F-B1DD-A3A546202FC6}"/>
    <cellStyle name="Percent 16 5 5" xfId="1483" xr:uid="{5A916762-FEFD-466C-9BF2-BFA839F6D8AF}"/>
    <cellStyle name="Percent 16 5 5 2" xfId="2611" xr:uid="{E3113E29-A6AF-4BE9-870B-413A3B50CBE3}"/>
    <cellStyle name="Percent 16 5 6" xfId="1484" xr:uid="{8C60897F-D9C2-4D2C-BB3B-3220AC72C8C3}"/>
    <cellStyle name="Percent 16 5 6 2" xfId="2612" xr:uid="{4C055D5E-70F5-44C4-8E83-6983E11E62C8}"/>
    <cellStyle name="Percent 16 5 7" xfId="1485" xr:uid="{39DD7B4B-9550-4AFB-B931-6DB8715069E9}"/>
    <cellStyle name="Percent 16 5 7 2" xfId="2613" xr:uid="{2C812897-0DC7-4699-8297-5B1AAA80D6E8}"/>
    <cellStyle name="Percent 16 5 8" xfId="1486" xr:uid="{8E9A2630-8433-42B8-978C-7DCBB5276666}"/>
    <cellStyle name="Percent 16 5 8 2" xfId="2614" xr:uid="{7C0E5C1F-7A32-453A-9CD3-F30E74D55EE6}"/>
    <cellStyle name="Percent 16 5 9" xfId="1487" xr:uid="{E258DCCA-34AD-40ED-8CD6-FF8EB115F61B}"/>
    <cellStyle name="Percent 16 5 9 2" xfId="2615" xr:uid="{E244F88F-C858-45A7-A6DB-C2C8DAE3C4A0}"/>
    <cellStyle name="Percent 16 6" xfId="1488" xr:uid="{7146F2A6-D824-48BA-9903-5BE5BEE28177}"/>
    <cellStyle name="Percent 16 6 10" xfId="1489" xr:uid="{0544DDCC-843C-4B45-BFAD-A6FD32830B21}"/>
    <cellStyle name="Percent 16 6 10 2" xfId="2617" xr:uid="{CF17A0C2-4D61-445C-878D-E4ADF49CA620}"/>
    <cellStyle name="Percent 16 6 11" xfId="1490" xr:uid="{2C1CBC86-5B0F-49C6-8402-27C118480741}"/>
    <cellStyle name="Percent 16 6 11 2" xfId="2618" xr:uid="{25072A32-C301-429D-816F-99D8769BC201}"/>
    <cellStyle name="Percent 16 6 12" xfId="1491" xr:uid="{3EFF542F-A4D6-43AF-824D-C6C5791D73BE}"/>
    <cellStyle name="Percent 16 6 12 2" xfId="2619" xr:uid="{5D1407DE-08C5-48CE-9EC3-0CF3767D6C3C}"/>
    <cellStyle name="Percent 16 6 13" xfId="1492" xr:uid="{7477BF5E-A10B-42F8-9F95-3191B70C55E5}"/>
    <cellStyle name="Percent 16 6 13 2" xfId="2620" xr:uid="{27017D00-8AA2-41D8-9A2F-D64C919D0BA2}"/>
    <cellStyle name="Percent 16 6 14" xfId="1493" xr:uid="{D78080CB-810D-47A9-9392-A2CDD74678CA}"/>
    <cellStyle name="Percent 16 6 14 2" xfId="2621" xr:uid="{8922E5EB-7873-4173-9772-C07CA06DBEC1}"/>
    <cellStyle name="Percent 16 6 15" xfId="1494" xr:uid="{1CD0F511-8B5F-4F35-A8B7-BB52C836DB2D}"/>
    <cellStyle name="Percent 16 6 15 2" xfId="2622" xr:uid="{B420856B-CE4B-423C-B986-18326AC5F1CA}"/>
    <cellStyle name="Percent 16 6 16" xfId="1495" xr:uid="{03E8CF8B-CDF2-4225-B682-306F34977EA9}"/>
    <cellStyle name="Percent 16 6 16 2" xfId="2623" xr:uid="{B95409F7-103D-4F4D-B66D-27C43A397D8D}"/>
    <cellStyle name="Percent 16 6 17" xfId="1496" xr:uid="{EC27B244-62A2-4A45-87ED-4BE418907448}"/>
    <cellStyle name="Percent 16 6 17 2" xfId="2624" xr:uid="{E788CAD6-2C95-45BE-9479-1E4C0FC0FB33}"/>
    <cellStyle name="Percent 16 6 18" xfId="2616" xr:uid="{49583A0D-A44C-421F-8B48-B2A19C0BCC0E}"/>
    <cellStyle name="Percent 16 6 2" xfId="1497" xr:uid="{D7B6701C-4B70-4EAB-9D77-3529BF1E03CC}"/>
    <cellStyle name="Percent 16 6 2 2" xfId="2625" xr:uid="{6E104074-D2EF-47FC-ACC9-A7153FF8C88F}"/>
    <cellStyle name="Percent 16 6 3" xfId="1498" xr:uid="{58FBEAB7-BC55-4A2E-817C-C0A22B94997D}"/>
    <cellStyle name="Percent 16 6 3 2" xfId="2626" xr:uid="{A3EFE4D1-D345-4910-8ED7-34EAF878E3E6}"/>
    <cellStyle name="Percent 16 6 4" xfId="1499" xr:uid="{A1491FFD-EEF5-4E08-A3F8-AFB37631EA63}"/>
    <cellStyle name="Percent 16 6 4 2" xfId="2627" xr:uid="{68DCDFFE-47B7-473D-B9CD-57802C1485E5}"/>
    <cellStyle name="Percent 16 6 5" xfId="1500" xr:uid="{EDF48243-0A59-4828-BD0D-FD4ABDF7552C}"/>
    <cellStyle name="Percent 16 6 5 2" xfId="2628" xr:uid="{8F7D3911-1BD9-4F82-92F4-C898541584B4}"/>
    <cellStyle name="Percent 16 6 6" xfId="1501" xr:uid="{ADA4E587-6AA2-4372-A6AE-81AFEE5EB9BF}"/>
    <cellStyle name="Percent 16 6 6 2" xfId="2629" xr:uid="{B5F19B9B-7D23-41B5-AFDD-0F936FA58EAC}"/>
    <cellStyle name="Percent 16 6 7" xfId="1502" xr:uid="{50225551-0B7F-4BF9-95AB-751A87DE191B}"/>
    <cellStyle name="Percent 16 6 7 2" xfId="2630" xr:uid="{3A9C0DD1-E847-4E04-8A44-759ADCFD4D95}"/>
    <cellStyle name="Percent 16 6 8" xfId="1503" xr:uid="{4B32FED6-21A1-48C1-83EB-A94789F8D401}"/>
    <cellStyle name="Percent 16 6 8 2" xfId="2631" xr:uid="{41408AD8-6740-4067-9671-B7C325921D6B}"/>
    <cellStyle name="Percent 16 6 9" xfId="1504" xr:uid="{71178848-1C0F-4902-8EEB-3D64E76742A0}"/>
    <cellStyle name="Percent 16 6 9 2" xfId="2632" xr:uid="{17CE97AF-C436-43D7-8821-D7BD28B8223F}"/>
    <cellStyle name="Percent 16 7" xfId="1505" xr:uid="{4742C684-7595-445B-8E0B-AD97ADE4240C}"/>
    <cellStyle name="Percent 16 7 10" xfId="1506" xr:uid="{4AFF6470-7848-42C6-AFB5-0199EC42E56D}"/>
    <cellStyle name="Percent 16 7 10 2" xfId="2634" xr:uid="{6D1AE34E-447A-4BE1-972F-4234E1C4754F}"/>
    <cellStyle name="Percent 16 7 11" xfId="1507" xr:uid="{079EDC3E-DA4E-41BC-8524-6993EF6760CA}"/>
    <cellStyle name="Percent 16 7 11 2" xfId="2635" xr:uid="{B7147C21-A1C7-4EA4-AD3C-A59BEB06E1DB}"/>
    <cellStyle name="Percent 16 7 12" xfId="1508" xr:uid="{D926EB45-1204-4469-86A1-5590A3B2AA22}"/>
    <cellStyle name="Percent 16 7 12 2" xfId="2636" xr:uid="{1BCD900C-5874-4D09-B450-4373B971A406}"/>
    <cellStyle name="Percent 16 7 13" xfId="1509" xr:uid="{0075AF55-C673-496D-BD44-813A7E718394}"/>
    <cellStyle name="Percent 16 7 13 2" xfId="2637" xr:uid="{ADC21A71-2D96-46B7-B316-39FB657365D3}"/>
    <cellStyle name="Percent 16 7 14" xfId="1510" xr:uid="{FA1F8E4B-54D9-444F-81D1-607CDAD252EE}"/>
    <cellStyle name="Percent 16 7 14 2" xfId="2638" xr:uid="{C87FD103-429F-4AC2-AEDE-DA6CE02FE1AB}"/>
    <cellStyle name="Percent 16 7 15" xfId="1511" xr:uid="{C03E3EB7-181D-4999-8260-55ED03D178CC}"/>
    <cellStyle name="Percent 16 7 15 2" xfId="2639" xr:uid="{99B57076-8B72-4857-A1A3-0EFB17D330A4}"/>
    <cellStyle name="Percent 16 7 16" xfId="1512" xr:uid="{AC15B49D-CF36-44E9-872E-AE1FD4DD6EAA}"/>
    <cellStyle name="Percent 16 7 16 2" xfId="2640" xr:uid="{A8A162DD-2FB5-4960-99BE-DD4884D5411C}"/>
    <cellStyle name="Percent 16 7 17" xfId="1513" xr:uid="{D08379C1-4F21-425A-B275-E96348FFF749}"/>
    <cellStyle name="Percent 16 7 17 2" xfId="2641" xr:uid="{D933A2A4-79C7-481F-98D2-49100EE4D15A}"/>
    <cellStyle name="Percent 16 7 18" xfId="2633" xr:uid="{8A773004-0672-4DE2-94C9-0368B1503525}"/>
    <cellStyle name="Percent 16 7 2" xfId="1514" xr:uid="{7A80E331-74B8-47F7-BA51-AEE245E74AE6}"/>
    <cellStyle name="Percent 16 7 2 2" xfId="2642" xr:uid="{1E4AECC3-3B14-4439-8296-DF7C95306599}"/>
    <cellStyle name="Percent 16 7 3" xfId="1515" xr:uid="{44C77AA0-BE2C-427E-89C7-6A6DEAF62E5B}"/>
    <cellStyle name="Percent 16 7 3 2" xfId="2643" xr:uid="{BF7114D9-5595-4FF3-B445-F5AFD8DE1C25}"/>
    <cellStyle name="Percent 16 7 4" xfId="1516" xr:uid="{2E494046-4447-4929-8288-93569EAD4F45}"/>
    <cellStyle name="Percent 16 7 4 2" xfId="2644" xr:uid="{3FFE27D6-C093-4D14-9A7E-D7478DE0A912}"/>
    <cellStyle name="Percent 16 7 5" xfId="1517" xr:uid="{4E15143B-4016-4CFC-88C1-A2E93860911D}"/>
    <cellStyle name="Percent 16 7 5 2" xfId="2645" xr:uid="{C1320565-6500-420C-9107-4056F71C7EED}"/>
    <cellStyle name="Percent 16 7 6" xfId="1518" xr:uid="{A6E0E911-147A-4235-A214-A7E80A0A6157}"/>
    <cellStyle name="Percent 16 7 6 2" xfId="2646" xr:uid="{4A8DCF88-059A-4E0B-A314-CF4461110B19}"/>
    <cellStyle name="Percent 16 7 7" xfId="1519" xr:uid="{9292FEDE-002A-42BE-9E97-0A2DEB0DD525}"/>
    <cellStyle name="Percent 16 7 7 2" xfId="2647" xr:uid="{F1ED4120-5E85-4B26-89FF-82B49D87A5D3}"/>
    <cellStyle name="Percent 16 7 8" xfId="1520" xr:uid="{A51AB841-D854-4522-8D70-8E38C52E6622}"/>
    <cellStyle name="Percent 16 7 8 2" xfId="2648" xr:uid="{00AC9B1B-57BB-4C95-BF69-D121D0160D7E}"/>
    <cellStyle name="Percent 16 7 9" xfId="1521" xr:uid="{44AAD413-6334-4512-98AD-296B83A391EC}"/>
    <cellStyle name="Percent 16 7 9 2" xfId="2649" xr:uid="{22792258-CE9F-42CA-AAC1-C72C55E1A62F}"/>
    <cellStyle name="Percent 16 8" xfId="1522" xr:uid="{5C02D26A-3E48-4CE3-AF2D-4689B1BF1C61}"/>
    <cellStyle name="Percent 16 8 10" xfId="1523" xr:uid="{24307E7A-F74A-4F5A-8597-A4869F8A4F6E}"/>
    <cellStyle name="Percent 16 8 10 2" xfId="2651" xr:uid="{CA6F4023-046D-4025-A2BC-F0B6971A17D3}"/>
    <cellStyle name="Percent 16 8 11" xfId="1524" xr:uid="{5A3C6A6B-7E9A-4DAC-BCB3-67C625A1D713}"/>
    <cellStyle name="Percent 16 8 11 2" xfId="2652" xr:uid="{23618F92-7DE7-44FC-A774-ECD61B970FF5}"/>
    <cellStyle name="Percent 16 8 12" xfId="1525" xr:uid="{D7170468-9EA3-48D6-A331-36E90685B4B4}"/>
    <cellStyle name="Percent 16 8 12 2" xfId="2653" xr:uid="{BBDE7E25-7CED-47BC-994C-0FD49BCF93BB}"/>
    <cellStyle name="Percent 16 8 13" xfId="1526" xr:uid="{7E882F07-AEE8-4814-84FA-336AF4969ACE}"/>
    <cellStyle name="Percent 16 8 13 2" xfId="2654" xr:uid="{B75577B3-08CF-49B0-A767-94852B7D95EF}"/>
    <cellStyle name="Percent 16 8 14" xfId="1527" xr:uid="{6B8A2BEE-005D-452F-ADD3-ECA061EE7D26}"/>
    <cellStyle name="Percent 16 8 14 2" xfId="2655" xr:uid="{280A7C5E-36F9-4DD5-91BD-5AACB00BA58A}"/>
    <cellStyle name="Percent 16 8 15" xfId="1528" xr:uid="{60CE74AA-6D98-4B72-A935-54C6B5E77B62}"/>
    <cellStyle name="Percent 16 8 15 2" xfId="2656" xr:uid="{200F9288-9742-45BC-951D-C93FFC64E2FC}"/>
    <cellStyle name="Percent 16 8 16" xfId="1529" xr:uid="{0B54C992-25FA-4284-9CF2-D21C2FC660C9}"/>
    <cellStyle name="Percent 16 8 16 2" xfId="2657" xr:uid="{88A193D5-DCFE-4990-BA54-299DA67FC824}"/>
    <cellStyle name="Percent 16 8 17" xfId="1530" xr:uid="{A1BD4D3F-B68C-4CDA-9DC7-A485F10E8EAC}"/>
    <cellStyle name="Percent 16 8 17 2" xfId="2658" xr:uid="{A617DB30-5CE5-4B68-881A-8543494C6D67}"/>
    <cellStyle name="Percent 16 8 18" xfId="2650" xr:uid="{09F1F09D-AD76-4EC7-B058-52A9366C742F}"/>
    <cellStyle name="Percent 16 8 2" xfId="1531" xr:uid="{96644058-C0C6-4DDF-95AD-944D206C4101}"/>
    <cellStyle name="Percent 16 8 2 2" xfId="2659" xr:uid="{3397256E-93D8-4976-9C4F-88BB23FF87AE}"/>
    <cellStyle name="Percent 16 8 3" xfId="1532" xr:uid="{39E43BD4-1B5D-4340-B9EA-0685C55904B1}"/>
    <cellStyle name="Percent 16 8 3 2" xfId="2660" xr:uid="{D56AD5F2-C0CD-424C-A848-B60533D7D6B4}"/>
    <cellStyle name="Percent 16 8 4" xfId="1533" xr:uid="{E18C49BD-D423-4C42-A275-A32CB7B585D5}"/>
    <cellStyle name="Percent 16 8 4 2" xfId="2661" xr:uid="{22BC210B-0C08-4953-958A-61EC3DE73AED}"/>
    <cellStyle name="Percent 16 8 5" xfId="1534" xr:uid="{CB220AE0-71D9-42DD-BFB5-F2274C9228D0}"/>
    <cellStyle name="Percent 16 8 5 2" xfId="2662" xr:uid="{5DEA2989-677D-4455-8F14-9F0DEFD3ECB5}"/>
    <cellStyle name="Percent 16 8 6" xfId="1535" xr:uid="{A661D9D7-21ED-4F3A-8464-F82FBD609DB5}"/>
    <cellStyle name="Percent 16 8 6 2" xfId="2663" xr:uid="{27FB380D-14FC-415D-906C-60F0C21630BF}"/>
    <cellStyle name="Percent 16 8 7" xfId="1536" xr:uid="{6766176F-CCA3-4314-8A2E-58A68CA86E45}"/>
    <cellStyle name="Percent 16 8 7 2" xfId="2664" xr:uid="{A4503119-8DAA-4847-9D7E-9D38F8A35B46}"/>
    <cellStyle name="Percent 16 8 8" xfId="1537" xr:uid="{0182CDDF-895B-4A59-A193-A38FC0163E81}"/>
    <cellStyle name="Percent 16 8 8 2" xfId="2665" xr:uid="{9E5DF0B0-9ABA-4809-90AB-CAD41465DF92}"/>
    <cellStyle name="Percent 16 8 9" xfId="1538" xr:uid="{D0D68835-D31D-4D18-9311-A346BF36B782}"/>
    <cellStyle name="Percent 16 8 9 2" xfId="2666" xr:uid="{117E51A6-E69E-4739-AD90-5DFCC08DACDB}"/>
    <cellStyle name="Percent 16 9" xfId="1539" xr:uid="{051FE5B8-33DD-4B88-8306-C09336C396A2}"/>
    <cellStyle name="Percent 16 9 10" xfId="1540" xr:uid="{8DAED4BF-3F5C-49C5-951D-2E5822E1DF70}"/>
    <cellStyle name="Percent 16 9 10 2" xfId="2668" xr:uid="{7CFAE81A-FED8-40C9-B4ED-FB5890F85ECC}"/>
    <cellStyle name="Percent 16 9 11" xfId="1541" xr:uid="{AA62061D-C43C-4F52-B546-2BAE90F2DC62}"/>
    <cellStyle name="Percent 16 9 11 2" xfId="2669" xr:uid="{873CCBB3-21E1-44B0-889C-065F150F27A4}"/>
    <cellStyle name="Percent 16 9 12" xfId="1542" xr:uid="{F67F63DA-9155-4B0B-92C2-A11ED17BCAD8}"/>
    <cellStyle name="Percent 16 9 12 2" xfId="2670" xr:uid="{1924BA5D-E997-403F-B953-4F1D73382ADE}"/>
    <cellStyle name="Percent 16 9 13" xfId="1543" xr:uid="{BA24BDBF-5D92-4EF7-9291-18037F3401E6}"/>
    <cellStyle name="Percent 16 9 13 2" xfId="2671" xr:uid="{F5B5B865-7BAA-4FE9-9FF2-BC60FCFFA5FD}"/>
    <cellStyle name="Percent 16 9 14" xfId="1544" xr:uid="{998DE09E-A26D-45E3-A939-5C0E2D8888BE}"/>
    <cellStyle name="Percent 16 9 14 2" xfId="2672" xr:uid="{BFAA4520-4F77-4ADC-B12C-000BF5BA218A}"/>
    <cellStyle name="Percent 16 9 15" xfId="1545" xr:uid="{B1E5C05E-656B-4292-BE20-984EC012CF26}"/>
    <cellStyle name="Percent 16 9 15 2" xfId="2673" xr:uid="{BD83D640-50F3-4ECC-B96E-39DEC1DDB265}"/>
    <cellStyle name="Percent 16 9 16" xfId="1546" xr:uid="{455F6FA6-4F68-44E2-845B-714CCDFA859C}"/>
    <cellStyle name="Percent 16 9 16 2" xfId="2674" xr:uid="{CFFEE999-D11D-4B4A-95AF-293BD89254D6}"/>
    <cellStyle name="Percent 16 9 17" xfId="1547" xr:uid="{4AC2C71F-B6EF-47CD-94F7-E3795F22C6BA}"/>
    <cellStyle name="Percent 16 9 17 2" xfId="2675" xr:uid="{F1471E0E-4BD6-4CE7-A73B-465147B139AB}"/>
    <cellStyle name="Percent 16 9 18" xfId="2667" xr:uid="{95FA291E-720A-44DC-B39E-E17EA5F079EE}"/>
    <cellStyle name="Percent 16 9 2" xfId="1548" xr:uid="{8DC70EEF-57FC-4BEB-9B2A-21BD86B6F755}"/>
    <cellStyle name="Percent 16 9 2 2" xfId="2676" xr:uid="{6C460D35-084D-40AA-AE17-D97F602FD51D}"/>
    <cellStyle name="Percent 16 9 3" xfId="1549" xr:uid="{31086374-DD94-4246-B23C-FC18153CB97E}"/>
    <cellStyle name="Percent 16 9 3 2" xfId="2677" xr:uid="{3D308FE0-FF54-4AB7-BBC5-A84CA0B929E6}"/>
    <cellStyle name="Percent 16 9 4" xfId="1550" xr:uid="{05994C70-CA9B-4518-A3A8-5F5514B70DA0}"/>
    <cellStyle name="Percent 16 9 4 2" xfId="2678" xr:uid="{0B82EACC-7932-4F2E-9319-424F141CA535}"/>
    <cellStyle name="Percent 16 9 5" xfId="1551" xr:uid="{A51A73DA-C5EB-4574-B440-3A34B70359D1}"/>
    <cellStyle name="Percent 16 9 5 2" xfId="2679" xr:uid="{5B4C2A70-4EDB-41F4-A9E9-6D8568BBCB9D}"/>
    <cellStyle name="Percent 16 9 6" xfId="1552" xr:uid="{329718AE-AE26-4073-A002-F64D45ED5E3C}"/>
    <cellStyle name="Percent 16 9 6 2" xfId="2680" xr:uid="{5BFA5145-F668-41AB-833E-D3FE2CD3BE22}"/>
    <cellStyle name="Percent 16 9 7" xfId="1553" xr:uid="{51CF995F-AECA-407D-8A4F-A3A816121979}"/>
    <cellStyle name="Percent 16 9 7 2" xfId="2681" xr:uid="{27E5A574-7058-4F6A-98AD-465C36E3F131}"/>
    <cellStyle name="Percent 16 9 8" xfId="1554" xr:uid="{6396C68E-4D31-4881-9BA6-A9636188A370}"/>
    <cellStyle name="Percent 16 9 8 2" xfId="2682" xr:uid="{DD22B772-D7BD-423C-A303-5EA0EF77A0CD}"/>
    <cellStyle name="Percent 16 9 9" xfId="1555" xr:uid="{F6E1DD6B-7CCE-4313-8BB2-BFBEF1916E94}"/>
    <cellStyle name="Percent 16 9 9 2" xfId="2683" xr:uid="{8CDEE88D-2FFC-497E-91C7-091FB478030C}"/>
    <cellStyle name="Percent 17" xfId="1556" xr:uid="{9CEBA14C-1087-4BCF-86FC-167E41D9E508}"/>
    <cellStyle name="Percent 17 2" xfId="2684" xr:uid="{811778AA-F3E5-408B-B949-BFD171520816}"/>
    <cellStyle name="Percent 2" xfId="29" xr:uid="{00000000-0005-0000-0000-00001F000000}"/>
    <cellStyle name="Percent 2 10" xfId="1558" xr:uid="{EE76E665-5014-4025-BD1B-06CC6BAB1DBC}"/>
    <cellStyle name="Percent 2 10 2" xfId="1559" xr:uid="{CA32B8F8-FBD9-4F4B-BA3F-072E09B99C9B}"/>
    <cellStyle name="Percent 2 10 2 2" xfId="2687" xr:uid="{E988CAFD-2E2F-4331-A8B6-DB431D4129C6}"/>
    <cellStyle name="Percent 2 10 3" xfId="1560" xr:uid="{9F12E1D9-2814-4D8F-AB05-EE36CFEC3381}"/>
    <cellStyle name="Percent 2 10 3 2" xfId="2688" xr:uid="{B38B8336-7DDC-43D1-905D-52765796CFAD}"/>
    <cellStyle name="Percent 2 10 4" xfId="1561" xr:uid="{1FF8F2B0-876D-4C7F-A37F-788285852E4D}"/>
    <cellStyle name="Percent 2 10 4 2" xfId="2689" xr:uid="{E5C73126-36CB-42AB-92E5-2B315654736F}"/>
    <cellStyle name="Percent 2 10 5" xfId="1562" xr:uid="{72D6C9D0-0BB0-4773-A3F7-78ACDCD06836}"/>
    <cellStyle name="Percent 2 10 5 2" xfId="2690" xr:uid="{2FCFA09D-F455-45F0-866F-87BE2338FB42}"/>
    <cellStyle name="Percent 2 10 6" xfId="1563" xr:uid="{2857F55A-2C1B-45C2-B47A-B1BC1682B454}"/>
    <cellStyle name="Percent 2 10 6 2" xfId="2691" xr:uid="{527B3B64-0C64-4C73-9951-2D01A3751749}"/>
    <cellStyle name="Percent 2 10 7" xfId="1564" xr:uid="{08A1D025-50C7-4866-BAA5-080057B34D1E}"/>
    <cellStyle name="Percent 2 10 7 2" xfId="2692" xr:uid="{C0D5BF98-4C41-459A-80F5-F53F99816CDB}"/>
    <cellStyle name="Percent 2 10 8" xfId="1565" xr:uid="{4A84EDBC-4550-40B8-92B6-E30648A9D20E}"/>
    <cellStyle name="Percent 2 10 8 2" xfId="2693" xr:uid="{F5C91362-3A04-4AE0-84F9-C144C48DB01B}"/>
    <cellStyle name="Percent 2 10 9" xfId="2686" xr:uid="{6A175742-69F8-4E61-B01A-9D6125A156D4}"/>
    <cellStyle name="Percent 2 11" xfId="1566" xr:uid="{2973E5A1-C580-467A-A5F1-4B531C03491F}"/>
    <cellStyle name="Percent 2 11 2" xfId="1567" xr:uid="{01A7EA66-CFBF-4533-9BAD-2DBE8CAC379E}"/>
    <cellStyle name="Percent 2 11 2 2" xfId="2695" xr:uid="{BCDF5AA8-C718-4A78-96A5-A5262288BEAF}"/>
    <cellStyle name="Percent 2 11 3" xfId="1568" xr:uid="{3DDACEF5-2A3A-4FFF-A5F3-FE064B4E694E}"/>
    <cellStyle name="Percent 2 11 3 2" xfId="2696" xr:uid="{857D97B9-7588-44ED-B388-68F09A2019AA}"/>
    <cellStyle name="Percent 2 11 4" xfId="1569" xr:uid="{1B723D9D-2AAC-46A0-8485-A71F7716D83C}"/>
    <cellStyle name="Percent 2 11 4 2" xfId="2697" xr:uid="{619FE491-8067-45ED-9F86-2CCCD4D9CE8D}"/>
    <cellStyle name="Percent 2 11 5" xfId="1570" xr:uid="{FF5004B7-2DE1-45A0-8C6A-926CF7AC1D17}"/>
    <cellStyle name="Percent 2 11 5 2" xfId="2698" xr:uid="{3E6DABFA-DD0C-4C08-B50E-A5175A10E3F9}"/>
    <cellStyle name="Percent 2 11 6" xfId="1571" xr:uid="{77B80927-A541-454D-94B4-625EC7F5560F}"/>
    <cellStyle name="Percent 2 11 6 2" xfId="2699" xr:uid="{478D8215-1610-4B6E-B087-78EBFB54B8C2}"/>
    <cellStyle name="Percent 2 11 7" xfId="1572" xr:uid="{2CCAF4AA-701A-45E1-AC8B-9ACECECD4EBC}"/>
    <cellStyle name="Percent 2 11 7 2" xfId="2700" xr:uid="{69DC447F-483B-4ADF-9F36-EC54D3087847}"/>
    <cellStyle name="Percent 2 11 8" xfId="1573" xr:uid="{184D6656-ED8E-402F-8B5A-ABBF5BDB43DE}"/>
    <cellStyle name="Percent 2 11 8 2" xfId="2701" xr:uid="{58F433D6-8372-4ABF-A958-9C9983FD4F4C}"/>
    <cellStyle name="Percent 2 11 9" xfId="2694" xr:uid="{D1623FA0-32FE-44D7-99B4-2153AA19C742}"/>
    <cellStyle name="Percent 2 12" xfId="1574" xr:uid="{83A713C0-5637-46A3-9DC8-C1336185AA97}"/>
    <cellStyle name="Percent 2 12 2" xfId="2702" xr:uid="{A624793B-BCBE-4F35-B1BE-607D0BC38E35}"/>
    <cellStyle name="Percent 2 13" xfId="1575" xr:uid="{9EB2DAD1-8455-46FF-AE10-BF4BA8327E65}"/>
    <cellStyle name="Percent 2 13 2" xfId="2703" xr:uid="{A3ED710E-FB81-4925-B452-7F88DEECCB44}"/>
    <cellStyle name="Percent 2 14" xfId="1576" xr:uid="{AD55A47F-779D-4443-BC68-26E9ECF2F7AE}"/>
    <cellStyle name="Percent 2 14 2" xfId="2704" xr:uid="{0E3D72A1-6119-4738-8368-392976BCA2F8}"/>
    <cellStyle name="Percent 2 15" xfId="1577" xr:uid="{1D4B2675-DF99-4B85-87F0-9D8A65D64373}"/>
    <cellStyle name="Percent 2 15 2" xfId="2705" xr:uid="{7EC10D7A-0022-4317-A8DE-F3C8EBCCB1D4}"/>
    <cellStyle name="Percent 2 16" xfId="1578" xr:uid="{63C3558F-1674-4BBE-8951-A08A7EA1A095}"/>
    <cellStyle name="Percent 2 16 2" xfId="2706" xr:uid="{93EBE76A-5B4F-49B5-AFF7-A64978B12ABF}"/>
    <cellStyle name="Percent 2 17" xfId="1579" xr:uid="{8817116F-8DC3-445C-B6C6-3A2022ABF2B6}"/>
    <cellStyle name="Percent 2 17 2" xfId="2707" xr:uid="{8027EF1D-4C81-4ED6-B74E-A598562175BF}"/>
    <cellStyle name="Percent 2 18" xfId="1580" xr:uid="{5A606101-8267-41EC-8F02-8C40A50A31D3}"/>
    <cellStyle name="Percent 2 18 2" xfId="2708" xr:uid="{2A833528-C8DC-40FC-8BEA-0D263CBCB91B}"/>
    <cellStyle name="Percent 2 19" xfId="2685" xr:uid="{5732EA73-25D0-4AA2-AAFE-7202D19A38C0}"/>
    <cellStyle name="Percent 2 2" xfId="1581" xr:uid="{A2A7EB4B-7345-4A4C-BD69-02835DCC92E5}"/>
    <cellStyle name="Percent 2 2 2" xfId="1582" xr:uid="{BCE9964D-486B-4C30-A213-763E44C52ED3}"/>
    <cellStyle name="Percent 2 2 2 2" xfId="2710" xr:uid="{BE5A941C-9D4F-43D9-AE31-BE8183669BAD}"/>
    <cellStyle name="Percent 2 2 3" xfId="1583" xr:uid="{E198A746-B351-419F-BBD6-4E593098BA44}"/>
    <cellStyle name="Percent 2 2 3 2" xfId="2711" xr:uid="{FFBB5875-DFC1-4065-8F4C-918AFE254165}"/>
    <cellStyle name="Percent 2 2 4" xfId="1584" xr:uid="{FC3F42DB-6362-4DAD-B974-D42C443A4211}"/>
    <cellStyle name="Percent 2 2 4 2" xfId="2712" xr:uid="{0249E559-E3FF-4D38-B562-6E58B2A37BE2}"/>
    <cellStyle name="Percent 2 2 5" xfId="1585" xr:uid="{4454C82D-5E6E-4C75-93F4-55646992FEF5}"/>
    <cellStyle name="Percent 2 2 5 2" xfId="2713" xr:uid="{EE7C24CE-CE8D-488E-B657-8C5669D845A5}"/>
    <cellStyle name="Percent 2 2 6" xfId="1586" xr:uid="{22CFCEE7-DCC6-4379-9F8E-83539F0E3A93}"/>
    <cellStyle name="Percent 2 2 6 2" xfId="2714" xr:uid="{E763CA4C-C7DF-4BBA-BDAF-855695C3A22E}"/>
    <cellStyle name="Percent 2 2 7" xfId="1587" xr:uid="{FCBB9294-FAB3-4674-97CD-992C800F430D}"/>
    <cellStyle name="Percent 2 2 7 2" xfId="2715" xr:uid="{3F60C413-B8C9-488B-8764-698D015BA9AC}"/>
    <cellStyle name="Percent 2 2 8" xfId="1588" xr:uid="{B648A803-024C-43F2-9570-8AACF4196840}"/>
    <cellStyle name="Percent 2 2 8 2" xfId="2716" xr:uid="{580075C4-44FB-4B92-A775-F211FC7156B6}"/>
    <cellStyle name="Percent 2 2 9" xfId="2709" xr:uid="{AB3C79E6-3996-473A-AC66-0A06AD68907A}"/>
    <cellStyle name="Percent 2 20" xfId="1557" xr:uid="{0CDE3AD3-8D21-43E1-8B23-5BB36896BC05}"/>
    <cellStyle name="Percent 2 3" xfId="1589" xr:uid="{1FABC7AF-A6FB-4346-94BD-B491F4CF7F4E}"/>
    <cellStyle name="Percent 2 3 2" xfId="1590" xr:uid="{D4FDC670-4192-49F2-83A6-FE8FAA4F9C39}"/>
    <cellStyle name="Percent 2 3 2 2" xfId="2718" xr:uid="{5949A8E1-8F36-4C7F-8925-E22169437BC4}"/>
    <cellStyle name="Percent 2 3 3" xfId="1591" xr:uid="{9D2EE6E7-9372-476F-8E14-697E8298F7C3}"/>
    <cellStyle name="Percent 2 3 3 2" xfId="2719" xr:uid="{5642142D-83C4-42B8-9D58-B89554EECDC5}"/>
    <cellStyle name="Percent 2 3 4" xfId="1592" xr:uid="{58E4A5C4-C12C-40CE-9350-83E0444B7637}"/>
    <cellStyle name="Percent 2 3 4 2" xfId="2720" xr:uid="{66913F6A-1ED9-4FBF-B0BC-676AF8653D75}"/>
    <cellStyle name="Percent 2 3 5" xfId="1593" xr:uid="{B614D4D2-C8DB-4355-9109-AFF585214BA1}"/>
    <cellStyle name="Percent 2 3 5 2" xfId="2721" xr:uid="{62EB84E7-E951-4772-8152-AB784A953567}"/>
    <cellStyle name="Percent 2 3 6" xfId="1594" xr:uid="{98CE493A-04A5-454B-B046-890B29DB42FF}"/>
    <cellStyle name="Percent 2 3 6 2" xfId="2722" xr:uid="{8E40E17A-B188-4DD6-8EC3-0D72CD4A8305}"/>
    <cellStyle name="Percent 2 3 7" xfId="1595" xr:uid="{46FFC9C9-7979-4070-A840-F2538C1ADE5F}"/>
    <cellStyle name="Percent 2 3 7 2" xfId="2723" xr:uid="{A4E743A5-2D21-4447-9F47-3B593CDB591A}"/>
    <cellStyle name="Percent 2 3 8" xfId="1596" xr:uid="{D17D3ACC-45AB-40B7-B001-2C8E858A615B}"/>
    <cellStyle name="Percent 2 3 8 2" xfId="2724" xr:uid="{E78E143C-955B-430B-82E6-AC5E47167FEF}"/>
    <cellStyle name="Percent 2 3 9" xfId="2717" xr:uid="{B528B594-AA08-47D6-AB2A-CC7FC84A6B77}"/>
    <cellStyle name="Percent 2 4" xfId="1597" xr:uid="{535449CB-1262-4F4A-8F6A-25CD66E4F06B}"/>
    <cellStyle name="Percent 2 4 2" xfId="1598" xr:uid="{336F99CC-8DDB-4FE1-B80E-C1DB4FD0A4F7}"/>
    <cellStyle name="Percent 2 4 2 2" xfId="2726" xr:uid="{6639902B-BF3B-427E-8732-4AF038F57B88}"/>
    <cellStyle name="Percent 2 4 3" xfId="1599" xr:uid="{CFF82ED9-2674-40A9-B05D-CFCEC81BBCEF}"/>
    <cellStyle name="Percent 2 4 3 2" xfId="2727" xr:uid="{DC2FF04A-4D91-4FB5-BA04-C4B72655D8D2}"/>
    <cellStyle name="Percent 2 4 4" xfId="1600" xr:uid="{47F7E7D9-79BF-4921-BFED-7CF5C07A8A68}"/>
    <cellStyle name="Percent 2 4 4 2" xfId="2728" xr:uid="{79EE2171-86A2-444F-B947-22E178850FBD}"/>
    <cellStyle name="Percent 2 4 5" xfId="1601" xr:uid="{A6EEACD7-E5B5-483C-BB2F-365CC5294E50}"/>
    <cellStyle name="Percent 2 4 5 2" xfId="2729" xr:uid="{82C9760F-EB57-49FC-B86C-BEC991951432}"/>
    <cellStyle name="Percent 2 4 6" xfId="1602" xr:uid="{8418A3CA-0599-4669-8D8D-E8BA7618D297}"/>
    <cellStyle name="Percent 2 4 6 2" xfId="2730" xr:uid="{4B47F8E1-65CB-464B-8300-9DB7F1DBDA9E}"/>
    <cellStyle name="Percent 2 4 7" xfId="1603" xr:uid="{F24CBDA4-F65B-4951-A601-A82696BEE05C}"/>
    <cellStyle name="Percent 2 4 7 2" xfId="2731" xr:uid="{B28F66A5-59AC-4C66-8E29-F6302152C2FD}"/>
    <cellStyle name="Percent 2 4 8" xfId="1604" xr:uid="{A17212C4-EA6C-4109-9496-7BFE660A16A4}"/>
    <cellStyle name="Percent 2 4 8 2" xfId="2732" xr:uid="{6396046A-8160-4361-81E6-74DFFDA65355}"/>
    <cellStyle name="Percent 2 4 9" xfId="2725" xr:uid="{9CD0D0C5-A41D-4531-A515-7C0A7C53441F}"/>
    <cellStyle name="Percent 2 5" xfId="1605" xr:uid="{88FE5165-60A0-4B4C-BA44-FE62BE14F026}"/>
    <cellStyle name="Percent 2 5 2" xfId="1606" xr:uid="{0A806C38-294D-4D2D-9BA1-984DBBEA3C23}"/>
    <cellStyle name="Percent 2 5 2 2" xfId="2734" xr:uid="{4A6A5E81-6EC6-46AD-A90E-7FE90CB06E9C}"/>
    <cellStyle name="Percent 2 5 3" xfId="1607" xr:uid="{FB0CB9B3-4503-4D9E-8E3D-D3B573143F0E}"/>
    <cellStyle name="Percent 2 5 3 2" xfId="2735" xr:uid="{6119D63A-669B-416C-9EE4-6B992A5538EC}"/>
    <cellStyle name="Percent 2 5 4" xfId="1608" xr:uid="{47C5B3FF-2C32-464E-BB3B-540E0C64DA77}"/>
    <cellStyle name="Percent 2 5 4 2" xfId="2736" xr:uid="{18E69FA2-D104-47F1-A3FD-6DD9E83A22C0}"/>
    <cellStyle name="Percent 2 5 5" xfId="1609" xr:uid="{39D8DC8C-E4D4-4705-AA25-2BF273990132}"/>
    <cellStyle name="Percent 2 5 5 2" xfId="2737" xr:uid="{727D4EED-C8AB-4158-BEAA-A6BEFBF6E3C0}"/>
    <cellStyle name="Percent 2 5 6" xfId="1610" xr:uid="{D6E7B5D5-61A1-4D8A-9197-DA44072F0256}"/>
    <cellStyle name="Percent 2 5 6 2" xfId="2738" xr:uid="{D712F15F-AD25-4B1A-B37F-261BAD092C5F}"/>
    <cellStyle name="Percent 2 5 7" xfId="1611" xr:uid="{40FF0766-4F9D-4AEA-9D07-BBF04A1231BB}"/>
    <cellStyle name="Percent 2 5 7 2" xfId="2739" xr:uid="{87F25175-7B0D-4A2D-A43B-C783C7C5A57B}"/>
    <cellStyle name="Percent 2 5 8" xfId="1612" xr:uid="{F2D5B995-6DA5-4FB7-9E9E-5D7854FD74F5}"/>
    <cellStyle name="Percent 2 5 8 2" xfId="2740" xr:uid="{904B4A0C-5B12-4753-B8C7-BEA5FDCE1041}"/>
    <cellStyle name="Percent 2 5 9" xfId="2733" xr:uid="{C00C87A6-7B09-4D24-B3C6-C30121B73EF8}"/>
    <cellStyle name="Percent 2 6" xfId="1613" xr:uid="{0E79CC03-5582-4A1B-9266-104123A88693}"/>
    <cellStyle name="Percent 2 6 2" xfId="1614" xr:uid="{6144D5CC-A2DF-46B3-BEE8-1AE62AE6F818}"/>
    <cellStyle name="Percent 2 6 2 2" xfId="2742" xr:uid="{CB863E42-4409-430E-9C2C-6D485FB2462A}"/>
    <cellStyle name="Percent 2 6 3" xfId="1615" xr:uid="{83B13EC7-C4FC-47E4-8284-93CC8BB3143C}"/>
    <cellStyle name="Percent 2 6 3 2" xfId="2743" xr:uid="{421E1A56-025F-465F-ACA8-EF5A15568BDB}"/>
    <cellStyle name="Percent 2 6 4" xfId="1616" xr:uid="{495C65A1-B734-4129-98C1-97F173166330}"/>
    <cellStyle name="Percent 2 6 4 2" xfId="2744" xr:uid="{8D2BAA55-4CAA-4D4C-9B48-6EE41F101185}"/>
    <cellStyle name="Percent 2 6 5" xfId="1617" xr:uid="{AFF439D4-EA49-4CAE-B64A-4785C5EF2164}"/>
    <cellStyle name="Percent 2 6 5 2" xfId="2745" xr:uid="{B3FE1BAF-904B-4EA0-A97A-B636871343FC}"/>
    <cellStyle name="Percent 2 6 6" xfId="1618" xr:uid="{4F8C80DA-8B16-4EFB-BBB4-B96C8838AC62}"/>
    <cellStyle name="Percent 2 6 6 2" xfId="2746" xr:uid="{594E19ED-EC7D-4B18-BBC4-C6FA723C5106}"/>
    <cellStyle name="Percent 2 6 7" xfId="1619" xr:uid="{4BA8C647-2403-441F-A872-FE1091AC2294}"/>
    <cellStyle name="Percent 2 6 7 2" xfId="2747" xr:uid="{3D9287D4-5C98-4D21-8C08-B4AC285DA0B5}"/>
    <cellStyle name="Percent 2 6 8" xfId="1620" xr:uid="{9C3C4E05-F6EC-4B07-8471-2B2558FA18FB}"/>
    <cellStyle name="Percent 2 6 8 2" xfId="2748" xr:uid="{48DD809E-BA9D-4FCE-B2BA-CECCD5116DA8}"/>
    <cellStyle name="Percent 2 6 9" xfId="2741" xr:uid="{CCEDEA86-D8F6-4D0F-83B6-5015DF2749F3}"/>
    <cellStyle name="Percent 2 7" xfId="1621" xr:uid="{3FF67694-1558-424B-9EE5-FC189B50FD05}"/>
    <cellStyle name="Percent 2 7 2" xfId="1622" xr:uid="{382DFDD0-2B13-46D0-9C12-968963504563}"/>
    <cellStyle name="Percent 2 7 2 2" xfId="2750" xr:uid="{222124C0-279A-4F88-90DD-213FA7D2C316}"/>
    <cellStyle name="Percent 2 7 3" xfId="1623" xr:uid="{1937B9E3-0304-41AB-AC6C-778403FA161C}"/>
    <cellStyle name="Percent 2 7 3 2" xfId="2751" xr:uid="{244B2CED-FA2B-4818-9DD4-6735A6CA3D48}"/>
    <cellStyle name="Percent 2 7 4" xfId="1624" xr:uid="{E364F5EE-2FE2-434D-9FFD-8327CD9E18A9}"/>
    <cellStyle name="Percent 2 7 4 2" xfId="2752" xr:uid="{FE02AAB3-6049-4B27-A8C2-7B03FE2BFB46}"/>
    <cellStyle name="Percent 2 7 5" xfId="1625" xr:uid="{D5042EDE-447E-46DA-9032-EE72B38561C9}"/>
    <cellStyle name="Percent 2 7 5 2" xfId="2753" xr:uid="{3A6E730B-5D87-4563-8B1A-444C9F27D6C2}"/>
    <cellStyle name="Percent 2 7 6" xfId="1626" xr:uid="{0E470B49-F5F3-46C1-A56E-FAA4DC664224}"/>
    <cellStyle name="Percent 2 7 6 2" xfId="2754" xr:uid="{BFC93C13-6D02-4067-90E7-9279EFCEC662}"/>
    <cellStyle name="Percent 2 7 7" xfId="1627" xr:uid="{A9CDFFEC-B05A-41A5-97AB-0787A837C4A4}"/>
    <cellStyle name="Percent 2 7 7 2" xfId="2755" xr:uid="{33221866-0471-47C4-9B43-ABAE750E2408}"/>
    <cellStyle name="Percent 2 7 8" xfId="1628" xr:uid="{CD284406-518F-4C07-A9EB-26671A6632E4}"/>
    <cellStyle name="Percent 2 7 8 2" xfId="2756" xr:uid="{4E69A8C5-3B75-43F1-8C04-645962469DDC}"/>
    <cellStyle name="Percent 2 7 9" xfId="2749" xr:uid="{6F4B2D13-19D3-46D6-A82E-2C36250D2DC0}"/>
    <cellStyle name="Percent 2 8" xfId="1629" xr:uid="{AC554450-A084-4950-BE97-95AFA54634D5}"/>
    <cellStyle name="Percent 2 8 2" xfId="1630" xr:uid="{71B322FF-3F29-4350-A8DD-70E7A848D4FA}"/>
    <cellStyle name="Percent 2 8 2 2" xfId="2758" xr:uid="{FAB7FF5D-F791-4684-A345-AC62BE9624C6}"/>
    <cellStyle name="Percent 2 8 3" xfId="1631" xr:uid="{00C650D3-55DB-4951-B49D-E153E15CA8A1}"/>
    <cellStyle name="Percent 2 8 3 2" xfId="2759" xr:uid="{117B5633-60B3-49DD-A59F-6E0B59C8AC7D}"/>
    <cellStyle name="Percent 2 8 4" xfId="1632" xr:uid="{8290E1BD-A636-408D-840F-FF27D5DC8AF3}"/>
    <cellStyle name="Percent 2 8 4 2" xfId="2760" xr:uid="{D502E990-4327-4AD9-B267-31193A6DBA71}"/>
    <cellStyle name="Percent 2 8 5" xfId="1633" xr:uid="{88CB2123-CCB2-4AA7-BB56-FE36ACF79A19}"/>
    <cellStyle name="Percent 2 8 5 2" xfId="2761" xr:uid="{2AF5CE3F-2BAC-4C01-85B4-A0C45798CD9F}"/>
    <cellStyle name="Percent 2 8 6" xfId="1634" xr:uid="{5FC6EC09-9641-46EE-8A73-ECA78C665447}"/>
    <cellStyle name="Percent 2 8 6 2" xfId="2762" xr:uid="{848D4402-482E-4C55-B102-5C32E37EDCD8}"/>
    <cellStyle name="Percent 2 8 7" xfId="1635" xr:uid="{F31D0D89-07B3-48AB-BB2E-7C23728B3F6C}"/>
    <cellStyle name="Percent 2 8 7 2" xfId="2763" xr:uid="{D73D2870-A77B-450C-AA17-224A752BB49C}"/>
    <cellStyle name="Percent 2 8 8" xfId="1636" xr:uid="{33DD3B2E-3DE5-4B66-BCC8-F8114E5172E4}"/>
    <cellStyle name="Percent 2 8 8 2" xfId="2764" xr:uid="{1E09F7B2-A2E1-4483-A47B-893757729945}"/>
    <cellStyle name="Percent 2 8 9" xfId="2757" xr:uid="{BAE05CDC-CF6E-4190-8B75-4EAA1402C654}"/>
    <cellStyle name="Percent 2 9" xfId="1637" xr:uid="{BB0AFA3B-1B9F-474A-A36D-E259B57D5275}"/>
    <cellStyle name="Percent 2 9 2" xfId="1638" xr:uid="{E918C1FA-5A02-4649-AC64-8BF638252582}"/>
    <cellStyle name="Percent 2 9 2 2" xfId="2766" xr:uid="{039FE260-44DB-485F-809B-CA875BFB9B3E}"/>
    <cellStyle name="Percent 2 9 3" xfId="1639" xr:uid="{5F59FE6E-A785-4411-A842-05E9897F11B5}"/>
    <cellStyle name="Percent 2 9 3 2" xfId="2767" xr:uid="{172E6579-E7BB-4BE5-B722-63DF4AA417BB}"/>
    <cellStyle name="Percent 2 9 4" xfId="1640" xr:uid="{472F63D3-9C66-4FDA-B345-6B8C5C25032A}"/>
    <cellStyle name="Percent 2 9 4 2" xfId="2768" xr:uid="{C6D31059-6A00-4D9B-A32A-9A7D1F6D6135}"/>
    <cellStyle name="Percent 2 9 5" xfId="1641" xr:uid="{9827E87A-D5A4-496B-8F85-E0056194673F}"/>
    <cellStyle name="Percent 2 9 5 2" xfId="2769" xr:uid="{5DA5F2B2-4286-40A5-87D3-C3A2F6D382CE}"/>
    <cellStyle name="Percent 2 9 6" xfId="1642" xr:uid="{FC550E54-7556-4AB4-8DD8-EA54854B4035}"/>
    <cellStyle name="Percent 2 9 6 2" xfId="2770" xr:uid="{68BD1374-0AFF-456A-869E-EA9751AAAAD5}"/>
    <cellStyle name="Percent 2 9 7" xfId="1643" xr:uid="{336B509C-01F6-4371-81C5-4973AC4C335E}"/>
    <cellStyle name="Percent 2 9 7 2" xfId="2771" xr:uid="{CE43A800-4988-4720-BF5D-FD1CE9418A68}"/>
    <cellStyle name="Percent 2 9 8" xfId="1644" xr:uid="{5F08D73E-48F9-40B6-B83E-99359DD77B8C}"/>
    <cellStyle name="Percent 2 9 8 2" xfId="2772" xr:uid="{93DE5C73-67AD-4C09-A378-CBEA2BE9AC9A}"/>
    <cellStyle name="Percent 2 9 9" xfId="2765" xr:uid="{A0421836-8328-4048-ABB6-F22530193088}"/>
    <cellStyle name="Percent 3" xfId="46" xr:uid="{E56FC8C8-602F-46EA-AB71-FF17E28ED380}"/>
    <cellStyle name="Percent 3 2" xfId="1645" xr:uid="{9147F419-5F93-4F8F-AE01-7D1340D9F91B}"/>
    <cellStyle name="Percent 3 2 2" xfId="2774" xr:uid="{F4AE2124-41BF-44A7-AD15-886D6F4F7DA1}"/>
    <cellStyle name="Percent 3 3" xfId="1646" xr:uid="{7AC2DEB9-C1FC-4BF8-A813-46FD61CE37FC}"/>
    <cellStyle name="Percent 3 3 2" xfId="2775" xr:uid="{029DEBA1-B19C-4DBC-8D36-582B1FFE8AEC}"/>
    <cellStyle name="Percent 3 4" xfId="1647" xr:uid="{898237C1-A89F-4C9C-ABC3-585CB3875518}"/>
    <cellStyle name="Percent 3 4 2" xfId="2776" xr:uid="{7D2529D9-DBEC-42B6-A2F6-245417FDD6B7}"/>
    <cellStyle name="Percent 3 5" xfId="1648" xr:uid="{5182B47F-A2AB-4800-9951-F8102749361A}"/>
    <cellStyle name="Percent 3 5 2" xfId="2777" xr:uid="{4E60CEAB-41A0-4CE6-8276-3F64A2A7433E}"/>
    <cellStyle name="Percent 3 6" xfId="1649" xr:uid="{4F71D915-D483-4A0A-B76C-040A0C96BC84}"/>
    <cellStyle name="Percent 3 6 2" xfId="2778" xr:uid="{85D4D44B-77C3-4750-A406-F42CDFE8F7C9}"/>
    <cellStyle name="Percent 3 7" xfId="1650" xr:uid="{16DB8398-EEAD-435F-ACD6-3A81CE2EE21D}"/>
    <cellStyle name="Percent 3 7 2" xfId="2779" xr:uid="{4BCEBF0C-F114-4FA6-84FF-2BA62E24C516}"/>
    <cellStyle name="Percent 3 8" xfId="1651" xr:uid="{7BC4E0B8-392A-48A3-8C82-D0D0B776C0E7}"/>
    <cellStyle name="Percent 3 8 2" xfId="2780" xr:uid="{0C2763F7-E80E-4852-8813-EF53DF9B516E}"/>
    <cellStyle name="Percent 3 9" xfId="2773" xr:uid="{152E9334-7136-4A24-8B6D-949713A47868}"/>
    <cellStyle name="Percent 4" xfId="56" xr:uid="{DBBAB124-7D0D-456A-9DE3-555AF2D71B5A}"/>
    <cellStyle name="Percent 4 10" xfId="1653" xr:uid="{5C5EAB7A-FEE7-4F7B-A031-60EADD3090DD}"/>
    <cellStyle name="Percent 4 10 2" xfId="2782" xr:uid="{49FD4320-E722-4409-91C9-03BA685845D0}"/>
    <cellStyle name="Percent 4 11" xfId="1654" xr:uid="{3B0425E1-9264-4691-BA9F-69ADA24B8B93}"/>
    <cellStyle name="Percent 4 11 2" xfId="2783" xr:uid="{22192F7F-DF8E-4842-BFF8-155BF91CCA8E}"/>
    <cellStyle name="Percent 4 12" xfId="1655" xr:uid="{FA34620F-B2EE-4D4A-8F52-31CCE5CF61EF}"/>
    <cellStyle name="Percent 4 12 2" xfId="2784" xr:uid="{82AFABFD-22F0-4C0F-A4F2-4CD2D67D5722}"/>
    <cellStyle name="Percent 4 13" xfId="1656" xr:uid="{8DD519B2-3650-4CF4-90CD-0FB93A626F6A}"/>
    <cellStyle name="Percent 4 13 2" xfId="2785" xr:uid="{4BB77582-DC14-446D-89C3-70ADE95254A1}"/>
    <cellStyle name="Percent 4 14" xfId="2781" xr:uid="{8A82302B-6BB2-4661-A27C-8F2D2CF6D38D}"/>
    <cellStyle name="Percent 4 15" xfId="1652" xr:uid="{67345B1A-36AC-4D34-946B-C517FD263DB1}"/>
    <cellStyle name="Percent 4 2" xfId="1657" xr:uid="{0D935629-5D8A-44FC-BB6A-E1E1C9351AB5}"/>
    <cellStyle name="Percent 4 2 2" xfId="1658" xr:uid="{624C1D36-996B-4666-AB3F-50D9B9EAC9B4}"/>
    <cellStyle name="Percent 4 2 2 2" xfId="2787" xr:uid="{A57085E5-5E34-49D2-942D-1FE755E8BA58}"/>
    <cellStyle name="Percent 4 2 3" xfId="1659" xr:uid="{F1817B92-AAE6-4731-AE8E-7DDF2E382A3E}"/>
    <cellStyle name="Percent 4 2 3 2" xfId="2788" xr:uid="{57FD072A-8E45-45B3-B66F-E62B951F4832}"/>
    <cellStyle name="Percent 4 2 4" xfId="1660" xr:uid="{22EB9E73-5C6B-4912-9E51-478E7B9BB12F}"/>
    <cellStyle name="Percent 4 2 4 2" xfId="2789" xr:uid="{D0B20AA0-7A9D-4C74-9728-BFF42059FC6B}"/>
    <cellStyle name="Percent 4 2 5" xfId="1661" xr:uid="{DCD3694D-FD94-4C3D-B6CB-FD192950A71C}"/>
    <cellStyle name="Percent 4 2 5 2" xfId="2790" xr:uid="{42228AD8-3146-4504-8993-02FD85CB2D6F}"/>
    <cellStyle name="Percent 4 2 6" xfId="1662" xr:uid="{BF12F9D4-2790-4FA1-83EA-52F9352C75BE}"/>
    <cellStyle name="Percent 4 2 6 2" xfId="2791" xr:uid="{E75A8004-A701-4A5A-9C21-0E06EE6C7C59}"/>
    <cellStyle name="Percent 4 2 7" xfId="1663" xr:uid="{786B5C87-723B-4C66-9633-5A74D67C1367}"/>
    <cellStyle name="Percent 4 2 7 2" xfId="2792" xr:uid="{7A0E161D-07B0-4344-85B3-E9591D17CAD2}"/>
    <cellStyle name="Percent 4 2 8" xfId="1664" xr:uid="{4DB6A7CA-2A3B-4679-BA6B-9EF4FA8283B9}"/>
    <cellStyle name="Percent 4 2 8 2" xfId="2793" xr:uid="{52AE4AF2-EC1B-43D5-8DD2-570687C59146}"/>
    <cellStyle name="Percent 4 2 9" xfId="2786" xr:uid="{2633E02D-BD7A-4682-A8DE-EF1D74FC0D14}"/>
    <cellStyle name="Percent 4 3" xfId="1665" xr:uid="{0FED4662-DEF0-434D-B94F-3D84A52BA0CA}"/>
    <cellStyle name="Percent 4 3 2" xfId="1666" xr:uid="{7E46916B-31FF-4254-942B-94C220637FDC}"/>
    <cellStyle name="Percent 4 3 2 2" xfId="2795" xr:uid="{9733D72B-CAB5-4FB4-9DC3-990EACBF7B85}"/>
    <cellStyle name="Percent 4 3 3" xfId="1667" xr:uid="{CA036A93-C10B-464F-BE8B-F0477D3F0E02}"/>
    <cellStyle name="Percent 4 3 3 2" xfId="2796" xr:uid="{328BF370-9E1A-4DD2-BC3B-96C79D4C838B}"/>
    <cellStyle name="Percent 4 3 4" xfId="1668" xr:uid="{49A38C9B-3BBC-496A-BCD2-EBB5A1FD10A6}"/>
    <cellStyle name="Percent 4 3 4 2" xfId="2797" xr:uid="{627D318D-7661-42F9-AF37-B2EB40181651}"/>
    <cellStyle name="Percent 4 3 5" xfId="1669" xr:uid="{94291C53-FD3D-465B-8574-B0813058CEA8}"/>
    <cellStyle name="Percent 4 3 5 2" xfId="2798" xr:uid="{728E29E6-E132-457C-BC60-4DADB4938564}"/>
    <cellStyle name="Percent 4 3 6" xfId="1670" xr:uid="{D300437B-88FD-4F4F-92BE-29A6C6C66733}"/>
    <cellStyle name="Percent 4 3 6 2" xfId="2799" xr:uid="{78F8404C-6423-42FB-8E5B-36F299BC3F8D}"/>
    <cellStyle name="Percent 4 3 7" xfId="1671" xr:uid="{C7B23646-BC00-44AF-8919-61D9195F5130}"/>
    <cellStyle name="Percent 4 3 7 2" xfId="2800" xr:uid="{5B1A8A55-A29C-497C-95E7-38329C89BC31}"/>
    <cellStyle name="Percent 4 3 8" xfId="1672" xr:uid="{B8E11A02-E365-401C-8D85-AFB5CA971465}"/>
    <cellStyle name="Percent 4 3 8 2" xfId="2801" xr:uid="{B1F860BF-0D94-4AF4-B5D2-D56D79D2318F}"/>
    <cellStyle name="Percent 4 3 9" xfId="2794" xr:uid="{BB6877FA-8063-4AED-8650-3620B8087A4D}"/>
    <cellStyle name="Percent 4 4" xfId="1673" xr:uid="{EEE336C1-BDC8-4D48-858D-36F92DBDFECD}"/>
    <cellStyle name="Percent 4 4 2" xfId="1674" xr:uid="{A6F582A6-9E3D-4564-9F92-3CCC5E1EDF36}"/>
    <cellStyle name="Percent 4 4 2 2" xfId="2803" xr:uid="{6F9F79BC-8A53-41BA-B52F-3432832E5644}"/>
    <cellStyle name="Percent 4 4 3" xfId="1675" xr:uid="{3488B045-D9A3-4321-9956-9AFB7852BD2A}"/>
    <cellStyle name="Percent 4 4 3 2" xfId="2804" xr:uid="{26F69F06-B28E-4C2F-8245-F8BD3807519F}"/>
    <cellStyle name="Percent 4 4 4" xfId="1676" xr:uid="{D65E823C-485B-453A-9908-4591BAB87F2F}"/>
    <cellStyle name="Percent 4 4 4 2" xfId="2805" xr:uid="{009A229E-D876-4FD4-BD4E-5799AADCAAAF}"/>
    <cellStyle name="Percent 4 4 5" xfId="1677" xr:uid="{252AD2B0-5CE9-4136-A229-0E4413A8A021}"/>
    <cellStyle name="Percent 4 4 5 2" xfId="2806" xr:uid="{9BC54B6B-2AAC-4277-A46F-DAAE2DA48DA2}"/>
    <cellStyle name="Percent 4 4 6" xfId="1678" xr:uid="{AFB005CF-EBA5-4B4B-A223-6E5036BBE359}"/>
    <cellStyle name="Percent 4 4 6 2" xfId="2807" xr:uid="{A278C5C6-95C8-453C-A21B-BDD413B2747F}"/>
    <cellStyle name="Percent 4 4 7" xfId="1679" xr:uid="{20600686-9992-4D27-8B97-D24411F47B55}"/>
    <cellStyle name="Percent 4 4 7 2" xfId="2808" xr:uid="{4BF38792-099B-4AEE-B3B0-CD4FB1D28A37}"/>
    <cellStyle name="Percent 4 4 8" xfId="1680" xr:uid="{23D502B7-B9A4-4036-ADB5-D153FE76736F}"/>
    <cellStyle name="Percent 4 4 8 2" xfId="2809" xr:uid="{E28DB57B-3CD2-4321-9082-320A39CE4BA2}"/>
    <cellStyle name="Percent 4 4 9" xfId="2802" xr:uid="{46160F55-4F26-4761-964E-A3279DCCB7D5}"/>
    <cellStyle name="Percent 4 5" xfId="1681" xr:uid="{6165AFCA-8A22-436E-9D8A-68A8E58E5CD9}"/>
    <cellStyle name="Percent 4 5 2" xfId="1682" xr:uid="{72DBA366-3D95-4F27-B6C3-D97BAF9AFE2D}"/>
    <cellStyle name="Percent 4 5 2 2" xfId="2811" xr:uid="{E92BB467-1B58-4514-83E3-FED8D2BFB179}"/>
    <cellStyle name="Percent 4 5 3" xfId="1683" xr:uid="{A54551B4-542F-40E8-85EB-AB06CF153641}"/>
    <cellStyle name="Percent 4 5 3 2" xfId="2812" xr:uid="{40169A26-9D66-4BEF-AF37-F010E69B3A1F}"/>
    <cellStyle name="Percent 4 5 4" xfId="1684" xr:uid="{50F0BBAE-FA5B-4AF6-B84A-ED67B7B477FA}"/>
    <cellStyle name="Percent 4 5 4 2" xfId="2813" xr:uid="{1FFAF84A-F261-4FE7-8125-1E3F6A621B12}"/>
    <cellStyle name="Percent 4 5 5" xfId="1685" xr:uid="{EA9E5D9F-35C5-4BE0-93E1-A763A4E96DFD}"/>
    <cellStyle name="Percent 4 5 5 2" xfId="2814" xr:uid="{4B7E8C4E-5B64-4942-ACFA-40E3D76F84D2}"/>
    <cellStyle name="Percent 4 5 6" xfId="1686" xr:uid="{B37B94C2-40C7-4157-B82A-CEDF1DA4CC64}"/>
    <cellStyle name="Percent 4 5 6 2" xfId="2815" xr:uid="{30B517F6-543B-4B3E-9FEE-BDBEF1625C17}"/>
    <cellStyle name="Percent 4 5 7" xfId="1687" xr:uid="{E7E1B055-845B-440C-A242-05176603B5A5}"/>
    <cellStyle name="Percent 4 5 7 2" xfId="2816" xr:uid="{94BD0DB8-2102-4A8B-BCCA-3033048291AF}"/>
    <cellStyle name="Percent 4 5 8" xfId="1688" xr:uid="{87050194-38B4-4A32-B372-52BC78B1A7BC}"/>
    <cellStyle name="Percent 4 5 8 2" xfId="2817" xr:uid="{5C8EA68F-211A-4B49-B8EF-4F5E4C5B1093}"/>
    <cellStyle name="Percent 4 5 9" xfId="2810" xr:uid="{6AFA3FB1-82EA-4699-88D8-1025262757A8}"/>
    <cellStyle name="Percent 4 6" xfId="1689" xr:uid="{03D1372F-8399-4938-AED8-CE0EA5C456FE}"/>
    <cellStyle name="Percent 4 6 2" xfId="1690" xr:uid="{F821E8D3-727F-4E2B-8C5B-96463CCA9792}"/>
    <cellStyle name="Percent 4 6 2 2" xfId="2819" xr:uid="{3D2FD0C5-02EC-4C92-95F1-4BCA5A082456}"/>
    <cellStyle name="Percent 4 6 3" xfId="1691" xr:uid="{74D3AA9E-9BA8-40A1-8A7C-F5272045C968}"/>
    <cellStyle name="Percent 4 6 3 2" xfId="2820" xr:uid="{C652FCF3-1443-4B92-A251-BDFCAA3AFF1D}"/>
    <cellStyle name="Percent 4 6 4" xfId="1692" xr:uid="{0E129CEE-8244-4305-8F06-5C45FC925705}"/>
    <cellStyle name="Percent 4 6 4 2" xfId="2821" xr:uid="{EE8EF300-6A09-4D43-873C-FFF360019256}"/>
    <cellStyle name="Percent 4 6 5" xfId="1693" xr:uid="{265E9783-AF37-40AF-A102-09C5BE9A31EE}"/>
    <cellStyle name="Percent 4 6 5 2" xfId="2822" xr:uid="{01E82010-744F-464C-B4FA-954E34F88372}"/>
    <cellStyle name="Percent 4 6 6" xfId="1694" xr:uid="{382967F5-112D-47E1-82E1-0556CD1A157B}"/>
    <cellStyle name="Percent 4 6 6 2" xfId="2823" xr:uid="{D65CFEC5-C762-4D29-A990-2CA652F67899}"/>
    <cellStyle name="Percent 4 6 7" xfId="1695" xr:uid="{E13E4A88-3920-4C6F-8CCF-7D4A569D1C61}"/>
    <cellStyle name="Percent 4 6 7 2" xfId="2824" xr:uid="{2B6B31E3-D1A0-42A6-B4C7-971EAC09AC4E}"/>
    <cellStyle name="Percent 4 6 8" xfId="1696" xr:uid="{7C541A3C-4A62-46BC-87D4-CD32EA5409EB}"/>
    <cellStyle name="Percent 4 6 8 2" xfId="2825" xr:uid="{B16CF3F0-5C75-49C5-8562-8DA30FB6183F}"/>
    <cellStyle name="Percent 4 6 9" xfId="2818" xr:uid="{EEAA525B-6794-43F0-A02A-0CDFF4912B57}"/>
    <cellStyle name="Percent 4 7" xfId="1697" xr:uid="{47D284A4-8640-44E3-9D81-55DCC3C96160}"/>
    <cellStyle name="Percent 4 7 2" xfId="2826" xr:uid="{F819A2FA-24AA-492B-B5F5-0B0A04115FB5}"/>
    <cellStyle name="Percent 4 8" xfId="1698" xr:uid="{39D2313D-4017-42B5-BA15-1174CC4F3BD2}"/>
    <cellStyle name="Percent 4 8 2" xfId="2827" xr:uid="{94C329B5-DF4D-431A-96C1-ADCDE931455F}"/>
    <cellStyle name="Percent 4 9" xfId="1699" xr:uid="{34D32C0A-7C80-44DF-9BC2-06E0AA31012F}"/>
    <cellStyle name="Percent 4 9 2" xfId="2828" xr:uid="{96B29356-4080-4733-BE4F-597C9048E99E}"/>
    <cellStyle name="Percent 5" xfId="1700" xr:uid="{BAA37B20-4544-4E4C-AACF-B3579AF8520B}"/>
    <cellStyle name="Percent 5 2" xfId="1701" xr:uid="{9EE0393D-77E4-4E68-8509-FBAE0698CFD3}"/>
    <cellStyle name="Percent 5 2 2" xfId="2830" xr:uid="{700C785D-91A0-4D06-A13B-ABFCA2C65C90}"/>
    <cellStyle name="Percent 5 3" xfId="1702" xr:uid="{21836887-2B94-4708-8F45-EAE7F8AEF71F}"/>
    <cellStyle name="Percent 5 3 2" xfId="2831" xr:uid="{7F42931F-0403-4960-8EDE-1B4C78E1CAFF}"/>
    <cellStyle name="Percent 5 4" xfId="1703" xr:uid="{F978992A-E1C8-44EF-BA68-40B7919A3CAF}"/>
    <cellStyle name="Percent 5 4 2" xfId="2832" xr:uid="{9C49935F-FB78-469D-AAEA-DD0FD8B7B361}"/>
    <cellStyle name="Percent 5 5" xfId="1704" xr:uid="{B2CBFAB8-F0A8-46DD-B78D-8C2F310F4B6B}"/>
    <cellStyle name="Percent 5 5 2" xfId="2833" xr:uid="{DB0026DC-5292-44CC-BA2C-E8A6E68F12D1}"/>
    <cellStyle name="Percent 5 6" xfId="1705" xr:uid="{462F43FD-F46B-4944-B08F-56A7D7CB64C3}"/>
    <cellStyle name="Percent 5 6 2" xfId="2834" xr:uid="{54D7EB17-AE88-4150-AD79-C4B6ABEC20D8}"/>
    <cellStyle name="Percent 5 7" xfId="1706" xr:uid="{A7306695-D6D8-4AFD-B862-7E0DEEDB691F}"/>
    <cellStyle name="Percent 5 7 2" xfId="2835" xr:uid="{400EEF3E-D5E2-4B11-BD91-65DF4D210C2F}"/>
    <cellStyle name="Percent 5 8" xfId="1707" xr:uid="{4011E579-19D7-424F-8665-0ED79F80EED3}"/>
    <cellStyle name="Percent 5 8 2" xfId="2836" xr:uid="{C9E14CF8-9A6B-4E38-9AD5-C1C99B57EA10}"/>
    <cellStyle name="Percent 5 9" xfId="2829" xr:uid="{AC8E71E6-579F-4BEB-B94C-526D8246C8D3}"/>
    <cellStyle name="Percent 6" xfId="1708" xr:uid="{5A805373-1AB1-4EB6-914E-2505BBF6B958}"/>
    <cellStyle name="Percent 6 2" xfId="1709" xr:uid="{D21C30C9-D507-411A-B6B1-4D56BF1288EE}"/>
    <cellStyle name="Percent 6 2 2" xfId="2838" xr:uid="{C4404CAC-DDED-4BD7-8DBB-1AAF7BBC5A09}"/>
    <cellStyle name="Percent 6 3" xfId="1710" xr:uid="{EC123197-4115-4E26-9DFE-634B3B9DBA3D}"/>
    <cellStyle name="Percent 6 3 2" xfId="2839" xr:uid="{8A931DD2-27D1-4B94-B612-FF81A58AC6FD}"/>
    <cellStyle name="Percent 6 4" xfId="1711" xr:uid="{3873769C-533A-4A89-B539-615428F3FE88}"/>
    <cellStyle name="Percent 6 4 2" xfId="2840" xr:uid="{3F5D68B7-1972-45DE-84C5-C6837CB97B4D}"/>
    <cellStyle name="Percent 6 5" xfId="1712" xr:uid="{E5BF6015-E61E-442C-AE62-51C51176B753}"/>
    <cellStyle name="Percent 6 5 2" xfId="2841" xr:uid="{DEA2A00E-9C52-47DE-B38A-3E5CB24ACEFA}"/>
    <cellStyle name="Percent 6 6" xfId="1713" xr:uid="{90D2A073-05EE-4F55-A78E-3DDA4A561962}"/>
    <cellStyle name="Percent 6 6 2" xfId="2842" xr:uid="{A447A1E4-9624-46A5-A464-5F3E485D9759}"/>
    <cellStyle name="Percent 6 7" xfId="1714" xr:uid="{245CE86E-0727-43EB-BD56-AF5731C229B8}"/>
    <cellStyle name="Percent 6 7 2" xfId="2843" xr:uid="{F675122E-9F15-4EDD-90F8-ADE85635A0B4}"/>
    <cellStyle name="Percent 6 8" xfId="1715" xr:uid="{2850613C-B5BA-4F88-BD11-EA7A94A4C51A}"/>
    <cellStyle name="Percent 6 8 2" xfId="2844" xr:uid="{250BF317-89CC-4B80-8F44-4076496A9019}"/>
    <cellStyle name="Percent 6 9" xfId="2837" xr:uid="{9FE2313A-BCF7-47C6-85FF-F99A82130726}"/>
    <cellStyle name="Percent 7" xfId="1716" xr:uid="{265DD6C5-8535-409F-B470-C5510B735B31}"/>
    <cellStyle name="Percent 7 2" xfId="1717" xr:uid="{F58DC939-91A3-4434-8FCD-7CB1EEDEB298}"/>
    <cellStyle name="Percent 7 2 2" xfId="2846" xr:uid="{721A863C-4D20-4952-BB25-6420A1D753AF}"/>
    <cellStyle name="Percent 7 3" xfId="1718" xr:uid="{777AEC64-8DB0-4CBF-96A4-1D3D9DD17ACD}"/>
    <cellStyle name="Percent 7 3 2" xfId="2847" xr:uid="{487437B5-21AD-4CBF-81B3-56F8D7D4726C}"/>
    <cellStyle name="Percent 7 4" xfId="1719" xr:uid="{20FB7754-5ACD-4F23-8496-5886357A062D}"/>
    <cellStyle name="Percent 7 4 2" xfId="2848" xr:uid="{5E6F61D2-08AD-477A-B1CC-3E58235B28DD}"/>
    <cellStyle name="Percent 7 5" xfId="1720" xr:uid="{4621174E-0ECD-46AD-84D0-9588CA8F2A96}"/>
    <cellStyle name="Percent 7 5 2" xfId="2849" xr:uid="{B9DC693C-C702-44C3-8618-98A72BAF2046}"/>
    <cellStyle name="Percent 7 6" xfId="1721" xr:uid="{B57A1882-7475-4AB5-A305-02252BEC2D1F}"/>
    <cellStyle name="Percent 7 6 2" xfId="2850" xr:uid="{876EBE6E-1260-476E-883D-A8C5F8D1903A}"/>
    <cellStyle name="Percent 7 7" xfId="1722" xr:uid="{DFA02E26-BCBE-49F6-9B77-F4E27A530603}"/>
    <cellStyle name="Percent 7 7 2" xfId="2851" xr:uid="{7F4596B2-B411-4E06-AFB8-3096578FEA13}"/>
    <cellStyle name="Percent 7 8" xfId="1723" xr:uid="{BEB18C3A-BDF7-4688-B970-1F4B1D7A4A4F}"/>
    <cellStyle name="Percent 7 8 2" xfId="2852" xr:uid="{BBD8F3B9-A58D-475A-A343-D6917EA33981}"/>
    <cellStyle name="Percent 7 9" xfId="2845" xr:uid="{D11089E1-E6B2-40CB-9D90-0AB5E0F849AF}"/>
    <cellStyle name="Percent 8" xfId="1724" xr:uid="{17377B82-6E7F-44BF-A3E1-40EBC05AB679}"/>
    <cellStyle name="Percent 8 2" xfId="1725" xr:uid="{A79271ED-D199-4F27-834D-C8F93BD8FAEB}"/>
    <cellStyle name="Percent 8 2 2" xfId="2854" xr:uid="{2A7DD890-7641-4F09-8F07-1EC2FA1C74B8}"/>
    <cellStyle name="Percent 8 3" xfId="1726" xr:uid="{626829D5-4EBE-4C24-BD01-8C99712C66F3}"/>
    <cellStyle name="Percent 8 3 2" xfId="2855" xr:uid="{95ADD2EE-E2A3-4ED2-9D6C-E6AA08A5FC1E}"/>
    <cellStyle name="Percent 8 4" xfId="1727" xr:uid="{BE91344D-B6E1-421D-9CAE-675C92416175}"/>
    <cellStyle name="Percent 8 4 2" xfId="2856" xr:uid="{4638703F-4F7F-4FAF-A818-02DFC331C3B4}"/>
    <cellStyle name="Percent 8 5" xfId="1728" xr:uid="{D4E2012F-7B8E-4E0F-86DD-EF1E7A0C0413}"/>
    <cellStyle name="Percent 8 5 2" xfId="2857" xr:uid="{7E0166FF-B0E2-4905-866E-A24BCBC23B8E}"/>
    <cellStyle name="Percent 8 6" xfId="1729" xr:uid="{D01E0BE3-D4C3-4053-96B8-2818EEA172AF}"/>
    <cellStyle name="Percent 8 6 2" xfId="2858" xr:uid="{CE748003-D47F-4814-9573-5576B52C7732}"/>
    <cellStyle name="Percent 8 7" xfId="1730" xr:uid="{3FB951BA-B5B9-40E4-A08A-9B0BBFD74B4D}"/>
    <cellStyle name="Percent 8 7 2" xfId="2859" xr:uid="{9BDAFC3A-C053-4F2C-946D-121EAD385FA6}"/>
    <cellStyle name="Percent 8 8" xfId="1731" xr:uid="{D4576E7E-292F-4721-AE6E-4E28C95BA13E}"/>
    <cellStyle name="Percent 8 8 2" xfId="2860" xr:uid="{02FAB532-683B-4DAC-AD75-4F5015654601}"/>
    <cellStyle name="Percent 8 9" xfId="2853" xr:uid="{CE98B3A3-C5D2-4BA3-99D6-014480CFA00E}"/>
    <cellStyle name="Percent 9" xfId="1732" xr:uid="{0E55DAD1-2C62-402E-9462-8211FA2FA0E4}"/>
    <cellStyle name="Percent 9 2" xfId="1733" xr:uid="{37B399AC-6F0D-47BE-9D37-591AEA9D7573}"/>
    <cellStyle name="Percent 9 2 2" xfId="2862" xr:uid="{619C809E-5903-45EF-AAF8-A333077E9AEF}"/>
    <cellStyle name="Percent 9 3" xfId="1734" xr:uid="{A0F2B171-BAAC-4837-9DA8-B91D400C7385}"/>
    <cellStyle name="Percent 9 3 2" xfId="2863" xr:uid="{5BF1ABB5-0794-45AC-A00D-6145432C6556}"/>
    <cellStyle name="Percent 9 4" xfId="1735" xr:uid="{3D57C58F-E132-49C2-9887-502B08E49C14}"/>
    <cellStyle name="Percent 9 4 2" xfId="2864" xr:uid="{2FF7CF1B-3A14-4122-AD69-B06C1310788C}"/>
    <cellStyle name="Percent 9 5" xfId="1736" xr:uid="{FBA9AA81-5BF5-4DCE-B599-411D747873B2}"/>
    <cellStyle name="Percent 9 5 2" xfId="2865" xr:uid="{D923CFD5-C900-432F-8DFC-199EBEBF5B5C}"/>
    <cellStyle name="Percent 9 6" xfId="1737" xr:uid="{842C42B8-9ADC-40D4-BC19-767CDE85DC65}"/>
    <cellStyle name="Percent 9 6 2" xfId="2866" xr:uid="{0C3FBFB6-4D1A-4DA0-97E8-9F448F7C976B}"/>
    <cellStyle name="Percent 9 7" xfId="1738" xr:uid="{427BBC94-C274-46D7-A42F-4FEFCB7787C1}"/>
    <cellStyle name="Percent 9 7 2" xfId="2867" xr:uid="{D0148E3C-91FC-4ABA-805A-E2D7689F39C1}"/>
    <cellStyle name="Percent 9 8" xfId="1739" xr:uid="{2AE81388-1CE3-4627-9A45-CFB8A9AB2322}"/>
    <cellStyle name="Percent 9 8 2" xfId="2868" xr:uid="{6BAE35F2-1DE7-4227-8829-528DECC1CD4D}"/>
    <cellStyle name="Percent 9 9" xfId="2861" xr:uid="{CD868B6F-09A4-4187-B043-71C81AAA7C41}"/>
    <cellStyle name="Section Break" xfId="47" xr:uid="{02A03CE4-A58D-4E0A-8BF4-BC72389530B5}"/>
    <cellStyle name="Section Break: parent row" xfId="48" xr:uid="{2A771B97-7CAB-4C3A-8CA1-5BF446394C3A}"/>
    <cellStyle name="Section Break_default attrib" xfId="2876" xr:uid="{9AB95DFA-49AF-41EC-820F-37FF8BF66256}"/>
    <cellStyle name="source" xfId="1740" xr:uid="{7820C7C6-B17D-4C73-B40A-660A7A09745D}"/>
    <cellStyle name="Standard_Sce_D_Extraction" xfId="1741" xr:uid="{58074FAE-5C05-454F-9D74-32A366D8218A}"/>
    <cellStyle name="Style 29" xfId="1742" xr:uid="{C97A876C-E0F8-4B45-B0AE-A13AC3425014}"/>
    <cellStyle name="Style 29 2" xfId="1743" xr:uid="{A0AFCBF1-E80E-4C73-9215-04B08C63A71F}"/>
    <cellStyle name="Style 29 2 2" xfId="2870" xr:uid="{CF5E2E45-DBF8-4B00-8ECC-A066D855A675}"/>
    <cellStyle name="Style 29 3" xfId="2869" xr:uid="{A61FF2DD-988C-4309-9066-625352268470}"/>
    <cellStyle name="Style 35" xfId="1744" xr:uid="{7AFD4A4C-3C85-4146-8791-8B2D00DDC69F}"/>
    <cellStyle name="Style 35 2" xfId="1745" xr:uid="{0B21C745-17A1-4EC5-8E3C-D387AC8F8CB0}"/>
    <cellStyle name="Style 36" xfId="1746" xr:uid="{9D0BB970-5BCC-4079-822C-DB2B6E53338D}"/>
    <cellStyle name="Style 36 2" xfId="1747" xr:uid="{FEDF16DE-287F-4924-A199-4EEFE8657A9A}"/>
    <cellStyle name="Table title" xfId="49" xr:uid="{B6513B15-8119-4EE2-8C24-B07268E210A6}"/>
    <cellStyle name="tableau | cellule | normal | decimal 1" xfId="1748" xr:uid="{080C39AF-6E29-43F4-B0E3-F2FD3B31B698}"/>
    <cellStyle name="tableau | cellule | normal | pourcentage | decimal 1" xfId="1749" xr:uid="{C68ED4E9-E175-418C-BE1E-5049F84F95C4}"/>
    <cellStyle name="tableau | cellule | total | decimal 1" xfId="1750" xr:uid="{680D5255-84F2-4488-90FF-C66277851729}"/>
    <cellStyle name="tableau | coin superieur gauche" xfId="1751" xr:uid="{CF9CACA2-8D2C-4F5B-B0B2-4690C766A60D}"/>
    <cellStyle name="tableau | coin superieur gauche 2" xfId="2871" xr:uid="{841D4DB0-E453-4554-8EC0-B4212B812334}"/>
    <cellStyle name="tableau | entete-colonne | series" xfId="1752" xr:uid="{D5FB79C0-59CD-4777-A340-0E762253557B}"/>
    <cellStyle name="tableau | entete-colonne | series 2" xfId="2872" xr:uid="{712A6FA7-4B47-4994-B7D7-4EA1BCBF8992}"/>
    <cellStyle name="tableau | entete-ligne | normal" xfId="1753" xr:uid="{1DB4BE48-6536-4F1A-B3A8-FCE7E68B253D}"/>
    <cellStyle name="tableau | entete-ligne | normal 2" xfId="2873" xr:uid="{91ECEF01-628D-4702-98EA-84C553FA5110}"/>
    <cellStyle name="tableau | entete-ligne | total" xfId="1754" xr:uid="{F03F6A64-43A7-4995-9412-EB1839AA5BF6}"/>
    <cellStyle name="tableau | ligne-titre | niveau1" xfId="1755" xr:uid="{847A8D54-B4DE-4624-A9FA-242EDB96C1AA}"/>
    <cellStyle name="tableau | ligne-titre | niveau1 2" xfId="2874" xr:uid="{C940D4CD-1CA5-4E9A-95FE-D87968D5E036}"/>
    <cellStyle name="tableau | ligne-titre | niveau2" xfId="1756" xr:uid="{DC771801-2589-41E2-9D93-C3129354916C}"/>
    <cellStyle name="tableau | ligne-titre | niveau2 2" xfId="2875" xr:uid="{DD1A7A74-A35D-4DAE-A1FF-94AEB3B20E89}"/>
    <cellStyle name="Title 2" xfId="1757" xr:uid="{9A473002-97C2-475C-9E52-829AD59DB77C}"/>
    <cellStyle name="Title 2 10" xfId="1758" xr:uid="{86A62E2C-D48A-470B-B8EB-35DA6871DE96}"/>
    <cellStyle name="Title 2 2" xfId="1759" xr:uid="{8016CD69-1595-438E-BF4B-B1F1E9687404}"/>
    <cellStyle name="Title 2 3" xfId="1760" xr:uid="{2889020F-6AFF-4B9C-9BC9-A86A97669629}"/>
    <cellStyle name="Title 2 4" xfId="1761" xr:uid="{B71C8E63-D1A4-44DC-8972-869557A5E120}"/>
    <cellStyle name="Title 2 5" xfId="1762" xr:uid="{A211FEE3-3E0B-40FF-9D86-27D1CD0D2807}"/>
    <cellStyle name="Title 2 6" xfId="1763" xr:uid="{CEB88074-4371-40D4-BD73-FE7E6F5FC06E}"/>
    <cellStyle name="Title 2 7" xfId="1764" xr:uid="{0467010A-FA51-472E-AA39-EA2A2EED78B3}"/>
    <cellStyle name="Title 2 8" xfId="1765" xr:uid="{19870737-62CB-464B-AB74-FFAC35031F40}"/>
    <cellStyle name="Title 2 9" xfId="1766" xr:uid="{4FDF7E28-00C2-4185-9301-84D0248B56E0}"/>
    <cellStyle name="Title 3" xfId="1767" xr:uid="{F80609D1-AACD-4547-A59E-00EAADD6F2FF}"/>
    <cellStyle name="Title 3 2" xfId="1768" xr:uid="{8B0AD03A-48D1-4E75-89B1-88117D73904B}"/>
    <cellStyle name="Total 2" xfId="1769" xr:uid="{52791343-4972-4E29-BC67-1FDF1F1366F9}"/>
    <cellStyle name="Total 2 10" xfId="1770" xr:uid="{9A677D28-6A4D-4DB2-96AB-396CBABFAB13}"/>
    <cellStyle name="Total 2 2" xfId="1771" xr:uid="{EF84C38C-070A-4128-BD85-0936D5EE7FD2}"/>
    <cellStyle name="Total 2 3" xfId="1772" xr:uid="{C927ECBB-66BE-429F-934D-CF9840D129B6}"/>
    <cellStyle name="Total 2 4" xfId="1773" xr:uid="{37A74CCA-97FA-459B-A8CA-620098C1D1AF}"/>
    <cellStyle name="Total 2 5" xfId="1774" xr:uid="{DE848D73-49CF-4B9F-9A33-7FF84C75D813}"/>
    <cellStyle name="Total 2 6" xfId="1775" xr:uid="{7FF950DF-21AF-4AC1-8374-ADE34793F27E}"/>
    <cellStyle name="Total 2 7" xfId="1776" xr:uid="{6373F1D7-FB7F-40C7-8BC7-C3FC510E519C}"/>
    <cellStyle name="Total 2 8" xfId="1777" xr:uid="{6E339429-DBD0-423A-965B-010669CF353D}"/>
    <cellStyle name="Total 2 9" xfId="1778" xr:uid="{CA15FC46-34F2-404A-8B33-B9A898A76E79}"/>
    <cellStyle name="Total 3" xfId="1779" xr:uid="{3FD2AD3B-B4AB-4E6F-9C69-2720D86E53F4}"/>
    <cellStyle name="Total 3 2" xfId="1780" xr:uid="{6799F159-2908-454E-8135-C7CD7E16566D}"/>
    <cellStyle name="Warning Text 2" xfId="1781" xr:uid="{18A4AC22-E302-4AB6-AB92-CA572176FB86}"/>
    <cellStyle name="Warning Text 2 10" xfId="1782" xr:uid="{6904071F-3545-4D88-AB32-4F5F32F8E66D}"/>
    <cellStyle name="Warning Text 2 2" xfId="1783" xr:uid="{B3200C54-4D75-4283-8E22-75FD9CE1A420}"/>
    <cellStyle name="Warning Text 2 3" xfId="1784" xr:uid="{29B1792B-C384-41A5-AB32-60529FBD5A78}"/>
    <cellStyle name="Warning Text 2 4" xfId="1785" xr:uid="{3372705B-BF8C-4E44-988B-A25A07F39B31}"/>
    <cellStyle name="Warning Text 2 5" xfId="1786" xr:uid="{7508F61F-DE5C-483D-99CE-B857F3E11A06}"/>
    <cellStyle name="Warning Text 2 6" xfId="1787" xr:uid="{6A142360-3848-4B41-A007-7710E512199D}"/>
    <cellStyle name="Warning Text 2 7" xfId="1788" xr:uid="{B4586A71-C506-419B-86BC-04AA1E42035C}"/>
    <cellStyle name="Warning Text 2 8" xfId="1789" xr:uid="{4C7A1086-D28D-4FA0-B996-D3BFFD4FEC07}"/>
    <cellStyle name="Warning Text 2 9" xfId="1790" xr:uid="{6A8A7FC7-17D9-4C41-90E9-EA7FF3C95225}"/>
    <cellStyle name="Warning Text 3" xfId="1791" xr:uid="{2F7FCD81-A64C-4294-9842-ACBC8291C022}"/>
    <cellStyle name="Обычный_CRF2002 (1)" xfId="1792" xr:uid="{65EC2D58-2550-4F2D-820C-273E30F6BB81}"/>
    <cellStyle name="已访问的超链接" xfId="1793" xr:uid="{50656676-403E-4F7A-B679-ADBEA36493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44140625" defaultRowHeight="14.4"/>
  <sheetData>
    <row r="1" spans="1:1">
      <c r="A1" s="9" t="s">
        <v>26</v>
      </c>
    </row>
    <row r="2" spans="1:1">
      <c r="A2" t="s">
        <v>29</v>
      </c>
    </row>
    <row r="4" spans="1:1">
      <c r="A4" s="9" t="s">
        <v>27</v>
      </c>
    </row>
    <row r="5" spans="1:1">
      <c r="A5" t="s">
        <v>30</v>
      </c>
    </row>
    <row r="7" spans="1:1">
      <c r="A7" s="9" t="s">
        <v>28</v>
      </c>
    </row>
    <row r="8" spans="1:1">
      <c r="A8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25"/>
  <sheetViews>
    <sheetView workbookViewId="0">
      <selection activeCell="I12" sqref="I12"/>
    </sheetView>
  </sheetViews>
  <sheetFormatPr defaultColWidth="8.88671875" defaultRowHeight="14.4"/>
  <cols>
    <col min="2" max="2" width="12.6640625" bestFit="1" customWidth="1"/>
    <col min="3" max="3" width="10.6640625" bestFit="1" customWidth="1"/>
    <col min="4" max="4" width="4.88671875" bestFit="1" customWidth="1"/>
    <col min="7" max="7" width="19.33203125" bestFit="1" customWidth="1"/>
  </cols>
  <sheetData>
    <row r="2" spans="1:10">
      <c r="A2" s="2" t="s">
        <v>10</v>
      </c>
      <c r="C2" s="1"/>
      <c r="D2" s="4"/>
      <c r="G2" s="11" t="s">
        <v>36</v>
      </c>
    </row>
    <row r="3" spans="1:10" ht="15" thickBot="1">
      <c r="A3" t="s">
        <v>4</v>
      </c>
      <c r="B3" s="3" t="s">
        <v>11</v>
      </c>
      <c r="C3" s="3" t="s">
        <v>3</v>
      </c>
      <c r="D3" s="3" t="s">
        <v>13</v>
      </c>
      <c r="G3" t="s">
        <v>39</v>
      </c>
      <c r="H3" t="s">
        <v>40</v>
      </c>
      <c r="I3" t="s">
        <v>41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42</v>
      </c>
      <c r="H4" t="s">
        <v>43</v>
      </c>
      <c r="I4" t="s">
        <v>44</v>
      </c>
      <c r="J4" t="s">
        <v>45</v>
      </c>
    </row>
    <row r="5" spans="1:10">
      <c r="B5" t="s">
        <v>25</v>
      </c>
      <c r="C5">
        <v>0</v>
      </c>
      <c r="G5" t="s">
        <v>42</v>
      </c>
      <c r="H5" t="s">
        <v>46</v>
      </c>
      <c r="I5" t="s">
        <v>47</v>
      </c>
      <c r="J5" t="s">
        <v>45</v>
      </c>
    </row>
    <row r="6" spans="1:10">
      <c r="G6" t="s">
        <v>42</v>
      </c>
      <c r="H6" t="s">
        <v>48</v>
      </c>
      <c r="I6" t="s">
        <v>49</v>
      </c>
      <c r="J6" t="s">
        <v>45</v>
      </c>
    </row>
    <row r="7" spans="1:10">
      <c r="G7" t="s">
        <v>42</v>
      </c>
      <c r="H7" t="s">
        <v>50</v>
      </c>
      <c r="I7" t="s">
        <v>51</v>
      </c>
      <c r="J7" t="s">
        <v>45</v>
      </c>
    </row>
    <row r="8" spans="1:10">
      <c r="G8" t="s">
        <v>42</v>
      </c>
      <c r="H8" t="s">
        <v>52</v>
      </c>
      <c r="I8" t="s">
        <v>53</v>
      </c>
      <c r="J8" t="s">
        <v>45</v>
      </c>
    </row>
    <row r="9" spans="1:10">
      <c r="G9" t="s">
        <v>42</v>
      </c>
      <c r="H9" t="s">
        <v>54</v>
      </c>
      <c r="I9" t="s">
        <v>55</v>
      </c>
      <c r="J9" t="s">
        <v>45</v>
      </c>
    </row>
    <row r="10" spans="1:10">
      <c r="G10" t="s">
        <v>42</v>
      </c>
      <c r="H10" t="s">
        <v>56</v>
      </c>
      <c r="I10" t="s">
        <v>57</v>
      </c>
      <c r="J10" t="s">
        <v>45</v>
      </c>
    </row>
    <row r="11" spans="1:10">
      <c r="G11" t="s">
        <v>42</v>
      </c>
      <c r="H11" t="s">
        <v>58</v>
      </c>
      <c r="I11" t="s">
        <v>59</v>
      </c>
      <c r="J11" t="s">
        <v>45</v>
      </c>
    </row>
    <row r="12" spans="1:10">
      <c r="G12" t="s">
        <v>42</v>
      </c>
      <c r="H12" t="s">
        <v>60</v>
      </c>
      <c r="I12" t="s">
        <v>61</v>
      </c>
      <c r="J12" t="s">
        <v>45</v>
      </c>
    </row>
    <row r="13" spans="1:10">
      <c r="G13" t="s">
        <v>42</v>
      </c>
      <c r="H13" t="s">
        <v>62</v>
      </c>
      <c r="I13" t="s">
        <v>63</v>
      </c>
      <c r="J13" t="s">
        <v>45</v>
      </c>
    </row>
    <row r="14" spans="1:10">
      <c r="G14" t="s">
        <v>42</v>
      </c>
      <c r="H14" t="s">
        <v>64</v>
      </c>
      <c r="I14" t="s">
        <v>65</v>
      </c>
      <c r="J14" t="s">
        <v>45</v>
      </c>
    </row>
    <row r="15" spans="1:10">
      <c r="G15" t="s">
        <v>66</v>
      </c>
      <c r="H15" t="s">
        <v>67</v>
      </c>
      <c r="I15" t="s">
        <v>68</v>
      </c>
      <c r="J15" t="s">
        <v>45</v>
      </c>
    </row>
    <row r="16" spans="1:10">
      <c r="G16" t="s">
        <v>66</v>
      </c>
      <c r="H16" t="s">
        <v>69</v>
      </c>
      <c r="I16" t="s">
        <v>70</v>
      </c>
      <c r="J16" t="s">
        <v>45</v>
      </c>
    </row>
    <row r="17" spans="7:10">
      <c r="G17" t="s">
        <v>66</v>
      </c>
      <c r="H17" t="s">
        <v>71</v>
      </c>
      <c r="I17" t="s">
        <v>72</v>
      </c>
      <c r="J17" t="s">
        <v>45</v>
      </c>
    </row>
    <row r="18" spans="7:10">
      <c r="G18" t="s">
        <v>66</v>
      </c>
      <c r="H18" t="s">
        <v>73</v>
      </c>
      <c r="I18" t="s">
        <v>74</v>
      </c>
      <c r="J18" t="s">
        <v>45</v>
      </c>
    </row>
    <row r="19" spans="7:10">
      <c r="G19" t="s">
        <v>66</v>
      </c>
      <c r="H19" t="s">
        <v>75</v>
      </c>
      <c r="I19" t="s">
        <v>76</v>
      </c>
      <c r="J19" t="s">
        <v>45</v>
      </c>
    </row>
    <row r="20" spans="7:10">
      <c r="G20" t="s">
        <v>66</v>
      </c>
      <c r="H20" t="s">
        <v>77</v>
      </c>
      <c r="I20" t="s">
        <v>78</v>
      </c>
      <c r="J20" t="s">
        <v>45</v>
      </c>
    </row>
    <row r="21" spans="7:10">
      <c r="G21" t="s">
        <v>66</v>
      </c>
      <c r="H21" t="s">
        <v>79</v>
      </c>
      <c r="I21" t="s">
        <v>80</v>
      </c>
      <c r="J21" t="s">
        <v>45</v>
      </c>
    </row>
    <row r="22" spans="7:10">
      <c r="G22" t="s">
        <v>66</v>
      </c>
      <c r="H22" t="s">
        <v>81</v>
      </c>
      <c r="I22" t="s">
        <v>82</v>
      </c>
      <c r="J22" t="s">
        <v>45</v>
      </c>
    </row>
    <row r="23" spans="7:10">
      <c r="G23" t="s">
        <v>66</v>
      </c>
      <c r="H23" t="s">
        <v>83</v>
      </c>
      <c r="I23" t="s">
        <v>84</v>
      </c>
      <c r="J23" t="s">
        <v>45</v>
      </c>
    </row>
    <row r="24" spans="7:10">
      <c r="G24" t="s">
        <v>66</v>
      </c>
      <c r="H24" t="s">
        <v>85</v>
      </c>
      <c r="I24" t="s">
        <v>86</v>
      </c>
      <c r="J24" t="s">
        <v>45</v>
      </c>
    </row>
    <row r="25" spans="7:10">
      <c r="G25" t="s">
        <v>66</v>
      </c>
      <c r="H25" t="s">
        <v>87</v>
      </c>
      <c r="I25" t="s">
        <v>88</v>
      </c>
      <c r="J25" t="s">
        <v>45</v>
      </c>
    </row>
    <row r="26" spans="7:10">
      <c r="G26" t="s">
        <v>66</v>
      </c>
      <c r="H26" t="s">
        <v>89</v>
      </c>
      <c r="I26" t="s">
        <v>90</v>
      </c>
      <c r="J26" t="s">
        <v>45</v>
      </c>
    </row>
    <row r="27" spans="7:10">
      <c r="G27" t="s">
        <v>66</v>
      </c>
      <c r="H27" t="s">
        <v>91</v>
      </c>
      <c r="I27" t="s">
        <v>92</v>
      </c>
      <c r="J27" t="s">
        <v>45</v>
      </c>
    </row>
    <row r="28" spans="7:10">
      <c r="G28" t="s">
        <v>66</v>
      </c>
      <c r="H28" t="s">
        <v>93</v>
      </c>
      <c r="I28" t="s">
        <v>94</v>
      </c>
      <c r="J28" t="s">
        <v>45</v>
      </c>
    </row>
    <row r="29" spans="7:10">
      <c r="G29" t="s">
        <v>66</v>
      </c>
      <c r="H29" t="s">
        <v>95</v>
      </c>
      <c r="I29" t="s">
        <v>96</v>
      </c>
      <c r="J29" t="s">
        <v>45</v>
      </c>
    </row>
    <row r="30" spans="7:10">
      <c r="G30" t="s">
        <v>66</v>
      </c>
      <c r="H30" t="s">
        <v>97</v>
      </c>
      <c r="I30" t="s">
        <v>98</v>
      </c>
      <c r="J30" t="s">
        <v>45</v>
      </c>
    </row>
    <row r="31" spans="7:10">
      <c r="G31" t="s">
        <v>66</v>
      </c>
      <c r="H31" t="s">
        <v>99</v>
      </c>
      <c r="I31" t="s">
        <v>100</v>
      </c>
      <c r="J31" t="s">
        <v>45</v>
      </c>
    </row>
    <row r="32" spans="7:10">
      <c r="G32" t="s">
        <v>66</v>
      </c>
      <c r="H32" t="s">
        <v>101</v>
      </c>
      <c r="I32" t="s">
        <v>102</v>
      </c>
      <c r="J32" t="s">
        <v>45</v>
      </c>
    </row>
    <row r="33" spans="7:10">
      <c r="G33" t="s">
        <v>66</v>
      </c>
      <c r="H33" t="s">
        <v>103</v>
      </c>
      <c r="I33" t="s">
        <v>104</v>
      </c>
      <c r="J33" t="s">
        <v>45</v>
      </c>
    </row>
    <row r="34" spans="7:10">
      <c r="G34" t="s">
        <v>66</v>
      </c>
      <c r="H34" t="s">
        <v>105</v>
      </c>
      <c r="I34" t="s">
        <v>106</v>
      </c>
      <c r="J34" t="s">
        <v>45</v>
      </c>
    </row>
    <row r="35" spans="7:10">
      <c r="G35" t="s">
        <v>66</v>
      </c>
      <c r="H35" t="s">
        <v>107</v>
      </c>
      <c r="I35" t="s">
        <v>108</v>
      </c>
      <c r="J35" t="s">
        <v>45</v>
      </c>
    </row>
    <row r="36" spans="7:10">
      <c r="G36" t="s">
        <v>66</v>
      </c>
      <c r="H36" t="s">
        <v>109</v>
      </c>
      <c r="I36" t="s">
        <v>110</v>
      </c>
      <c r="J36" t="s">
        <v>45</v>
      </c>
    </row>
    <row r="37" spans="7:10">
      <c r="G37" t="s">
        <v>66</v>
      </c>
      <c r="H37" t="s">
        <v>111</v>
      </c>
      <c r="I37" t="s">
        <v>112</v>
      </c>
      <c r="J37" t="s">
        <v>45</v>
      </c>
    </row>
    <row r="38" spans="7:10">
      <c r="G38" t="s">
        <v>66</v>
      </c>
      <c r="H38" t="s">
        <v>113</v>
      </c>
      <c r="I38" t="s">
        <v>114</v>
      </c>
      <c r="J38" t="s">
        <v>45</v>
      </c>
    </row>
    <row r="39" spans="7:10">
      <c r="G39" t="s">
        <v>66</v>
      </c>
      <c r="H39" t="s">
        <v>115</v>
      </c>
      <c r="I39" t="s">
        <v>116</v>
      </c>
      <c r="J39" t="s">
        <v>45</v>
      </c>
    </row>
    <row r="40" spans="7:10">
      <c r="G40" t="s">
        <v>66</v>
      </c>
      <c r="H40" t="s">
        <v>117</v>
      </c>
      <c r="I40" t="s">
        <v>118</v>
      </c>
      <c r="J40" t="s">
        <v>45</v>
      </c>
    </row>
    <row r="41" spans="7:10">
      <c r="G41" t="s">
        <v>66</v>
      </c>
      <c r="H41" t="s">
        <v>119</v>
      </c>
      <c r="I41" t="s">
        <v>120</v>
      </c>
      <c r="J41" t="s">
        <v>45</v>
      </c>
    </row>
    <row r="42" spans="7:10">
      <c r="G42" t="s">
        <v>66</v>
      </c>
      <c r="H42" t="s">
        <v>121</v>
      </c>
      <c r="I42" t="s">
        <v>122</v>
      </c>
      <c r="J42" t="s">
        <v>45</v>
      </c>
    </row>
    <row r="43" spans="7:10">
      <c r="G43" t="s">
        <v>66</v>
      </c>
      <c r="H43" t="s">
        <v>123</v>
      </c>
      <c r="I43" t="s">
        <v>124</v>
      </c>
      <c r="J43" t="s">
        <v>45</v>
      </c>
    </row>
    <row r="44" spans="7:10">
      <c r="G44" t="s">
        <v>66</v>
      </c>
      <c r="H44" t="s">
        <v>125</v>
      </c>
      <c r="I44" t="s">
        <v>126</v>
      </c>
      <c r="J44" t="s">
        <v>45</v>
      </c>
    </row>
    <row r="45" spans="7:10">
      <c r="G45" t="s">
        <v>66</v>
      </c>
      <c r="H45" t="s">
        <v>127</v>
      </c>
      <c r="I45" t="s">
        <v>128</v>
      </c>
      <c r="J45" t="s">
        <v>45</v>
      </c>
    </row>
    <row r="46" spans="7:10">
      <c r="G46" t="s">
        <v>66</v>
      </c>
      <c r="H46" t="s">
        <v>129</v>
      </c>
      <c r="I46" t="s">
        <v>130</v>
      </c>
      <c r="J46" t="s">
        <v>45</v>
      </c>
    </row>
    <row r="47" spans="7:10">
      <c r="G47" t="s">
        <v>66</v>
      </c>
      <c r="H47" t="s">
        <v>131</v>
      </c>
      <c r="I47" t="s">
        <v>132</v>
      </c>
      <c r="J47" t="s">
        <v>45</v>
      </c>
    </row>
    <row r="48" spans="7:10">
      <c r="G48" t="s">
        <v>66</v>
      </c>
      <c r="H48" t="s">
        <v>133</v>
      </c>
      <c r="I48" t="s">
        <v>134</v>
      </c>
      <c r="J48" t="s">
        <v>45</v>
      </c>
    </row>
    <row r="49" spans="7:10">
      <c r="G49" t="s">
        <v>66</v>
      </c>
      <c r="H49" t="s">
        <v>135</v>
      </c>
      <c r="I49" t="s">
        <v>136</v>
      </c>
      <c r="J49" t="s">
        <v>45</v>
      </c>
    </row>
    <row r="50" spans="7:10">
      <c r="G50" t="s">
        <v>66</v>
      </c>
      <c r="H50" t="s">
        <v>137</v>
      </c>
      <c r="I50" t="s">
        <v>138</v>
      </c>
      <c r="J50" t="s">
        <v>45</v>
      </c>
    </row>
    <row r="51" spans="7:10">
      <c r="G51" t="s">
        <v>66</v>
      </c>
      <c r="H51" t="s">
        <v>139</v>
      </c>
      <c r="I51" t="s">
        <v>140</v>
      </c>
      <c r="J51" t="s">
        <v>45</v>
      </c>
    </row>
    <row r="52" spans="7:10">
      <c r="G52" t="s">
        <v>66</v>
      </c>
      <c r="H52" t="s">
        <v>141</v>
      </c>
      <c r="I52" t="s">
        <v>142</v>
      </c>
      <c r="J52" t="s">
        <v>45</v>
      </c>
    </row>
    <row r="53" spans="7:10">
      <c r="G53" t="s">
        <v>66</v>
      </c>
      <c r="H53" t="s">
        <v>143</v>
      </c>
      <c r="I53" t="s">
        <v>144</v>
      </c>
      <c r="J53" t="s">
        <v>45</v>
      </c>
    </row>
    <row r="54" spans="7:10">
      <c r="G54" t="s">
        <v>66</v>
      </c>
      <c r="H54" t="s">
        <v>145</v>
      </c>
      <c r="I54" t="s">
        <v>146</v>
      </c>
      <c r="J54" t="s">
        <v>45</v>
      </c>
    </row>
    <row r="55" spans="7:10">
      <c r="G55" t="s">
        <v>66</v>
      </c>
      <c r="H55" t="s">
        <v>147</v>
      </c>
      <c r="I55" t="s">
        <v>148</v>
      </c>
      <c r="J55" t="s">
        <v>45</v>
      </c>
    </row>
    <row r="56" spans="7:10">
      <c r="G56" t="s">
        <v>66</v>
      </c>
      <c r="H56" t="s">
        <v>149</v>
      </c>
      <c r="I56" t="s">
        <v>150</v>
      </c>
      <c r="J56" t="s">
        <v>45</v>
      </c>
    </row>
    <row r="57" spans="7:10">
      <c r="G57" t="s">
        <v>66</v>
      </c>
      <c r="H57" t="s">
        <v>151</v>
      </c>
      <c r="I57" t="s">
        <v>152</v>
      </c>
      <c r="J57" t="s">
        <v>45</v>
      </c>
    </row>
    <row r="58" spans="7:10">
      <c r="G58" t="s">
        <v>66</v>
      </c>
      <c r="H58" t="s">
        <v>153</v>
      </c>
      <c r="I58" t="s">
        <v>154</v>
      </c>
      <c r="J58" t="s">
        <v>45</v>
      </c>
    </row>
    <row r="59" spans="7:10">
      <c r="G59" t="s">
        <v>155</v>
      </c>
      <c r="H59" t="s">
        <v>156</v>
      </c>
      <c r="I59" t="s">
        <v>157</v>
      </c>
      <c r="J59" t="s">
        <v>45</v>
      </c>
    </row>
    <row r="60" spans="7:10">
      <c r="G60" t="s">
        <v>155</v>
      </c>
      <c r="H60" t="s">
        <v>158</v>
      </c>
      <c r="I60" t="s">
        <v>159</v>
      </c>
      <c r="J60" t="s">
        <v>45</v>
      </c>
    </row>
    <row r="61" spans="7:10">
      <c r="G61" t="s">
        <v>160</v>
      </c>
      <c r="H61" t="s">
        <v>161</v>
      </c>
      <c r="I61" t="s">
        <v>162</v>
      </c>
      <c r="J61" t="s">
        <v>45</v>
      </c>
    </row>
    <row r="62" spans="7:10">
      <c r="G62" t="s">
        <v>163</v>
      </c>
      <c r="H62" t="s">
        <v>163</v>
      </c>
      <c r="I62" t="s">
        <v>164</v>
      </c>
      <c r="J62" t="s">
        <v>45</v>
      </c>
    </row>
    <row r="63" spans="7:10">
      <c r="G63" t="s">
        <v>165</v>
      </c>
      <c r="H63" t="s">
        <v>166</v>
      </c>
      <c r="I63" t="s">
        <v>167</v>
      </c>
      <c r="J63" t="s">
        <v>45</v>
      </c>
    </row>
    <row r="64" spans="7:10">
      <c r="G64" t="s">
        <v>168</v>
      </c>
      <c r="H64" t="s">
        <v>169</v>
      </c>
      <c r="I64" t="s">
        <v>170</v>
      </c>
      <c r="J64" t="s">
        <v>45</v>
      </c>
    </row>
    <row r="65" spans="7:10">
      <c r="G65" t="s">
        <v>168</v>
      </c>
      <c r="H65" t="s">
        <v>171</v>
      </c>
      <c r="I65" t="s">
        <v>172</v>
      </c>
      <c r="J65" t="s">
        <v>45</v>
      </c>
    </row>
    <row r="66" spans="7:10">
      <c r="G66" t="s">
        <v>168</v>
      </c>
      <c r="H66" t="s">
        <v>173</v>
      </c>
      <c r="I66" t="s">
        <v>174</v>
      </c>
      <c r="J66" t="s">
        <v>45</v>
      </c>
    </row>
    <row r="67" spans="7:10">
      <c r="G67" t="s">
        <v>168</v>
      </c>
      <c r="H67" t="s">
        <v>175</v>
      </c>
      <c r="I67" t="s">
        <v>176</v>
      </c>
      <c r="J67" t="s">
        <v>45</v>
      </c>
    </row>
    <row r="68" spans="7:10">
      <c r="G68" t="s">
        <v>168</v>
      </c>
      <c r="H68" t="s">
        <v>177</v>
      </c>
      <c r="I68" t="s">
        <v>178</v>
      </c>
      <c r="J68" t="s">
        <v>45</v>
      </c>
    </row>
    <row r="69" spans="7:10">
      <c r="G69" t="s">
        <v>168</v>
      </c>
      <c r="H69" t="s">
        <v>179</v>
      </c>
      <c r="I69" t="s">
        <v>180</v>
      </c>
      <c r="J69" t="s">
        <v>45</v>
      </c>
    </row>
    <row r="70" spans="7:10">
      <c r="G70" t="s">
        <v>168</v>
      </c>
      <c r="H70" t="s">
        <v>181</v>
      </c>
      <c r="I70" t="s">
        <v>182</v>
      </c>
      <c r="J70" t="s">
        <v>45</v>
      </c>
    </row>
    <row r="71" spans="7:10">
      <c r="G71" t="s">
        <v>168</v>
      </c>
      <c r="H71" t="s">
        <v>183</v>
      </c>
      <c r="I71" t="s">
        <v>184</v>
      </c>
      <c r="J71" t="s">
        <v>45</v>
      </c>
    </row>
    <row r="72" spans="7:10">
      <c r="G72" t="s">
        <v>168</v>
      </c>
      <c r="H72" t="s">
        <v>185</v>
      </c>
      <c r="I72" t="s">
        <v>186</v>
      </c>
      <c r="J72" t="s">
        <v>45</v>
      </c>
    </row>
    <row r="73" spans="7:10">
      <c r="G73" t="s">
        <v>168</v>
      </c>
      <c r="H73" t="s">
        <v>187</v>
      </c>
      <c r="I73" t="s">
        <v>188</v>
      </c>
      <c r="J73" t="s">
        <v>45</v>
      </c>
    </row>
    <row r="74" spans="7:10">
      <c r="G74" t="s">
        <v>168</v>
      </c>
      <c r="H74" t="s">
        <v>189</v>
      </c>
      <c r="I74" t="s">
        <v>190</v>
      </c>
      <c r="J74" t="s">
        <v>45</v>
      </c>
    </row>
    <row r="75" spans="7:10">
      <c r="G75" t="s">
        <v>168</v>
      </c>
      <c r="H75" t="s">
        <v>191</v>
      </c>
      <c r="I75" t="s">
        <v>192</v>
      </c>
      <c r="J75" t="s">
        <v>45</v>
      </c>
    </row>
    <row r="76" spans="7:10">
      <c r="G76" t="s">
        <v>168</v>
      </c>
      <c r="H76" t="s">
        <v>193</v>
      </c>
      <c r="I76" t="s">
        <v>194</v>
      </c>
      <c r="J76" t="s">
        <v>45</v>
      </c>
    </row>
    <row r="77" spans="7:10">
      <c r="G77" t="s">
        <v>168</v>
      </c>
      <c r="H77" t="s">
        <v>195</v>
      </c>
      <c r="I77" t="s">
        <v>196</v>
      </c>
      <c r="J77" t="s">
        <v>45</v>
      </c>
    </row>
    <row r="78" spans="7:10">
      <c r="G78" t="s">
        <v>168</v>
      </c>
      <c r="H78" t="s">
        <v>197</v>
      </c>
      <c r="I78" t="s">
        <v>198</v>
      </c>
      <c r="J78" t="s">
        <v>45</v>
      </c>
    </row>
    <row r="79" spans="7:10">
      <c r="G79" t="s">
        <v>168</v>
      </c>
      <c r="H79" t="s">
        <v>199</v>
      </c>
      <c r="I79" t="s">
        <v>200</v>
      </c>
      <c r="J79" t="s">
        <v>45</v>
      </c>
    </row>
    <row r="80" spans="7:10">
      <c r="G80" t="s">
        <v>168</v>
      </c>
      <c r="H80" t="s">
        <v>201</v>
      </c>
      <c r="I80" t="s">
        <v>202</v>
      </c>
      <c r="J80" t="s">
        <v>45</v>
      </c>
    </row>
    <row r="81" spans="7:10">
      <c r="G81" t="s">
        <v>168</v>
      </c>
      <c r="H81" t="s">
        <v>203</v>
      </c>
      <c r="I81" t="s">
        <v>204</v>
      </c>
      <c r="J81" t="s">
        <v>45</v>
      </c>
    </row>
    <row r="82" spans="7:10">
      <c r="G82" t="s">
        <v>168</v>
      </c>
      <c r="H82" t="s">
        <v>205</v>
      </c>
      <c r="I82" t="s">
        <v>206</v>
      </c>
      <c r="J82" t="s">
        <v>45</v>
      </c>
    </row>
    <row r="83" spans="7:10">
      <c r="G83" t="s">
        <v>168</v>
      </c>
      <c r="H83" t="s">
        <v>207</v>
      </c>
      <c r="I83" t="s">
        <v>208</v>
      </c>
      <c r="J83" t="s">
        <v>45</v>
      </c>
    </row>
    <row r="84" spans="7:10">
      <c r="G84" t="s">
        <v>168</v>
      </c>
      <c r="H84" t="s">
        <v>209</v>
      </c>
      <c r="I84" t="s">
        <v>210</v>
      </c>
      <c r="J84" t="s">
        <v>45</v>
      </c>
    </row>
    <row r="85" spans="7:10">
      <c r="G85" t="s">
        <v>168</v>
      </c>
      <c r="H85" t="s">
        <v>211</v>
      </c>
      <c r="I85" t="s">
        <v>212</v>
      </c>
      <c r="J85" t="s">
        <v>45</v>
      </c>
    </row>
    <row r="86" spans="7:10">
      <c r="G86" t="s">
        <v>168</v>
      </c>
      <c r="H86" t="s">
        <v>213</v>
      </c>
      <c r="I86" t="s">
        <v>214</v>
      </c>
      <c r="J86" t="s">
        <v>45</v>
      </c>
    </row>
    <row r="87" spans="7:10">
      <c r="G87" t="s">
        <v>168</v>
      </c>
      <c r="H87" t="s">
        <v>215</v>
      </c>
      <c r="I87" t="s">
        <v>216</v>
      </c>
      <c r="J87" t="s">
        <v>45</v>
      </c>
    </row>
    <row r="88" spans="7:10">
      <c r="G88" t="s">
        <v>168</v>
      </c>
      <c r="H88" t="s">
        <v>217</v>
      </c>
      <c r="I88" t="s">
        <v>218</v>
      </c>
      <c r="J88" t="s">
        <v>45</v>
      </c>
    </row>
    <row r="89" spans="7:10">
      <c r="G89" t="s">
        <v>168</v>
      </c>
      <c r="H89" t="s">
        <v>219</v>
      </c>
      <c r="I89" t="s">
        <v>220</v>
      </c>
      <c r="J89" t="s">
        <v>45</v>
      </c>
    </row>
    <row r="90" spans="7:10">
      <c r="G90" t="s">
        <v>168</v>
      </c>
      <c r="H90" t="s">
        <v>221</v>
      </c>
      <c r="I90" t="s">
        <v>222</v>
      </c>
      <c r="J90" t="s">
        <v>45</v>
      </c>
    </row>
    <row r="91" spans="7:10">
      <c r="G91" t="s">
        <v>168</v>
      </c>
      <c r="H91" t="s">
        <v>223</v>
      </c>
      <c r="I91" t="s">
        <v>224</v>
      </c>
      <c r="J91" t="s">
        <v>45</v>
      </c>
    </row>
    <row r="92" spans="7:10">
      <c r="G92" t="s">
        <v>168</v>
      </c>
      <c r="H92" t="s">
        <v>225</v>
      </c>
      <c r="I92" t="s">
        <v>226</v>
      </c>
      <c r="J92" t="s">
        <v>45</v>
      </c>
    </row>
    <row r="93" spans="7:10">
      <c r="G93" t="s">
        <v>168</v>
      </c>
      <c r="H93" t="s">
        <v>227</v>
      </c>
      <c r="I93" t="s">
        <v>228</v>
      </c>
      <c r="J93" t="s">
        <v>45</v>
      </c>
    </row>
    <row r="94" spans="7:10">
      <c r="G94" t="s">
        <v>168</v>
      </c>
      <c r="H94" t="s">
        <v>229</v>
      </c>
      <c r="I94" t="s">
        <v>230</v>
      </c>
      <c r="J94" t="s">
        <v>45</v>
      </c>
    </row>
    <row r="95" spans="7:10">
      <c r="G95" t="s">
        <v>168</v>
      </c>
      <c r="H95" t="s">
        <v>231</v>
      </c>
      <c r="I95" t="s">
        <v>232</v>
      </c>
      <c r="J95" t="s">
        <v>45</v>
      </c>
    </row>
    <row r="96" spans="7:10">
      <c r="G96" t="s">
        <v>168</v>
      </c>
      <c r="H96" t="s">
        <v>233</v>
      </c>
      <c r="I96" t="s">
        <v>234</v>
      </c>
      <c r="J96" t="s">
        <v>45</v>
      </c>
    </row>
    <row r="97" spans="7:10">
      <c r="G97" t="s">
        <v>168</v>
      </c>
      <c r="H97" t="s">
        <v>235</v>
      </c>
      <c r="I97" t="s">
        <v>236</v>
      </c>
      <c r="J97" t="s">
        <v>45</v>
      </c>
    </row>
    <row r="98" spans="7:10">
      <c r="G98" t="s">
        <v>168</v>
      </c>
      <c r="H98" t="s">
        <v>237</v>
      </c>
      <c r="I98" t="s">
        <v>238</v>
      </c>
      <c r="J98" t="s">
        <v>45</v>
      </c>
    </row>
    <row r="99" spans="7:10">
      <c r="G99" t="s">
        <v>168</v>
      </c>
      <c r="H99" t="s">
        <v>239</v>
      </c>
      <c r="I99" t="s">
        <v>240</v>
      </c>
      <c r="J99" t="s">
        <v>45</v>
      </c>
    </row>
    <row r="100" spans="7:10">
      <c r="G100" t="s">
        <v>168</v>
      </c>
      <c r="H100" t="s">
        <v>241</v>
      </c>
      <c r="I100" t="s">
        <v>242</v>
      </c>
      <c r="J100" t="s">
        <v>45</v>
      </c>
    </row>
    <row r="101" spans="7:10">
      <c r="G101" t="s">
        <v>168</v>
      </c>
      <c r="H101" t="s">
        <v>243</v>
      </c>
      <c r="I101" t="s">
        <v>244</v>
      </c>
      <c r="J101" t="s">
        <v>45</v>
      </c>
    </row>
    <row r="102" spans="7:10">
      <c r="G102" t="s">
        <v>168</v>
      </c>
      <c r="H102" t="s">
        <v>245</v>
      </c>
      <c r="I102" t="s">
        <v>246</v>
      </c>
      <c r="J102" t="s">
        <v>45</v>
      </c>
    </row>
    <row r="103" spans="7:10">
      <c r="G103" t="s">
        <v>247</v>
      </c>
      <c r="H103" t="s">
        <v>248</v>
      </c>
      <c r="I103" t="s">
        <v>249</v>
      </c>
      <c r="J103" t="s">
        <v>45</v>
      </c>
    </row>
    <row r="104" spans="7:10">
      <c r="G104" t="s">
        <v>247</v>
      </c>
      <c r="H104" t="s">
        <v>250</v>
      </c>
      <c r="I104" t="s">
        <v>251</v>
      </c>
      <c r="J104" t="s">
        <v>45</v>
      </c>
    </row>
    <row r="105" spans="7:10">
      <c r="G105" t="s">
        <v>247</v>
      </c>
      <c r="H105" t="s">
        <v>252</v>
      </c>
      <c r="I105" t="s">
        <v>253</v>
      </c>
      <c r="J105" t="s">
        <v>45</v>
      </c>
    </row>
    <row r="106" spans="7:10">
      <c r="G106" t="s">
        <v>247</v>
      </c>
      <c r="H106" t="s">
        <v>254</v>
      </c>
      <c r="I106" t="s">
        <v>255</v>
      </c>
      <c r="J106" t="s">
        <v>45</v>
      </c>
    </row>
    <row r="107" spans="7:10">
      <c r="G107" t="s">
        <v>247</v>
      </c>
      <c r="H107" t="s">
        <v>256</v>
      </c>
      <c r="I107" t="s">
        <v>257</v>
      </c>
      <c r="J107" t="s">
        <v>45</v>
      </c>
    </row>
    <row r="108" spans="7:10">
      <c r="G108" t="s">
        <v>247</v>
      </c>
      <c r="H108" t="s">
        <v>258</v>
      </c>
      <c r="I108" t="s">
        <v>259</v>
      </c>
      <c r="J108" t="s">
        <v>45</v>
      </c>
    </row>
    <row r="109" spans="7:10">
      <c r="G109" t="s">
        <v>247</v>
      </c>
      <c r="H109" t="s">
        <v>260</v>
      </c>
      <c r="I109" t="s">
        <v>261</v>
      </c>
      <c r="J109" t="s">
        <v>45</v>
      </c>
    </row>
    <row r="110" spans="7:10">
      <c r="G110" t="s">
        <v>247</v>
      </c>
      <c r="H110" t="s">
        <v>262</v>
      </c>
      <c r="I110" t="s">
        <v>263</v>
      </c>
      <c r="J110" t="s">
        <v>45</v>
      </c>
    </row>
    <row r="111" spans="7:10">
      <c r="G111" t="s">
        <v>247</v>
      </c>
      <c r="H111" t="s">
        <v>264</v>
      </c>
      <c r="I111" t="s">
        <v>265</v>
      </c>
      <c r="J111" t="s">
        <v>45</v>
      </c>
    </row>
    <row r="112" spans="7:10">
      <c r="G112" t="s">
        <v>247</v>
      </c>
      <c r="H112" t="s">
        <v>266</v>
      </c>
      <c r="I112" t="s">
        <v>267</v>
      </c>
      <c r="J112" t="s">
        <v>45</v>
      </c>
    </row>
    <row r="113" spans="7:10">
      <c r="G113" t="s">
        <v>247</v>
      </c>
      <c r="H113" t="s">
        <v>268</v>
      </c>
      <c r="I113" t="s">
        <v>269</v>
      </c>
      <c r="J113" t="s">
        <v>45</v>
      </c>
    </row>
    <row r="114" spans="7:10">
      <c r="G114" t="s">
        <v>247</v>
      </c>
      <c r="H114" t="s">
        <v>270</v>
      </c>
      <c r="I114" t="s">
        <v>271</v>
      </c>
      <c r="J114" t="s">
        <v>45</v>
      </c>
    </row>
    <row r="115" spans="7:10">
      <c r="G115" t="s">
        <v>247</v>
      </c>
      <c r="H115" t="s">
        <v>272</v>
      </c>
      <c r="I115" t="s">
        <v>273</v>
      </c>
      <c r="J115" t="s">
        <v>45</v>
      </c>
    </row>
    <row r="116" spans="7:10">
      <c r="G116" t="s">
        <v>247</v>
      </c>
      <c r="H116" t="s">
        <v>274</v>
      </c>
      <c r="I116" t="s">
        <v>275</v>
      </c>
      <c r="J116" t="s">
        <v>45</v>
      </c>
    </row>
    <row r="117" spans="7:10">
      <c r="G117" t="s">
        <v>247</v>
      </c>
      <c r="H117" t="s">
        <v>276</v>
      </c>
      <c r="I117" t="s">
        <v>277</v>
      </c>
      <c r="J117" t="s">
        <v>45</v>
      </c>
    </row>
    <row r="118" spans="7:10">
      <c r="G118" t="s">
        <v>247</v>
      </c>
      <c r="H118" t="s">
        <v>278</v>
      </c>
      <c r="I118" t="s">
        <v>279</v>
      </c>
      <c r="J118" t="s">
        <v>45</v>
      </c>
    </row>
    <row r="119" spans="7:10">
      <c r="G119" t="s">
        <v>247</v>
      </c>
      <c r="H119" t="s">
        <v>280</v>
      </c>
      <c r="I119" t="s">
        <v>281</v>
      </c>
      <c r="J119" t="s">
        <v>45</v>
      </c>
    </row>
    <row r="120" spans="7:10">
      <c r="G120" t="s">
        <v>247</v>
      </c>
      <c r="H120" t="s">
        <v>282</v>
      </c>
      <c r="I120" t="s">
        <v>283</v>
      </c>
      <c r="J120" t="s">
        <v>45</v>
      </c>
    </row>
    <row r="121" spans="7:10">
      <c r="G121" t="s">
        <v>247</v>
      </c>
      <c r="H121" t="s">
        <v>284</v>
      </c>
      <c r="I121" t="s">
        <v>285</v>
      </c>
      <c r="J121" t="s">
        <v>45</v>
      </c>
    </row>
    <row r="122" spans="7:10">
      <c r="G122" t="s">
        <v>247</v>
      </c>
      <c r="H122" t="s">
        <v>286</v>
      </c>
      <c r="I122" t="s">
        <v>287</v>
      </c>
      <c r="J122" t="s">
        <v>45</v>
      </c>
    </row>
    <row r="123" spans="7:10">
      <c r="G123" t="s">
        <v>247</v>
      </c>
      <c r="H123" t="s">
        <v>288</v>
      </c>
      <c r="I123" t="s">
        <v>289</v>
      </c>
      <c r="J123" t="s">
        <v>45</v>
      </c>
    </row>
    <row r="124" spans="7:10">
      <c r="G124" t="s">
        <v>247</v>
      </c>
      <c r="H124" t="s">
        <v>290</v>
      </c>
      <c r="I124" t="s">
        <v>291</v>
      </c>
      <c r="J124" t="s">
        <v>45</v>
      </c>
    </row>
    <row r="125" spans="7:10">
      <c r="G125" t="s">
        <v>247</v>
      </c>
      <c r="H125" t="s">
        <v>292</v>
      </c>
      <c r="I125" t="s">
        <v>293</v>
      </c>
      <c r="J125" t="s">
        <v>45</v>
      </c>
    </row>
    <row r="126" spans="7:10">
      <c r="G126" t="s">
        <v>247</v>
      </c>
      <c r="H126" t="s">
        <v>294</v>
      </c>
      <c r="I126" t="s">
        <v>295</v>
      </c>
      <c r="J126" t="s">
        <v>45</v>
      </c>
    </row>
    <row r="127" spans="7:10">
      <c r="G127" t="s">
        <v>247</v>
      </c>
      <c r="H127" t="s">
        <v>296</v>
      </c>
      <c r="I127" t="s">
        <v>297</v>
      </c>
      <c r="J127" t="s">
        <v>45</v>
      </c>
    </row>
    <row r="128" spans="7:10">
      <c r="G128" t="s">
        <v>247</v>
      </c>
      <c r="H128" t="s">
        <v>298</v>
      </c>
      <c r="I128" t="s">
        <v>299</v>
      </c>
      <c r="J128" t="s">
        <v>45</v>
      </c>
    </row>
    <row r="129" spans="7:10">
      <c r="G129" t="s">
        <v>247</v>
      </c>
      <c r="H129" t="s">
        <v>300</v>
      </c>
      <c r="I129" t="s">
        <v>301</v>
      </c>
      <c r="J129" t="s">
        <v>45</v>
      </c>
    </row>
    <row r="130" spans="7:10">
      <c r="G130" t="s">
        <v>247</v>
      </c>
      <c r="H130" t="s">
        <v>302</v>
      </c>
      <c r="I130" t="s">
        <v>303</v>
      </c>
      <c r="J130" t="s">
        <v>45</v>
      </c>
    </row>
    <row r="131" spans="7:10">
      <c r="G131" t="s">
        <v>247</v>
      </c>
      <c r="H131" t="s">
        <v>304</v>
      </c>
      <c r="I131" t="s">
        <v>305</v>
      </c>
      <c r="J131" t="s">
        <v>45</v>
      </c>
    </row>
    <row r="132" spans="7:10">
      <c r="G132" t="s">
        <v>247</v>
      </c>
      <c r="H132" t="s">
        <v>306</v>
      </c>
      <c r="I132" t="s">
        <v>307</v>
      </c>
      <c r="J132" t="s">
        <v>45</v>
      </c>
    </row>
    <row r="133" spans="7:10">
      <c r="G133" t="s">
        <v>247</v>
      </c>
      <c r="H133" t="s">
        <v>308</v>
      </c>
      <c r="I133" t="s">
        <v>309</v>
      </c>
      <c r="J133" t="s">
        <v>45</v>
      </c>
    </row>
    <row r="134" spans="7:10">
      <c r="G134" t="s">
        <v>247</v>
      </c>
      <c r="H134" t="s">
        <v>310</v>
      </c>
      <c r="I134" t="s">
        <v>311</v>
      </c>
      <c r="J134" t="s">
        <v>45</v>
      </c>
    </row>
    <row r="135" spans="7:10">
      <c r="G135" t="s">
        <v>247</v>
      </c>
      <c r="H135" t="s">
        <v>312</v>
      </c>
      <c r="I135" t="s">
        <v>313</v>
      </c>
      <c r="J135" t="s">
        <v>45</v>
      </c>
    </row>
    <row r="136" spans="7:10">
      <c r="G136" t="s">
        <v>314</v>
      </c>
      <c r="H136" t="s">
        <v>314</v>
      </c>
      <c r="I136" t="s">
        <v>315</v>
      </c>
      <c r="J136" t="s">
        <v>45</v>
      </c>
    </row>
    <row r="137" spans="7:10">
      <c r="G137" t="s">
        <v>316</v>
      </c>
      <c r="H137" t="s">
        <v>316</v>
      </c>
      <c r="I137" t="s">
        <v>317</v>
      </c>
      <c r="J137" t="s">
        <v>45</v>
      </c>
    </row>
    <row r="138" spans="7:10">
      <c r="G138" t="s">
        <v>20</v>
      </c>
      <c r="H138" t="s">
        <v>318</v>
      </c>
      <c r="I138" t="s">
        <v>319</v>
      </c>
      <c r="J138" t="s">
        <v>45</v>
      </c>
    </row>
    <row r="139" spans="7:10">
      <c r="G139" t="s">
        <v>20</v>
      </c>
      <c r="H139" t="s">
        <v>320</v>
      </c>
      <c r="I139" t="s">
        <v>321</v>
      </c>
      <c r="J139" t="s">
        <v>45</v>
      </c>
    </row>
    <row r="140" spans="7:10">
      <c r="G140" t="s">
        <v>20</v>
      </c>
      <c r="H140" t="s">
        <v>322</v>
      </c>
      <c r="I140" t="s">
        <v>323</v>
      </c>
      <c r="J140" t="s">
        <v>45</v>
      </c>
    </row>
    <row r="141" spans="7:10">
      <c r="G141" t="s">
        <v>20</v>
      </c>
      <c r="H141" t="s">
        <v>324</v>
      </c>
      <c r="I141" t="s">
        <v>325</v>
      </c>
      <c r="J141" t="s">
        <v>45</v>
      </c>
    </row>
    <row r="142" spans="7:10">
      <c r="G142" t="s">
        <v>20</v>
      </c>
      <c r="H142" t="s">
        <v>326</v>
      </c>
      <c r="I142" t="s">
        <v>327</v>
      </c>
      <c r="J142" t="s">
        <v>45</v>
      </c>
    </row>
    <row r="143" spans="7:10">
      <c r="G143" t="s">
        <v>20</v>
      </c>
      <c r="H143" t="s">
        <v>328</v>
      </c>
      <c r="I143" t="s">
        <v>329</v>
      </c>
      <c r="J143" t="s">
        <v>45</v>
      </c>
    </row>
    <row r="144" spans="7:10">
      <c r="G144" t="s">
        <v>20</v>
      </c>
      <c r="H144" t="s">
        <v>330</v>
      </c>
      <c r="I144" t="s">
        <v>331</v>
      </c>
      <c r="J144" t="s">
        <v>45</v>
      </c>
    </row>
    <row r="145" spans="7:10">
      <c r="G145" t="s">
        <v>20</v>
      </c>
      <c r="H145" t="s">
        <v>332</v>
      </c>
      <c r="I145" t="s">
        <v>333</v>
      </c>
      <c r="J145" t="s">
        <v>45</v>
      </c>
    </row>
    <row r="146" spans="7:10">
      <c r="G146" t="s">
        <v>20</v>
      </c>
      <c r="H146" t="s">
        <v>334</v>
      </c>
      <c r="I146" t="s">
        <v>335</v>
      </c>
      <c r="J146" t="s">
        <v>45</v>
      </c>
    </row>
    <row r="147" spans="7:10">
      <c r="G147" t="s">
        <v>20</v>
      </c>
      <c r="H147" t="s">
        <v>336</v>
      </c>
      <c r="I147" t="s">
        <v>337</v>
      </c>
      <c r="J147" t="s">
        <v>45</v>
      </c>
    </row>
    <row r="148" spans="7:10">
      <c r="G148" t="s">
        <v>20</v>
      </c>
      <c r="H148" t="s">
        <v>338</v>
      </c>
      <c r="I148" t="s">
        <v>339</v>
      </c>
      <c r="J148" t="s">
        <v>45</v>
      </c>
    </row>
    <row r="149" spans="7:10">
      <c r="G149" t="s">
        <v>20</v>
      </c>
      <c r="H149" t="s">
        <v>340</v>
      </c>
      <c r="I149" t="s">
        <v>341</v>
      </c>
      <c r="J149" t="s">
        <v>45</v>
      </c>
    </row>
    <row r="150" spans="7:10">
      <c r="G150" t="s">
        <v>20</v>
      </c>
      <c r="H150" t="s">
        <v>342</v>
      </c>
      <c r="I150" t="s">
        <v>343</v>
      </c>
      <c r="J150" t="s">
        <v>45</v>
      </c>
    </row>
    <row r="151" spans="7:10">
      <c r="G151" t="s">
        <v>20</v>
      </c>
      <c r="H151" t="s">
        <v>344</v>
      </c>
      <c r="I151" t="s">
        <v>345</v>
      </c>
      <c r="J151" t="s">
        <v>45</v>
      </c>
    </row>
    <row r="152" spans="7:10">
      <c r="G152" t="s">
        <v>346</v>
      </c>
      <c r="H152" t="s">
        <v>347</v>
      </c>
      <c r="I152" t="s">
        <v>348</v>
      </c>
      <c r="J152" t="s">
        <v>45</v>
      </c>
    </row>
    <row r="153" spans="7:10">
      <c r="G153" t="s">
        <v>346</v>
      </c>
      <c r="H153" t="s">
        <v>349</v>
      </c>
      <c r="I153" t="s">
        <v>350</v>
      </c>
      <c r="J153" t="s">
        <v>45</v>
      </c>
    </row>
    <row r="154" spans="7:10">
      <c r="G154" t="s">
        <v>346</v>
      </c>
      <c r="H154" t="s">
        <v>351</v>
      </c>
      <c r="I154" t="s">
        <v>352</v>
      </c>
      <c r="J154" t="s">
        <v>45</v>
      </c>
    </row>
    <row r="155" spans="7:10">
      <c r="G155" t="s">
        <v>346</v>
      </c>
      <c r="H155" t="s">
        <v>353</v>
      </c>
      <c r="I155" t="s">
        <v>354</v>
      </c>
      <c r="J155" t="s">
        <v>45</v>
      </c>
    </row>
    <row r="156" spans="7:10">
      <c r="G156" t="s">
        <v>346</v>
      </c>
      <c r="H156" t="s">
        <v>355</v>
      </c>
      <c r="I156" t="s">
        <v>356</v>
      </c>
      <c r="J156" t="s">
        <v>45</v>
      </c>
    </row>
    <row r="157" spans="7:10">
      <c r="G157" t="s">
        <v>357</v>
      </c>
      <c r="H157" t="s">
        <v>358</v>
      </c>
      <c r="I157" t="s">
        <v>359</v>
      </c>
      <c r="J157" t="s">
        <v>45</v>
      </c>
    </row>
    <row r="158" spans="7:10">
      <c r="G158" t="s">
        <v>357</v>
      </c>
      <c r="H158" t="s">
        <v>360</v>
      </c>
      <c r="I158" t="s">
        <v>361</v>
      </c>
      <c r="J158" t="s">
        <v>45</v>
      </c>
    </row>
    <row r="159" spans="7:10">
      <c r="G159" t="s">
        <v>357</v>
      </c>
      <c r="H159" t="s">
        <v>362</v>
      </c>
      <c r="I159" t="s">
        <v>363</v>
      </c>
      <c r="J159" t="s">
        <v>45</v>
      </c>
    </row>
    <row r="160" spans="7:10">
      <c r="G160" t="s">
        <v>357</v>
      </c>
      <c r="H160" t="s">
        <v>364</v>
      </c>
      <c r="I160" t="s">
        <v>365</v>
      </c>
      <c r="J160" t="s">
        <v>45</v>
      </c>
    </row>
    <row r="161" spans="7:10">
      <c r="G161" t="s">
        <v>357</v>
      </c>
      <c r="H161" t="s">
        <v>366</v>
      </c>
      <c r="I161" t="s">
        <v>367</v>
      </c>
      <c r="J161" t="s">
        <v>45</v>
      </c>
    </row>
    <row r="162" spans="7:10">
      <c r="G162" t="s">
        <v>357</v>
      </c>
      <c r="H162" t="s">
        <v>368</v>
      </c>
      <c r="I162" t="s">
        <v>369</v>
      </c>
      <c r="J162" t="s">
        <v>45</v>
      </c>
    </row>
    <row r="163" spans="7:10">
      <c r="G163" t="s">
        <v>357</v>
      </c>
      <c r="H163" t="s">
        <v>370</v>
      </c>
      <c r="I163" t="s">
        <v>371</v>
      </c>
      <c r="J163" t="s">
        <v>45</v>
      </c>
    </row>
    <row r="164" spans="7:10">
      <c r="G164" t="s">
        <v>357</v>
      </c>
      <c r="H164" t="s">
        <v>372</v>
      </c>
      <c r="I164" t="s">
        <v>373</v>
      </c>
      <c r="J164" t="s">
        <v>45</v>
      </c>
    </row>
    <row r="165" spans="7:10">
      <c r="G165" t="s">
        <v>357</v>
      </c>
      <c r="H165" t="s">
        <v>374</v>
      </c>
      <c r="I165" t="s">
        <v>375</v>
      </c>
      <c r="J165" t="s">
        <v>45</v>
      </c>
    </row>
    <row r="166" spans="7:10">
      <c r="G166" t="s">
        <v>357</v>
      </c>
      <c r="H166" t="s">
        <v>376</v>
      </c>
      <c r="I166" t="s">
        <v>377</v>
      </c>
      <c r="J166" t="s">
        <v>45</v>
      </c>
    </row>
    <row r="167" spans="7:10">
      <c r="G167" t="s">
        <v>357</v>
      </c>
      <c r="H167" t="s">
        <v>378</v>
      </c>
      <c r="I167" t="s">
        <v>379</v>
      </c>
      <c r="J167" t="s">
        <v>45</v>
      </c>
    </row>
    <row r="168" spans="7:10">
      <c r="G168" t="s">
        <v>357</v>
      </c>
      <c r="H168" t="s">
        <v>380</v>
      </c>
      <c r="I168" t="s">
        <v>381</v>
      </c>
      <c r="J168" t="s">
        <v>45</v>
      </c>
    </row>
    <row r="169" spans="7:10">
      <c r="G169" t="s">
        <v>357</v>
      </c>
      <c r="H169" t="s">
        <v>382</v>
      </c>
      <c r="I169" t="s">
        <v>383</v>
      </c>
      <c r="J169" t="s">
        <v>45</v>
      </c>
    </row>
    <row r="170" spans="7:10">
      <c r="G170" t="s">
        <v>357</v>
      </c>
      <c r="H170" t="s">
        <v>384</v>
      </c>
      <c r="I170" t="s">
        <v>385</v>
      </c>
      <c r="J170" t="s">
        <v>45</v>
      </c>
    </row>
    <row r="171" spans="7:10">
      <c r="G171" t="s">
        <v>357</v>
      </c>
      <c r="H171" t="s">
        <v>386</v>
      </c>
      <c r="I171" t="s">
        <v>387</v>
      </c>
      <c r="J171" t="s">
        <v>45</v>
      </c>
    </row>
    <row r="172" spans="7:10">
      <c r="G172" t="s">
        <v>357</v>
      </c>
      <c r="H172" t="s">
        <v>388</v>
      </c>
      <c r="I172" t="s">
        <v>389</v>
      </c>
      <c r="J172" t="s">
        <v>45</v>
      </c>
    </row>
    <row r="173" spans="7:10">
      <c r="G173" t="s">
        <v>357</v>
      </c>
      <c r="H173" t="s">
        <v>390</v>
      </c>
      <c r="I173" t="s">
        <v>391</v>
      </c>
      <c r="J173" t="s">
        <v>45</v>
      </c>
    </row>
    <row r="174" spans="7:10">
      <c r="G174" t="s">
        <v>357</v>
      </c>
      <c r="H174" t="s">
        <v>392</v>
      </c>
      <c r="I174" t="s">
        <v>393</v>
      </c>
      <c r="J174" t="s">
        <v>45</v>
      </c>
    </row>
    <row r="175" spans="7:10">
      <c r="G175" t="s">
        <v>357</v>
      </c>
      <c r="H175" t="s">
        <v>394</v>
      </c>
      <c r="I175" t="s">
        <v>395</v>
      </c>
      <c r="J175" t="s">
        <v>45</v>
      </c>
    </row>
    <row r="176" spans="7:10">
      <c r="G176" t="s">
        <v>357</v>
      </c>
      <c r="H176" t="s">
        <v>396</v>
      </c>
      <c r="I176" t="s">
        <v>397</v>
      </c>
      <c r="J176" t="s">
        <v>45</v>
      </c>
    </row>
    <row r="177" spans="7:10">
      <c r="G177" t="s">
        <v>357</v>
      </c>
      <c r="H177" t="s">
        <v>398</v>
      </c>
      <c r="I177" t="s">
        <v>399</v>
      </c>
      <c r="J177" t="s">
        <v>45</v>
      </c>
    </row>
    <row r="178" spans="7:10">
      <c r="G178" t="s">
        <v>357</v>
      </c>
      <c r="H178" t="s">
        <v>400</v>
      </c>
      <c r="I178" t="s">
        <v>401</v>
      </c>
      <c r="J178" t="s">
        <v>45</v>
      </c>
    </row>
    <row r="179" spans="7:10">
      <c r="G179" t="s">
        <v>357</v>
      </c>
      <c r="H179" t="s">
        <v>402</v>
      </c>
      <c r="I179" t="s">
        <v>403</v>
      </c>
      <c r="J179" t="s">
        <v>45</v>
      </c>
    </row>
    <row r="180" spans="7:10">
      <c r="G180" t="s">
        <v>357</v>
      </c>
      <c r="H180" t="s">
        <v>404</v>
      </c>
      <c r="I180" t="s">
        <v>405</v>
      </c>
      <c r="J180" t="s">
        <v>45</v>
      </c>
    </row>
    <row r="181" spans="7:10">
      <c r="G181" t="s">
        <v>357</v>
      </c>
      <c r="H181" t="s">
        <v>406</v>
      </c>
      <c r="I181" t="s">
        <v>407</v>
      </c>
      <c r="J181" t="s">
        <v>45</v>
      </c>
    </row>
    <row r="182" spans="7:10">
      <c r="G182" t="s">
        <v>357</v>
      </c>
      <c r="H182" t="s">
        <v>408</v>
      </c>
      <c r="I182" t="s">
        <v>409</v>
      </c>
      <c r="J182" t="s">
        <v>45</v>
      </c>
    </row>
    <row r="183" spans="7:10">
      <c r="G183" t="s">
        <v>357</v>
      </c>
      <c r="H183" t="s">
        <v>410</v>
      </c>
      <c r="I183" t="s">
        <v>411</v>
      </c>
      <c r="J183" t="s">
        <v>45</v>
      </c>
    </row>
    <row r="184" spans="7:10">
      <c r="G184" t="s">
        <v>357</v>
      </c>
      <c r="H184" t="s">
        <v>412</v>
      </c>
      <c r="I184" t="s">
        <v>413</v>
      </c>
      <c r="J184" t="s">
        <v>45</v>
      </c>
    </row>
    <row r="185" spans="7:10">
      <c r="G185" t="s">
        <v>357</v>
      </c>
      <c r="H185" t="s">
        <v>414</v>
      </c>
      <c r="I185" t="s">
        <v>415</v>
      </c>
      <c r="J185" t="s">
        <v>45</v>
      </c>
    </row>
    <row r="186" spans="7:10">
      <c r="G186" t="s">
        <v>357</v>
      </c>
      <c r="H186" t="s">
        <v>416</v>
      </c>
      <c r="I186" t="s">
        <v>417</v>
      </c>
      <c r="J186" t="s">
        <v>45</v>
      </c>
    </row>
    <row r="187" spans="7:10">
      <c r="G187" t="s">
        <v>357</v>
      </c>
      <c r="H187" t="s">
        <v>418</v>
      </c>
      <c r="I187" t="s">
        <v>419</v>
      </c>
      <c r="J187" t="s">
        <v>45</v>
      </c>
    </row>
    <row r="188" spans="7:10">
      <c r="G188" t="s">
        <v>357</v>
      </c>
      <c r="H188" t="s">
        <v>420</v>
      </c>
      <c r="I188" t="s">
        <v>421</v>
      </c>
      <c r="J188" t="s">
        <v>45</v>
      </c>
    </row>
    <row r="189" spans="7:10">
      <c r="G189" t="s">
        <v>357</v>
      </c>
      <c r="H189" t="s">
        <v>422</v>
      </c>
      <c r="I189" t="s">
        <v>423</v>
      </c>
      <c r="J189" t="s">
        <v>45</v>
      </c>
    </row>
    <row r="190" spans="7:10">
      <c r="G190" t="s">
        <v>357</v>
      </c>
      <c r="H190" t="s">
        <v>424</v>
      </c>
      <c r="I190" t="s">
        <v>425</v>
      </c>
      <c r="J190" t="s">
        <v>45</v>
      </c>
    </row>
    <row r="191" spans="7:10">
      <c r="G191" t="s">
        <v>357</v>
      </c>
      <c r="H191" t="s">
        <v>426</v>
      </c>
      <c r="I191" t="s">
        <v>427</v>
      </c>
      <c r="J191" t="s">
        <v>45</v>
      </c>
    </row>
    <row r="192" spans="7:10">
      <c r="G192" t="s">
        <v>357</v>
      </c>
      <c r="H192" t="s">
        <v>428</v>
      </c>
      <c r="I192" t="s">
        <v>429</v>
      </c>
      <c r="J192" t="s">
        <v>45</v>
      </c>
    </row>
    <row r="193" spans="7:10">
      <c r="G193" t="s">
        <v>357</v>
      </c>
      <c r="H193" t="s">
        <v>430</v>
      </c>
      <c r="I193" t="s">
        <v>431</v>
      </c>
      <c r="J193" t="s">
        <v>45</v>
      </c>
    </row>
    <row r="194" spans="7:10">
      <c r="G194" t="s">
        <v>357</v>
      </c>
      <c r="H194" t="s">
        <v>432</v>
      </c>
      <c r="I194" t="s">
        <v>433</v>
      </c>
      <c r="J194" t="s">
        <v>45</v>
      </c>
    </row>
    <row r="195" spans="7:10">
      <c r="G195" t="s">
        <v>357</v>
      </c>
      <c r="H195" t="s">
        <v>434</v>
      </c>
      <c r="I195" t="s">
        <v>435</v>
      </c>
      <c r="J195" t="s">
        <v>45</v>
      </c>
    </row>
    <row r="196" spans="7:10">
      <c r="G196" t="s">
        <v>436</v>
      </c>
      <c r="H196" t="s">
        <v>436</v>
      </c>
      <c r="I196" t="s">
        <v>437</v>
      </c>
      <c r="J196" t="s">
        <v>45</v>
      </c>
    </row>
    <row r="197" spans="7:10">
      <c r="G197" t="s">
        <v>438</v>
      </c>
      <c r="H197" t="s">
        <v>439</v>
      </c>
      <c r="I197" t="s">
        <v>440</v>
      </c>
      <c r="J197" t="s">
        <v>45</v>
      </c>
    </row>
    <row r="198" spans="7:10">
      <c r="G198" t="s">
        <v>438</v>
      </c>
      <c r="H198" t="s">
        <v>441</v>
      </c>
      <c r="I198" t="s">
        <v>442</v>
      </c>
      <c r="J198" t="s">
        <v>45</v>
      </c>
    </row>
    <row r="199" spans="7:10">
      <c r="G199" t="s">
        <v>438</v>
      </c>
      <c r="H199" t="s">
        <v>443</v>
      </c>
      <c r="I199" t="s">
        <v>444</v>
      </c>
      <c r="J199" t="s">
        <v>45</v>
      </c>
    </row>
    <row r="200" spans="7:10">
      <c r="G200" t="s">
        <v>21</v>
      </c>
      <c r="H200" t="s">
        <v>445</v>
      </c>
      <c r="I200" t="s">
        <v>446</v>
      </c>
      <c r="J200" t="s">
        <v>45</v>
      </c>
    </row>
    <row r="201" spans="7:10">
      <c r="G201" t="s">
        <v>21</v>
      </c>
      <c r="H201" t="s">
        <v>447</v>
      </c>
      <c r="I201" t="s">
        <v>448</v>
      </c>
      <c r="J201" t="s">
        <v>45</v>
      </c>
    </row>
    <row r="202" spans="7:10">
      <c r="G202" t="s">
        <v>21</v>
      </c>
      <c r="H202" t="s">
        <v>449</v>
      </c>
      <c r="I202" t="s">
        <v>450</v>
      </c>
      <c r="J202" t="s">
        <v>45</v>
      </c>
    </row>
    <row r="203" spans="7:10">
      <c r="G203" t="s">
        <v>21</v>
      </c>
      <c r="H203" t="s">
        <v>451</v>
      </c>
      <c r="I203" t="s">
        <v>452</v>
      </c>
      <c r="J203" t="s">
        <v>45</v>
      </c>
    </row>
    <row r="204" spans="7:10">
      <c r="G204" t="s">
        <v>21</v>
      </c>
      <c r="H204" t="s">
        <v>453</v>
      </c>
      <c r="I204" t="s">
        <v>454</v>
      </c>
      <c r="J204" t="s">
        <v>45</v>
      </c>
    </row>
    <row r="205" spans="7:10">
      <c r="G205" t="s">
        <v>21</v>
      </c>
      <c r="H205" t="s">
        <v>455</v>
      </c>
      <c r="I205" t="s">
        <v>456</v>
      </c>
      <c r="J205" t="s">
        <v>45</v>
      </c>
    </row>
    <row r="206" spans="7:10">
      <c r="G206" t="s">
        <v>21</v>
      </c>
      <c r="H206" t="s">
        <v>457</v>
      </c>
      <c r="I206" t="s">
        <v>458</v>
      </c>
      <c r="J206" t="s">
        <v>45</v>
      </c>
    </row>
    <row r="207" spans="7:10">
      <c r="G207" t="s">
        <v>21</v>
      </c>
      <c r="H207" t="s">
        <v>459</v>
      </c>
      <c r="I207" t="s">
        <v>460</v>
      </c>
      <c r="J207" t="s">
        <v>45</v>
      </c>
    </row>
    <row r="208" spans="7:10">
      <c r="G208" t="s">
        <v>21</v>
      </c>
      <c r="H208" t="s">
        <v>461</v>
      </c>
      <c r="I208" t="s">
        <v>462</v>
      </c>
      <c r="J208" t="s">
        <v>45</v>
      </c>
    </row>
    <row r="209" spans="7:10">
      <c r="G209" t="s">
        <v>21</v>
      </c>
      <c r="H209" t="s">
        <v>463</v>
      </c>
      <c r="I209" t="s">
        <v>464</v>
      </c>
      <c r="J209" t="s">
        <v>45</v>
      </c>
    </row>
    <row r="210" spans="7:10">
      <c r="G210" t="s">
        <v>21</v>
      </c>
      <c r="H210" t="s">
        <v>465</v>
      </c>
      <c r="I210" t="s">
        <v>466</v>
      </c>
      <c r="J210" t="s">
        <v>45</v>
      </c>
    </row>
    <row r="211" spans="7:10">
      <c r="G211" t="s">
        <v>21</v>
      </c>
      <c r="H211" t="s">
        <v>467</v>
      </c>
      <c r="I211" t="s">
        <v>468</v>
      </c>
      <c r="J211" t="s">
        <v>45</v>
      </c>
    </row>
    <row r="212" spans="7:10">
      <c r="G212" t="s">
        <v>21</v>
      </c>
      <c r="H212" t="s">
        <v>469</v>
      </c>
      <c r="I212" t="s">
        <v>470</v>
      </c>
      <c r="J212" t="s">
        <v>45</v>
      </c>
    </row>
    <row r="213" spans="7:10">
      <c r="G213" t="s">
        <v>21</v>
      </c>
      <c r="H213" t="s">
        <v>471</v>
      </c>
      <c r="I213" t="s">
        <v>472</v>
      </c>
      <c r="J213" t="s">
        <v>45</v>
      </c>
    </row>
    <row r="214" spans="7:10">
      <c r="G214" t="s">
        <v>21</v>
      </c>
      <c r="H214" t="s">
        <v>473</v>
      </c>
      <c r="I214" t="s">
        <v>474</v>
      </c>
      <c r="J214" t="s">
        <v>45</v>
      </c>
    </row>
    <row r="215" spans="7:10">
      <c r="G215" t="s">
        <v>21</v>
      </c>
      <c r="H215" t="s">
        <v>475</v>
      </c>
      <c r="I215" t="s">
        <v>476</v>
      </c>
      <c r="J215" t="s">
        <v>45</v>
      </c>
    </row>
    <row r="216" spans="7:10">
      <c r="G216" t="s">
        <v>21</v>
      </c>
      <c r="H216" t="s">
        <v>477</v>
      </c>
      <c r="I216" t="s">
        <v>478</v>
      </c>
      <c r="J216" t="s">
        <v>45</v>
      </c>
    </row>
    <row r="217" spans="7:10">
      <c r="G217" t="s">
        <v>21</v>
      </c>
      <c r="H217" t="s">
        <v>479</v>
      </c>
      <c r="I217" t="s">
        <v>480</v>
      </c>
      <c r="J217" t="s">
        <v>45</v>
      </c>
    </row>
    <row r="218" spans="7:10">
      <c r="G218" t="s">
        <v>21</v>
      </c>
      <c r="H218" t="s">
        <v>481</v>
      </c>
      <c r="I218" t="s">
        <v>482</v>
      </c>
      <c r="J218" t="s">
        <v>45</v>
      </c>
    </row>
    <row r="219" spans="7:10">
      <c r="G219" t="s">
        <v>21</v>
      </c>
      <c r="H219" t="s">
        <v>483</v>
      </c>
      <c r="I219" t="s">
        <v>484</v>
      </c>
      <c r="J219" t="s">
        <v>45</v>
      </c>
    </row>
    <row r="220" spans="7:10">
      <c r="G220" t="s">
        <v>21</v>
      </c>
      <c r="H220" t="s">
        <v>485</v>
      </c>
      <c r="I220" t="s">
        <v>486</v>
      </c>
      <c r="J220" t="s">
        <v>45</v>
      </c>
    </row>
    <row r="221" spans="7:10">
      <c r="G221" t="s">
        <v>21</v>
      </c>
      <c r="H221" t="s">
        <v>487</v>
      </c>
      <c r="I221" t="s">
        <v>488</v>
      </c>
      <c r="J221" t="s">
        <v>45</v>
      </c>
    </row>
    <row r="222" spans="7:10">
      <c r="G222" t="s">
        <v>21</v>
      </c>
      <c r="H222" t="s">
        <v>489</v>
      </c>
      <c r="I222" t="s">
        <v>490</v>
      </c>
      <c r="J222" t="s">
        <v>45</v>
      </c>
    </row>
    <row r="223" spans="7:10">
      <c r="G223" t="s">
        <v>21</v>
      </c>
      <c r="H223" t="s">
        <v>491</v>
      </c>
      <c r="I223" t="s">
        <v>492</v>
      </c>
      <c r="J223" t="s">
        <v>45</v>
      </c>
    </row>
    <row r="224" spans="7:10">
      <c r="G224" t="s">
        <v>21</v>
      </c>
      <c r="H224" t="s">
        <v>493</v>
      </c>
      <c r="I224" t="s">
        <v>494</v>
      </c>
      <c r="J224" t="s">
        <v>45</v>
      </c>
    </row>
    <row r="225" spans="7:10">
      <c r="G225" t="s">
        <v>495</v>
      </c>
      <c r="H225" t="s">
        <v>495</v>
      </c>
      <c r="I225" t="s">
        <v>496</v>
      </c>
      <c r="J225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7"/>
  <sheetViews>
    <sheetView workbookViewId="0"/>
  </sheetViews>
  <sheetFormatPr defaultColWidth="8.88671875" defaultRowHeight="14.4"/>
  <cols>
    <col min="1" max="1" width="11.33203125" bestFit="1" customWidth="1"/>
    <col min="2" max="2" width="6" bestFit="1" customWidth="1"/>
    <col min="3" max="3" width="9.109375" bestFit="1" customWidth="1"/>
    <col min="4" max="4" width="14.88671875" bestFit="1" customWidth="1"/>
    <col min="5" max="35" width="6" bestFit="1" customWidth="1"/>
    <col min="36" max="37" width="4.44140625" bestFit="1" customWidth="1"/>
  </cols>
  <sheetData>
    <row r="1" spans="2:21">
      <c r="B1" t="s">
        <v>15</v>
      </c>
    </row>
    <row r="4" spans="2:21">
      <c r="B4" s="7" t="s">
        <v>497</v>
      </c>
      <c r="C4" t="s">
        <v>2</v>
      </c>
      <c r="D4" t="s">
        <v>0</v>
      </c>
      <c r="E4" t="s">
        <v>42</v>
      </c>
      <c r="F4" t="s">
        <v>66</v>
      </c>
      <c r="G4" t="s">
        <v>155</v>
      </c>
      <c r="H4" t="s">
        <v>160</v>
      </c>
      <c r="I4" t="s">
        <v>163</v>
      </c>
      <c r="J4" t="s">
        <v>165</v>
      </c>
      <c r="K4" t="s">
        <v>168</v>
      </c>
      <c r="L4" t="s">
        <v>247</v>
      </c>
      <c r="M4" t="s">
        <v>314</v>
      </c>
      <c r="N4" t="s">
        <v>316</v>
      </c>
      <c r="O4" t="s">
        <v>20</v>
      </c>
      <c r="P4" t="s">
        <v>346</v>
      </c>
      <c r="Q4" t="s">
        <v>357</v>
      </c>
      <c r="R4" t="s">
        <v>436</v>
      </c>
      <c r="S4" t="s">
        <v>438</v>
      </c>
      <c r="T4" t="s">
        <v>21</v>
      </c>
      <c r="U4" t="s">
        <v>495</v>
      </c>
    </row>
    <row r="5" spans="2:21">
      <c r="B5">
        <v>0</v>
      </c>
      <c r="C5" t="s">
        <v>22</v>
      </c>
      <c r="D5" t="s">
        <v>498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2:21">
      <c r="B6">
        <v>1</v>
      </c>
      <c r="C6" t="s">
        <v>22</v>
      </c>
      <c r="D6" t="s">
        <v>499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0.93799999999999994</v>
      </c>
      <c r="K6">
        <v>1</v>
      </c>
      <c r="L6">
        <v>1</v>
      </c>
      <c r="M6">
        <v>0.95799999999999996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</row>
    <row r="7" spans="2:21">
      <c r="B7">
        <v>2</v>
      </c>
      <c r="C7" t="s">
        <v>22</v>
      </c>
      <c r="D7" t="s">
        <v>500</v>
      </c>
      <c r="E7">
        <v>0.95099999999999996</v>
      </c>
      <c r="F7">
        <v>0.95099999999999996</v>
      </c>
      <c r="G7">
        <v>1</v>
      </c>
      <c r="H7">
        <v>1.024</v>
      </c>
      <c r="I7">
        <v>1</v>
      </c>
      <c r="J7">
        <v>1</v>
      </c>
      <c r="K7">
        <v>1.024</v>
      </c>
      <c r="L7">
        <v>1</v>
      </c>
      <c r="M7">
        <v>0.97599999999999998</v>
      </c>
      <c r="N7">
        <v>1</v>
      </c>
      <c r="O7">
        <v>1.024</v>
      </c>
      <c r="P7">
        <v>1.024</v>
      </c>
      <c r="Q7">
        <v>1.024</v>
      </c>
      <c r="R7">
        <v>1.024</v>
      </c>
      <c r="S7">
        <v>1</v>
      </c>
      <c r="T7">
        <v>1.024</v>
      </c>
      <c r="U7">
        <v>1</v>
      </c>
    </row>
    <row r="8" spans="2:21">
      <c r="B8">
        <v>3</v>
      </c>
      <c r="C8" t="s">
        <v>22</v>
      </c>
      <c r="D8" t="s">
        <v>501</v>
      </c>
      <c r="E8">
        <v>0.96599999999999997</v>
      </c>
      <c r="F8">
        <v>0.96599999999999997</v>
      </c>
      <c r="G8">
        <v>1</v>
      </c>
      <c r="H8">
        <v>0.96599999999999997</v>
      </c>
      <c r="I8">
        <v>1</v>
      </c>
      <c r="J8">
        <v>0.96599999999999997</v>
      </c>
      <c r="K8">
        <v>0.96599999999999997</v>
      </c>
      <c r="L8">
        <v>1</v>
      </c>
      <c r="M8">
        <v>0.93100000000000005</v>
      </c>
      <c r="N8">
        <v>0.96599999999999997</v>
      </c>
      <c r="O8">
        <v>1</v>
      </c>
      <c r="P8">
        <v>0.96599999999999997</v>
      </c>
      <c r="Q8">
        <v>0.96599999999999997</v>
      </c>
      <c r="R8">
        <v>0.96599999999999997</v>
      </c>
      <c r="S8">
        <v>0.96599999999999997</v>
      </c>
      <c r="T8">
        <v>0.96599999999999997</v>
      </c>
      <c r="U8">
        <v>1</v>
      </c>
    </row>
    <row r="9" spans="2:21">
      <c r="B9">
        <v>4</v>
      </c>
      <c r="C9" t="s">
        <v>22</v>
      </c>
      <c r="D9" t="s">
        <v>502</v>
      </c>
      <c r="E9">
        <v>0.96599999999999997</v>
      </c>
      <c r="F9">
        <v>0.96599999999999997</v>
      </c>
      <c r="G9">
        <v>1</v>
      </c>
      <c r="H9">
        <v>0.96599999999999997</v>
      </c>
      <c r="I9">
        <v>1</v>
      </c>
      <c r="J9">
        <v>0.96599999999999997</v>
      </c>
      <c r="K9">
        <v>0.96599999999999997</v>
      </c>
      <c r="L9">
        <v>1</v>
      </c>
      <c r="M9">
        <v>0.93100000000000005</v>
      </c>
      <c r="N9">
        <v>0.96599999999999997</v>
      </c>
      <c r="O9">
        <v>1</v>
      </c>
      <c r="P9">
        <v>0.96599999999999997</v>
      </c>
      <c r="Q9">
        <v>0.96599999999999997</v>
      </c>
      <c r="R9">
        <v>0.96599999999999997</v>
      </c>
      <c r="S9">
        <v>0.96599999999999997</v>
      </c>
      <c r="T9">
        <v>0.96599999999999997</v>
      </c>
      <c r="U9">
        <v>1</v>
      </c>
    </row>
    <row r="10" spans="2:21">
      <c r="B10">
        <v>5</v>
      </c>
      <c r="C10" t="s">
        <v>22</v>
      </c>
      <c r="D10" t="s">
        <v>503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2:21">
      <c r="B11">
        <v>6</v>
      </c>
      <c r="C11" t="s">
        <v>22</v>
      </c>
      <c r="D11" t="s">
        <v>504</v>
      </c>
      <c r="E11">
        <v>0.94599999999999995</v>
      </c>
      <c r="F11">
        <v>0.94599999999999995</v>
      </c>
      <c r="G11">
        <v>1</v>
      </c>
      <c r="H11">
        <v>0.94599999999999995</v>
      </c>
      <c r="I11">
        <v>1</v>
      </c>
      <c r="J11">
        <v>0.94599999999999995</v>
      </c>
      <c r="K11">
        <v>0.94599999999999995</v>
      </c>
      <c r="L11">
        <v>1</v>
      </c>
      <c r="M11">
        <v>0.94599999999999995</v>
      </c>
      <c r="N11">
        <v>1</v>
      </c>
      <c r="O11">
        <v>1</v>
      </c>
      <c r="P11">
        <v>0.94599999999999995</v>
      </c>
      <c r="Q11">
        <v>0.94599999999999995</v>
      </c>
      <c r="R11">
        <v>0.94599999999999995</v>
      </c>
      <c r="S11">
        <v>1</v>
      </c>
      <c r="T11">
        <v>0.94599999999999995</v>
      </c>
      <c r="U11">
        <v>1</v>
      </c>
    </row>
    <row r="12" spans="2:21">
      <c r="B12">
        <v>7</v>
      </c>
      <c r="C12" t="s">
        <v>22</v>
      </c>
      <c r="D12" t="s">
        <v>505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</row>
    <row r="13" spans="2:21">
      <c r="B13">
        <v>8</v>
      </c>
      <c r="C13" t="s">
        <v>22</v>
      </c>
      <c r="D13" t="s">
        <v>25</v>
      </c>
      <c r="E13">
        <v>0.96599999999999997</v>
      </c>
      <c r="F13">
        <v>0.96599999999999997</v>
      </c>
      <c r="G13">
        <v>1</v>
      </c>
      <c r="H13">
        <v>0.96599999999999997</v>
      </c>
      <c r="I13">
        <v>1</v>
      </c>
      <c r="J13">
        <v>0.96599999999999997</v>
      </c>
      <c r="K13">
        <v>0.96599999999999997</v>
      </c>
      <c r="L13">
        <v>1</v>
      </c>
      <c r="M13">
        <v>0.93100000000000005</v>
      </c>
      <c r="N13">
        <v>0.96599999999999997</v>
      </c>
      <c r="O13">
        <v>1</v>
      </c>
      <c r="P13">
        <v>0.96599999999999997</v>
      </c>
      <c r="Q13">
        <v>0.96599999999999997</v>
      </c>
      <c r="R13">
        <v>0.96599999999999997</v>
      </c>
      <c r="S13">
        <v>0.96599999999999997</v>
      </c>
      <c r="T13">
        <v>0.96599999999999997</v>
      </c>
      <c r="U13">
        <v>1</v>
      </c>
    </row>
    <row r="14" spans="2:21">
      <c r="B14">
        <v>9</v>
      </c>
      <c r="C14" t="s">
        <v>22</v>
      </c>
      <c r="D14" t="s">
        <v>506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0.93799999999999994</v>
      </c>
      <c r="K14">
        <v>1</v>
      </c>
      <c r="L14">
        <v>1</v>
      </c>
      <c r="M14">
        <v>0.95799999999999996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2:21">
      <c r="B15">
        <v>10</v>
      </c>
      <c r="C15" t="s">
        <v>22</v>
      </c>
      <c r="D15" t="s">
        <v>507</v>
      </c>
      <c r="E15">
        <v>0.96599999999999997</v>
      </c>
      <c r="F15">
        <v>0.96599999999999997</v>
      </c>
      <c r="G15">
        <v>1</v>
      </c>
      <c r="H15">
        <v>0.96599999999999997</v>
      </c>
      <c r="I15">
        <v>1</v>
      </c>
      <c r="J15">
        <v>0.96599999999999997</v>
      </c>
      <c r="K15">
        <v>0.96599999999999997</v>
      </c>
      <c r="L15">
        <v>1</v>
      </c>
      <c r="M15">
        <v>0.93100000000000005</v>
      </c>
      <c r="N15">
        <v>0.96599999999999997</v>
      </c>
      <c r="O15">
        <v>1</v>
      </c>
      <c r="P15">
        <v>0.96599999999999997</v>
      </c>
      <c r="Q15">
        <v>0.96599999999999997</v>
      </c>
      <c r="R15">
        <v>0.96599999999999997</v>
      </c>
      <c r="S15">
        <v>0.96599999999999997</v>
      </c>
      <c r="T15">
        <v>0.96599999999999997</v>
      </c>
      <c r="U15">
        <v>1</v>
      </c>
    </row>
    <row r="16" spans="2:21">
      <c r="B16">
        <v>11</v>
      </c>
      <c r="C16" t="s">
        <v>508</v>
      </c>
      <c r="D16" t="s">
        <v>498</v>
      </c>
      <c r="E16">
        <v>0.874</v>
      </c>
      <c r="F16">
        <v>0.874</v>
      </c>
      <c r="G16">
        <v>0.97699999999999998</v>
      </c>
      <c r="H16">
        <v>0.88500000000000001</v>
      </c>
      <c r="I16">
        <v>0.89700000000000002</v>
      </c>
      <c r="J16">
        <v>0.88500000000000001</v>
      </c>
      <c r="K16">
        <v>0.88500000000000001</v>
      </c>
      <c r="L16">
        <v>0.93100000000000005</v>
      </c>
      <c r="M16">
        <v>0.86199999999999999</v>
      </c>
      <c r="N16">
        <v>0.96599999999999997</v>
      </c>
      <c r="O16">
        <v>0.88500000000000001</v>
      </c>
      <c r="P16">
        <v>0.89700000000000002</v>
      </c>
      <c r="Q16">
        <v>0.86199999999999999</v>
      </c>
      <c r="R16">
        <v>0.92</v>
      </c>
      <c r="S16">
        <v>0.94299999999999995</v>
      </c>
      <c r="T16">
        <v>0.92</v>
      </c>
      <c r="U16">
        <v>1</v>
      </c>
    </row>
    <row r="17" spans="2:21">
      <c r="B17">
        <v>12</v>
      </c>
      <c r="C17" t="s">
        <v>508</v>
      </c>
      <c r="D17" t="s">
        <v>499</v>
      </c>
      <c r="E17">
        <v>0.81899999999999995</v>
      </c>
      <c r="F17">
        <v>0.81899999999999995</v>
      </c>
      <c r="G17">
        <v>0.89400000000000002</v>
      </c>
      <c r="H17">
        <v>0.81899999999999995</v>
      </c>
      <c r="I17">
        <v>0.89400000000000002</v>
      </c>
      <c r="J17">
        <v>0.81899999999999995</v>
      </c>
      <c r="K17">
        <v>0.81899999999999995</v>
      </c>
      <c r="L17">
        <v>0.89400000000000002</v>
      </c>
      <c r="M17">
        <v>0.81899999999999995</v>
      </c>
      <c r="N17">
        <v>0.94699999999999995</v>
      </c>
      <c r="O17">
        <v>0.89400000000000002</v>
      </c>
      <c r="P17">
        <v>0.89400000000000002</v>
      </c>
      <c r="Q17">
        <v>0.81899999999999995</v>
      </c>
      <c r="R17">
        <v>0.89400000000000002</v>
      </c>
      <c r="S17">
        <v>0.89400000000000002</v>
      </c>
      <c r="T17">
        <v>0.89400000000000002</v>
      </c>
      <c r="U17">
        <v>1</v>
      </c>
    </row>
    <row r="18" spans="2:21">
      <c r="B18">
        <v>13</v>
      </c>
      <c r="C18" t="s">
        <v>508</v>
      </c>
      <c r="D18" t="s">
        <v>500</v>
      </c>
      <c r="E18">
        <v>0.51900000000000002</v>
      </c>
      <c r="F18">
        <v>0.51900000000000002</v>
      </c>
      <c r="G18">
        <v>0.70399999999999996</v>
      </c>
      <c r="H18">
        <v>0.51900000000000002</v>
      </c>
      <c r="I18">
        <v>0.74099999999999999</v>
      </c>
      <c r="J18">
        <v>0.37</v>
      </c>
      <c r="K18">
        <v>0.51900000000000002</v>
      </c>
      <c r="L18">
        <v>0.74099999999999999</v>
      </c>
      <c r="M18">
        <v>0.51900000000000002</v>
      </c>
      <c r="N18">
        <v>0.92600000000000005</v>
      </c>
      <c r="O18">
        <v>0.66700000000000004</v>
      </c>
      <c r="P18">
        <v>0.51900000000000002</v>
      </c>
      <c r="Q18">
        <v>0.51900000000000002</v>
      </c>
      <c r="R18">
        <v>0.66700000000000004</v>
      </c>
      <c r="S18">
        <v>0.66700000000000004</v>
      </c>
      <c r="T18">
        <v>0.66700000000000004</v>
      </c>
      <c r="U18">
        <v>1</v>
      </c>
    </row>
    <row r="19" spans="2:21">
      <c r="B19">
        <v>14</v>
      </c>
      <c r="C19" t="s">
        <v>508</v>
      </c>
      <c r="D19" t="s">
        <v>501</v>
      </c>
      <c r="E19">
        <v>0.73299999999999998</v>
      </c>
      <c r="F19">
        <v>0.73299999999999998</v>
      </c>
      <c r="G19">
        <v>1</v>
      </c>
      <c r="H19">
        <v>0.73299999999999998</v>
      </c>
      <c r="I19">
        <v>1</v>
      </c>
      <c r="J19">
        <v>0.73299999999999998</v>
      </c>
      <c r="K19">
        <v>0.73299999999999998</v>
      </c>
      <c r="L19">
        <v>1</v>
      </c>
      <c r="M19">
        <v>0.73299999999999998</v>
      </c>
      <c r="N19">
        <v>1</v>
      </c>
      <c r="O19">
        <v>0.86699999999999999</v>
      </c>
      <c r="P19">
        <v>0.73299999999999998</v>
      </c>
      <c r="Q19">
        <v>0.73299999999999998</v>
      </c>
      <c r="R19">
        <v>0.86699999999999999</v>
      </c>
      <c r="S19">
        <v>1</v>
      </c>
      <c r="T19">
        <v>0.86699999999999999</v>
      </c>
      <c r="U19">
        <v>1</v>
      </c>
    </row>
    <row r="20" spans="2:21">
      <c r="B20">
        <v>15</v>
      </c>
      <c r="C20" t="s">
        <v>508</v>
      </c>
      <c r="D20" t="s">
        <v>502</v>
      </c>
      <c r="E20">
        <v>0.73299999999999998</v>
      </c>
      <c r="F20">
        <v>0.73299999999999998</v>
      </c>
      <c r="G20">
        <v>1</v>
      </c>
      <c r="H20">
        <v>0.73299999999999998</v>
      </c>
      <c r="I20">
        <v>1</v>
      </c>
      <c r="J20">
        <v>0.73299999999999998</v>
      </c>
      <c r="K20">
        <v>0.73299999999999998</v>
      </c>
      <c r="L20">
        <v>1</v>
      </c>
      <c r="M20">
        <v>0.73299999999999998</v>
      </c>
      <c r="N20">
        <v>1</v>
      </c>
      <c r="O20">
        <v>0.86699999999999999</v>
      </c>
      <c r="P20">
        <v>0.73299999999999998</v>
      </c>
      <c r="Q20">
        <v>0.73299999999999998</v>
      </c>
      <c r="R20">
        <v>0.86699999999999999</v>
      </c>
      <c r="S20">
        <v>1</v>
      </c>
      <c r="T20">
        <v>0.86699999999999999</v>
      </c>
      <c r="U20">
        <v>1</v>
      </c>
    </row>
    <row r="21" spans="2:21">
      <c r="B21">
        <v>16</v>
      </c>
      <c r="C21" t="s">
        <v>508</v>
      </c>
      <c r="D21" t="s">
        <v>503</v>
      </c>
      <c r="E21">
        <v>0.75</v>
      </c>
      <c r="F21">
        <v>0.75</v>
      </c>
      <c r="G21">
        <v>1</v>
      </c>
      <c r="H21">
        <v>0.75</v>
      </c>
      <c r="I21">
        <v>1</v>
      </c>
      <c r="J21">
        <v>0.75</v>
      </c>
      <c r="K21">
        <v>0.75</v>
      </c>
      <c r="L21">
        <v>1</v>
      </c>
      <c r="M21">
        <v>0.75</v>
      </c>
      <c r="N21">
        <v>1</v>
      </c>
      <c r="O21">
        <v>0.85</v>
      </c>
      <c r="P21">
        <v>0.75</v>
      </c>
      <c r="Q21">
        <v>0.75</v>
      </c>
      <c r="R21">
        <v>0.85</v>
      </c>
      <c r="S21">
        <v>1</v>
      </c>
      <c r="T21">
        <v>0.85</v>
      </c>
      <c r="U21">
        <v>1</v>
      </c>
    </row>
    <row r="22" spans="2:21">
      <c r="B22">
        <v>17</v>
      </c>
      <c r="C22" t="s">
        <v>508</v>
      </c>
      <c r="D22" t="s">
        <v>504</v>
      </c>
      <c r="E22">
        <v>0.77800000000000002</v>
      </c>
      <c r="F22">
        <v>0.77800000000000002</v>
      </c>
      <c r="G22">
        <v>1</v>
      </c>
      <c r="H22">
        <v>0.77800000000000002</v>
      </c>
      <c r="I22">
        <v>1</v>
      </c>
      <c r="J22">
        <v>0.77800000000000002</v>
      </c>
      <c r="K22">
        <v>0.77800000000000002</v>
      </c>
      <c r="L22">
        <v>1</v>
      </c>
      <c r="M22">
        <v>0.77800000000000002</v>
      </c>
      <c r="N22">
        <v>1</v>
      </c>
      <c r="O22">
        <v>0.88900000000000001</v>
      </c>
      <c r="P22">
        <v>0.77800000000000002</v>
      </c>
      <c r="Q22">
        <v>0.77800000000000002</v>
      </c>
      <c r="R22">
        <v>0.88900000000000001</v>
      </c>
      <c r="S22">
        <v>1</v>
      </c>
      <c r="T22">
        <v>0.88900000000000001</v>
      </c>
      <c r="U22">
        <v>1</v>
      </c>
    </row>
    <row r="23" spans="2:21">
      <c r="B23">
        <v>18</v>
      </c>
      <c r="C23" t="s">
        <v>508</v>
      </c>
      <c r="D23" t="s">
        <v>505</v>
      </c>
      <c r="E23">
        <v>0.58199999999999996</v>
      </c>
      <c r="F23">
        <v>0.58199999999999996</v>
      </c>
      <c r="G23">
        <v>0.65500000000000003</v>
      </c>
      <c r="H23">
        <v>0.58199999999999996</v>
      </c>
      <c r="I23">
        <v>0.61799999999999999</v>
      </c>
      <c r="J23">
        <v>0.54500000000000004</v>
      </c>
      <c r="K23">
        <v>0.58199999999999996</v>
      </c>
      <c r="L23">
        <v>0.65500000000000003</v>
      </c>
      <c r="M23">
        <v>0.58199999999999996</v>
      </c>
      <c r="N23">
        <v>0.65500000000000003</v>
      </c>
      <c r="O23">
        <v>0.58199999999999996</v>
      </c>
      <c r="P23">
        <v>0.58199999999999996</v>
      </c>
      <c r="Q23">
        <v>0.58199999999999996</v>
      </c>
      <c r="R23">
        <v>0.58199999999999996</v>
      </c>
      <c r="S23">
        <v>0.58199999999999996</v>
      </c>
      <c r="T23">
        <v>0.58199999999999996</v>
      </c>
      <c r="U23">
        <v>1</v>
      </c>
    </row>
    <row r="24" spans="2:21">
      <c r="B24">
        <v>19</v>
      </c>
      <c r="C24" t="s">
        <v>508</v>
      </c>
      <c r="D24" t="s">
        <v>25</v>
      </c>
      <c r="E24">
        <v>0.73299999999999998</v>
      </c>
      <c r="F24">
        <v>0.73299999999999998</v>
      </c>
      <c r="G24">
        <v>1</v>
      </c>
      <c r="H24">
        <v>0.73299999999999998</v>
      </c>
      <c r="I24">
        <v>1</v>
      </c>
      <c r="J24">
        <v>0.73299999999999998</v>
      </c>
      <c r="K24">
        <v>0.73299999999999998</v>
      </c>
      <c r="L24">
        <v>1</v>
      </c>
      <c r="M24">
        <v>0.73299999999999998</v>
      </c>
      <c r="N24">
        <v>1</v>
      </c>
      <c r="O24">
        <v>0.86699999999999999</v>
      </c>
      <c r="P24">
        <v>0.73299999999999998</v>
      </c>
      <c r="Q24">
        <v>0.73299999999999998</v>
      </c>
      <c r="R24">
        <v>0.86699999999999999</v>
      </c>
      <c r="S24">
        <v>1</v>
      </c>
      <c r="T24">
        <v>0.86699999999999999</v>
      </c>
      <c r="U24">
        <v>1</v>
      </c>
    </row>
    <row r="25" spans="2:21">
      <c r="B25">
        <v>20</v>
      </c>
      <c r="C25" t="s">
        <v>508</v>
      </c>
      <c r="D25" t="s">
        <v>506</v>
      </c>
      <c r="E25">
        <v>0.81899999999999995</v>
      </c>
      <c r="F25">
        <v>0.81899999999999995</v>
      </c>
      <c r="G25">
        <v>0.89400000000000002</v>
      </c>
      <c r="H25">
        <v>0.81899999999999995</v>
      </c>
      <c r="I25">
        <v>0.89400000000000002</v>
      </c>
      <c r="J25">
        <v>0.81899999999999995</v>
      </c>
      <c r="K25">
        <v>0.81899999999999995</v>
      </c>
      <c r="L25">
        <v>0.89400000000000002</v>
      </c>
      <c r="M25">
        <v>0.81899999999999995</v>
      </c>
      <c r="N25">
        <v>0.94699999999999995</v>
      </c>
      <c r="O25">
        <v>0.89400000000000002</v>
      </c>
      <c r="P25">
        <v>0.89400000000000002</v>
      </c>
      <c r="Q25">
        <v>0.81899999999999995</v>
      </c>
      <c r="R25">
        <v>0.89400000000000002</v>
      </c>
      <c r="S25">
        <v>0.89400000000000002</v>
      </c>
      <c r="T25">
        <v>0.89400000000000002</v>
      </c>
      <c r="U25">
        <v>1</v>
      </c>
    </row>
    <row r="26" spans="2:21">
      <c r="B26">
        <v>21</v>
      </c>
      <c r="C26" t="s">
        <v>508</v>
      </c>
      <c r="D26" t="s">
        <v>507</v>
      </c>
      <c r="E26">
        <v>0.73299999999999998</v>
      </c>
      <c r="F26">
        <v>0.73299999999999998</v>
      </c>
      <c r="G26">
        <v>1</v>
      </c>
      <c r="H26">
        <v>0.73299999999999998</v>
      </c>
      <c r="I26">
        <v>1</v>
      </c>
      <c r="J26">
        <v>0.73299999999999998</v>
      </c>
      <c r="K26">
        <v>0.73299999999999998</v>
      </c>
      <c r="L26">
        <v>1</v>
      </c>
      <c r="M26">
        <v>0.73299999999999998</v>
      </c>
      <c r="N26">
        <v>1</v>
      </c>
      <c r="O26">
        <v>0.86699999999999999</v>
      </c>
      <c r="P26">
        <v>0.73299999999999998</v>
      </c>
      <c r="Q26">
        <v>0.73299999999999998</v>
      </c>
      <c r="R26">
        <v>0.86699999999999999</v>
      </c>
      <c r="S26">
        <v>1</v>
      </c>
      <c r="T26">
        <v>0.86699999999999999</v>
      </c>
      <c r="U26">
        <v>1</v>
      </c>
    </row>
    <row r="27" spans="2:21">
      <c r="B27">
        <v>22</v>
      </c>
      <c r="C27" t="s">
        <v>509</v>
      </c>
      <c r="D27" t="s">
        <v>498</v>
      </c>
      <c r="E27">
        <v>0.879</v>
      </c>
      <c r="F27">
        <v>0.879</v>
      </c>
      <c r="G27">
        <v>0.98299999999999998</v>
      </c>
      <c r="H27">
        <v>0.879</v>
      </c>
      <c r="I27">
        <v>0.89700000000000002</v>
      </c>
      <c r="J27">
        <v>0.879</v>
      </c>
      <c r="K27">
        <v>0.879</v>
      </c>
      <c r="L27">
        <v>0.93100000000000005</v>
      </c>
      <c r="M27">
        <v>0.86199999999999999</v>
      </c>
      <c r="N27">
        <v>0.96599999999999997</v>
      </c>
      <c r="O27">
        <v>0.89700000000000002</v>
      </c>
      <c r="P27">
        <v>0.89700000000000002</v>
      </c>
      <c r="Q27">
        <v>0.86199999999999999</v>
      </c>
      <c r="R27">
        <v>0.91400000000000003</v>
      </c>
      <c r="S27">
        <v>0.94799999999999995</v>
      </c>
      <c r="T27">
        <v>0.91400000000000003</v>
      </c>
      <c r="U27">
        <v>1</v>
      </c>
    </row>
    <row r="28" spans="2:21">
      <c r="B28">
        <v>23</v>
      </c>
      <c r="C28" t="s">
        <v>509</v>
      </c>
      <c r="D28" t="s">
        <v>499</v>
      </c>
      <c r="E28">
        <v>0.81</v>
      </c>
      <c r="F28">
        <v>0.81</v>
      </c>
      <c r="G28">
        <v>0.88900000000000001</v>
      </c>
      <c r="H28">
        <v>0.81</v>
      </c>
      <c r="I28">
        <v>0.88900000000000001</v>
      </c>
      <c r="J28">
        <v>0.81</v>
      </c>
      <c r="K28">
        <v>0.81</v>
      </c>
      <c r="L28">
        <v>0.88900000000000001</v>
      </c>
      <c r="M28">
        <v>0.81</v>
      </c>
      <c r="N28">
        <v>0.95199999999999996</v>
      </c>
      <c r="O28">
        <v>0.88900000000000001</v>
      </c>
      <c r="P28">
        <v>0.88900000000000001</v>
      </c>
      <c r="Q28">
        <v>0.81</v>
      </c>
      <c r="R28">
        <v>0.88900000000000001</v>
      </c>
      <c r="S28">
        <v>0.88900000000000001</v>
      </c>
      <c r="T28">
        <v>0.88900000000000001</v>
      </c>
      <c r="U28">
        <v>1</v>
      </c>
    </row>
    <row r="29" spans="2:21">
      <c r="B29">
        <v>24</v>
      </c>
      <c r="C29" t="s">
        <v>509</v>
      </c>
      <c r="D29" t="s">
        <v>500</v>
      </c>
      <c r="E29">
        <v>0.51900000000000002</v>
      </c>
      <c r="F29">
        <v>0.51900000000000002</v>
      </c>
      <c r="G29">
        <v>0.70399999999999996</v>
      </c>
      <c r="H29">
        <v>0.51900000000000002</v>
      </c>
      <c r="I29">
        <v>0.74099999999999999</v>
      </c>
      <c r="J29">
        <v>0.37</v>
      </c>
      <c r="K29">
        <v>0.51900000000000002</v>
      </c>
      <c r="L29">
        <v>0.74099999999999999</v>
      </c>
      <c r="M29">
        <v>0.51900000000000002</v>
      </c>
      <c r="N29">
        <v>0.92600000000000005</v>
      </c>
      <c r="O29">
        <v>0.66700000000000004</v>
      </c>
      <c r="P29">
        <v>0.51900000000000002</v>
      </c>
      <c r="Q29">
        <v>0.51900000000000002</v>
      </c>
      <c r="R29">
        <v>0.66700000000000004</v>
      </c>
      <c r="S29">
        <v>0.66700000000000004</v>
      </c>
      <c r="T29">
        <v>0.66700000000000004</v>
      </c>
      <c r="U29">
        <v>1</v>
      </c>
    </row>
    <row r="30" spans="2:21">
      <c r="B30">
        <v>25</v>
      </c>
      <c r="C30" t="s">
        <v>509</v>
      </c>
      <c r="D30" t="s">
        <v>501</v>
      </c>
      <c r="E30">
        <v>0.75</v>
      </c>
      <c r="F30">
        <v>0.75</v>
      </c>
      <c r="G30">
        <v>1</v>
      </c>
      <c r="H30">
        <v>0.75</v>
      </c>
      <c r="I30">
        <v>1</v>
      </c>
      <c r="J30">
        <v>0.75</v>
      </c>
      <c r="K30">
        <v>0.75</v>
      </c>
      <c r="L30">
        <v>1</v>
      </c>
      <c r="M30">
        <v>0.75</v>
      </c>
      <c r="N30">
        <v>1</v>
      </c>
      <c r="O30">
        <v>0.85</v>
      </c>
      <c r="P30">
        <v>0.75</v>
      </c>
      <c r="Q30">
        <v>0.75</v>
      </c>
      <c r="R30">
        <v>0.85</v>
      </c>
      <c r="S30">
        <v>1</v>
      </c>
      <c r="T30">
        <v>0.85</v>
      </c>
      <c r="U30">
        <v>1</v>
      </c>
    </row>
    <row r="31" spans="2:21">
      <c r="B31">
        <v>26</v>
      </c>
      <c r="C31" t="s">
        <v>509</v>
      </c>
      <c r="D31" t="s">
        <v>502</v>
      </c>
      <c r="E31">
        <v>0.75</v>
      </c>
      <c r="F31">
        <v>0.75</v>
      </c>
      <c r="G31">
        <v>1</v>
      </c>
      <c r="H31">
        <v>0.75</v>
      </c>
      <c r="I31">
        <v>1</v>
      </c>
      <c r="J31">
        <v>0.75</v>
      </c>
      <c r="K31">
        <v>0.75</v>
      </c>
      <c r="L31">
        <v>1</v>
      </c>
      <c r="M31">
        <v>0.75</v>
      </c>
      <c r="N31">
        <v>1</v>
      </c>
      <c r="O31">
        <v>0.85</v>
      </c>
      <c r="P31">
        <v>0.75</v>
      </c>
      <c r="Q31">
        <v>0.75</v>
      </c>
      <c r="R31">
        <v>0.85</v>
      </c>
      <c r="S31">
        <v>1</v>
      </c>
      <c r="T31">
        <v>0.85</v>
      </c>
      <c r="U31">
        <v>1</v>
      </c>
    </row>
    <row r="32" spans="2:21">
      <c r="B32">
        <v>27</v>
      </c>
      <c r="C32" t="s">
        <v>509</v>
      </c>
      <c r="D32" t="s">
        <v>503</v>
      </c>
      <c r="E32">
        <v>0.75</v>
      </c>
      <c r="F32">
        <v>0.75</v>
      </c>
      <c r="G32">
        <v>1</v>
      </c>
      <c r="H32">
        <v>0.75</v>
      </c>
      <c r="I32">
        <v>1</v>
      </c>
      <c r="J32">
        <v>0.75</v>
      </c>
      <c r="K32">
        <v>0.75</v>
      </c>
      <c r="L32">
        <v>1</v>
      </c>
      <c r="M32">
        <v>0.75</v>
      </c>
      <c r="N32">
        <v>1</v>
      </c>
      <c r="O32">
        <v>0.85</v>
      </c>
      <c r="P32">
        <v>0.75</v>
      </c>
      <c r="Q32">
        <v>0.75</v>
      </c>
      <c r="R32">
        <v>0.85</v>
      </c>
      <c r="S32">
        <v>1</v>
      </c>
      <c r="T32">
        <v>0.85</v>
      </c>
      <c r="U32">
        <v>1</v>
      </c>
    </row>
    <row r="33" spans="2:21">
      <c r="B33">
        <v>28</v>
      </c>
      <c r="C33" t="s">
        <v>509</v>
      </c>
      <c r="D33" t="s">
        <v>504</v>
      </c>
      <c r="E33">
        <v>0.75</v>
      </c>
      <c r="F33">
        <v>0.75</v>
      </c>
      <c r="G33">
        <v>1</v>
      </c>
      <c r="H33">
        <v>0.75</v>
      </c>
      <c r="I33">
        <v>1</v>
      </c>
      <c r="J33">
        <v>0.75</v>
      </c>
      <c r="K33">
        <v>0.75</v>
      </c>
      <c r="L33">
        <v>1</v>
      </c>
      <c r="M33">
        <v>0.75</v>
      </c>
      <c r="N33">
        <v>1</v>
      </c>
      <c r="O33">
        <v>0.83299999999999996</v>
      </c>
      <c r="P33">
        <v>0.75</v>
      </c>
      <c r="Q33">
        <v>0.75</v>
      </c>
      <c r="R33">
        <v>0.83299999999999996</v>
      </c>
      <c r="S33">
        <v>1</v>
      </c>
      <c r="T33">
        <v>0.83299999999999996</v>
      </c>
      <c r="U33">
        <v>1</v>
      </c>
    </row>
    <row r="34" spans="2:21">
      <c r="B34">
        <v>29</v>
      </c>
      <c r="C34" t="s">
        <v>509</v>
      </c>
      <c r="D34" t="s">
        <v>505</v>
      </c>
      <c r="E34">
        <v>0.88900000000000001</v>
      </c>
      <c r="F34">
        <v>0.88900000000000001</v>
      </c>
      <c r="G34">
        <v>1</v>
      </c>
      <c r="H34">
        <v>0.88900000000000001</v>
      </c>
      <c r="I34">
        <v>0.94399999999999995</v>
      </c>
      <c r="J34">
        <v>0.83299999999999996</v>
      </c>
      <c r="K34">
        <v>0.88900000000000001</v>
      </c>
      <c r="L34">
        <v>1</v>
      </c>
      <c r="M34">
        <v>0.88900000000000001</v>
      </c>
      <c r="N34">
        <v>1</v>
      </c>
      <c r="O34">
        <v>0.88900000000000001</v>
      </c>
      <c r="P34">
        <v>0.88900000000000001</v>
      </c>
      <c r="Q34">
        <v>0.88900000000000001</v>
      </c>
      <c r="R34">
        <v>0.88900000000000001</v>
      </c>
      <c r="S34">
        <v>0.88900000000000001</v>
      </c>
      <c r="T34">
        <v>0.88900000000000001</v>
      </c>
      <c r="U34">
        <v>1</v>
      </c>
    </row>
    <row r="35" spans="2:21">
      <c r="B35">
        <v>30</v>
      </c>
      <c r="C35" t="s">
        <v>509</v>
      </c>
      <c r="D35" t="s">
        <v>25</v>
      </c>
      <c r="E35">
        <v>0.75</v>
      </c>
      <c r="F35">
        <v>0.75</v>
      </c>
      <c r="G35">
        <v>1</v>
      </c>
      <c r="H35">
        <v>0.75</v>
      </c>
      <c r="I35">
        <v>1</v>
      </c>
      <c r="J35">
        <v>0.75</v>
      </c>
      <c r="K35">
        <v>0.75</v>
      </c>
      <c r="L35">
        <v>1</v>
      </c>
      <c r="M35">
        <v>0.75</v>
      </c>
      <c r="N35">
        <v>1</v>
      </c>
      <c r="O35">
        <v>0.85</v>
      </c>
      <c r="P35">
        <v>0.75</v>
      </c>
      <c r="Q35">
        <v>0.75</v>
      </c>
      <c r="R35">
        <v>0.85</v>
      </c>
      <c r="S35">
        <v>1</v>
      </c>
      <c r="T35">
        <v>0.85</v>
      </c>
      <c r="U35">
        <v>1</v>
      </c>
    </row>
    <row r="36" spans="2:21">
      <c r="B36">
        <v>31</v>
      </c>
      <c r="C36" t="s">
        <v>509</v>
      </c>
      <c r="D36" t="s">
        <v>506</v>
      </c>
      <c r="E36">
        <v>0.81</v>
      </c>
      <c r="F36">
        <v>0.81</v>
      </c>
      <c r="G36">
        <v>0.88900000000000001</v>
      </c>
      <c r="H36">
        <v>0.81</v>
      </c>
      <c r="I36">
        <v>0.88900000000000001</v>
      </c>
      <c r="J36">
        <v>0.81</v>
      </c>
      <c r="K36">
        <v>0.81</v>
      </c>
      <c r="L36">
        <v>0.88900000000000001</v>
      </c>
      <c r="M36">
        <v>0.81</v>
      </c>
      <c r="N36">
        <v>0.95199999999999996</v>
      </c>
      <c r="O36">
        <v>0.88900000000000001</v>
      </c>
      <c r="P36">
        <v>0.88900000000000001</v>
      </c>
      <c r="Q36">
        <v>0.81</v>
      </c>
      <c r="R36">
        <v>0.88900000000000001</v>
      </c>
      <c r="S36">
        <v>0.88900000000000001</v>
      </c>
      <c r="T36">
        <v>0.88900000000000001</v>
      </c>
      <c r="U36">
        <v>1</v>
      </c>
    </row>
    <row r="37" spans="2:21">
      <c r="B37">
        <v>32</v>
      </c>
      <c r="C37" t="s">
        <v>509</v>
      </c>
      <c r="D37" t="s">
        <v>507</v>
      </c>
      <c r="E37">
        <v>0.75</v>
      </c>
      <c r="F37">
        <v>0.75</v>
      </c>
      <c r="G37">
        <v>1</v>
      </c>
      <c r="H37">
        <v>0.75</v>
      </c>
      <c r="I37">
        <v>1</v>
      </c>
      <c r="J37">
        <v>0.75</v>
      </c>
      <c r="K37">
        <v>0.75</v>
      </c>
      <c r="L37">
        <v>1</v>
      </c>
      <c r="M37">
        <v>0.75</v>
      </c>
      <c r="N37">
        <v>1</v>
      </c>
      <c r="O37">
        <v>0.85</v>
      </c>
      <c r="P37">
        <v>0.75</v>
      </c>
      <c r="Q37">
        <v>0.75</v>
      </c>
      <c r="R37">
        <v>0.85</v>
      </c>
      <c r="S37">
        <v>1</v>
      </c>
      <c r="T37">
        <v>0.85</v>
      </c>
      <c r="U37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49"/>
  <sheetViews>
    <sheetView workbookViewId="0"/>
  </sheetViews>
  <sheetFormatPr defaultColWidth="8.88671875" defaultRowHeight="14.4"/>
  <cols>
    <col min="1" max="1" width="14.44140625" bestFit="1" customWidth="1"/>
    <col min="3" max="3" width="14.88671875" bestFit="1" customWidth="1"/>
    <col min="4" max="34" width="6.44140625" bestFit="1" customWidth="1"/>
    <col min="35" max="35" width="4.4414062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AFR_N</v>
      </c>
      <c r="E3" s="6" t="str">
        <f>IF('Regional assumptions'!F4&lt;&gt;"",'Regional assumptions'!F4,"")</f>
        <v>AFR_S</v>
      </c>
      <c r="F3" s="6" t="str">
        <f>IF('Regional assumptions'!G4&lt;&gt;"",'Regional assumptions'!G4,"")</f>
        <v>ANZ</v>
      </c>
      <c r="G3" s="6" t="str">
        <f>IF('Regional assumptions'!H4&lt;&gt;"",'Regional assumptions'!H4,"")</f>
        <v>BRZ</v>
      </c>
      <c r="H3" s="6" t="str">
        <f>IF('Regional assumptions'!I4&lt;&gt;"",'Regional assumptions'!I4,"")</f>
        <v>CAN</v>
      </c>
      <c r="I3" s="6" t="str">
        <f>IF('Regional assumptions'!J4&lt;&gt;"",'Regional assumptions'!J4,"")</f>
        <v>CHI</v>
      </c>
      <c r="J3" s="6" t="str">
        <f>IF('Regional assumptions'!K4&lt;&gt;"",'Regional assumptions'!K4,"")</f>
        <v>CSA</v>
      </c>
      <c r="K3" s="6" t="str">
        <f>IF('Regional assumptions'!L4&lt;&gt;"",'Regional assumptions'!L4,"")</f>
        <v>EUR</v>
      </c>
      <c r="L3" s="6" t="str">
        <f>IF('Regional assumptions'!M4&lt;&gt;"",'Regional assumptions'!M4,"")</f>
        <v>IND</v>
      </c>
      <c r="M3" s="6" t="str">
        <f>IF('Regional assumptions'!N4&lt;&gt;"",'Regional assumptions'!N4,"")</f>
        <v>JPN</v>
      </c>
      <c r="N3" s="6" t="str">
        <f>IF('Regional assumptions'!O4&lt;&gt;"",'Regional assumptions'!O4,"")</f>
        <v>MID</v>
      </c>
      <c r="O3" s="6" t="str">
        <f>IF('Regional assumptions'!P4&lt;&gt;"",'Regional assumptions'!P4,"")</f>
        <v>MXC</v>
      </c>
      <c r="P3" s="6" t="str">
        <f>IF('Regional assumptions'!Q4&lt;&gt;"",'Regional assumptions'!Q4,"")</f>
        <v>OAS</v>
      </c>
      <c r="Q3" s="6" t="str">
        <f>IF('Regional assumptions'!R4&lt;&gt;"",'Regional assumptions'!R4,"")</f>
        <v>RUS</v>
      </c>
      <c r="R3" s="6" t="str">
        <f>IF('Regional assumptions'!S4&lt;&gt;"",'Regional assumptions'!S4,"")</f>
        <v>SKO</v>
      </c>
      <c r="S3" s="6" t="str">
        <f>IF('Regional assumptions'!T4&lt;&gt;"",'Regional assumptions'!T4,"")</f>
        <v>URA</v>
      </c>
      <c r="T3" s="6" t="str">
        <f>IF('Regional assumptions'!U4&lt;&gt;"",'Regional assumptions'!U4,"")</f>
        <v>USA</v>
      </c>
      <c r="U3" s="6" t="str">
        <f>IF('Regional assumptions'!V4&lt;&gt;"",'Regional assumptions'!V4,"")</f>
        <v/>
      </c>
      <c r="V3" s="6" t="str">
        <f>IF('Regional assumptions'!W4&lt;&gt;"",'Regional assumptions'!W4,"")</f>
        <v/>
      </c>
      <c r="W3" s="6" t="str">
        <f>IF('Regional assumptions'!X4&lt;&gt;"",'Regional assumptions'!X4,"")</f>
        <v/>
      </c>
      <c r="X3" s="6" t="str">
        <f>IF('Regional assumptions'!Y4&lt;&gt;"",'Regional assumptions'!Y4,"")</f>
        <v/>
      </c>
      <c r="Y3" s="6" t="str">
        <f>IF('Regional assumptions'!Z4&lt;&gt;"",'Regional assumptions'!Z4,"")</f>
        <v/>
      </c>
      <c r="Z3" s="6" t="str">
        <f>IF('Regional assumptions'!AA4&lt;&gt;"",'Regional assumptions'!AA4,"")</f>
        <v/>
      </c>
      <c r="AA3" s="6" t="str">
        <f>IF('Regional assumptions'!AB4&lt;&gt;"",'Regional assumptions'!AB4,"")</f>
        <v/>
      </c>
      <c r="AB3" s="6" t="str">
        <f>IF('Regional assumptions'!AC4&lt;&gt;"",'Regional assumptions'!AC4,"")</f>
        <v/>
      </c>
      <c r="AC3" s="6" t="str">
        <f>IF('Regional assumptions'!AD4&lt;&gt;"",'Regional assumptions'!AD4,"")</f>
        <v/>
      </c>
      <c r="AD3" s="6" t="str">
        <f>IF('Regional assumptions'!AE4&lt;&gt;"",'Regional assumptions'!AE4,"")</f>
        <v/>
      </c>
      <c r="AE3" s="6" t="str">
        <f>IF('Regional assumptions'!AF4&lt;&gt;"",'Regional assumptions'!AF4,"")</f>
        <v/>
      </c>
      <c r="AF3" s="6" t="str">
        <f>IF('Regional assumptions'!AG4&lt;&gt;"",'Regional assumptions'!AG4,"")</f>
        <v/>
      </c>
      <c r="AG3" s="6" t="str">
        <f>IF('Regional assumptions'!AH4&lt;&gt;"",'Regional assumptions'!AH4,"")</f>
        <v/>
      </c>
      <c r="AH3" s="6" t="str">
        <f>IF('Regional assumptions'!AI4&lt;&gt;"",'Regional assumptions'!AI4,"")</f>
        <v/>
      </c>
      <c r="AI3" s="6" t="str">
        <f>IF('Regional assumptions'!AJ4&lt;&gt;"",'Regional assumptions'!AJ4,"")</f>
        <v/>
      </c>
      <c r="AJ3" s="6" t="str">
        <f>IF('Regional assumptions'!AK4&lt;&gt;"",'Regional assumptions'!AK4,"")</f>
        <v/>
      </c>
      <c r="AK3" s="6" t="str">
        <f>IF('Regional assumptions'!AL4&lt;&gt;"",'Regional assumptions'!AL4,"")</f>
        <v/>
      </c>
      <c r="AL3" s="6" t="str">
        <f>IF('Regional assumptions'!AM4&lt;&gt;"",'Regional assumptions'!AM4,"")</f>
        <v/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'Regional assumptions'!C5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'Regional assumptions'!C6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>*0.938</v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/>
      </c>
      <c r="L5" s="6" t="str">
        <f>IF(L$3="","",IF('Regional assumptions'!M6=1,"","*"&amp;'Regional assumptions'!M6))</f>
        <v>*0.958</v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/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/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'Regional assumptions'!C7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>*1.024</v>
      </c>
      <c r="H6" s="6" t="str">
        <f>IF(H$3="","",IF('Regional assumptions'!I7=1,"","*"&amp;'Regional assumptions'!I7))</f>
        <v/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*0.976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>*1.024</v>
      </c>
      <c r="O6" s="6" t="str">
        <f>IF(O$3="","",IF('Regional assumptions'!P7=1,"","*"&amp;'Regional assumptions'!P7))</f>
        <v>*1.024</v>
      </c>
      <c r="P6" s="6" t="str">
        <f>IF(P$3="","",IF('Regional assumptions'!Q7=1,"","*"&amp;'Regional assumptions'!Q7))</f>
        <v>*1.024</v>
      </c>
      <c r="Q6" s="6" t="str">
        <f>IF(Q$3="","",IF('Regional assumptions'!R7=1,"","*"&amp;'Regional assumptions'!R7))</f>
        <v>*1.024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*1.024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/>
      </c>
      <c r="X6" s="6" t="str">
        <f>IF(X$3="","",IF('Regional assumptions'!Y7=1,"","*"&amp;'Regional assumptions'!Y7))</f>
        <v/>
      </c>
      <c r="Y6" s="6" t="str">
        <f>IF(Y$3="","",IF('Regional assumptions'!Z7=1,"","*"&amp;'Regional assumptions'!Z7))</f>
        <v/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/>
      </c>
      <c r="AC6" s="6" t="str">
        <f>IF(AC$3="","",IF('Regional assumptions'!AD7=1,"","*"&amp;'Regional assumptions'!AD7))</f>
        <v/>
      </c>
      <c r="AD6" s="6" t="str">
        <f>IF(AD$3="","",IF('Regional assumptions'!AE7=1,"","*"&amp;'Regional assumptions'!AE7))</f>
        <v/>
      </c>
      <c r="AE6" s="6" t="str">
        <f>IF(AE$3="","",IF('Regional assumptions'!AF7=1,"","*"&amp;'Regional assumptions'!AF7))</f>
        <v/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/>
      </c>
      <c r="AL6" s="6" t="str">
        <f>IF(AL$3="","",IF('Regional assumptions'!AM7=1,"","*"&amp;'Regional assumptions'!AM7))</f>
        <v/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'Regional assumptions'!C8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>*0.966</v>
      </c>
      <c r="H7" s="6" t="str">
        <f>IF(H$3="","",IF('Regional assumptions'!I8=1,"","*"&amp;'Regional assumptions'!I8))</f>
        <v/>
      </c>
      <c r="I7" s="6" t="str">
        <f>IF(I$3="","",IF('Regional assumptions'!J8=1,"","*"&amp;'Regional assumptions'!J8))</f>
        <v>*0.966</v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/>
      </c>
      <c r="L7" s="6" t="str">
        <f>IF(L$3="","",IF('Regional assumptions'!M8=1,"","*"&amp;'Regional assumptions'!M8))</f>
        <v>*0.931</v>
      </c>
      <c r="M7" s="6" t="str">
        <f>IF(M$3="","",IF('Regional assumptions'!N8=1,"","*"&amp;'Regional assumptions'!N8))</f>
        <v>*0.966</v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>*0.966</v>
      </c>
      <c r="P7" s="6" t="str">
        <f>IF(P$3="","",IF('Regional assumptions'!Q8=1,"","*"&amp;'Regional assumptions'!Q8))</f>
        <v>*0.966</v>
      </c>
      <c r="Q7" s="6" t="str">
        <f>IF(Q$3="","",IF('Regional assumptions'!R8=1,"","*"&amp;'Regional assumptions'!R8))</f>
        <v>*0.966</v>
      </c>
      <c r="R7" s="6" t="str">
        <f>IF(R$3="","",IF('Regional assumptions'!S8=1,"","*"&amp;'Regional assumptions'!S8))</f>
        <v>*0.966</v>
      </c>
      <c r="S7" s="6" t="str">
        <f>IF(S$3="","",IF('Regional assumptions'!T8=1,"","*"&amp;'Regional assumptions'!T8))</f>
        <v>*0.966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/>
      </c>
      <c r="W7" s="6" t="str">
        <f>IF(W$3="","",IF('Regional assumptions'!X8=1,"","*"&amp;'Regional assumptions'!X8))</f>
        <v/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/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/>
      </c>
      <c r="AC7" s="6" t="str">
        <f>IF(AC$3="","",IF('Regional assumptions'!AD8=1,"","*"&amp;'Regional assumptions'!AD8))</f>
        <v/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/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/>
      </c>
      <c r="AL7" s="6" t="str">
        <f>IF(AL$3="","",IF('Regional assumptions'!AM8=1,"","*"&amp;'Regional assumptions'!AM8))</f>
        <v/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'Regional assumptions'!C9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>*0.966</v>
      </c>
      <c r="H8" s="6" t="str">
        <f>IF(H$3="","",IF('Regional assumptions'!I9=1,"","*"&amp;'Regional assumptions'!I9))</f>
        <v/>
      </c>
      <c r="I8" s="6" t="str">
        <f>IF(I$3="","",IF('Regional assumptions'!J9=1,"","*"&amp;'Regional assumptions'!J9))</f>
        <v>*0.966</v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/>
      </c>
      <c r="L8" s="6" t="str">
        <f>IF(L$3="","",IF('Regional assumptions'!M9=1,"","*"&amp;'Regional assumptions'!M9))</f>
        <v>*0.931</v>
      </c>
      <c r="M8" s="6" t="str">
        <f>IF(M$3="","",IF('Regional assumptions'!N9=1,"","*"&amp;'Regional assumptions'!N9))</f>
        <v>*0.966</v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>*0.966</v>
      </c>
      <c r="P8" s="6" t="str">
        <f>IF(P$3="","",IF('Regional assumptions'!Q9=1,"","*"&amp;'Regional assumptions'!Q9))</f>
        <v>*0.966</v>
      </c>
      <c r="Q8" s="6" t="str">
        <f>IF(Q$3="","",IF('Regional assumptions'!R9=1,"","*"&amp;'Regional assumptions'!R9))</f>
        <v>*0.966</v>
      </c>
      <c r="R8" s="6" t="str">
        <f>IF(R$3="","",IF('Regional assumptions'!S9=1,"","*"&amp;'Regional assumptions'!S9))</f>
        <v>*0.966</v>
      </c>
      <c r="S8" s="6" t="str">
        <f>IF(S$3="","",IF('Regional assumptions'!T9=1,"","*"&amp;'Regional assumptions'!T9))</f>
        <v>*0.966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/>
      </c>
      <c r="W8" s="6" t="str">
        <f>IF(W$3="","",IF('Regional assumptions'!X9=1,"","*"&amp;'Regional assumptions'!X9))</f>
        <v/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/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/>
      </c>
      <c r="AC8" s="6" t="str">
        <f>IF(AC$3="","",IF('Regional assumptions'!AD9=1,"","*"&amp;'Regional assumptions'!AD9))</f>
        <v/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/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/>
      </c>
      <c r="AL8" s="6" t="str">
        <f>IF(AL$3="","",IF('Regional assumptions'!AM9=1,"","*"&amp;'Regional assumptions'!AM9))</f>
        <v/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'Regional assumptions'!C10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'Regional assumptions'!C11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>*0.946</v>
      </c>
      <c r="H10" s="6" t="str">
        <f>IF(H$3="","",IF('Regional assumptions'!I11=1,"","*"&amp;'Regional assumptions'!I11))</f>
        <v/>
      </c>
      <c r="I10" s="6" t="str">
        <f>IF(I$3="","",IF('Regional assumptions'!J11=1,"","*"&amp;'Regional assumptions'!J11))</f>
        <v>*0.946</v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/>
      </c>
      <c r="L10" s="6" t="str">
        <f>IF(L$3="","",IF('Regional assumptions'!M11=1,"","*"&amp;'Regional assumptions'!M11))</f>
        <v>*0.946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>*0.946</v>
      </c>
      <c r="P10" s="6" t="str">
        <f>IF(P$3="","",IF('Regional assumptions'!Q11=1,"","*"&amp;'Regional assumptions'!Q11))</f>
        <v>*0.946</v>
      </c>
      <c r="Q10" s="6" t="str">
        <f>IF(Q$3="","",IF('Regional assumptions'!R11=1,"","*"&amp;'Regional assumptions'!R11))</f>
        <v>*0.946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/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/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/>
      </c>
      <c r="AC10" s="6" t="str">
        <f>IF(AC$3="","",IF('Regional assumptions'!AD11=1,"","*"&amp;'Regional assumptions'!AD11))</f>
        <v/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/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/>
      </c>
      <c r="AL10" s="6" t="str">
        <f>IF(AL$3="","",IF('Regional assumptions'!AM11=1,"","*"&amp;'Regional assumptions'!AM11))</f>
        <v/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'Regional assumptions'!C12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'Regional assumptions'!C13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>*0.966</v>
      </c>
      <c r="H12" s="6" t="str">
        <f>IF(H$3="","",IF('Regional assumptions'!I13=1,"","*"&amp;'Regional assumptions'!I13))</f>
        <v/>
      </c>
      <c r="I12" s="6" t="str">
        <f>IF(I$3="","",IF('Regional assumptions'!J13=1,"","*"&amp;'Regional assumptions'!J13))</f>
        <v>*0.966</v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/>
      </c>
      <c r="L12" s="6" t="str">
        <f>IF(L$3="","",IF('Regional assumptions'!M13=1,"","*"&amp;'Regional assumptions'!M13))</f>
        <v>*0.931</v>
      </c>
      <c r="M12" s="6" t="str">
        <f>IF(M$3="","",IF('Regional assumptions'!N13=1,"","*"&amp;'Regional assumptions'!N13))</f>
        <v>*0.966</v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>*0.966</v>
      </c>
      <c r="P12" s="6" t="str">
        <f>IF(P$3="","",IF('Regional assumptions'!Q13=1,"","*"&amp;'Regional assumptions'!Q13))</f>
        <v>*0.966</v>
      </c>
      <c r="Q12" s="6" t="str">
        <f>IF(Q$3="","",IF('Regional assumptions'!R13=1,"","*"&amp;'Regional assumptions'!R13))</f>
        <v>*0.966</v>
      </c>
      <c r="R12" s="6" t="str">
        <f>IF(R$3="","",IF('Regional assumptions'!S13=1,"","*"&amp;'Regional assumptions'!S13))</f>
        <v>*0.966</v>
      </c>
      <c r="S12" s="6" t="str">
        <f>IF(S$3="","",IF('Regional assumptions'!T13=1,"","*"&amp;'Regional assumptions'!T13))</f>
        <v>*0.966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/>
      </c>
      <c r="W12" s="6" t="str">
        <f>IF(W$3="","",IF('Regional assumptions'!X13=1,"","*"&amp;'Regional assumptions'!X13))</f>
        <v/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/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/>
      </c>
      <c r="AC12" s="6" t="str">
        <f>IF(AC$3="","",IF('Regional assumptions'!AD13=1,"","*"&amp;'Regional assumptions'!AD13))</f>
        <v/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/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/>
      </c>
      <c r="AL12" s="6" t="str">
        <f>IF(AL$3="","",IF('Regional assumptions'!AM13=1,"","*"&amp;'Regional assumptions'!AM13))</f>
        <v/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'Regional assumptions'!C14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>*0.938</v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/>
      </c>
      <c r="L13" s="6" t="str">
        <f>IF(L$3="","",IF('Regional assumptions'!M14=1,"","*"&amp;'Regional assumptions'!M14))</f>
        <v>*0.958</v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/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/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'Regional assumptions'!C15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>*0.966</v>
      </c>
      <c r="H14" s="6" t="str">
        <f>IF(H$3="","",IF('Regional assumptions'!I15=1,"","*"&amp;'Regional assumptions'!I15))</f>
        <v/>
      </c>
      <c r="I14" s="6" t="str">
        <f>IF(I$3="","",IF('Regional assumptions'!J15=1,"","*"&amp;'Regional assumptions'!J15))</f>
        <v>*0.966</v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/>
      </c>
      <c r="L14" s="6" t="str">
        <f>IF(L$3="","",IF('Regional assumptions'!M15=1,"","*"&amp;'Regional assumptions'!M15))</f>
        <v>*0.931</v>
      </c>
      <c r="M14" s="6" t="str">
        <f>IF(M$3="","",IF('Regional assumptions'!N15=1,"","*"&amp;'Regional assumptions'!N15))</f>
        <v>*0.966</v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>*0.966</v>
      </c>
      <c r="P14" s="6" t="str">
        <f>IF(P$3="","",IF('Regional assumptions'!Q15=1,"","*"&amp;'Regional assumptions'!Q15))</f>
        <v>*0.966</v>
      </c>
      <c r="Q14" s="6" t="str">
        <f>IF(Q$3="","",IF('Regional assumptions'!R15=1,"","*"&amp;'Regional assumptions'!R15))</f>
        <v>*0.966</v>
      </c>
      <c r="R14" s="6" t="str">
        <f>IF(R$3="","",IF('Regional assumptions'!S15=1,"","*"&amp;'Regional assumptions'!S15))</f>
        <v>*0.966</v>
      </c>
      <c r="S14" s="6" t="str">
        <f>IF(S$3="","",IF('Regional assumptions'!T15=1,"","*"&amp;'Regional assumptions'!T15))</f>
        <v>*0.966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/>
      </c>
      <c r="W14" s="6" t="str">
        <f>IF(W$3="","",IF('Regional assumptions'!X15=1,"","*"&amp;'Regional assumptions'!X15))</f>
        <v/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/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/>
      </c>
      <c r="AC14" s="6" t="str">
        <f>IF(AC$3="","",IF('Regional assumptions'!AD15=1,"","*"&amp;'Regional assumptions'!AD15))</f>
        <v/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/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/>
      </c>
      <c r="AL14" s="6" t="str">
        <f>IF(AL$3="","",IF('Regional assumptions'!AM15=1,"","*"&amp;'Regional assumptions'!AM15))</f>
        <v/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'Regional assumptions'!C16</f>
        <v>FIXOM</v>
      </c>
      <c r="C15" t="str">
        <f>'Regional assumptions'!D16</f>
        <v>EN_Biomass*</v>
      </c>
      <c r="D15" s="6" t="str">
        <f>IF(D$3="","",IF('Regional assumptions'!E16=1,"","*"&amp;'Regional assumptions'!E16))</f>
        <v>*0.874</v>
      </c>
      <c r="E15" s="6" t="str">
        <f>IF(E$3="","",IF('Regional assumptions'!F16=1,"","*"&amp;'Regional assumptions'!F16))</f>
        <v>*0.874</v>
      </c>
      <c r="F15" s="6" t="str">
        <f>IF(F$3="","",IF('Regional assumptions'!G16=1,"","*"&amp;'Regional assumptions'!G16))</f>
        <v>*0.977</v>
      </c>
      <c r="G15" s="6" t="str">
        <f>IF(G$3="","",IF('Regional assumptions'!H16=1,"","*"&amp;'Regional assumptions'!H16))</f>
        <v>*0.885</v>
      </c>
      <c r="H15" s="6" t="str">
        <f>IF(H$3="","",IF('Regional assumptions'!I16=1,"","*"&amp;'Regional assumptions'!I16))</f>
        <v>*0.897</v>
      </c>
      <c r="I15" s="6" t="str">
        <f>IF(I$3="","",IF('Regional assumptions'!J16=1,"","*"&amp;'Regional assumptions'!J16))</f>
        <v>*0.885</v>
      </c>
      <c r="J15" s="6" t="str">
        <f>IF(J$3="","",IF('Regional assumptions'!K16=1,"","*"&amp;'Regional assumptions'!K16))</f>
        <v>*0.885</v>
      </c>
      <c r="K15" s="6" t="str">
        <f>IF(K$3="","",IF('Regional assumptions'!L16=1,"","*"&amp;'Regional assumptions'!L16))</f>
        <v>*0.931</v>
      </c>
      <c r="L15" s="6" t="str">
        <f>IF(L$3="","",IF('Regional assumptions'!M16=1,"","*"&amp;'Regional assumptions'!M16))</f>
        <v>*0.862</v>
      </c>
      <c r="M15" s="6" t="str">
        <f>IF(M$3="","",IF('Regional assumptions'!N16=1,"","*"&amp;'Regional assumptions'!N16))</f>
        <v>*0.966</v>
      </c>
      <c r="N15" s="6" t="str">
        <f>IF(N$3="","",IF('Regional assumptions'!O16=1,"","*"&amp;'Regional assumptions'!O16))</f>
        <v>*0.885</v>
      </c>
      <c r="O15" s="6" t="str">
        <f>IF(O$3="","",IF('Regional assumptions'!P16=1,"","*"&amp;'Regional assumptions'!P16))</f>
        <v>*0.897</v>
      </c>
      <c r="P15" s="6" t="str">
        <f>IF(P$3="","",IF('Regional assumptions'!Q16=1,"","*"&amp;'Regional assumptions'!Q16))</f>
        <v>*0.862</v>
      </c>
      <c r="Q15" s="6" t="str">
        <f>IF(Q$3="","",IF('Regional assumptions'!R16=1,"","*"&amp;'Regional assumptions'!R16))</f>
        <v>*0.92</v>
      </c>
      <c r="R15" s="6" t="str">
        <f>IF(R$3="","",IF('Regional assumptions'!S16=1,"","*"&amp;'Regional assumptions'!S16))</f>
        <v>*0.943</v>
      </c>
      <c r="S15" s="6" t="str">
        <f>IF(S$3="","",IF('Regional assumptions'!T16=1,"","*"&amp;'Regional assumptions'!T16))</f>
        <v>*0.92</v>
      </c>
      <c r="T15" s="6" t="str">
        <f>IF(T$3="","",IF('Regional assumptions'!U16=1,"","*"&amp;'Regional assumptions'!U16))</f>
        <v/>
      </c>
      <c r="U15" s="6" t="str">
        <f>IF(U$3="","",IF('Regional assumptions'!V16=1,"","*"&amp;'Regional assumptions'!V16))</f>
        <v/>
      </c>
      <c r="V15" s="6" t="str">
        <f>IF(V$3="","",IF('Regional assumptions'!W16=1,"","*"&amp;'Regional assumptions'!W16))</f>
        <v/>
      </c>
      <c r="W15" s="6" t="str">
        <f>IF(W$3="","",IF('Regional assumptions'!X16=1,"","*"&amp;'Regional assumptions'!X16))</f>
        <v/>
      </c>
      <c r="X15" s="6" t="str">
        <f>IF(X$3="","",IF('Regional assumptions'!Y16=1,"","*"&amp;'Regional assumptions'!Y16))</f>
        <v/>
      </c>
      <c r="Y15" s="6" t="str">
        <f>IF(Y$3="","",IF('Regional assumptions'!Z16=1,"","*"&amp;'Regional assumptions'!Z16))</f>
        <v/>
      </c>
      <c r="Z15" s="6" t="str">
        <f>IF(Z$3="","",IF('Regional assumptions'!AA16=1,"","*"&amp;'Regional assumptions'!AA16))</f>
        <v/>
      </c>
      <c r="AA15" s="6" t="str">
        <f>IF(AA$3="","",IF('Regional assumptions'!AB16=1,"","*"&amp;'Regional assumptions'!AB16))</f>
        <v/>
      </c>
      <c r="AB15" s="6" t="str">
        <f>IF(AB$3="","",IF('Regional assumptions'!AC16=1,"","*"&amp;'Regional assumptions'!AC16))</f>
        <v/>
      </c>
      <c r="AC15" s="6" t="str">
        <f>IF(AC$3="","",IF('Regional assumptions'!AD16=1,"","*"&amp;'Regional assumptions'!AD16))</f>
        <v/>
      </c>
      <c r="AD15" s="6" t="str">
        <f>IF(AD$3="","",IF('Regional assumptions'!AE16=1,"","*"&amp;'Regional assumptions'!AE16))</f>
        <v/>
      </c>
      <c r="AE15" s="6" t="str">
        <f>IF(AE$3="","",IF('Regional assumptions'!AF16=1,"","*"&amp;'Regional assumptions'!AF16))</f>
        <v/>
      </c>
      <c r="AF15" s="6" t="str">
        <f>IF(AF$3="","",IF('Regional assumptions'!AG16=1,"","*"&amp;'Regional assumptions'!AG16))</f>
        <v/>
      </c>
      <c r="AG15" s="6" t="str">
        <f>IF(AG$3="","",IF('Regional assumptions'!AH16=1,"","*"&amp;'Regional assumptions'!AH16))</f>
        <v/>
      </c>
      <c r="AH15" s="6" t="str">
        <f>IF(AH$3="","",IF('Regional assumptions'!AI16=1,"","*"&amp;'Regional assumptions'!AI16))</f>
        <v/>
      </c>
      <c r="AI15" s="6" t="str">
        <f>IF(AI$3="","",IF('Regional assumptions'!AJ16=1,"","*"&amp;'Regional assumptions'!AJ16))</f>
        <v/>
      </c>
      <c r="AJ15" s="6" t="str">
        <f>IF(AJ$3="","",IF('Regional assumptions'!AK16=1,"","*"&amp;'Regional assumptions'!AK16))</f>
        <v/>
      </c>
      <c r="AK15" s="6" t="str">
        <f>IF(AK$3="","",IF('Regional assumptions'!AL16=1,"","*"&amp;'Regional assumptions'!AL16))</f>
        <v/>
      </c>
      <c r="AL15" s="6" t="str">
        <f>IF(AL$3="","",IF('Regional assumptions'!AM16=1,"","*"&amp;'Regional assumptions'!AM16))</f>
        <v/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'Regional assumptions'!C17</f>
        <v>FIXOM</v>
      </c>
      <c r="C16" t="str">
        <f>'Regional assumptions'!D17</f>
        <v>EN_COAIGCC</v>
      </c>
      <c r="D16" s="6" t="str">
        <f>IF(D$3="","",IF('Regional assumptions'!E17=1,"","*"&amp;'Regional assumptions'!E17))</f>
        <v>*0.819</v>
      </c>
      <c r="E16" s="6" t="str">
        <f>IF(E$3="","",IF('Regional assumptions'!F17=1,"","*"&amp;'Regional assumptions'!F17))</f>
        <v>*0.819</v>
      </c>
      <c r="F16" s="6" t="str">
        <f>IF(F$3="","",IF('Regional assumptions'!G17=1,"","*"&amp;'Regional assumptions'!G17))</f>
        <v>*0.894</v>
      </c>
      <c r="G16" s="6" t="str">
        <f>IF(G$3="","",IF('Regional assumptions'!H17=1,"","*"&amp;'Regional assumptions'!H17))</f>
        <v>*0.819</v>
      </c>
      <c r="H16" s="6" t="str">
        <f>IF(H$3="","",IF('Regional assumptions'!I17=1,"","*"&amp;'Regional assumptions'!I17))</f>
        <v>*0.894</v>
      </c>
      <c r="I16" s="6" t="str">
        <f>IF(I$3="","",IF('Regional assumptions'!J17=1,"","*"&amp;'Regional assumptions'!J17))</f>
        <v>*0.819</v>
      </c>
      <c r="J16" s="6" t="str">
        <f>IF(J$3="","",IF('Regional assumptions'!K17=1,"","*"&amp;'Regional assumptions'!K17))</f>
        <v>*0.819</v>
      </c>
      <c r="K16" s="6" t="str">
        <f>IF(K$3="","",IF('Regional assumptions'!L17=1,"","*"&amp;'Regional assumptions'!L17))</f>
        <v>*0.894</v>
      </c>
      <c r="L16" s="6" t="str">
        <f>IF(L$3="","",IF('Regional assumptions'!M17=1,"","*"&amp;'Regional assumptions'!M17))</f>
        <v>*0.819</v>
      </c>
      <c r="M16" s="6" t="str">
        <f>IF(M$3="","",IF('Regional assumptions'!N17=1,"","*"&amp;'Regional assumptions'!N17))</f>
        <v>*0.947</v>
      </c>
      <c r="N16" s="6" t="str">
        <f>IF(N$3="","",IF('Regional assumptions'!O17=1,"","*"&amp;'Regional assumptions'!O17))</f>
        <v>*0.894</v>
      </c>
      <c r="O16" s="6" t="str">
        <f>IF(O$3="","",IF('Regional assumptions'!P17=1,"","*"&amp;'Regional assumptions'!P17))</f>
        <v>*0.894</v>
      </c>
      <c r="P16" s="6" t="str">
        <f>IF(P$3="","",IF('Regional assumptions'!Q17=1,"","*"&amp;'Regional assumptions'!Q17))</f>
        <v>*0.819</v>
      </c>
      <c r="Q16" s="6" t="str">
        <f>IF(Q$3="","",IF('Regional assumptions'!R17=1,"","*"&amp;'Regional assumptions'!R17))</f>
        <v>*0.894</v>
      </c>
      <c r="R16" s="6" t="str">
        <f>IF(R$3="","",IF('Regional assumptions'!S17=1,"","*"&amp;'Regional assumptions'!S17))</f>
        <v>*0.894</v>
      </c>
      <c r="S16" s="6" t="str">
        <f>IF(S$3="","",IF('Regional assumptions'!T17=1,"","*"&amp;'Regional assumptions'!T17))</f>
        <v>*0.894</v>
      </c>
      <c r="T16" s="6" t="str">
        <f>IF(T$3="","",IF('Regional assumptions'!U17=1,"","*"&amp;'Regional assumptions'!U17))</f>
        <v/>
      </c>
      <c r="U16" s="6" t="str">
        <f>IF(U$3="","",IF('Regional assumptions'!V17=1,"","*"&amp;'Regional assumptions'!V17))</f>
        <v/>
      </c>
      <c r="V16" s="6" t="str">
        <f>IF(V$3="","",IF('Regional assumptions'!W17=1,"","*"&amp;'Regional assumptions'!W17))</f>
        <v/>
      </c>
      <c r="W16" s="6" t="str">
        <f>IF(W$3="","",IF('Regional assumptions'!X17=1,"","*"&amp;'Regional assumptions'!X17))</f>
        <v/>
      </c>
      <c r="X16" s="6" t="str">
        <f>IF(X$3="","",IF('Regional assumptions'!Y17=1,"","*"&amp;'Regional assumptions'!Y17))</f>
        <v/>
      </c>
      <c r="Y16" s="6" t="str">
        <f>IF(Y$3="","",IF('Regional assumptions'!Z17=1,"","*"&amp;'Regional assumptions'!Z17))</f>
        <v/>
      </c>
      <c r="Z16" s="6" t="str">
        <f>IF(Z$3="","",IF('Regional assumptions'!AA17=1,"","*"&amp;'Regional assumptions'!AA17))</f>
        <v/>
      </c>
      <c r="AA16" s="6" t="str">
        <f>IF(AA$3="","",IF('Regional assumptions'!AB17=1,"","*"&amp;'Regional assumptions'!AB17))</f>
        <v/>
      </c>
      <c r="AB16" s="6" t="str">
        <f>IF(AB$3="","",IF('Regional assumptions'!AC17=1,"","*"&amp;'Regional assumptions'!AC17))</f>
        <v/>
      </c>
      <c r="AC16" s="6" t="str">
        <f>IF(AC$3="","",IF('Regional assumptions'!AD17=1,"","*"&amp;'Regional assumptions'!AD17))</f>
        <v/>
      </c>
      <c r="AD16" s="6" t="str">
        <f>IF(AD$3="","",IF('Regional assumptions'!AE17=1,"","*"&amp;'Regional assumptions'!AE17))</f>
        <v/>
      </c>
      <c r="AE16" s="6" t="str">
        <f>IF(AE$3="","",IF('Regional assumptions'!AF17=1,"","*"&amp;'Regional assumptions'!AF17))</f>
        <v/>
      </c>
      <c r="AF16" s="6" t="str">
        <f>IF(AF$3="","",IF('Regional assumptions'!AG17=1,"","*"&amp;'Regional assumptions'!AG17))</f>
        <v/>
      </c>
      <c r="AG16" s="6" t="str">
        <f>IF(AG$3="","",IF('Regional assumptions'!AH17=1,"","*"&amp;'Regional assumptions'!AH17))</f>
        <v/>
      </c>
      <c r="AH16" s="6" t="str">
        <f>IF(AH$3="","",IF('Regional assumptions'!AI17=1,"","*"&amp;'Regional assumptions'!AI17))</f>
        <v/>
      </c>
      <c r="AI16" s="6" t="str">
        <f>IF(AI$3="","",IF('Regional assumptions'!AJ17=1,"","*"&amp;'Regional assumptions'!AJ17))</f>
        <v/>
      </c>
      <c r="AJ16" s="6" t="str">
        <f>IF(AJ$3="","",IF('Regional assumptions'!AK17=1,"","*"&amp;'Regional assumptions'!AK17))</f>
        <v/>
      </c>
      <c r="AK16" s="6" t="str">
        <f>IF(AK$3="","",IF('Regional assumptions'!AL17=1,"","*"&amp;'Regional assumptions'!AL17))</f>
        <v/>
      </c>
      <c r="AL16" s="6" t="str">
        <f>IF(AL$3="","",IF('Regional assumptions'!AM17=1,"","*"&amp;'Regional assumptions'!AM17))</f>
        <v/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'Regional assumptions'!C18</f>
        <v>FIXOM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*0.519</v>
      </c>
      <c r="H17" s="6" t="str">
        <f>IF(H$3="","",IF('Regional assumptions'!I18=1,"","*"&amp;'Regional assumptions'!I18))</f>
        <v>*0.741</v>
      </c>
      <c r="I17" s="6" t="str">
        <f>IF(I$3="","",IF('Regional assumptions'!J18=1,"","*"&amp;'Regional assumptions'!J18))</f>
        <v>*0.37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*0.741</v>
      </c>
      <c r="L17" s="6" t="str">
        <f>IF(L$3="","",IF('Regional assumptions'!M18=1,"","*"&amp;'Regional assumptions'!M18))</f>
        <v>*0.519</v>
      </c>
      <c r="M17" s="6" t="str">
        <f>IF(M$3="","",IF('Regional assumptions'!N18=1,"","*"&amp;'Regional assumptions'!N18))</f>
        <v>*0.926</v>
      </c>
      <c r="N17" s="6" t="str">
        <f>IF(N$3="","",IF('Regional assumptions'!O18=1,"","*"&amp;'Regional assumptions'!O18))</f>
        <v>*0.667</v>
      </c>
      <c r="O17" s="6" t="str">
        <f>IF(O$3="","",IF('Regional assumptions'!P18=1,"","*"&amp;'Regional assumptions'!P18))</f>
        <v>*0.519</v>
      </c>
      <c r="P17" s="6" t="str">
        <f>IF(P$3="","",IF('Regional assumptions'!Q18=1,"","*"&amp;'Regional assumptions'!Q18))</f>
        <v>*0.519</v>
      </c>
      <c r="Q17" s="6" t="str">
        <f>IF(Q$3="","",IF('Regional assumptions'!R18=1,"","*"&amp;'Regional assumptions'!R18))</f>
        <v>*0.667</v>
      </c>
      <c r="R17" s="6" t="str">
        <f>IF(R$3="","",IF('Regional assumptions'!S18=1,"","*"&amp;'Regional assumptions'!S18))</f>
        <v>*0.667</v>
      </c>
      <c r="S17" s="6" t="str">
        <f>IF(S$3="","",IF('Regional assumptions'!T18=1,"","*"&amp;'Regional assumptions'!T18))</f>
        <v>*0.667</v>
      </c>
      <c r="T17" s="6" t="str">
        <f>IF(T$3="","",IF('Regional assumptions'!U18=1,"","*"&amp;'Regional assumptions'!U18))</f>
        <v/>
      </c>
      <c r="U17" s="6" t="str">
        <f>IF(U$3="","",IF('Regional assumptions'!V18=1,"","*"&amp;'Regional assumptions'!V18))</f>
        <v/>
      </c>
      <c r="V17" s="6" t="str">
        <f>IF(V$3="","",IF('Regional assumptions'!W18=1,"","*"&amp;'Regional assumptions'!W18))</f>
        <v/>
      </c>
      <c r="W17" s="6" t="str">
        <f>IF(W$3="","",IF('Regional assumptions'!X18=1,"","*"&amp;'Regional assumptions'!X18))</f>
        <v/>
      </c>
      <c r="X17" s="6" t="str">
        <f>IF(X$3="","",IF('Regional assumptions'!Y18=1,"","*"&amp;'Regional assumptions'!Y18))</f>
        <v/>
      </c>
      <c r="Y17" s="6" t="str">
        <f>IF(Y$3="","",IF('Regional assumptions'!Z18=1,"","*"&amp;'Regional assumptions'!Z18))</f>
        <v/>
      </c>
      <c r="Z17" s="6" t="str">
        <f>IF(Z$3="","",IF('Regional assumptions'!AA18=1,"","*"&amp;'Regional assumptions'!AA18))</f>
        <v/>
      </c>
      <c r="AA17" s="6" t="str">
        <f>IF(AA$3="","",IF('Regional assumptions'!AB18=1,"","*"&amp;'Regional assumptions'!AB18))</f>
        <v/>
      </c>
      <c r="AB17" s="6" t="str">
        <f>IF(AB$3="","",IF('Regional assumptions'!AC18=1,"","*"&amp;'Regional assumptions'!AC18))</f>
        <v/>
      </c>
      <c r="AC17" s="6" t="str">
        <f>IF(AC$3="","",IF('Regional assumptions'!AD18=1,"","*"&amp;'Regional assumptions'!AD18))</f>
        <v/>
      </c>
      <c r="AD17" s="6" t="str">
        <f>IF(AD$3="","",IF('Regional assumptions'!AE18=1,"","*"&amp;'Regional assumptions'!AE18))</f>
        <v/>
      </c>
      <c r="AE17" s="6" t="str">
        <f>IF(AE$3="","",IF('Regional assumptions'!AF18=1,"","*"&amp;'Regional assumptions'!AF18))</f>
        <v/>
      </c>
      <c r="AF17" s="6" t="str">
        <f>IF(AF$3="","",IF('Regional assumptions'!AG18=1,"","*"&amp;'Regional assumptions'!AG18))</f>
        <v/>
      </c>
      <c r="AG17" s="6" t="str">
        <f>IF(AG$3="","",IF('Regional assumptions'!AH18=1,"","*"&amp;'Regional assumptions'!AH18))</f>
        <v/>
      </c>
      <c r="AH17" s="6" t="str">
        <f>IF(AH$3="","",IF('Regional assumptions'!AI18=1,"","*"&amp;'Regional assumptions'!AI18))</f>
        <v/>
      </c>
      <c r="AI17" s="6" t="str">
        <f>IF(AI$3="","",IF('Regional assumptions'!AJ18=1,"","*"&amp;'Regional assumptions'!AJ18))</f>
        <v/>
      </c>
      <c r="AJ17" s="6" t="str">
        <f>IF(AJ$3="","",IF('Regional assumptions'!AK18=1,"","*"&amp;'Regional assumptions'!AK18))</f>
        <v/>
      </c>
      <c r="AK17" s="6" t="str">
        <f>IF(AK$3="","",IF('Regional assumptions'!AL18=1,"","*"&amp;'Regional assumptions'!AL18))</f>
        <v/>
      </c>
      <c r="AL17" s="6" t="str">
        <f>IF(AL$3="","",IF('Regional assumptions'!AM18=1,"","*"&amp;'Regional assumptions'!AM18))</f>
        <v/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'Regional assumptions'!C19</f>
        <v>FIXOM</v>
      </c>
      <c r="C18" t="str">
        <f>'Regional assumptions'!D19</f>
        <v>EN_GasCC</v>
      </c>
      <c r="D18" s="6" t="str">
        <f>IF(D$3="","",IF('Regional assumptions'!E19=1,"","*"&amp;'Regional assumptions'!E19))</f>
        <v>*0.733</v>
      </c>
      <c r="E18" s="6" t="str">
        <f>IF(E$3="","",IF('Regional assumptions'!F19=1,"","*"&amp;'Regional assumptions'!F19))</f>
        <v>*0.733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>*0.733</v>
      </c>
      <c r="H18" s="6" t="str">
        <f>IF(H$3="","",IF('Regional assumptions'!I19=1,"","*"&amp;'Regional assumptions'!I19))</f>
        <v/>
      </c>
      <c r="I18" s="6" t="str">
        <f>IF(I$3="","",IF('Regional assumptions'!J19=1,"","*"&amp;'Regional assumptions'!J19))</f>
        <v>*0.733</v>
      </c>
      <c r="J18" s="6" t="str">
        <f>IF(J$3="","",IF('Regional assumptions'!K19=1,"","*"&amp;'Regional assumptions'!K19))</f>
        <v>*0.733</v>
      </c>
      <c r="K18" s="6" t="str">
        <f>IF(K$3="","",IF('Regional assumptions'!L19=1,"","*"&amp;'Regional assumptions'!L19))</f>
        <v/>
      </c>
      <c r="L18" s="6" t="str">
        <f>IF(L$3="","",IF('Regional assumptions'!M19=1,"","*"&amp;'Regional assumptions'!M19))</f>
        <v>*0.733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>*0.867</v>
      </c>
      <c r="O18" s="6" t="str">
        <f>IF(O$3="","",IF('Regional assumptions'!P19=1,"","*"&amp;'Regional assumptions'!P19))</f>
        <v>*0.733</v>
      </c>
      <c r="P18" s="6" t="str">
        <f>IF(P$3="","",IF('Regional assumptions'!Q19=1,"","*"&amp;'Regional assumptions'!Q19))</f>
        <v>*0.733</v>
      </c>
      <c r="Q18" s="6" t="str">
        <f>IF(Q$3="","",IF('Regional assumptions'!R19=1,"","*"&amp;'Regional assumptions'!R19))</f>
        <v>*0.867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*0.867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/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/>
      </c>
      <c r="X18" s="6" t="str">
        <f>IF(X$3="","",IF('Regional assumptions'!Y19=1,"","*"&amp;'Regional assumptions'!Y19))</f>
        <v/>
      </c>
      <c r="Y18" s="6" t="str">
        <f>IF(Y$3="","",IF('Regional assumptions'!Z19=1,"","*"&amp;'Regional assumptions'!Z19))</f>
        <v/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/>
      </c>
      <c r="AC18" s="6" t="str">
        <f>IF(AC$3="","",IF('Regional assumptions'!AD19=1,"","*"&amp;'Regional assumptions'!AD19))</f>
        <v/>
      </c>
      <c r="AD18" s="6" t="str">
        <f>IF(AD$3="","",IF('Regional assumptions'!AE19=1,"","*"&amp;'Regional assumptions'!AE19))</f>
        <v/>
      </c>
      <c r="AE18" s="6" t="str">
        <f>IF(AE$3="","",IF('Regional assumptions'!AF19=1,"","*"&amp;'Regional assumptions'!AF19))</f>
        <v/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/>
      </c>
      <c r="AL18" s="6" t="str">
        <f>IF(AL$3="","",IF('Regional assumptions'!AM19=1,"","*"&amp;'Regional assumptions'!AM19))</f>
        <v/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'Regional assumptions'!C20</f>
        <v>FIXOM</v>
      </c>
      <c r="C19" t="str">
        <f>'Regional assumptions'!D20</f>
        <v>EN_GasCCAdv</v>
      </c>
      <c r="D19" s="6" t="str">
        <f>IF(D$3="","",IF('Regional assumptions'!E20=1,"","*"&amp;'Regional assumptions'!E20))</f>
        <v>*0.733</v>
      </c>
      <c r="E19" s="6" t="str">
        <f>IF(E$3="","",IF('Regional assumptions'!F20=1,"","*"&amp;'Regional assumptions'!F20))</f>
        <v>*0.733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>*0.733</v>
      </c>
      <c r="H19" s="6" t="str">
        <f>IF(H$3="","",IF('Regional assumptions'!I20=1,"","*"&amp;'Regional assumptions'!I20))</f>
        <v/>
      </c>
      <c r="I19" s="6" t="str">
        <f>IF(I$3="","",IF('Regional assumptions'!J20=1,"","*"&amp;'Regional assumptions'!J20))</f>
        <v>*0.733</v>
      </c>
      <c r="J19" s="6" t="str">
        <f>IF(J$3="","",IF('Regional assumptions'!K20=1,"","*"&amp;'Regional assumptions'!K20))</f>
        <v>*0.733</v>
      </c>
      <c r="K19" s="6" t="str">
        <f>IF(K$3="","",IF('Regional assumptions'!L20=1,"","*"&amp;'Regional assumptions'!L20))</f>
        <v/>
      </c>
      <c r="L19" s="6" t="str">
        <f>IF(L$3="","",IF('Regional assumptions'!M20=1,"","*"&amp;'Regional assumptions'!M20))</f>
        <v>*0.733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>*0.867</v>
      </c>
      <c r="O19" s="6" t="str">
        <f>IF(O$3="","",IF('Regional assumptions'!P20=1,"","*"&amp;'Regional assumptions'!P20))</f>
        <v>*0.733</v>
      </c>
      <c r="P19" s="6" t="str">
        <f>IF(P$3="","",IF('Regional assumptions'!Q20=1,"","*"&amp;'Regional assumptions'!Q20))</f>
        <v>*0.733</v>
      </c>
      <c r="Q19" s="6" t="str">
        <f>IF(Q$3="","",IF('Regional assumptions'!R20=1,"","*"&amp;'Regional assumptions'!R20))</f>
        <v>*0.867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*0.867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/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/>
      </c>
      <c r="X19" s="6" t="str">
        <f>IF(X$3="","",IF('Regional assumptions'!Y20=1,"","*"&amp;'Regional assumptions'!Y20))</f>
        <v/>
      </c>
      <c r="Y19" s="6" t="str">
        <f>IF(Y$3="","",IF('Regional assumptions'!Z20=1,"","*"&amp;'Regional assumptions'!Z20))</f>
        <v/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/>
      </c>
      <c r="AC19" s="6" t="str">
        <f>IF(AC$3="","",IF('Regional assumptions'!AD20=1,"","*"&amp;'Regional assumptions'!AD20))</f>
        <v/>
      </c>
      <c r="AD19" s="6" t="str">
        <f>IF(AD$3="","",IF('Regional assumptions'!AE20=1,"","*"&amp;'Regional assumptions'!AE20))</f>
        <v/>
      </c>
      <c r="AE19" s="6" t="str">
        <f>IF(AE$3="","",IF('Regional assumptions'!AF20=1,"","*"&amp;'Regional assumptions'!AF20))</f>
        <v/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/>
      </c>
      <c r="AL19" s="6" t="str">
        <f>IF(AL$3="","",IF('Regional assumptions'!AM20=1,"","*"&amp;'Regional assumptions'!AM20))</f>
        <v/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'Regional assumptions'!C21</f>
        <v>FIXOM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>*0.75</v>
      </c>
      <c r="H20" s="6" t="str">
        <f>IF(H$3="","",IF('Regional assumptions'!I21=1,"","*"&amp;'Regional assumptions'!I21))</f>
        <v/>
      </c>
      <c r="I20" s="6" t="str">
        <f>IF(I$3="","",IF('Regional assumptions'!J21=1,"","*"&amp;'Regional assumptions'!J21))</f>
        <v>*0.75</v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/>
      </c>
      <c r="L20" s="6" t="str">
        <f>IF(L$3="","",IF('Regional assumptions'!M21=1,"","*"&amp;'Regional assumptions'!M21))</f>
        <v>*0.75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>*0.85</v>
      </c>
      <c r="O20" s="6" t="str">
        <f>IF(O$3="","",IF('Regional assumptions'!P21=1,"","*"&amp;'Regional assumptions'!P21))</f>
        <v>*0.75</v>
      </c>
      <c r="P20" s="6" t="str">
        <f>IF(P$3="","",IF('Regional assumptions'!Q21=1,"","*"&amp;'Regional assumptions'!Q21))</f>
        <v>*0.75</v>
      </c>
      <c r="Q20" s="6" t="str">
        <f>IF(Q$3="","",IF('Regional assumptions'!R21=1,"","*"&amp;'Regional assumptions'!R21))</f>
        <v>*0.85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*0.85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/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/>
      </c>
      <c r="X20" s="6" t="str">
        <f>IF(X$3="","",IF('Regional assumptions'!Y21=1,"","*"&amp;'Regional assumptions'!Y21))</f>
        <v/>
      </c>
      <c r="Y20" s="6" t="str">
        <f>IF(Y$3="","",IF('Regional assumptions'!Z21=1,"","*"&amp;'Regional assumptions'!Z21))</f>
        <v/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/>
      </c>
      <c r="AC20" s="6" t="str">
        <f>IF(AC$3="","",IF('Regional assumptions'!AD21=1,"","*"&amp;'Regional assumptions'!AD21))</f>
        <v/>
      </c>
      <c r="AD20" s="6" t="str">
        <f>IF(AD$3="","",IF('Regional assumptions'!AE21=1,"","*"&amp;'Regional assumptions'!AE21))</f>
        <v/>
      </c>
      <c r="AE20" s="6" t="str">
        <f>IF(AE$3="","",IF('Regional assumptions'!AF21=1,"","*"&amp;'Regional assumptions'!AF21))</f>
        <v/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/>
      </c>
      <c r="AL20" s="6" t="str">
        <f>IF(AL$3="","",IF('Regional assumptions'!AM21=1,"","*"&amp;'Regional assumptions'!AM21))</f>
        <v/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'Regional assumptions'!C22</f>
        <v>FIXOM</v>
      </c>
      <c r="C21" t="str">
        <f>'Regional assumptions'!D22</f>
        <v>EN_GasCTAdv</v>
      </c>
      <c r="D21" s="6" t="str">
        <f>IF(D$3="","",IF('Regional assumptions'!E22=1,"","*"&amp;'Regional assumptions'!E22))</f>
        <v>*0.778</v>
      </c>
      <c r="E21" s="6" t="str">
        <f>IF(E$3="","",IF('Regional assumptions'!F22=1,"","*"&amp;'Regional assumptions'!F22))</f>
        <v>*0.778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>*0.778</v>
      </c>
      <c r="H21" s="6" t="str">
        <f>IF(H$3="","",IF('Regional assumptions'!I22=1,"","*"&amp;'Regional assumptions'!I22))</f>
        <v/>
      </c>
      <c r="I21" s="6" t="str">
        <f>IF(I$3="","",IF('Regional assumptions'!J22=1,"","*"&amp;'Regional assumptions'!J22))</f>
        <v>*0.778</v>
      </c>
      <c r="J21" s="6" t="str">
        <f>IF(J$3="","",IF('Regional assumptions'!K22=1,"","*"&amp;'Regional assumptions'!K22))</f>
        <v>*0.778</v>
      </c>
      <c r="K21" s="6" t="str">
        <f>IF(K$3="","",IF('Regional assumptions'!L22=1,"","*"&amp;'Regional assumptions'!L22))</f>
        <v/>
      </c>
      <c r="L21" s="6" t="str">
        <f>IF(L$3="","",IF('Regional assumptions'!M22=1,"","*"&amp;'Regional assumptions'!M22))</f>
        <v>*0.778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>*0.889</v>
      </c>
      <c r="O21" s="6" t="str">
        <f>IF(O$3="","",IF('Regional assumptions'!P22=1,"","*"&amp;'Regional assumptions'!P22))</f>
        <v>*0.778</v>
      </c>
      <c r="P21" s="6" t="str">
        <f>IF(P$3="","",IF('Regional assumptions'!Q22=1,"","*"&amp;'Regional assumptions'!Q22))</f>
        <v>*0.778</v>
      </c>
      <c r="Q21" s="6" t="str">
        <f>IF(Q$3="","",IF('Regional assumptions'!R22=1,"","*"&amp;'Regional assumptions'!R22))</f>
        <v>*0.889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*0.889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/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/>
      </c>
      <c r="X21" s="6" t="str">
        <f>IF(X$3="","",IF('Regional assumptions'!Y22=1,"","*"&amp;'Regional assumptions'!Y22))</f>
        <v/>
      </c>
      <c r="Y21" s="6" t="str">
        <f>IF(Y$3="","",IF('Regional assumptions'!Z22=1,"","*"&amp;'Regional assumptions'!Z22))</f>
        <v/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/>
      </c>
      <c r="AC21" s="6" t="str">
        <f>IF(AC$3="","",IF('Regional assumptions'!AD22=1,"","*"&amp;'Regional assumptions'!AD22))</f>
        <v/>
      </c>
      <c r="AD21" s="6" t="str">
        <f>IF(AD$3="","",IF('Regional assumptions'!AE22=1,"","*"&amp;'Regional assumptions'!AE22))</f>
        <v/>
      </c>
      <c r="AE21" s="6" t="str">
        <f>IF(AE$3="","",IF('Regional assumptions'!AF22=1,"","*"&amp;'Regional assumptions'!AF22))</f>
        <v/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/>
      </c>
      <c r="AL21" s="6" t="str">
        <f>IF(AL$3="","",IF('Regional assumptions'!AM22=1,"","*"&amp;'Regional assumptions'!AM22))</f>
        <v/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'Regional assumptions'!C23</f>
        <v>FIXOM</v>
      </c>
      <c r="C22" t="str">
        <f>'Regional assumptions'!D23</f>
        <v>EN_NuclearAdv</v>
      </c>
      <c r="D22" s="6" t="str">
        <f>IF(D$3="","",IF('Regional assumptions'!E23=1,"","*"&amp;'Regional assumptions'!E23))</f>
        <v>*0.582</v>
      </c>
      <c r="E22" s="6" t="str">
        <f>IF(E$3="","",IF('Regional assumptions'!F23=1,"","*"&amp;'Regional assumptions'!F23))</f>
        <v>*0.582</v>
      </c>
      <c r="F22" s="6" t="str">
        <f>IF(F$3="","",IF('Regional assumptions'!G23=1,"","*"&amp;'Regional assumptions'!G23))</f>
        <v>*0.655</v>
      </c>
      <c r="G22" s="6" t="str">
        <f>IF(G$3="","",IF('Regional assumptions'!H23=1,"","*"&amp;'Regional assumptions'!H23))</f>
        <v>*0.582</v>
      </c>
      <c r="H22" s="6" t="str">
        <f>IF(H$3="","",IF('Regional assumptions'!I23=1,"","*"&amp;'Regional assumptions'!I23))</f>
        <v>*0.618</v>
      </c>
      <c r="I22" s="6" t="str">
        <f>IF(I$3="","",IF('Regional assumptions'!J23=1,"","*"&amp;'Regional assumptions'!J23))</f>
        <v>*0.545</v>
      </c>
      <c r="J22" s="6" t="str">
        <f>IF(J$3="","",IF('Regional assumptions'!K23=1,"","*"&amp;'Regional assumptions'!K23))</f>
        <v>*0.582</v>
      </c>
      <c r="K22" s="6" t="str">
        <f>IF(K$3="","",IF('Regional assumptions'!L23=1,"","*"&amp;'Regional assumptions'!L23))</f>
        <v>*0.655</v>
      </c>
      <c r="L22" s="6" t="str">
        <f>IF(L$3="","",IF('Regional assumptions'!M23=1,"","*"&amp;'Regional assumptions'!M23))</f>
        <v>*0.582</v>
      </c>
      <c r="M22" s="6" t="str">
        <f>IF(M$3="","",IF('Regional assumptions'!N23=1,"","*"&amp;'Regional assumptions'!N23))</f>
        <v>*0.655</v>
      </c>
      <c r="N22" s="6" t="str">
        <f>IF(N$3="","",IF('Regional assumptions'!O23=1,"","*"&amp;'Regional assumptions'!O23))</f>
        <v>*0.582</v>
      </c>
      <c r="O22" s="6" t="str">
        <f>IF(O$3="","",IF('Regional assumptions'!P23=1,"","*"&amp;'Regional assumptions'!P23))</f>
        <v>*0.582</v>
      </c>
      <c r="P22" s="6" t="str">
        <f>IF(P$3="","",IF('Regional assumptions'!Q23=1,"","*"&amp;'Regional assumptions'!Q23))</f>
        <v>*0.582</v>
      </c>
      <c r="Q22" s="6" t="str">
        <f>IF(Q$3="","",IF('Regional assumptions'!R23=1,"","*"&amp;'Regional assumptions'!R23))</f>
        <v>*0.582</v>
      </c>
      <c r="R22" s="6" t="str">
        <f>IF(R$3="","",IF('Regional assumptions'!S23=1,"","*"&amp;'Regional assumptions'!S23))</f>
        <v>*0.582</v>
      </c>
      <c r="S22" s="6" t="str">
        <f>IF(S$3="","",IF('Regional assumptions'!T23=1,"","*"&amp;'Regional assumptions'!T23))</f>
        <v>*0.582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/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/>
      </c>
      <c r="X22" s="6" t="str">
        <f>IF(X$3="","",IF('Regional assumptions'!Y23=1,"","*"&amp;'Regional assumptions'!Y23))</f>
        <v/>
      </c>
      <c r="Y22" s="6" t="str">
        <f>IF(Y$3="","",IF('Regional assumptions'!Z23=1,"","*"&amp;'Regional assumptions'!Z23))</f>
        <v/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/>
      </c>
      <c r="AC22" s="6" t="str">
        <f>IF(AC$3="","",IF('Regional assumptions'!AD23=1,"","*"&amp;'Regional assumptions'!AD23))</f>
        <v/>
      </c>
      <c r="AD22" s="6" t="str">
        <f>IF(AD$3="","",IF('Regional assumptions'!AE23=1,"","*"&amp;'Regional assumptions'!AE23))</f>
        <v/>
      </c>
      <c r="AE22" s="6" t="str">
        <f>IF(AE$3="","",IF('Regional assumptions'!AF23=1,"","*"&amp;'Regional assumptions'!AF23))</f>
        <v/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/>
      </c>
      <c r="AL22" s="6" t="str">
        <f>IF(AL$3="","",IF('Regional assumptions'!AM23=1,"","*"&amp;'Regional assumptions'!AM23))</f>
        <v/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'Regional assumptions'!C24</f>
        <v>FIXOM</v>
      </c>
      <c r="C23" t="str">
        <f>'Regional assumptions'!D24</f>
        <v>EN_OilCCAdv</v>
      </c>
      <c r="D23" s="6" t="str">
        <f>IF(D$3="","",IF('Regional assumptions'!E24=1,"","*"&amp;'Regional assumptions'!E24))</f>
        <v>*0.733</v>
      </c>
      <c r="E23" s="6" t="str">
        <f>IF(E$3="","",IF('Regional assumptions'!F24=1,"","*"&amp;'Regional assumptions'!F24))</f>
        <v>*0.733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>*0.733</v>
      </c>
      <c r="H23" s="6" t="str">
        <f>IF(H$3="","",IF('Regional assumptions'!I24=1,"","*"&amp;'Regional assumptions'!I24))</f>
        <v/>
      </c>
      <c r="I23" s="6" t="str">
        <f>IF(I$3="","",IF('Regional assumptions'!J24=1,"","*"&amp;'Regional assumptions'!J24))</f>
        <v>*0.733</v>
      </c>
      <c r="J23" s="6" t="str">
        <f>IF(J$3="","",IF('Regional assumptions'!K24=1,"","*"&amp;'Regional assumptions'!K24))</f>
        <v>*0.733</v>
      </c>
      <c r="K23" s="6" t="str">
        <f>IF(K$3="","",IF('Regional assumptions'!L24=1,"","*"&amp;'Regional assumptions'!L24))</f>
        <v/>
      </c>
      <c r="L23" s="6" t="str">
        <f>IF(L$3="","",IF('Regional assumptions'!M24=1,"","*"&amp;'Regional assumptions'!M24))</f>
        <v>*0.733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>*0.867</v>
      </c>
      <c r="O23" s="6" t="str">
        <f>IF(O$3="","",IF('Regional assumptions'!P24=1,"","*"&amp;'Regional assumptions'!P24))</f>
        <v>*0.733</v>
      </c>
      <c r="P23" s="6" t="str">
        <f>IF(P$3="","",IF('Regional assumptions'!Q24=1,"","*"&amp;'Regional assumptions'!Q24))</f>
        <v>*0.733</v>
      </c>
      <c r="Q23" s="6" t="str">
        <f>IF(Q$3="","",IF('Regional assumptions'!R24=1,"","*"&amp;'Regional assumptions'!R24))</f>
        <v>*0.867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*0.867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/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/>
      </c>
      <c r="X23" s="6" t="str">
        <f>IF(X$3="","",IF('Regional assumptions'!Y24=1,"","*"&amp;'Regional assumptions'!Y24))</f>
        <v/>
      </c>
      <c r="Y23" s="6" t="str">
        <f>IF(Y$3="","",IF('Regional assumptions'!Z24=1,"","*"&amp;'Regional assumptions'!Z24))</f>
        <v/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/>
      </c>
      <c r="AC23" s="6" t="str">
        <f>IF(AC$3="","",IF('Regional assumptions'!AD24=1,"","*"&amp;'Regional assumptions'!AD24))</f>
        <v/>
      </c>
      <c r="AD23" s="6" t="str">
        <f>IF(AD$3="","",IF('Regional assumptions'!AE24=1,"","*"&amp;'Regional assumptions'!AE24))</f>
        <v/>
      </c>
      <c r="AE23" s="6" t="str">
        <f>IF(AE$3="","",IF('Regional assumptions'!AF24=1,"","*"&amp;'Regional assumptions'!AF24))</f>
        <v/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/>
      </c>
      <c r="AL23" s="6" t="str">
        <f>IF(AL$3="","",IF('Regional assumptions'!AM24=1,"","*"&amp;'Regional assumptions'!AM24))</f>
        <v/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'Regional assumptions'!C25</f>
        <v>FIXOM</v>
      </c>
      <c r="C24" t="str">
        <f>'Regional assumptions'!D25</f>
        <v>EN_ZCOAIGCC</v>
      </c>
      <c r="D24" s="6" t="str">
        <f>IF(D$3="","",IF('Regional assumptions'!E25=1,"","*"&amp;'Regional assumptions'!E25))</f>
        <v>*0.819</v>
      </c>
      <c r="E24" s="6" t="str">
        <f>IF(E$3="","",IF('Regional assumptions'!F25=1,"","*"&amp;'Regional assumptions'!F25))</f>
        <v>*0.819</v>
      </c>
      <c r="F24" s="6" t="str">
        <f>IF(F$3="","",IF('Regional assumptions'!G25=1,"","*"&amp;'Regional assumptions'!G25))</f>
        <v>*0.894</v>
      </c>
      <c r="G24" s="6" t="str">
        <f>IF(G$3="","",IF('Regional assumptions'!H25=1,"","*"&amp;'Regional assumptions'!H25))</f>
        <v>*0.819</v>
      </c>
      <c r="H24" s="6" t="str">
        <f>IF(H$3="","",IF('Regional assumptions'!I25=1,"","*"&amp;'Regional assumptions'!I25))</f>
        <v>*0.894</v>
      </c>
      <c r="I24" s="6" t="str">
        <f>IF(I$3="","",IF('Regional assumptions'!J25=1,"","*"&amp;'Regional assumptions'!J25))</f>
        <v>*0.819</v>
      </c>
      <c r="J24" s="6" t="str">
        <f>IF(J$3="","",IF('Regional assumptions'!K25=1,"","*"&amp;'Regional assumptions'!K25))</f>
        <v>*0.819</v>
      </c>
      <c r="K24" s="6" t="str">
        <f>IF(K$3="","",IF('Regional assumptions'!L25=1,"","*"&amp;'Regional assumptions'!L25))</f>
        <v>*0.894</v>
      </c>
      <c r="L24" s="6" t="str">
        <f>IF(L$3="","",IF('Regional assumptions'!M25=1,"","*"&amp;'Regional assumptions'!M25))</f>
        <v>*0.819</v>
      </c>
      <c r="M24" s="6" t="str">
        <f>IF(M$3="","",IF('Regional assumptions'!N25=1,"","*"&amp;'Regional assumptions'!N25))</f>
        <v>*0.947</v>
      </c>
      <c r="N24" s="6" t="str">
        <f>IF(N$3="","",IF('Regional assumptions'!O25=1,"","*"&amp;'Regional assumptions'!O25))</f>
        <v>*0.894</v>
      </c>
      <c r="O24" s="6" t="str">
        <f>IF(O$3="","",IF('Regional assumptions'!P25=1,"","*"&amp;'Regional assumptions'!P25))</f>
        <v>*0.894</v>
      </c>
      <c r="P24" s="6" t="str">
        <f>IF(P$3="","",IF('Regional assumptions'!Q25=1,"","*"&amp;'Regional assumptions'!Q25))</f>
        <v>*0.819</v>
      </c>
      <c r="Q24" s="6" t="str">
        <f>IF(Q$3="","",IF('Regional assumptions'!R25=1,"","*"&amp;'Regional assumptions'!R25))</f>
        <v>*0.894</v>
      </c>
      <c r="R24" s="6" t="str">
        <f>IF(R$3="","",IF('Regional assumptions'!S25=1,"","*"&amp;'Regional assumptions'!S25))</f>
        <v>*0.894</v>
      </c>
      <c r="S24" s="6" t="str">
        <f>IF(S$3="","",IF('Regional assumptions'!T25=1,"","*"&amp;'Regional assumptions'!T25))</f>
        <v>*0.894</v>
      </c>
      <c r="T24" s="6" t="str">
        <f>IF(T$3="","",IF('Regional assumptions'!U25=1,"","*"&amp;'Regional assumptions'!U25))</f>
        <v/>
      </c>
      <c r="U24" s="6" t="str">
        <f>IF(U$3="","",IF('Regional assumptions'!V25=1,"","*"&amp;'Regional assumptions'!V25))</f>
        <v/>
      </c>
      <c r="V24" s="6" t="str">
        <f>IF(V$3="","",IF('Regional assumptions'!W25=1,"","*"&amp;'Regional assumptions'!W25))</f>
        <v/>
      </c>
      <c r="W24" s="6" t="str">
        <f>IF(W$3="","",IF('Regional assumptions'!X25=1,"","*"&amp;'Regional assumptions'!X25))</f>
        <v/>
      </c>
      <c r="X24" s="6" t="str">
        <f>IF(X$3="","",IF('Regional assumptions'!Y25=1,"","*"&amp;'Regional assumptions'!Y25))</f>
        <v/>
      </c>
      <c r="Y24" s="6" t="str">
        <f>IF(Y$3="","",IF('Regional assumptions'!Z25=1,"","*"&amp;'Regional assumptions'!Z25))</f>
        <v/>
      </c>
      <c r="Z24" s="6" t="str">
        <f>IF(Z$3="","",IF('Regional assumptions'!AA25=1,"","*"&amp;'Regional assumptions'!AA25))</f>
        <v/>
      </c>
      <c r="AA24" s="6" t="str">
        <f>IF(AA$3="","",IF('Regional assumptions'!AB25=1,"","*"&amp;'Regional assumptions'!AB25))</f>
        <v/>
      </c>
      <c r="AB24" s="6" t="str">
        <f>IF(AB$3="","",IF('Regional assumptions'!AC25=1,"","*"&amp;'Regional assumptions'!AC25))</f>
        <v/>
      </c>
      <c r="AC24" s="6" t="str">
        <f>IF(AC$3="","",IF('Regional assumptions'!AD25=1,"","*"&amp;'Regional assumptions'!AD25))</f>
        <v/>
      </c>
      <c r="AD24" s="6" t="str">
        <f>IF(AD$3="","",IF('Regional assumptions'!AE25=1,"","*"&amp;'Regional assumptions'!AE25))</f>
        <v/>
      </c>
      <c r="AE24" s="6" t="str">
        <f>IF(AE$3="","",IF('Regional assumptions'!AF25=1,"","*"&amp;'Regional assumptions'!AF25))</f>
        <v/>
      </c>
      <c r="AF24" s="6" t="str">
        <f>IF(AF$3="","",IF('Regional assumptions'!AG25=1,"","*"&amp;'Regional assumptions'!AG25))</f>
        <v/>
      </c>
      <c r="AG24" s="6" t="str">
        <f>IF(AG$3="","",IF('Regional assumptions'!AH25=1,"","*"&amp;'Regional assumptions'!AH25))</f>
        <v/>
      </c>
      <c r="AH24" s="6" t="str">
        <f>IF(AH$3="","",IF('Regional assumptions'!AI25=1,"","*"&amp;'Regional assumptions'!AI25))</f>
        <v/>
      </c>
      <c r="AI24" s="6" t="str">
        <f>IF(AI$3="","",IF('Regional assumptions'!AJ25=1,"","*"&amp;'Regional assumptions'!AJ25))</f>
        <v/>
      </c>
      <c r="AJ24" s="6" t="str">
        <f>IF(AJ$3="","",IF('Regional assumptions'!AK25=1,"","*"&amp;'Regional assumptions'!AK25))</f>
        <v/>
      </c>
      <c r="AK24" s="6" t="str">
        <f>IF(AK$3="","",IF('Regional assumptions'!AL25=1,"","*"&amp;'Regional assumptions'!AL25))</f>
        <v/>
      </c>
      <c r="AL24" s="6" t="str">
        <f>IF(AL$3="","",IF('Regional assumptions'!AM25=1,"","*"&amp;'Regional assumptions'!AM25))</f>
        <v/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'Regional assumptions'!C26</f>
        <v>FIXOM</v>
      </c>
      <c r="C25" t="str">
        <f>'Regional assumptions'!D26</f>
        <v>EN_ZGasCCAdv</v>
      </c>
      <c r="D25" s="6" t="str">
        <f>IF(D$3="","",IF('Regional assumptions'!E26=1,"","*"&amp;'Regional assumptions'!E26))</f>
        <v>*0.733</v>
      </c>
      <c r="E25" s="6" t="str">
        <f>IF(E$3="","",IF('Regional assumptions'!F26=1,"","*"&amp;'Regional assumptions'!F26))</f>
        <v>*0.733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>*0.733</v>
      </c>
      <c r="H25" s="6" t="str">
        <f>IF(H$3="","",IF('Regional assumptions'!I26=1,"","*"&amp;'Regional assumptions'!I26))</f>
        <v/>
      </c>
      <c r="I25" s="6" t="str">
        <f>IF(I$3="","",IF('Regional assumptions'!J26=1,"","*"&amp;'Regional assumptions'!J26))</f>
        <v>*0.733</v>
      </c>
      <c r="J25" s="6" t="str">
        <f>IF(J$3="","",IF('Regional assumptions'!K26=1,"","*"&amp;'Regional assumptions'!K26))</f>
        <v>*0.733</v>
      </c>
      <c r="K25" s="6" t="str">
        <f>IF(K$3="","",IF('Regional assumptions'!L26=1,"","*"&amp;'Regional assumptions'!L26))</f>
        <v/>
      </c>
      <c r="L25" s="6" t="str">
        <f>IF(L$3="","",IF('Regional assumptions'!M26=1,"","*"&amp;'Regional assumptions'!M26))</f>
        <v>*0.733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>*0.867</v>
      </c>
      <c r="O25" s="6" t="str">
        <f>IF(O$3="","",IF('Regional assumptions'!P26=1,"","*"&amp;'Regional assumptions'!P26))</f>
        <v>*0.733</v>
      </c>
      <c r="P25" s="6" t="str">
        <f>IF(P$3="","",IF('Regional assumptions'!Q26=1,"","*"&amp;'Regional assumptions'!Q26))</f>
        <v>*0.733</v>
      </c>
      <c r="Q25" s="6" t="str">
        <f>IF(Q$3="","",IF('Regional assumptions'!R26=1,"","*"&amp;'Regional assumptions'!R26))</f>
        <v>*0.867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*0.867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/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/>
      </c>
      <c r="X25" s="6" t="str">
        <f>IF(X$3="","",IF('Regional assumptions'!Y26=1,"","*"&amp;'Regional assumptions'!Y26))</f>
        <v/>
      </c>
      <c r="Y25" s="6" t="str">
        <f>IF(Y$3="","",IF('Regional assumptions'!Z26=1,"","*"&amp;'Regional assumptions'!Z26))</f>
        <v/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/>
      </c>
      <c r="AC25" s="6" t="str">
        <f>IF(AC$3="","",IF('Regional assumptions'!AD26=1,"","*"&amp;'Regional assumptions'!AD26))</f>
        <v/>
      </c>
      <c r="AD25" s="6" t="str">
        <f>IF(AD$3="","",IF('Regional assumptions'!AE26=1,"","*"&amp;'Regional assumptions'!AE26))</f>
        <v/>
      </c>
      <c r="AE25" s="6" t="str">
        <f>IF(AE$3="","",IF('Regional assumptions'!AF26=1,"","*"&amp;'Regional assumptions'!AF26))</f>
        <v/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/>
      </c>
      <c r="AL25" s="6" t="str">
        <f>IF(AL$3="","",IF('Regional assumptions'!AM26=1,"","*"&amp;'Regional assumptions'!AM26))</f>
        <v/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'Regional assumptions'!C27</f>
        <v>INVCOST</v>
      </c>
      <c r="C26" t="str">
        <f>'Regional assumptions'!D27</f>
        <v>EN_Biomass*</v>
      </c>
      <c r="D26" s="6" t="str">
        <f>IF(D$3="","",IF('Regional assumptions'!E27=1,"","*"&amp;'Regional assumptions'!E27))</f>
        <v>*0.879</v>
      </c>
      <c r="E26" s="6" t="str">
        <f>IF(E$3="","",IF('Regional assumptions'!F27=1,"","*"&amp;'Regional assumptions'!F27))</f>
        <v>*0.879</v>
      </c>
      <c r="F26" s="6" t="str">
        <f>IF(F$3="","",IF('Regional assumptions'!G27=1,"","*"&amp;'Regional assumptions'!G27))</f>
        <v>*0.983</v>
      </c>
      <c r="G26" s="6" t="str">
        <f>IF(G$3="","",IF('Regional assumptions'!H27=1,"","*"&amp;'Regional assumptions'!H27))</f>
        <v>*0.879</v>
      </c>
      <c r="H26" s="6" t="str">
        <f>IF(H$3="","",IF('Regional assumptions'!I27=1,"","*"&amp;'Regional assumptions'!I27))</f>
        <v>*0.897</v>
      </c>
      <c r="I26" s="6" t="str">
        <f>IF(I$3="","",IF('Regional assumptions'!J27=1,"","*"&amp;'Regional assumptions'!J27))</f>
        <v>*0.879</v>
      </c>
      <c r="J26" s="6" t="str">
        <f>IF(J$3="","",IF('Regional assumptions'!K27=1,"","*"&amp;'Regional assumptions'!K27))</f>
        <v>*0.879</v>
      </c>
      <c r="K26" s="6" t="str">
        <f>IF(K$3="","",IF('Regional assumptions'!L27=1,"","*"&amp;'Regional assumptions'!L27))</f>
        <v>*0.931</v>
      </c>
      <c r="L26" s="6" t="str">
        <f>IF(L$3="","",IF('Regional assumptions'!M27=1,"","*"&amp;'Regional assumptions'!M27))</f>
        <v>*0.862</v>
      </c>
      <c r="M26" s="6" t="str">
        <f>IF(M$3="","",IF('Regional assumptions'!N27=1,"","*"&amp;'Regional assumptions'!N27))</f>
        <v>*0.966</v>
      </c>
      <c r="N26" s="6" t="str">
        <f>IF(N$3="","",IF('Regional assumptions'!O27=1,"","*"&amp;'Regional assumptions'!O27))</f>
        <v>*0.897</v>
      </c>
      <c r="O26" s="6" t="str">
        <f>IF(O$3="","",IF('Regional assumptions'!P27=1,"","*"&amp;'Regional assumptions'!P27))</f>
        <v>*0.897</v>
      </c>
      <c r="P26" s="6" t="str">
        <f>IF(P$3="","",IF('Regional assumptions'!Q27=1,"","*"&amp;'Regional assumptions'!Q27))</f>
        <v>*0.862</v>
      </c>
      <c r="Q26" s="6" t="str">
        <f>IF(Q$3="","",IF('Regional assumptions'!R27=1,"","*"&amp;'Regional assumptions'!R27))</f>
        <v>*0.914</v>
      </c>
      <c r="R26" s="6" t="str">
        <f>IF(R$3="","",IF('Regional assumptions'!S27=1,"","*"&amp;'Regional assumptions'!S27))</f>
        <v>*0.948</v>
      </c>
      <c r="S26" s="6" t="str">
        <f>IF(S$3="","",IF('Regional assumptions'!T27=1,"","*"&amp;'Regional assumptions'!T27))</f>
        <v>*0.914</v>
      </c>
      <c r="T26" s="6" t="str">
        <f>IF(T$3="","",IF('Regional assumptions'!U27=1,"","*"&amp;'Regional assumptions'!U27))</f>
        <v/>
      </c>
      <c r="U26" s="6" t="str">
        <f>IF(U$3="","",IF('Regional assumptions'!V27=1,"","*"&amp;'Regional assumptions'!V27))</f>
        <v/>
      </c>
      <c r="V26" s="6" t="str">
        <f>IF(V$3="","",IF('Regional assumptions'!W27=1,"","*"&amp;'Regional assumptions'!W27))</f>
        <v/>
      </c>
      <c r="W26" s="6" t="str">
        <f>IF(W$3="","",IF('Regional assumptions'!X27=1,"","*"&amp;'Regional assumptions'!X27))</f>
        <v/>
      </c>
      <c r="X26" s="6" t="str">
        <f>IF(X$3="","",IF('Regional assumptions'!Y27=1,"","*"&amp;'Regional assumptions'!Y27))</f>
        <v/>
      </c>
      <c r="Y26" s="6" t="str">
        <f>IF(Y$3="","",IF('Regional assumptions'!Z27=1,"","*"&amp;'Regional assumptions'!Z27))</f>
        <v/>
      </c>
      <c r="Z26" s="6" t="str">
        <f>IF(Z$3="","",IF('Regional assumptions'!AA27=1,"","*"&amp;'Regional assumptions'!AA27))</f>
        <v/>
      </c>
      <c r="AA26" s="6" t="str">
        <f>IF(AA$3="","",IF('Regional assumptions'!AB27=1,"","*"&amp;'Regional assumptions'!AB27))</f>
        <v/>
      </c>
      <c r="AB26" s="6" t="str">
        <f>IF(AB$3="","",IF('Regional assumptions'!AC27=1,"","*"&amp;'Regional assumptions'!AC27))</f>
        <v/>
      </c>
      <c r="AC26" s="6" t="str">
        <f>IF(AC$3="","",IF('Regional assumptions'!AD27=1,"","*"&amp;'Regional assumptions'!AD27))</f>
        <v/>
      </c>
      <c r="AD26" s="6" t="str">
        <f>IF(AD$3="","",IF('Regional assumptions'!AE27=1,"","*"&amp;'Regional assumptions'!AE27))</f>
        <v/>
      </c>
      <c r="AE26" s="6" t="str">
        <f>IF(AE$3="","",IF('Regional assumptions'!AF27=1,"","*"&amp;'Regional assumptions'!AF27))</f>
        <v/>
      </c>
      <c r="AF26" s="6" t="str">
        <f>IF(AF$3="","",IF('Regional assumptions'!AG27=1,"","*"&amp;'Regional assumptions'!AG27))</f>
        <v/>
      </c>
      <c r="AG26" s="6" t="str">
        <f>IF(AG$3="","",IF('Regional assumptions'!AH27=1,"","*"&amp;'Regional assumptions'!AH27))</f>
        <v/>
      </c>
      <c r="AH26" s="6" t="str">
        <f>IF(AH$3="","",IF('Regional assumptions'!AI27=1,"","*"&amp;'Regional assumptions'!AI27))</f>
        <v/>
      </c>
      <c r="AI26" s="6" t="str">
        <f>IF(AI$3="","",IF('Regional assumptions'!AJ27=1,"","*"&amp;'Regional assumptions'!AJ27))</f>
        <v/>
      </c>
      <c r="AJ26" s="6" t="str">
        <f>IF(AJ$3="","",IF('Regional assumptions'!AK27=1,"","*"&amp;'Regional assumptions'!AK27))</f>
        <v/>
      </c>
      <c r="AK26" s="6" t="str">
        <f>IF(AK$3="","",IF('Regional assumptions'!AL27=1,"","*"&amp;'Regional assumptions'!AL27))</f>
        <v/>
      </c>
      <c r="AL26" s="6" t="str">
        <f>IF(AL$3="","",IF('Regional assumptions'!AM27=1,"","*"&amp;'Regional assumptions'!AM27))</f>
        <v/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'Regional assumptions'!C28</f>
        <v>INVCOST</v>
      </c>
      <c r="C27" t="str">
        <f>'Regional assumptions'!D28</f>
        <v>EN_COAIGCC</v>
      </c>
      <c r="D27" s="6" t="str">
        <f>IF(D$3="","",IF('Regional assumptions'!E28=1,"","*"&amp;'Regional assumptions'!E28))</f>
        <v>*0.81</v>
      </c>
      <c r="E27" s="6" t="str">
        <f>IF(E$3="","",IF('Regional assumptions'!F28=1,"","*"&amp;'Regional assumptions'!F28))</f>
        <v>*0.81</v>
      </c>
      <c r="F27" s="6" t="str">
        <f>IF(F$3="","",IF('Regional assumptions'!G28=1,"","*"&amp;'Regional assumptions'!G28))</f>
        <v>*0.889</v>
      </c>
      <c r="G27" s="6" t="str">
        <f>IF(G$3="","",IF('Regional assumptions'!H28=1,"","*"&amp;'Regional assumptions'!H28))</f>
        <v>*0.81</v>
      </c>
      <c r="H27" s="6" t="str">
        <f>IF(H$3="","",IF('Regional assumptions'!I28=1,"","*"&amp;'Regional assumptions'!I28))</f>
        <v>*0.889</v>
      </c>
      <c r="I27" s="6" t="str">
        <f>IF(I$3="","",IF('Regional assumptions'!J28=1,"","*"&amp;'Regional assumptions'!J28))</f>
        <v>*0.81</v>
      </c>
      <c r="J27" s="6" t="str">
        <f>IF(J$3="","",IF('Regional assumptions'!K28=1,"","*"&amp;'Regional assumptions'!K28))</f>
        <v>*0.81</v>
      </c>
      <c r="K27" s="6" t="str">
        <f>IF(K$3="","",IF('Regional assumptions'!L28=1,"","*"&amp;'Regional assumptions'!L28))</f>
        <v>*0.889</v>
      </c>
      <c r="L27" s="6" t="str">
        <f>IF(L$3="","",IF('Regional assumptions'!M28=1,"","*"&amp;'Regional assumptions'!M28))</f>
        <v>*0.81</v>
      </c>
      <c r="M27" s="6" t="str">
        <f>IF(M$3="","",IF('Regional assumptions'!N28=1,"","*"&amp;'Regional assumptions'!N28))</f>
        <v>*0.952</v>
      </c>
      <c r="N27" s="6" t="str">
        <f>IF(N$3="","",IF('Regional assumptions'!O28=1,"","*"&amp;'Regional assumptions'!O28))</f>
        <v>*0.889</v>
      </c>
      <c r="O27" s="6" t="str">
        <f>IF(O$3="","",IF('Regional assumptions'!P28=1,"","*"&amp;'Regional assumptions'!P28))</f>
        <v>*0.889</v>
      </c>
      <c r="P27" s="6" t="str">
        <f>IF(P$3="","",IF('Regional assumptions'!Q28=1,"","*"&amp;'Regional assumptions'!Q28))</f>
        <v>*0.81</v>
      </c>
      <c r="Q27" s="6" t="str">
        <f>IF(Q$3="","",IF('Regional assumptions'!R28=1,"","*"&amp;'Regional assumptions'!R28))</f>
        <v>*0.889</v>
      </c>
      <c r="R27" s="6" t="str">
        <f>IF(R$3="","",IF('Regional assumptions'!S28=1,"","*"&amp;'Regional assumptions'!S28))</f>
        <v>*0.889</v>
      </c>
      <c r="S27" s="6" t="str">
        <f>IF(S$3="","",IF('Regional assumptions'!T28=1,"","*"&amp;'Regional assumptions'!T28))</f>
        <v>*0.889</v>
      </c>
      <c r="T27" s="6" t="str">
        <f>IF(T$3="","",IF('Regional assumptions'!U28=1,"","*"&amp;'Regional assumptions'!U28))</f>
        <v/>
      </c>
      <c r="U27" s="6" t="str">
        <f>IF(U$3="","",IF('Regional assumptions'!V28=1,"","*"&amp;'Regional assumptions'!V28))</f>
        <v/>
      </c>
      <c r="V27" s="6" t="str">
        <f>IF(V$3="","",IF('Regional assumptions'!W28=1,"","*"&amp;'Regional assumptions'!W28))</f>
        <v/>
      </c>
      <c r="W27" s="6" t="str">
        <f>IF(W$3="","",IF('Regional assumptions'!X28=1,"","*"&amp;'Regional assumptions'!X28))</f>
        <v/>
      </c>
      <c r="X27" s="6" t="str">
        <f>IF(X$3="","",IF('Regional assumptions'!Y28=1,"","*"&amp;'Regional assumptions'!Y28))</f>
        <v/>
      </c>
      <c r="Y27" s="6" t="str">
        <f>IF(Y$3="","",IF('Regional assumptions'!Z28=1,"","*"&amp;'Regional assumptions'!Z28))</f>
        <v/>
      </c>
      <c r="Z27" s="6" t="str">
        <f>IF(Z$3="","",IF('Regional assumptions'!AA28=1,"","*"&amp;'Regional assumptions'!AA28))</f>
        <v/>
      </c>
      <c r="AA27" s="6" t="str">
        <f>IF(AA$3="","",IF('Regional assumptions'!AB28=1,"","*"&amp;'Regional assumptions'!AB28))</f>
        <v/>
      </c>
      <c r="AB27" s="6" t="str">
        <f>IF(AB$3="","",IF('Regional assumptions'!AC28=1,"","*"&amp;'Regional assumptions'!AC28))</f>
        <v/>
      </c>
      <c r="AC27" s="6" t="str">
        <f>IF(AC$3="","",IF('Regional assumptions'!AD28=1,"","*"&amp;'Regional assumptions'!AD28))</f>
        <v/>
      </c>
      <c r="AD27" s="6" t="str">
        <f>IF(AD$3="","",IF('Regional assumptions'!AE28=1,"","*"&amp;'Regional assumptions'!AE28))</f>
        <v/>
      </c>
      <c r="AE27" s="6" t="str">
        <f>IF(AE$3="","",IF('Regional assumptions'!AF28=1,"","*"&amp;'Regional assumptions'!AF28))</f>
        <v/>
      </c>
      <c r="AF27" s="6" t="str">
        <f>IF(AF$3="","",IF('Regional assumptions'!AG28=1,"","*"&amp;'Regional assumptions'!AG28))</f>
        <v/>
      </c>
      <c r="AG27" s="6" t="str">
        <f>IF(AG$3="","",IF('Regional assumptions'!AH28=1,"","*"&amp;'Regional assumptions'!AH28))</f>
        <v/>
      </c>
      <c r="AH27" s="6" t="str">
        <f>IF(AH$3="","",IF('Regional assumptions'!AI28=1,"","*"&amp;'Regional assumptions'!AI28))</f>
        <v/>
      </c>
      <c r="AI27" s="6" t="str">
        <f>IF(AI$3="","",IF('Regional assumptions'!AJ28=1,"","*"&amp;'Regional assumptions'!AJ28))</f>
        <v/>
      </c>
      <c r="AJ27" s="6" t="str">
        <f>IF(AJ$3="","",IF('Regional assumptions'!AK28=1,"","*"&amp;'Regional assumptions'!AK28))</f>
        <v/>
      </c>
      <c r="AK27" s="6" t="str">
        <f>IF(AK$3="","",IF('Regional assumptions'!AL28=1,"","*"&amp;'Regional assumptions'!AL28))</f>
        <v/>
      </c>
      <c r="AL27" s="6" t="str">
        <f>IF(AL$3="","",IF('Regional assumptions'!AM28=1,"","*"&amp;'Regional assumptions'!AM28))</f>
        <v/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'Regional assumptions'!C29</f>
        <v>INVCOST</v>
      </c>
      <c r="C28" t="str">
        <f>'Regional assumptions'!D29</f>
        <v>EN_COAPUL</v>
      </c>
      <c r="D28" s="6" t="str">
        <f>IF(D$3="","",IF('Regional assumptions'!E29=1,"","*"&amp;'Regional assumptions'!E29))</f>
        <v>*0.519</v>
      </c>
      <c r="E28" s="6" t="str">
        <f>IF(E$3="","",IF('Regional assumptions'!F29=1,"","*"&amp;'Regional assumptions'!F29))</f>
        <v>*0.519</v>
      </c>
      <c r="F28" s="6" t="str">
        <f>IF(F$3="","",IF('Regional assumptions'!G29=1,"","*"&amp;'Regional assumptions'!G29))</f>
        <v>*0.704</v>
      </c>
      <c r="G28" s="6" t="str">
        <f>IF(G$3="","",IF('Regional assumptions'!H29=1,"","*"&amp;'Regional assumptions'!H29))</f>
        <v>*0.519</v>
      </c>
      <c r="H28" s="6" t="str">
        <f>IF(H$3="","",IF('Regional assumptions'!I29=1,"","*"&amp;'Regional assumptions'!I29))</f>
        <v>*0.741</v>
      </c>
      <c r="I28" s="6" t="str">
        <f>IF(I$3="","",IF('Regional assumptions'!J29=1,"","*"&amp;'Regional assumptions'!J29))</f>
        <v>*0.37</v>
      </c>
      <c r="J28" s="6" t="str">
        <f>IF(J$3="","",IF('Regional assumptions'!K29=1,"","*"&amp;'Regional assumptions'!K29))</f>
        <v>*0.519</v>
      </c>
      <c r="K28" s="6" t="str">
        <f>IF(K$3="","",IF('Regional assumptions'!L29=1,"","*"&amp;'Regional assumptions'!L29))</f>
        <v>*0.741</v>
      </c>
      <c r="L28" s="6" t="str">
        <f>IF(L$3="","",IF('Regional assumptions'!M29=1,"","*"&amp;'Regional assumptions'!M29))</f>
        <v>*0.519</v>
      </c>
      <c r="M28" s="6" t="str">
        <f>IF(M$3="","",IF('Regional assumptions'!N29=1,"","*"&amp;'Regional assumptions'!N29))</f>
        <v>*0.926</v>
      </c>
      <c r="N28" s="6" t="str">
        <f>IF(N$3="","",IF('Regional assumptions'!O29=1,"","*"&amp;'Regional assumptions'!O29))</f>
        <v>*0.667</v>
      </c>
      <c r="O28" s="6" t="str">
        <f>IF(O$3="","",IF('Regional assumptions'!P29=1,"","*"&amp;'Regional assumptions'!P29))</f>
        <v>*0.519</v>
      </c>
      <c r="P28" s="6" t="str">
        <f>IF(P$3="","",IF('Regional assumptions'!Q29=1,"","*"&amp;'Regional assumptions'!Q29))</f>
        <v>*0.519</v>
      </c>
      <c r="Q28" s="6" t="str">
        <f>IF(Q$3="","",IF('Regional assumptions'!R29=1,"","*"&amp;'Regional assumptions'!R29))</f>
        <v>*0.667</v>
      </c>
      <c r="R28" s="6" t="str">
        <f>IF(R$3="","",IF('Regional assumptions'!S29=1,"","*"&amp;'Regional assumptions'!S29))</f>
        <v>*0.667</v>
      </c>
      <c r="S28" s="6" t="str">
        <f>IF(S$3="","",IF('Regional assumptions'!T29=1,"","*"&amp;'Regional assumptions'!T29))</f>
        <v>*0.667</v>
      </c>
      <c r="T28" s="6" t="str">
        <f>IF(T$3="","",IF('Regional assumptions'!U29=1,"","*"&amp;'Regional assumptions'!U29))</f>
        <v/>
      </c>
      <c r="U28" s="6" t="str">
        <f>IF(U$3="","",IF('Regional assumptions'!V29=1,"","*"&amp;'Regional assumptions'!V29))</f>
        <v/>
      </c>
      <c r="V28" s="6" t="str">
        <f>IF(V$3="","",IF('Regional assumptions'!W29=1,"","*"&amp;'Regional assumptions'!W29))</f>
        <v/>
      </c>
      <c r="W28" s="6" t="str">
        <f>IF(W$3="","",IF('Regional assumptions'!X29=1,"","*"&amp;'Regional assumptions'!X29))</f>
        <v/>
      </c>
      <c r="X28" s="6" t="str">
        <f>IF(X$3="","",IF('Regional assumptions'!Y29=1,"","*"&amp;'Regional assumptions'!Y29))</f>
        <v/>
      </c>
      <c r="Y28" s="6" t="str">
        <f>IF(Y$3="","",IF('Regional assumptions'!Z29=1,"","*"&amp;'Regional assumptions'!Z29))</f>
        <v/>
      </c>
      <c r="Z28" s="6" t="str">
        <f>IF(Z$3="","",IF('Regional assumptions'!AA29=1,"","*"&amp;'Regional assumptions'!AA29))</f>
        <v/>
      </c>
      <c r="AA28" s="6" t="str">
        <f>IF(AA$3="","",IF('Regional assumptions'!AB29=1,"","*"&amp;'Regional assumptions'!AB29))</f>
        <v/>
      </c>
      <c r="AB28" s="6" t="str">
        <f>IF(AB$3="","",IF('Regional assumptions'!AC29=1,"","*"&amp;'Regional assumptions'!AC29))</f>
        <v/>
      </c>
      <c r="AC28" s="6" t="str">
        <f>IF(AC$3="","",IF('Regional assumptions'!AD29=1,"","*"&amp;'Regional assumptions'!AD29))</f>
        <v/>
      </c>
      <c r="AD28" s="6" t="str">
        <f>IF(AD$3="","",IF('Regional assumptions'!AE29=1,"","*"&amp;'Regional assumptions'!AE29))</f>
        <v/>
      </c>
      <c r="AE28" s="6" t="str">
        <f>IF(AE$3="","",IF('Regional assumptions'!AF29=1,"","*"&amp;'Regional assumptions'!AF29))</f>
        <v/>
      </c>
      <c r="AF28" s="6" t="str">
        <f>IF(AF$3="","",IF('Regional assumptions'!AG29=1,"","*"&amp;'Regional assumptions'!AG29))</f>
        <v/>
      </c>
      <c r="AG28" s="6" t="str">
        <f>IF(AG$3="","",IF('Regional assumptions'!AH29=1,"","*"&amp;'Regional assumptions'!AH29))</f>
        <v/>
      </c>
      <c r="AH28" s="6" t="str">
        <f>IF(AH$3="","",IF('Regional assumptions'!AI29=1,"","*"&amp;'Regional assumptions'!AI29))</f>
        <v/>
      </c>
      <c r="AI28" s="6" t="str">
        <f>IF(AI$3="","",IF('Regional assumptions'!AJ29=1,"","*"&amp;'Regional assumptions'!AJ29))</f>
        <v/>
      </c>
      <c r="AJ28" s="6" t="str">
        <f>IF(AJ$3="","",IF('Regional assumptions'!AK29=1,"","*"&amp;'Regional assumptions'!AK29))</f>
        <v/>
      </c>
      <c r="AK28" s="6" t="str">
        <f>IF(AK$3="","",IF('Regional assumptions'!AL29=1,"","*"&amp;'Regional assumptions'!AL29))</f>
        <v/>
      </c>
      <c r="AL28" s="6" t="str">
        <f>IF(AL$3="","",IF('Regional assumptions'!AM29=1,"","*"&amp;'Regional assumptions'!AM29))</f>
        <v/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'Regional assumptions'!C30</f>
        <v>INVCOST</v>
      </c>
      <c r="C29" t="str">
        <f>'Regional assumptions'!D30</f>
        <v>EN_GasCC</v>
      </c>
      <c r="D29" s="6" t="str">
        <f>IF(D$3="","",IF('Regional assumptions'!E30=1,"","*"&amp;'Regional assumptions'!E30))</f>
        <v>*0.75</v>
      </c>
      <c r="E29" s="6" t="str">
        <f>IF(E$3="","",IF('Regional assumptions'!F30=1,"","*"&amp;'Regional assumptions'!F30))</f>
        <v>*0.75</v>
      </c>
      <c r="F29" s="6" t="str">
        <f>IF(F$3="","",IF('Regional assumptions'!G30=1,"","*"&amp;'Regional assumptions'!G30))</f>
        <v/>
      </c>
      <c r="G29" s="6" t="str">
        <f>IF(G$3="","",IF('Regional assumptions'!H30=1,"","*"&amp;'Regional assumptions'!H30))</f>
        <v>*0.75</v>
      </c>
      <c r="H29" s="6" t="str">
        <f>IF(H$3="","",IF('Regional assumptions'!I30=1,"","*"&amp;'Regional assumptions'!I30))</f>
        <v/>
      </c>
      <c r="I29" s="6" t="str">
        <f>IF(I$3="","",IF('Regional assumptions'!J30=1,"","*"&amp;'Regional assumptions'!J30))</f>
        <v>*0.75</v>
      </c>
      <c r="J29" s="6" t="str">
        <f>IF(J$3="","",IF('Regional assumptions'!K30=1,"","*"&amp;'Regional assumptions'!K30))</f>
        <v>*0.75</v>
      </c>
      <c r="K29" s="6" t="str">
        <f>IF(K$3="","",IF('Regional assumptions'!L30=1,"","*"&amp;'Regional assumptions'!L30))</f>
        <v/>
      </c>
      <c r="L29" s="6" t="str">
        <f>IF(L$3="","",IF('Regional assumptions'!M30=1,"","*"&amp;'Regional assumptions'!M30))</f>
        <v>*0.75</v>
      </c>
      <c r="M29" s="6" t="str">
        <f>IF(M$3="","",IF('Regional assumptions'!N30=1,"","*"&amp;'Regional assumptions'!N30))</f>
        <v/>
      </c>
      <c r="N29" s="6" t="str">
        <f>IF(N$3="","",IF('Regional assumptions'!O30=1,"","*"&amp;'Regional assumptions'!O30))</f>
        <v>*0.85</v>
      </c>
      <c r="O29" s="6" t="str">
        <f>IF(O$3="","",IF('Regional assumptions'!P30=1,"","*"&amp;'Regional assumptions'!P30))</f>
        <v>*0.75</v>
      </c>
      <c r="P29" s="6" t="str">
        <f>IF(P$3="","",IF('Regional assumptions'!Q30=1,"","*"&amp;'Regional assumptions'!Q30))</f>
        <v>*0.75</v>
      </c>
      <c r="Q29" s="6" t="str">
        <f>IF(Q$3="","",IF('Regional assumptions'!R30=1,"","*"&amp;'Regional assumptions'!R30))</f>
        <v>*0.85</v>
      </c>
      <c r="R29" s="6" t="str">
        <f>IF(R$3="","",IF('Regional assumptions'!S30=1,"","*"&amp;'Regional assumptions'!S30))</f>
        <v/>
      </c>
      <c r="S29" s="6" t="str">
        <f>IF(S$3="","",IF('Regional assumptions'!T30=1,"","*"&amp;'Regional assumptions'!T30))</f>
        <v>*0.85</v>
      </c>
      <c r="T29" s="6" t="str">
        <f>IF(T$3="","",IF('Regional assumptions'!U30=1,"","*"&amp;'Regional assumptions'!U30))</f>
        <v/>
      </c>
      <c r="U29" s="6" t="str">
        <f>IF(U$3="","",IF('Regional assumptions'!V30=1,"","*"&amp;'Regional assumptions'!V30))</f>
        <v/>
      </c>
      <c r="V29" s="6" t="str">
        <f>IF(V$3="","",IF('Regional assumptions'!W30=1,"","*"&amp;'Regional assumptions'!W30))</f>
        <v/>
      </c>
      <c r="W29" s="6" t="str">
        <f>IF(W$3="","",IF('Regional assumptions'!X30=1,"","*"&amp;'Regional assumptions'!X30))</f>
        <v/>
      </c>
      <c r="X29" s="6" t="str">
        <f>IF(X$3="","",IF('Regional assumptions'!Y30=1,"","*"&amp;'Regional assumptions'!Y30))</f>
        <v/>
      </c>
      <c r="Y29" s="6" t="str">
        <f>IF(Y$3="","",IF('Regional assumptions'!Z30=1,"","*"&amp;'Regional assumptions'!Z30))</f>
        <v/>
      </c>
      <c r="Z29" s="6" t="str">
        <f>IF(Z$3="","",IF('Regional assumptions'!AA30=1,"","*"&amp;'Regional assumptions'!AA30))</f>
        <v/>
      </c>
      <c r="AA29" s="6" t="str">
        <f>IF(AA$3="","",IF('Regional assumptions'!AB30=1,"","*"&amp;'Regional assumptions'!AB30))</f>
        <v/>
      </c>
      <c r="AB29" s="6" t="str">
        <f>IF(AB$3="","",IF('Regional assumptions'!AC30=1,"","*"&amp;'Regional assumptions'!AC30))</f>
        <v/>
      </c>
      <c r="AC29" s="6" t="str">
        <f>IF(AC$3="","",IF('Regional assumptions'!AD30=1,"","*"&amp;'Regional assumptions'!AD30))</f>
        <v/>
      </c>
      <c r="AD29" s="6" t="str">
        <f>IF(AD$3="","",IF('Regional assumptions'!AE30=1,"","*"&amp;'Regional assumptions'!AE30))</f>
        <v/>
      </c>
      <c r="AE29" s="6" t="str">
        <f>IF(AE$3="","",IF('Regional assumptions'!AF30=1,"","*"&amp;'Regional assumptions'!AF30))</f>
        <v/>
      </c>
      <c r="AF29" s="6" t="str">
        <f>IF(AF$3="","",IF('Regional assumptions'!AG30=1,"","*"&amp;'Regional assumptions'!AG30))</f>
        <v/>
      </c>
      <c r="AG29" s="6" t="str">
        <f>IF(AG$3="","",IF('Regional assumptions'!AH30=1,"","*"&amp;'Regional assumptions'!AH30))</f>
        <v/>
      </c>
      <c r="AH29" s="6" t="str">
        <f>IF(AH$3="","",IF('Regional assumptions'!AI30=1,"","*"&amp;'Regional assumptions'!AI30))</f>
        <v/>
      </c>
      <c r="AI29" s="6" t="str">
        <f>IF(AI$3="","",IF('Regional assumptions'!AJ30=1,"","*"&amp;'Regional assumptions'!AJ30))</f>
        <v/>
      </c>
      <c r="AJ29" s="6" t="str">
        <f>IF(AJ$3="","",IF('Regional assumptions'!AK30=1,"","*"&amp;'Regional assumptions'!AK30))</f>
        <v/>
      </c>
      <c r="AK29" s="6" t="str">
        <f>IF(AK$3="","",IF('Regional assumptions'!AL30=1,"","*"&amp;'Regional assumptions'!AL30))</f>
        <v/>
      </c>
      <c r="AL29" s="6" t="str">
        <f>IF(AL$3="","",IF('Regional assumptions'!AM30=1,"","*"&amp;'Regional assumptions'!AM30))</f>
        <v/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'Regional assumptions'!C31</f>
        <v>INVCOST</v>
      </c>
      <c r="C30" t="str">
        <f>'Regional assumptions'!D31</f>
        <v>EN_GasCCAdv</v>
      </c>
      <c r="D30" s="6" t="str">
        <f>IF(D$3="","",IF('Regional assumptions'!E31=1,"","*"&amp;'Regional assumptions'!E31))</f>
        <v>*0.75</v>
      </c>
      <c r="E30" s="6" t="str">
        <f>IF(E$3="","",IF('Regional assumptions'!F31=1,"","*"&amp;'Regional assumptions'!F31))</f>
        <v>*0.75</v>
      </c>
      <c r="F30" s="6" t="str">
        <f>IF(F$3="","",IF('Regional assumptions'!G31=1,"","*"&amp;'Regional assumptions'!G31))</f>
        <v/>
      </c>
      <c r="G30" s="6" t="str">
        <f>IF(G$3="","",IF('Regional assumptions'!H31=1,"","*"&amp;'Regional assumptions'!H31))</f>
        <v>*0.75</v>
      </c>
      <c r="H30" s="6" t="str">
        <f>IF(H$3="","",IF('Regional assumptions'!I31=1,"","*"&amp;'Regional assumptions'!I31))</f>
        <v/>
      </c>
      <c r="I30" s="6" t="str">
        <f>IF(I$3="","",IF('Regional assumptions'!J31=1,"","*"&amp;'Regional assumptions'!J31))</f>
        <v>*0.75</v>
      </c>
      <c r="J30" s="6" t="str">
        <f>IF(J$3="","",IF('Regional assumptions'!K31=1,"","*"&amp;'Regional assumptions'!K31))</f>
        <v>*0.75</v>
      </c>
      <c r="K30" s="6" t="str">
        <f>IF(K$3="","",IF('Regional assumptions'!L31=1,"","*"&amp;'Regional assumptions'!L31))</f>
        <v/>
      </c>
      <c r="L30" s="6" t="str">
        <f>IF(L$3="","",IF('Regional assumptions'!M31=1,"","*"&amp;'Regional assumptions'!M31))</f>
        <v>*0.75</v>
      </c>
      <c r="M30" s="6" t="str">
        <f>IF(M$3="","",IF('Regional assumptions'!N31=1,"","*"&amp;'Regional assumptions'!N31))</f>
        <v/>
      </c>
      <c r="N30" s="6" t="str">
        <f>IF(N$3="","",IF('Regional assumptions'!O31=1,"","*"&amp;'Regional assumptions'!O31))</f>
        <v>*0.85</v>
      </c>
      <c r="O30" s="6" t="str">
        <f>IF(O$3="","",IF('Regional assumptions'!P31=1,"","*"&amp;'Regional assumptions'!P31))</f>
        <v>*0.75</v>
      </c>
      <c r="P30" s="6" t="str">
        <f>IF(P$3="","",IF('Regional assumptions'!Q31=1,"","*"&amp;'Regional assumptions'!Q31))</f>
        <v>*0.75</v>
      </c>
      <c r="Q30" s="6" t="str">
        <f>IF(Q$3="","",IF('Regional assumptions'!R31=1,"","*"&amp;'Regional assumptions'!R31))</f>
        <v>*0.85</v>
      </c>
      <c r="R30" s="6" t="str">
        <f>IF(R$3="","",IF('Regional assumptions'!S31=1,"","*"&amp;'Regional assumptions'!S31))</f>
        <v/>
      </c>
      <c r="S30" s="6" t="str">
        <f>IF(S$3="","",IF('Regional assumptions'!T31=1,"","*"&amp;'Regional assumptions'!T31))</f>
        <v>*0.85</v>
      </c>
      <c r="T30" s="6" t="str">
        <f>IF(T$3="","",IF('Regional assumptions'!U31=1,"","*"&amp;'Regional assumptions'!U31))</f>
        <v/>
      </c>
      <c r="U30" s="6" t="str">
        <f>IF(U$3="","",IF('Regional assumptions'!V31=1,"","*"&amp;'Regional assumptions'!V31))</f>
        <v/>
      </c>
      <c r="V30" s="6" t="str">
        <f>IF(V$3="","",IF('Regional assumptions'!W31=1,"","*"&amp;'Regional assumptions'!W31))</f>
        <v/>
      </c>
      <c r="W30" s="6" t="str">
        <f>IF(W$3="","",IF('Regional assumptions'!X31=1,"","*"&amp;'Regional assumptions'!X31))</f>
        <v/>
      </c>
      <c r="X30" s="6" t="str">
        <f>IF(X$3="","",IF('Regional assumptions'!Y31=1,"","*"&amp;'Regional assumptions'!Y31))</f>
        <v/>
      </c>
      <c r="Y30" s="6" t="str">
        <f>IF(Y$3="","",IF('Regional assumptions'!Z31=1,"","*"&amp;'Regional assumptions'!Z31))</f>
        <v/>
      </c>
      <c r="Z30" s="6" t="str">
        <f>IF(Z$3="","",IF('Regional assumptions'!AA31=1,"","*"&amp;'Regional assumptions'!AA31))</f>
        <v/>
      </c>
      <c r="AA30" s="6" t="str">
        <f>IF(AA$3="","",IF('Regional assumptions'!AB31=1,"","*"&amp;'Regional assumptions'!AB31))</f>
        <v/>
      </c>
      <c r="AB30" s="6" t="str">
        <f>IF(AB$3="","",IF('Regional assumptions'!AC31=1,"","*"&amp;'Regional assumptions'!AC31))</f>
        <v/>
      </c>
      <c r="AC30" s="6" t="str">
        <f>IF(AC$3="","",IF('Regional assumptions'!AD31=1,"","*"&amp;'Regional assumptions'!AD31))</f>
        <v/>
      </c>
      <c r="AD30" s="6" t="str">
        <f>IF(AD$3="","",IF('Regional assumptions'!AE31=1,"","*"&amp;'Regional assumptions'!AE31))</f>
        <v/>
      </c>
      <c r="AE30" s="6" t="str">
        <f>IF(AE$3="","",IF('Regional assumptions'!AF31=1,"","*"&amp;'Regional assumptions'!AF31))</f>
        <v/>
      </c>
      <c r="AF30" s="6" t="str">
        <f>IF(AF$3="","",IF('Regional assumptions'!AG31=1,"","*"&amp;'Regional assumptions'!AG31))</f>
        <v/>
      </c>
      <c r="AG30" s="6" t="str">
        <f>IF(AG$3="","",IF('Regional assumptions'!AH31=1,"","*"&amp;'Regional assumptions'!AH31))</f>
        <v/>
      </c>
      <c r="AH30" s="6" t="str">
        <f>IF(AH$3="","",IF('Regional assumptions'!AI31=1,"","*"&amp;'Regional assumptions'!AI31))</f>
        <v/>
      </c>
      <c r="AI30" s="6" t="str">
        <f>IF(AI$3="","",IF('Regional assumptions'!AJ31=1,"","*"&amp;'Regional assumptions'!AJ31))</f>
        <v/>
      </c>
      <c r="AJ30" s="6" t="str">
        <f>IF(AJ$3="","",IF('Regional assumptions'!AK31=1,"","*"&amp;'Regional assumptions'!AK31))</f>
        <v/>
      </c>
      <c r="AK30" s="6" t="str">
        <f>IF(AK$3="","",IF('Regional assumptions'!AL31=1,"","*"&amp;'Regional assumptions'!AL31))</f>
        <v/>
      </c>
      <c r="AL30" s="6" t="str">
        <f>IF(AL$3="","",IF('Regional assumptions'!AM31=1,"","*"&amp;'Regional assumptions'!AM31))</f>
        <v/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'Regional assumptions'!C32</f>
        <v>INVCOST</v>
      </c>
      <c r="C31" t="str">
        <f>'Regional assumptions'!D32</f>
        <v>EN_GasCT</v>
      </c>
      <c r="D31" s="6" t="str">
        <f>IF(D$3="","",IF('Regional assumptions'!E32=1,"","*"&amp;'Regional assumptions'!E32))</f>
        <v>*0.75</v>
      </c>
      <c r="E31" s="6" t="str">
        <f>IF(E$3="","",IF('Regional assumptions'!F32=1,"","*"&amp;'Regional assumptions'!F32))</f>
        <v>*0.75</v>
      </c>
      <c r="F31" s="6" t="str">
        <f>IF(F$3="","",IF('Regional assumptions'!G32=1,"","*"&amp;'Regional assumptions'!G32))</f>
        <v/>
      </c>
      <c r="G31" s="6" t="str">
        <f>IF(G$3="","",IF('Regional assumptions'!H32=1,"","*"&amp;'Regional assumptions'!H32))</f>
        <v>*0.75</v>
      </c>
      <c r="H31" s="6" t="str">
        <f>IF(H$3="","",IF('Regional assumptions'!I32=1,"","*"&amp;'Regional assumptions'!I32))</f>
        <v/>
      </c>
      <c r="I31" s="6" t="str">
        <f>IF(I$3="","",IF('Regional assumptions'!J32=1,"","*"&amp;'Regional assumptions'!J32))</f>
        <v>*0.75</v>
      </c>
      <c r="J31" s="6" t="str">
        <f>IF(J$3="","",IF('Regional assumptions'!K32=1,"","*"&amp;'Regional assumptions'!K32))</f>
        <v>*0.75</v>
      </c>
      <c r="K31" s="6" t="str">
        <f>IF(K$3="","",IF('Regional assumptions'!L32=1,"","*"&amp;'Regional assumptions'!L32))</f>
        <v/>
      </c>
      <c r="L31" s="6" t="str">
        <f>IF(L$3="","",IF('Regional assumptions'!M32=1,"","*"&amp;'Regional assumptions'!M32))</f>
        <v>*0.75</v>
      </c>
      <c r="M31" s="6" t="str">
        <f>IF(M$3="","",IF('Regional assumptions'!N32=1,"","*"&amp;'Regional assumptions'!N32))</f>
        <v/>
      </c>
      <c r="N31" s="6" t="str">
        <f>IF(N$3="","",IF('Regional assumptions'!O32=1,"","*"&amp;'Regional assumptions'!O32))</f>
        <v>*0.85</v>
      </c>
      <c r="O31" s="6" t="str">
        <f>IF(O$3="","",IF('Regional assumptions'!P32=1,"","*"&amp;'Regional assumptions'!P32))</f>
        <v>*0.75</v>
      </c>
      <c r="P31" s="6" t="str">
        <f>IF(P$3="","",IF('Regional assumptions'!Q32=1,"","*"&amp;'Regional assumptions'!Q32))</f>
        <v>*0.75</v>
      </c>
      <c r="Q31" s="6" t="str">
        <f>IF(Q$3="","",IF('Regional assumptions'!R32=1,"","*"&amp;'Regional assumptions'!R32))</f>
        <v>*0.85</v>
      </c>
      <c r="R31" s="6" t="str">
        <f>IF(R$3="","",IF('Regional assumptions'!S32=1,"","*"&amp;'Regional assumptions'!S32))</f>
        <v/>
      </c>
      <c r="S31" s="6" t="str">
        <f>IF(S$3="","",IF('Regional assumptions'!T32=1,"","*"&amp;'Regional assumptions'!T32))</f>
        <v>*0.85</v>
      </c>
      <c r="T31" s="6" t="str">
        <f>IF(T$3="","",IF('Regional assumptions'!U32=1,"","*"&amp;'Regional assumptions'!U32))</f>
        <v/>
      </c>
      <c r="U31" s="6" t="str">
        <f>IF(U$3="","",IF('Regional assumptions'!V32=1,"","*"&amp;'Regional assumptions'!V32))</f>
        <v/>
      </c>
      <c r="V31" s="6" t="str">
        <f>IF(V$3="","",IF('Regional assumptions'!W32=1,"","*"&amp;'Regional assumptions'!W32))</f>
        <v/>
      </c>
      <c r="W31" s="6" t="str">
        <f>IF(W$3="","",IF('Regional assumptions'!X32=1,"","*"&amp;'Regional assumptions'!X32))</f>
        <v/>
      </c>
      <c r="X31" s="6" t="str">
        <f>IF(X$3="","",IF('Regional assumptions'!Y32=1,"","*"&amp;'Regional assumptions'!Y32))</f>
        <v/>
      </c>
      <c r="Y31" s="6" t="str">
        <f>IF(Y$3="","",IF('Regional assumptions'!Z32=1,"","*"&amp;'Regional assumptions'!Z32))</f>
        <v/>
      </c>
      <c r="Z31" s="6" t="str">
        <f>IF(Z$3="","",IF('Regional assumptions'!AA32=1,"","*"&amp;'Regional assumptions'!AA32))</f>
        <v/>
      </c>
      <c r="AA31" s="6" t="str">
        <f>IF(AA$3="","",IF('Regional assumptions'!AB32=1,"","*"&amp;'Regional assumptions'!AB32))</f>
        <v/>
      </c>
      <c r="AB31" s="6" t="str">
        <f>IF(AB$3="","",IF('Regional assumptions'!AC32=1,"","*"&amp;'Regional assumptions'!AC32))</f>
        <v/>
      </c>
      <c r="AC31" s="6" t="str">
        <f>IF(AC$3="","",IF('Regional assumptions'!AD32=1,"","*"&amp;'Regional assumptions'!AD32))</f>
        <v/>
      </c>
      <c r="AD31" s="6" t="str">
        <f>IF(AD$3="","",IF('Regional assumptions'!AE32=1,"","*"&amp;'Regional assumptions'!AE32))</f>
        <v/>
      </c>
      <c r="AE31" s="6" t="str">
        <f>IF(AE$3="","",IF('Regional assumptions'!AF32=1,"","*"&amp;'Regional assumptions'!AF32))</f>
        <v/>
      </c>
      <c r="AF31" s="6" t="str">
        <f>IF(AF$3="","",IF('Regional assumptions'!AG32=1,"","*"&amp;'Regional assumptions'!AG32))</f>
        <v/>
      </c>
      <c r="AG31" s="6" t="str">
        <f>IF(AG$3="","",IF('Regional assumptions'!AH32=1,"","*"&amp;'Regional assumptions'!AH32))</f>
        <v/>
      </c>
      <c r="AH31" s="6" t="str">
        <f>IF(AH$3="","",IF('Regional assumptions'!AI32=1,"","*"&amp;'Regional assumptions'!AI32))</f>
        <v/>
      </c>
      <c r="AI31" s="6" t="str">
        <f>IF(AI$3="","",IF('Regional assumptions'!AJ32=1,"","*"&amp;'Regional assumptions'!AJ32))</f>
        <v/>
      </c>
      <c r="AJ31" s="6" t="str">
        <f>IF(AJ$3="","",IF('Regional assumptions'!AK32=1,"","*"&amp;'Regional assumptions'!AK32))</f>
        <v/>
      </c>
      <c r="AK31" s="6" t="str">
        <f>IF(AK$3="","",IF('Regional assumptions'!AL32=1,"","*"&amp;'Regional assumptions'!AL32))</f>
        <v/>
      </c>
      <c r="AL31" s="6" t="str">
        <f>IF(AL$3="","",IF('Regional assumptions'!AM32=1,"","*"&amp;'Regional assumptions'!AM32))</f>
        <v/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'Regional assumptions'!C33</f>
        <v>INVCOST</v>
      </c>
      <c r="C32" t="str">
        <f>'Regional assumptions'!D33</f>
        <v>EN_GasCTAdv</v>
      </c>
      <c r="D32" s="6" t="str">
        <f>IF(D$3="","",IF('Regional assumptions'!E33=1,"","*"&amp;'Regional assumptions'!E33))</f>
        <v>*0.75</v>
      </c>
      <c r="E32" s="6" t="str">
        <f>IF(E$3="","",IF('Regional assumptions'!F33=1,"","*"&amp;'Regional assumptions'!F33))</f>
        <v>*0.75</v>
      </c>
      <c r="F32" s="6" t="str">
        <f>IF(F$3="","",IF('Regional assumptions'!G33=1,"","*"&amp;'Regional assumptions'!G33))</f>
        <v/>
      </c>
      <c r="G32" s="6" t="str">
        <f>IF(G$3="","",IF('Regional assumptions'!H33=1,"","*"&amp;'Regional assumptions'!H33))</f>
        <v>*0.75</v>
      </c>
      <c r="H32" s="6" t="str">
        <f>IF(H$3="","",IF('Regional assumptions'!I33=1,"","*"&amp;'Regional assumptions'!I33))</f>
        <v/>
      </c>
      <c r="I32" s="6" t="str">
        <f>IF(I$3="","",IF('Regional assumptions'!J33=1,"","*"&amp;'Regional assumptions'!J33))</f>
        <v>*0.75</v>
      </c>
      <c r="J32" s="6" t="str">
        <f>IF(J$3="","",IF('Regional assumptions'!K33=1,"","*"&amp;'Regional assumptions'!K33))</f>
        <v>*0.75</v>
      </c>
      <c r="K32" s="6" t="str">
        <f>IF(K$3="","",IF('Regional assumptions'!L33=1,"","*"&amp;'Regional assumptions'!L33))</f>
        <v/>
      </c>
      <c r="L32" s="6" t="str">
        <f>IF(L$3="","",IF('Regional assumptions'!M33=1,"","*"&amp;'Regional assumptions'!M33))</f>
        <v>*0.75</v>
      </c>
      <c r="M32" s="6" t="str">
        <f>IF(M$3="","",IF('Regional assumptions'!N33=1,"","*"&amp;'Regional assumptions'!N33))</f>
        <v/>
      </c>
      <c r="N32" s="6" t="str">
        <f>IF(N$3="","",IF('Regional assumptions'!O33=1,"","*"&amp;'Regional assumptions'!O33))</f>
        <v>*0.833</v>
      </c>
      <c r="O32" s="6" t="str">
        <f>IF(O$3="","",IF('Regional assumptions'!P33=1,"","*"&amp;'Regional assumptions'!P33))</f>
        <v>*0.75</v>
      </c>
      <c r="P32" s="6" t="str">
        <f>IF(P$3="","",IF('Regional assumptions'!Q33=1,"","*"&amp;'Regional assumptions'!Q33))</f>
        <v>*0.75</v>
      </c>
      <c r="Q32" s="6" t="str">
        <f>IF(Q$3="","",IF('Regional assumptions'!R33=1,"","*"&amp;'Regional assumptions'!R33))</f>
        <v>*0.833</v>
      </c>
      <c r="R32" s="6" t="str">
        <f>IF(R$3="","",IF('Regional assumptions'!S33=1,"","*"&amp;'Regional assumptions'!S33))</f>
        <v/>
      </c>
      <c r="S32" s="6" t="str">
        <f>IF(S$3="","",IF('Regional assumptions'!T33=1,"","*"&amp;'Regional assumptions'!T33))</f>
        <v>*0.833</v>
      </c>
      <c r="T32" s="6" t="str">
        <f>IF(T$3="","",IF('Regional assumptions'!U33=1,"","*"&amp;'Regional assumptions'!U33))</f>
        <v/>
      </c>
      <c r="U32" s="6" t="str">
        <f>IF(U$3="","",IF('Regional assumptions'!V33=1,"","*"&amp;'Regional assumptions'!V33))</f>
        <v/>
      </c>
      <c r="V32" s="6" t="str">
        <f>IF(V$3="","",IF('Regional assumptions'!W33=1,"","*"&amp;'Regional assumptions'!W33))</f>
        <v/>
      </c>
      <c r="W32" s="6" t="str">
        <f>IF(W$3="","",IF('Regional assumptions'!X33=1,"","*"&amp;'Regional assumptions'!X33))</f>
        <v/>
      </c>
      <c r="X32" s="6" t="str">
        <f>IF(X$3="","",IF('Regional assumptions'!Y33=1,"","*"&amp;'Regional assumptions'!Y33))</f>
        <v/>
      </c>
      <c r="Y32" s="6" t="str">
        <f>IF(Y$3="","",IF('Regional assumptions'!Z33=1,"","*"&amp;'Regional assumptions'!Z33))</f>
        <v/>
      </c>
      <c r="Z32" s="6" t="str">
        <f>IF(Z$3="","",IF('Regional assumptions'!AA33=1,"","*"&amp;'Regional assumptions'!AA33))</f>
        <v/>
      </c>
      <c r="AA32" s="6" t="str">
        <f>IF(AA$3="","",IF('Regional assumptions'!AB33=1,"","*"&amp;'Regional assumptions'!AB33))</f>
        <v/>
      </c>
      <c r="AB32" s="6" t="str">
        <f>IF(AB$3="","",IF('Regional assumptions'!AC33=1,"","*"&amp;'Regional assumptions'!AC33))</f>
        <v/>
      </c>
      <c r="AC32" s="6" t="str">
        <f>IF(AC$3="","",IF('Regional assumptions'!AD33=1,"","*"&amp;'Regional assumptions'!AD33))</f>
        <v/>
      </c>
      <c r="AD32" s="6" t="str">
        <f>IF(AD$3="","",IF('Regional assumptions'!AE33=1,"","*"&amp;'Regional assumptions'!AE33))</f>
        <v/>
      </c>
      <c r="AE32" s="6" t="str">
        <f>IF(AE$3="","",IF('Regional assumptions'!AF33=1,"","*"&amp;'Regional assumptions'!AF33))</f>
        <v/>
      </c>
      <c r="AF32" s="6" t="str">
        <f>IF(AF$3="","",IF('Regional assumptions'!AG33=1,"","*"&amp;'Regional assumptions'!AG33))</f>
        <v/>
      </c>
      <c r="AG32" s="6" t="str">
        <f>IF(AG$3="","",IF('Regional assumptions'!AH33=1,"","*"&amp;'Regional assumptions'!AH33))</f>
        <v/>
      </c>
      <c r="AH32" s="6" t="str">
        <f>IF(AH$3="","",IF('Regional assumptions'!AI33=1,"","*"&amp;'Regional assumptions'!AI33))</f>
        <v/>
      </c>
      <c r="AI32" s="6" t="str">
        <f>IF(AI$3="","",IF('Regional assumptions'!AJ33=1,"","*"&amp;'Regional assumptions'!AJ33))</f>
        <v/>
      </c>
      <c r="AJ32" s="6" t="str">
        <f>IF(AJ$3="","",IF('Regional assumptions'!AK33=1,"","*"&amp;'Regional assumptions'!AK33))</f>
        <v/>
      </c>
      <c r="AK32" s="6" t="str">
        <f>IF(AK$3="","",IF('Regional assumptions'!AL33=1,"","*"&amp;'Regional assumptions'!AL33))</f>
        <v/>
      </c>
      <c r="AL32" s="6" t="str">
        <f>IF(AL$3="","",IF('Regional assumptions'!AM33=1,"","*"&amp;'Regional assumptions'!AM33))</f>
        <v/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'Regional assumptions'!C34</f>
        <v>INVCOST</v>
      </c>
      <c r="C33" t="str">
        <f>'Regional assumptions'!D34</f>
        <v>EN_NuclearAdv</v>
      </c>
      <c r="D33" s="6" t="str">
        <f>IF(D$3="","",IF('Regional assumptions'!E34=1,"","*"&amp;'Regional assumptions'!E34))</f>
        <v>*0.889</v>
      </c>
      <c r="E33" s="6" t="str">
        <f>IF(E$3="","",IF('Regional assumptions'!F34=1,"","*"&amp;'Regional assumptions'!F34))</f>
        <v>*0.889</v>
      </c>
      <c r="F33" s="6" t="str">
        <f>IF(F$3="","",IF('Regional assumptions'!G34=1,"","*"&amp;'Regional assumptions'!G34))</f>
        <v/>
      </c>
      <c r="G33" s="6" t="str">
        <f>IF(G$3="","",IF('Regional assumptions'!H34=1,"","*"&amp;'Regional assumptions'!H34))</f>
        <v>*0.889</v>
      </c>
      <c r="H33" s="6" t="str">
        <f>IF(H$3="","",IF('Regional assumptions'!I34=1,"","*"&amp;'Regional assumptions'!I34))</f>
        <v>*0.944</v>
      </c>
      <c r="I33" s="6" t="str">
        <f>IF(I$3="","",IF('Regional assumptions'!J34=1,"","*"&amp;'Regional assumptions'!J34))</f>
        <v>*0.833</v>
      </c>
      <c r="J33" s="6" t="str">
        <f>IF(J$3="","",IF('Regional assumptions'!K34=1,"","*"&amp;'Regional assumptions'!K34))</f>
        <v>*0.889</v>
      </c>
      <c r="K33" s="6" t="str">
        <f>IF(K$3="","",IF('Regional assumptions'!L34=1,"","*"&amp;'Regional assumptions'!L34))</f>
        <v/>
      </c>
      <c r="L33" s="6" t="str">
        <f>IF(L$3="","",IF('Regional assumptions'!M34=1,"","*"&amp;'Regional assumptions'!M34))</f>
        <v>*0.889</v>
      </c>
      <c r="M33" s="6" t="str">
        <f>IF(M$3="","",IF('Regional assumptions'!N34=1,"","*"&amp;'Regional assumptions'!N34))</f>
        <v/>
      </c>
      <c r="N33" s="6" t="str">
        <f>IF(N$3="","",IF('Regional assumptions'!O34=1,"","*"&amp;'Regional assumptions'!O34))</f>
        <v>*0.889</v>
      </c>
      <c r="O33" s="6" t="str">
        <f>IF(O$3="","",IF('Regional assumptions'!P34=1,"","*"&amp;'Regional assumptions'!P34))</f>
        <v>*0.889</v>
      </c>
      <c r="P33" s="6" t="str">
        <f>IF(P$3="","",IF('Regional assumptions'!Q34=1,"","*"&amp;'Regional assumptions'!Q34))</f>
        <v>*0.889</v>
      </c>
      <c r="Q33" s="6" t="str">
        <f>IF(Q$3="","",IF('Regional assumptions'!R34=1,"","*"&amp;'Regional assumptions'!R34))</f>
        <v>*0.889</v>
      </c>
      <c r="R33" s="6" t="str">
        <f>IF(R$3="","",IF('Regional assumptions'!S34=1,"","*"&amp;'Regional assumptions'!S34))</f>
        <v>*0.889</v>
      </c>
      <c r="S33" s="6" t="str">
        <f>IF(S$3="","",IF('Regional assumptions'!T34=1,"","*"&amp;'Regional assumptions'!T34))</f>
        <v>*0.889</v>
      </c>
      <c r="T33" s="6" t="str">
        <f>IF(T$3="","",IF('Regional assumptions'!U34=1,"","*"&amp;'Regional assumptions'!U34))</f>
        <v/>
      </c>
      <c r="U33" s="6" t="str">
        <f>IF(U$3="","",IF('Regional assumptions'!V34=1,"","*"&amp;'Regional assumptions'!V34))</f>
        <v/>
      </c>
      <c r="V33" s="6" t="str">
        <f>IF(V$3="","",IF('Regional assumptions'!W34=1,"","*"&amp;'Regional assumptions'!W34))</f>
        <v/>
      </c>
      <c r="W33" s="6" t="str">
        <f>IF(W$3="","",IF('Regional assumptions'!X34=1,"","*"&amp;'Regional assumptions'!X34))</f>
        <v/>
      </c>
      <c r="X33" s="6" t="str">
        <f>IF(X$3="","",IF('Regional assumptions'!Y34=1,"","*"&amp;'Regional assumptions'!Y34))</f>
        <v/>
      </c>
      <c r="Y33" s="6" t="str">
        <f>IF(Y$3="","",IF('Regional assumptions'!Z34=1,"","*"&amp;'Regional assumptions'!Z34))</f>
        <v/>
      </c>
      <c r="Z33" s="6" t="str">
        <f>IF(Z$3="","",IF('Regional assumptions'!AA34=1,"","*"&amp;'Regional assumptions'!AA34))</f>
        <v/>
      </c>
      <c r="AA33" s="6" t="str">
        <f>IF(AA$3="","",IF('Regional assumptions'!AB34=1,"","*"&amp;'Regional assumptions'!AB34))</f>
        <v/>
      </c>
      <c r="AB33" s="6" t="str">
        <f>IF(AB$3="","",IF('Regional assumptions'!AC34=1,"","*"&amp;'Regional assumptions'!AC34))</f>
        <v/>
      </c>
      <c r="AC33" s="6" t="str">
        <f>IF(AC$3="","",IF('Regional assumptions'!AD34=1,"","*"&amp;'Regional assumptions'!AD34))</f>
        <v/>
      </c>
      <c r="AD33" s="6" t="str">
        <f>IF(AD$3="","",IF('Regional assumptions'!AE34=1,"","*"&amp;'Regional assumptions'!AE34))</f>
        <v/>
      </c>
      <c r="AE33" s="6" t="str">
        <f>IF(AE$3="","",IF('Regional assumptions'!AF34=1,"","*"&amp;'Regional assumptions'!AF34))</f>
        <v/>
      </c>
      <c r="AF33" s="6" t="str">
        <f>IF(AF$3="","",IF('Regional assumptions'!AG34=1,"","*"&amp;'Regional assumptions'!AG34))</f>
        <v/>
      </c>
      <c r="AG33" s="6" t="str">
        <f>IF(AG$3="","",IF('Regional assumptions'!AH34=1,"","*"&amp;'Regional assumptions'!AH34))</f>
        <v/>
      </c>
      <c r="AH33" s="6" t="str">
        <f>IF(AH$3="","",IF('Regional assumptions'!AI34=1,"","*"&amp;'Regional assumptions'!AI34))</f>
        <v/>
      </c>
      <c r="AI33" s="6" t="str">
        <f>IF(AI$3="","",IF('Regional assumptions'!AJ34=1,"","*"&amp;'Regional assumptions'!AJ34))</f>
        <v/>
      </c>
      <c r="AJ33" s="6" t="str">
        <f>IF(AJ$3="","",IF('Regional assumptions'!AK34=1,"","*"&amp;'Regional assumptions'!AK34))</f>
        <v/>
      </c>
      <c r="AK33" s="6" t="str">
        <f>IF(AK$3="","",IF('Regional assumptions'!AL34=1,"","*"&amp;'Regional assumptions'!AL34))</f>
        <v/>
      </c>
      <c r="AL33" s="6" t="str">
        <f>IF(AL$3="","",IF('Regional assumptions'!AM34=1,"","*"&amp;'Regional assumptions'!AM34))</f>
        <v/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'Regional assumptions'!C35</f>
        <v>INVCOST</v>
      </c>
      <c r="C34" t="str">
        <f>'Regional assumptions'!D35</f>
        <v>EN_OilCCAdv</v>
      </c>
      <c r="D34" s="6" t="str">
        <f>IF(D$3="","",IF('Regional assumptions'!E35=1,"","*"&amp;'Regional assumptions'!E35))</f>
        <v>*0.75</v>
      </c>
      <c r="E34" s="6" t="str">
        <f>IF(E$3="","",IF('Regional assumptions'!F35=1,"","*"&amp;'Regional assumptions'!F35))</f>
        <v>*0.75</v>
      </c>
      <c r="F34" s="6" t="str">
        <f>IF(F$3="","",IF('Regional assumptions'!G35=1,"","*"&amp;'Regional assumptions'!G35))</f>
        <v/>
      </c>
      <c r="G34" s="6" t="str">
        <f>IF(G$3="","",IF('Regional assumptions'!H35=1,"","*"&amp;'Regional assumptions'!H35))</f>
        <v>*0.75</v>
      </c>
      <c r="H34" s="6" t="str">
        <f>IF(H$3="","",IF('Regional assumptions'!I35=1,"","*"&amp;'Regional assumptions'!I35))</f>
        <v/>
      </c>
      <c r="I34" s="6" t="str">
        <f>IF(I$3="","",IF('Regional assumptions'!J35=1,"","*"&amp;'Regional assumptions'!J35))</f>
        <v>*0.75</v>
      </c>
      <c r="J34" s="6" t="str">
        <f>IF(J$3="","",IF('Regional assumptions'!K35=1,"","*"&amp;'Regional assumptions'!K35))</f>
        <v>*0.75</v>
      </c>
      <c r="K34" s="6" t="str">
        <f>IF(K$3="","",IF('Regional assumptions'!L35=1,"","*"&amp;'Regional assumptions'!L35))</f>
        <v/>
      </c>
      <c r="L34" s="6" t="str">
        <f>IF(L$3="","",IF('Regional assumptions'!M35=1,"","*"&amp;'Regional assumptions'!M35))</f>
        <v>*0.75</v>
      </c>
      <c r="M34" s="6" t="str">
        <f>IF(M$3="","",IF('Regional assumptions'!N35=1,"","*"&amp;'Regional assumptions'!N35))</f>
        <v/>
      </c>
      <c r="N34" s="6" t="str">
        <f>IF(N$3="","",IF('Regional assumptions'!O35=1,"","*"&amp;'Regional assumptions'!O35))</f>
        <v>*0.85</v>
      </c>
      <c r="O34" s="6" t="str">
        <f>IF(O$3="","",IF('Regional assumptions'!P35=1,"","*"&amp;'Regional assumptions'!P35))</f>
        <v>*0.75</v>
      </c>
      <c r="P34" s="6" t="str">
        <f>IF(P$3="","",IF('Regional assumptions'!Q35=1,"","*"&amp;'Regional assumptions'!Q35))</f>
        <v>*0.75</v>
      </c>
      <c r="Q34" s="6" t="str">
        <f>IF(Q$3="","",IF('Regional assumptions'!R35=1,"","*"&amp;'Regional assumptions'!R35))</f>
        <v>*0.85</v>
      </c>
      <c r="R34" s="6" t="str">
        <f>IF(R$3="","",IF('Regional assumptions'!S35=1,"","*"&amp;'Regional assumptions'!S35))</f>
        <v/>
      </c>
      <c r="S34" s="6" t="str">
        <f>IF(S$3="","",IF('Regional assumptions'!T35=1,"","*"&amp;'Regional assumptions'!T35))</f>
        <v>*0.85</v>
      </c>
      <c r="T34" s="6" t="str">
        <f>IF(T$3="","",IF('Regional assumptions'!U35=1,"","*"&amp;'Regional assumptions'!U35))</f>
        <v/>
      </c>
      <c r="U34" s="6" t="str">
        <f>IF(U$3="","",IF('Regional assumptions'!V35=1,"","*"&amp;'Regional assumptions'!V35))</f>
        <v/>
      </c>
      <c r="V34" s="6" t="str">
        <f>IF(V$3="","",IF('Regional assumptions'!W35=1,"","*"&amp;'Regional assumptions'!W35))</f>
        <v/>
      </c>
      <c r="W34" s="6" t="str">
        <f>IF(W$3="","",IF('Regional assumptions'!X35=1,"","*"&amp;'Regional assumptions'!X35))</f>
        <v/>
      </c>
      <c r="X34" s="6" t="str">
        <f>IF(X$3="","",IF('Regional assumptions'!Y35=1,"","*"&amp;'Regional assumptions'!Y35))</f>
        <v/>
      </c>
      <c r="Y34" s="6" t="str">
        <f>IF(Y$3="","",IF('Regional assumptions'!Z35=1,"","*"&amp;'Regional assumptions'!Z35))</f>
        <v/>
      </c>
      <c r="Z34" s="6" t="str">
        <f>IF(Z$3="","",IF('Regional assumptions'!AA35=1,"","*"&amp;'Regional assumptions'!AA35))</f>
        <v/>
      </c>
      <c r="AA34" s="6" t="str">
        <f>IF(AA$3="","",IF('Regional assumptions'!AB35=1,"","*"&amp;'Regional assumptions'!AB35))</f>
        <v/>
      </c>
      <c r="AB34" s="6" t="str">
        <f>IF(AB$3="","",IF('Regional assumptions'!AC35=1,"","*"&amp;'Regional assumptions'!AC35))</f>
        <v/>
      </c>
      <c r="AC34" s="6" t="str">
        <f>IF(AC$3="","",IF('Regional assumptions'!AD35=1,"","*"&amp;'Regional assumptions'!AD35))</f>
        <v/>
      </c>
      <c r="AD34" s="6" t="str">
        <f>IF(AD$3="","",IF('Regional assumptions'!AE35=1,"","*"&amp;'Regional assumptions'!AE35))</f>
        <v/>
      </c>
      <c r="AE34" s="6" t="str">
        <f>IF(AE$3="","",IF('Regional assumptions'!AF35=1,"","*"&amp;'Regional assumptions'!AF35))</f>
        <v/>
      </c>
      <c r="AF34" s="6" t="str">
        <f>IF(AF$3="","",IF('Regional assumptions'!AG35=1,"","*"&amp;'Regional assumptions'!AG35))</f>
        <v/>
      </c>
      <c r="AG34" s="6" t="str">
        <f>IF(AG$3="","",IF('Regional assumptions'!AH35=1,"","*"&amp;'Regional assumptions'!AH35))</f>
        <v/>
      </c>
      <c r="AH34" s="6" t="str">
        <f>IF(AH$3="","",IF('Regional assumptions'!AI35=1,"","*"&amp;'Regional assumptions'!AI35))</f>
        <v/>
      </c>
      <c r="AI34" s="6" t="str">
        <f>IF(AI$3="","",IF('Regional assumptions'!AJ35=1,"","*"&amp;'Regional assumptions'!AJ35))</f>
        <v/>
      </c>
      <c r="AJ34" s="6" t="str">
        <f>IF(AJ$3="","",IF('Regional assumptions'!AK35=1,"","*"&amp;'Regional assumptions'!AK35))</f>
        <v/>
      </c>
      <c r="AK34" s="6" t="str">
        <f>IF(AK$3="","",IF('Regional assumptions'!AL35=1,"","*"&amp;'Regional assumptions'!AL35))</f>
        <v/>
      </c>
      <c r="AL34" s="6" t="str">
        <f>IF(AL$3="","",IF('Regional assumptions'!AM35=1,"","*"&amp;'Regional assumptions'!AM35))</f>
        <v/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'Regional assumptions'!C36</f>
        <v>INVCOST</v>
      </c>
      <c r="C35" t="str">
        <f>'Regional assumptions'!D36</f>
        <v>EN_ZCOAIGCC</v>
      </c>
      <c r="D35" s="6" t="str">
        <f>IF(D$3="","",IF('Regional assumptions'!E36=1,"","*"&amp;'Regional assumptions'!E36))</f>
        <v>*0.81</v>
      </c>
      <c r="E35" s="6" t="str">
        <f>IF(E$3="","",IF('Regional assumptions'!F36=1,"","*"&amp;'Regional assumptions'!F36))</f>
        <v>*0.81</v>
      </c>
      <c r="F35" s="6" t="str">
        <f>IF(F$3="","",IF('Regional assumptions'!G36=1,"","*"&amp;'Regional assumptions'!G36))</f>
        <v>*0.889</v>
      </c>
      <c r="G35" s="6" t="str">
        <f>IF(G$3="","",IF('Regional assumptions'!H36=1,"","*"&amp;'Regional assumptions'!H36))</f>
        <v>*0.81</v>
      </c>
      <c r="H35" s="6" t="str">
        <f>IF(H$3="","",IF('Regional assumptions'!I36=1,"","*"&amp;'Regional assumptions'!I36))</f>
        <v>*0.889</v>
      </c>
      <c r="I35" s="6" t="str">
        <f>IF(I$3="","",IF('Regional assumptions'!J36=1,"","*"&amp;'Regional assumptions'!J36))</f>
        <v>*0.81</v>
      </c>
      <c r="J35" s="6" t="str">
        <f>IF(J$3="","",IF('Regional assumptions'!K36=1,"","*"&amp;'Regional assumptions'!K36))</f>
        <v>*0.81</v>
      </c>
      <c r="K35" s="6" t="str">
        <f>IF(K$3="","",IF('Regional assumptions'!L36=1,"","*"&amp;'Regional assumptions'!L36))</f>
        <v>*0.889</v>
      </c>
      <c r="L35" s="6" t="str">
        <f>IF(L$3="","",IF('Regional assumptions'!M36=1,"","*"&amp;'Regional assumptions'!M36))</f>
        <v>*0.81</v>
      </c>
      <c r="M35" s="6" t="str">
        <f>IF(M$3="","",IF('Regional assumptions'!N36=1,"","*"&amp;'Regional assumptions'!N36))</f>
        <v>*0.952</v>
      </c>
      <c r="N35" s="6" t="str">
        <f>IF(N$3="","",IF('Regional assumptions'!O36=1,"","*"&amp;'Regional assumptions'!O36))</f>
        <v>*0.889</v>
      </c>
      <c r="O35" s="6" t="str">
        <f>IF(O$3="","",IF('Regional assumptions'!P36=1,"","*"&amp;'Regional assumptions'!P36))</f>
        <v>*0.889</v>
      </c>
      <c r="P35" s="6" t="str">
        <f>IF(P$3="","",IF('Regional assumptions'!Q36=1,"","*"&amp;'Regional assumptions'!Q36))</f>
        <v>*0.81</v>
      </c>
      <c r="Q35" s="6" t="str">
        <f>IF(Q$3="","",IF('Regional assumptions'!R36=1,"","*"&amp;'Regional assumptions'!R36))</f>
        <v>*0.889</v>
      </c>
      <c r="R35" s="6" t="str">
        <f>IF(R$3="","",IF('Regional assumptions'!S36=1,"","*"&amp;'Regional assumptions'!S36))</f>
        <v>*0.889</v>
      </c>
      <c r="S35" s="6" t="str">
        <f>IF(S$3="","",IF('Regional assumptions'!T36=1,"","*"&amp;'Regional assumptions'!T36))</f>
        <v>*0.889</v>
      </c>
      <c r="T35" s="6" t="str">
        <f>IF(T$3="","",IF('Regional assumptions'!U36=1,"","*"&amp;'Regional assumptions'!U36))</f>
        <v/>
      </c>
      <c r="U35" s="6" t="str">
        <f>IF(U$3="","",IF('Regional assumptions'!V36=1,"","*"&amp;'Regional assumptions'!V36))</f>
        <v/>
      </c>
      <c r="V35" s="6" t="str">
        <f>IF(V$3="","",IF('Regional assumptions'!W36=1,"","*"&amp;'Regional assumptions'!W36))</f>
        <v/>
      </c>
      <c r="W35" s="6" t="str">
        <f>IF(W$3="","",IF('Regional assumptions'!X36=1,"","*"&amp;'Regional assumptions'!X36))</f>
        <v/>
      </c>
      <c r="X35" s="6" t="str">
        <f>IF(X$3="","",IF('Regional assumptions'!Y36=1,"","*"&amp;'Regional assumptions'!Y36))</f>
        <v/>
      </c>
      <c r="Y35" s="6" t="str">
        <f>IF(Y$3="","",IF('Regional assumptions'!Z36=1,"","*"&amp;'Regional assumptions'!Z36))</f>
        <v/>
      </c>
      <c r="Z35" s="6" t="str">
        <f>IF(Z$3="","",IF('Regional assumptions'!AA36=1,"","*"&amp;'Regional assumptions'!AA36))</f>
        <v/>
      </c>
      <c r="AA35" s="6" t="str">
        <f>IF(AA$3="","",IF('Regional assumptions'!AB36=1,"","*"&amp;'Regional assumptions'!AB36))</f>
        <v/>
      </c>
      <c r="AB35" s="6" t="str">
        <f>IF(AB$3="","",IF('Regional assumptions'!AC36=1,"","*"&amp;'Regional assumptions'!AC36))</f>
        <v/>
      </c>
      <c r="AC35" s="6" t="str">
        <f>IF(AC$3="","",IF('Regional assumptions'!AD36=1,"","*"&amp;'Regional assumptions'!AD36))</f>
        <v/>
      </c>
      <c r="AD35" s="6" t="str">
        <f>IF(AD$3="","",IF('Regional assumptions'!AE36=1,"","*"&amp;'Regional assumptions'!AE36))</f>
        <v/>
      </c>
      <c r="AE35" s="6" t="str">
        <f>IF(AE$3="","",IF('Regional assumptions'!AF36=1,"","*"&amp;'Regional assumptions'!AF36))</f>
        <v/>
      </c>
      <c r="AF35" s="6" t="str">
        <f>IF(AF$3="","",IF('Regional assumptions'!AG36=1,"","*"&amp;'Regional assumptions'!AG36))</f>
        <v/>
      </c>
      <c r="AG35" s="6" t="str">
        <f>IF(AG$3="","",IF('Regional assumptions'!AH36=1,"","*"&amp;'Regional assumptions'!AH36))</f>
        <v/>
      </c>
      <c r="AH35" s="6" t="str">
        <f>IF(AH$3="","",IF('Regional assumptions'!AI36=1,"","*"&amp;'Regional assumptions'!AI36))</f>
        <v/>
      </c>
      <c r="AI35" s="6" t="str">
        <f>IF(AI$3="","",IF('Regional assumptions'!AJ36=1,"","*"&amp;'Regional assumptions'!AJ36))</f>
        <v/>
      </c>
      <c r="AJ35" s="6" t="str">
        <f>IF(AJ$3="","",IF('Regional assumptions'!AK36=1,"","*"&amp;'Regional assumptions'!AK36))</f>
        <v/>
      </c>
      <c r="AK35" s="6" t="str">
        <f>IF(AK$3="","",IF('Regional assumptions'!AL36=1,"","*"&amp;'Regional assumptions'!AL36))</f>
        <v/>
      </c>
      <c r="AL35" s="6" t="str">
        <f>IF(AL$3="","",IF('Regional assumptions'!AM36=1,"","*"&amp;'Regional assumptions'!AM36))</f>
        <v/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'Regional assumptions'!C37</f>
        <v>INVCOST</v>
      </c>
      <c r="C36" t="str">
        <f>'Regional assumptions'!D37</f>
        <v>EN_ZGasCCAdv</v>
      </c>
      <c r="D36" s="6" t="str">
        <f>IF(D$3="","",IF('Regional assumptions'!E37=1,"","*"&amp;'Regional assumptions'!E37))</f>
        <v>*0.75</v>
      </c>
      <c r="E36" s="6" t="str">
        <f>IF(E$3="","",IF('Regional assumptions'!F37=1,"","*"&amp;'Regional assumptions'!F37))</f>
        <v>*0.75</v>
      </c>
      <c r="F36" s="6" t="str">
        <f>IF(F$3="","",IF('Regional assumptions'!G37=1,"","*"&amp;'Regional assumptions'!G37))</f>
        <v/>
      </c>
      <c r="G36" s="6" t="str">
        <f>IF(G$3="","",IF('Regional assumptions'!H37=1,"","*"&amp;'Regional assumptions'!H37))</f>
        <v>*0.75</v>
      </c>
      <c r="H36" s="6" t="str">
        <f>IF(H$3="","",IF('Regional assumptions'!I37=1,"","*"&amp;'Regional assumptions'!I37))</f>
        <v/>
      </c>
      <c r="I36" s="6" t="str">
        <f>IF(I$3="","",IF('Regional assumptions'!J37=1,"","*"&amp;'Regional assumptions'!J37))</f>
        <v>*0.75</v>
      </c>
      <c r="J36" s="6" t="str">
        <f>IF(J$3="","",IF('Regional assumptions'!K37=1,"","*"&amp;'Regional assumptions'!K37))</f>
        <v>*0.75</v>
      </c>
      <c r="K36" s="6" t="str">
        <f>IF(K$3="","",IF('Regional assumptions'!L37=1,"","*"&amp;'Regional assumptions'!L37))</f>
        <v/>
      </c>
      <c r="L36" s="6" t="str">
        <f>IF(L$3="","",IF('Regional assumptions'!M37=1,"","*"&amp;'Regional assumptions'!M37))</f>
        <v>*0.75</v>
      </c>
      <c r="M36" s="6" t="str">
        <f>IF(M$3="","",IF('Regional assumptions'!N37=1,"","*"&amp;'Regional assumptions'!N37))</f>
        <v/>
      </c>
      <c r="N36" s="6" t="str">
        <f>IF(N$3="","",IF('Regional assumptions'!O37=1,"","*"&amp;'Regional assumptions'!O37))</f>
        <v>*0.85</v>
      </c>
      <c r="O36" s="6" t="str">
        <f>IF(O$3="","",IF('Regional assumptions'!P37=1,"","*"&amp;'Regional assumptions'!P37))</f>
        <v>*0.75</v>
      </c>
      <c r="P36" s="6" t="str">
        <f>IF(P$3="","",IF('Regional assumptions'!Q37=1,"","*"&amp;'Regional assumptions'!Q37))</f>
        <v>*0.75</v>
      </c>
      <c r="Q36" s="6" t="str">
        <f>IF(Q$3="","",IF('Regional assumptions'!R37=1,"","*"&amp;'Regional assumptions'!R37))</f>
        <v>*0.85</v>
      </c>
      <c r="R36" s="6" t="str">
        <f>IF(R$3="","",IF('Regional assumptions'!S37=1,"","*"&amp;'Regional assumptions'!S37))</f>
        <v/>
      </c>
      <c r="S36" s="6" t="str">
        <f>IF(S$3="","",IF('Regional assumptions'!T37=1,"","*"&amp;'Regional assumptions'!T37))</f>
        <v>*0.85</v>
      </c>
      <c r="T36" s="6" t="str">
        <f>IF(T$3="","",IF('Regional assumptions'!U37=1,"","*"&amp;'Regional assumptions'!U37))</f>
        <v/>
      </c>
      <c r="U36" s="6" t="str">
        <f>IF(U$3="","",IF('Regional assumptions'!V37=1,"","*"&amp;'Regional assumptions'!V37))</f>
        <v/>
      </c>
      <c r="V36" s="6" t="str">
        <f>IF(V$3="","",IF('Regional assumptions'!W37=1,"","*"&amp;'Regional assumptions'!W37))</f>
        <v/>
      </c>
      <c r="W36" s="6" t="str">
        <f>IF(W$3="","",IF('Regional assumptions'!X37=1,"","*"&amp;'Regional assumptions'!X37))</f>
        <v/>
      </c>
      <c r="X36" s="6" t="str">
        <f>IF(X$3="","",IF('Regional assumptions'!Y37=1,"","*"&amp;'Regional assumptions'!Y37))</f>
        <v/>
      </c>
      <c r="Y36" s="6" t="str">
        <f>IF(Y$3="","",IF('Regional assumptions'!Z37=1,"","*"&amp;'Regional assumptions'!Z37))</f>
        <v/>
      </c>
      <c r="Z36" s="6" t="str">
        <f>IF(Z$3="","",IF('Regional assumptions'!AA37=1,"","*"&amp;'Regional assumptions'!AA37))</f>
        <v/>
      </c>
      <c r="AA36" s="6" t="str">
        <f>IF(AA$3="","",IF('Regional assumptions'!AB37=1,"","*"&amp;'Regional assumptions'!AB37))</f>
        <v/>
      </c>
      <c r="AB36" s="6" t="str">
        <f>IF(AB$3="","",IF('Regional assumptions'!AC37=1,"","*"&amp;'Regional assumptions'!AC37))</f>
        <v/>
      </c>
      <c r="AC36" s="6" t="str">
        <f>IF(AC$3="","",IF('Regional assumptions'!AD37=1,"","*"&amp;'Regional assumptions'!AD37))</f>
        <v/>
      </c>
      <c r="AD36" s="6" t="str">
        <f>IF(AD$3="","",IF('Regional assumptions'!AE37=1,"","*"&amp;'Regional assumptions'!AE37))</f>
        <v/>
      </c>
      <c r="AE36" s="6" t="str">
        <f>IF(AE$3="","",IF('Regional assumptions'!AF37=1,"","*"&amp;'Regional assumptions'!AF37))</f>
        <v/>
      </c>
      <c r="AF36" s="6" t="str">
        <f>IF(AF$3="","",IF('Regional assumptions'!AG37=1,"","*"&amp;'Regional assumptions'!AG37))</f>
        <v/>
      </c>
      <c r="AG36" s="6" t="str">
        <f>IF(AG$3="","",IF('Regional assumptions'!AH37=1,"","*"&amp;'Regional assumptions'!AH37))</f>
        <v/>
      </c>
      <c r="AH36" s="6" t="str">
        <f>IF(AH$3="","",IF('Regional assumptions'!AI37=1,"","*"&amp;'Regional assumptions'!AI37))</f>
        <v/>
      </c>
      <c r="AI36" s="6" t="str">
        <f>IF(AI$3="","",IF('Regional assumptions'!AJ37=1,"","*"&amp;'Regional assumptions'!AJ37))</f>
        <v/>
      </c>
      <c r="AJ36" s="6" t="str">
        <f>IF(AJ$3="","",IF('Regional assumptions'!AK37=1,"","*"&amp;'Regional assumptions'!AK37))</f>
        <v/>
      </c>
      <c r="AK36" s="6" t="str">
        <f>IF(AK$3="","",IF('Regional assumptions'!AL37=1,"","*"&amp;'Regional assumptions'!AL37))</f>
        <v/>
      </c>
      <c r="AL36" s="6" t="str">
        <f>IF(AL$3="","",IF('Regional assumptions'!AM37=1,"","*"&amp;'Regional assumptions'!AM37))</f>
        <v/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  <row r="40" spans="2:216">
      <c r="B40" t="s">
        <v>14</v>
      </c>
    </row>
    <row r="41" spans="2:216">
      <c r="B41" t="s">
        <v>2</v>
      </c>
      <c r="C41" t="s">
        <v>0</v>
      </c>
      <c r="D41" s="6" t="s">
        <v>19</v>
      </c>
      <c r="E41" s="6" t="s">
        <v>20</v>
      </c>
      <c r="F41" s="6" t="s">
        <v>21</v>
      </c>
      <c r="G41" s="8"/>
      <c r="H41" s="8"/>
      <c r="I41" s="8"/>
    </row>
    <row r="42" spans="2:216">
      <c r="B42" t="s">
        <v>22</v>
      </c>
      <c r="C42" t="s">
        <v>23</v>
      </c>
      <c r="D42" s="6" t="s">
        <v>24</v>
      </c>
      <c r="E42" s="6" t="s">
        <v>24</v>
      </c>
      <c r="F42" s="6" t="s">
        <v>24</v>
      </c>
      <c r="G42" s="8"/>
      <c r="H42" s="8"/>
      <c r="I42" s="8"/>
    </row>
    <row r="43" spans="2:216">
      <c r="D43" s="8"/>
      <c r="E43" s="8"/>
      <c r="F43" s="8"/>
      <c r="G43" s="8"/>
      <c r="H43" s="8"/>
      <c r="I43" s="8"/>
    </row>
    <row r="44" spans="2:216">
      <c r="D44" s="8"/>
      <c r="E44" s="8"/>
      <c r="F44" s="8"/>
      <c r="G44" s="8"/>
      <c r="H44" s="8"/>
      <c r="I44" s="8"/>
    </row>
    <row r="45" spans="2:216">
      <c r="D45" s="8"/>
      <c r="E45" s="8"/>
      <c r="F45" s="8"/>
      <c r="G45" s="8"/>
      <c r="H45" s="8"/>
      <c r="I45" s="8"/>
    </row>
    <row r="46" spans="2:216">
      <c r="D46" s="8"/>
      <c r="E46" s="8"/>
      <c r="F46" s="8"/>
      <c r="G46" s="8"/>
      <c r="H46" s="8"/>
      <c r="I46" s="8"/>
    </row>
    <row r="47" spans="2:216">
      <c r="D47" s="8"/>
      <c r="E47" s="8"/>
      <c r="F47" s="8"/>
      <c r="G47" s="8"/>
      <c r="H47" s="8"/>
      <c r="I47" s="8"/>
    </row>
    <row r="48" spans="2:216">
      <c r="D48" s="8"/>
      <c r="E48" s="8"/>
      <c r="F48" s="8"/>
      <c r="G48" s="8"/>
      <c r="H48" s="8"/>
      <c r="I48" s="8"/>
    </row>
    <row r="49" spans="7:9">
      <c r="G49" s="8"/>
      <c r="H49" s="8"/>
      <c r="I4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9"/>
  <sheetViews>
    <sheetView tabSelected="1" workbookViewId="0">
      <selection activeCell="B22" sqref="B22"/>
    </sheetView>
  </sheetViews>
  <sheetFormatPr defaultColWidth="8.88671875" defaultRowHeight="14.4"/>
  <cols>
    <col min="2" max="2" width="12.6640625" bestFit="1" customWidth="1"/>
    <col min="3" max="3" width="4.88671875" bestFit="1" customWidth="1"/>
    <col min="4" max="4" width="9.109375" bestFit="1" customWidth="1"/>
    <col min="5" max="5" width="14.5546875" bestFit="1" customWidth="1"/>
    <col min="6" max="6" width="14.33203125" bestFit="1" customWidth="1"/>
    <col min="7" max="7" width="10.44140625" bestFit="1" customWidth="1"/>
  </cols>
  <sheetData>
    <row r="1" spans="2:11">
      <c r="K1" s="13" t="s">
        <v>38</v>
      </c>
    </row>
    <row r="2" spans="2:11">
      <c r="B2" s="10" t="s">
        <v>6</v>
      </c>
      <c r="C2" s="10"/>
      <c r="D2" s="10"/>
      <c r="E2" s="10"/>
      <c r="F2" s="10"/>
      <c r="G2" s="10"/>
      <c r="K2" s="13">
        <v>2017</v>
      </c>
    </row>
    <row r="3" spans="2:11">
      <c r="B3" s="10" t="s">
        <v>2</v>
      </c>
      <c r="C3" s="10" t="s">
        <v>1</v>
      </c>
      <c r="D3" s="10" t="s">
        <v>4</v>
      </c>
      <c r="E3" s="10" t="s">
        <v>0</v>
      </c>
      <c r="F3" s="10" t="s">
        <v>32</v>
      </c>
      <c r="G3" s="10" t="s">
        <v>3</v>
      </c>
      <c r="K3" s="11">
        <v>2018</v>
      </c>
    </row>
    <row r="4" spans="2:11">
      <c r="B4" t="s">
        <v>8</v>
      </c>
      <c r="D4" t="s">
        <v>5</v>
      </c>
      <c r="E4" s="16" t="s">
        <v>520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E6" s="16" t="s">
        <v>520</v>
      </c>
      <c r="G6" s="5">
        <f>31.536/1.055</f>
        <v>29.891943127962087</v>
      </c>
    </row>
    <row r="7" spans="2:11">
      <c r="B7" s="11" t="s">
        <v>33</v>
      </c>
      <c r="C7" s="11"/>
      <c r="D7" s="11"/>
      <c r="E7" s="11" t="s">
        <v>34</v>
      </c>
      <c r="F7" s="11" t="s">
        <v>35</v>
      </c>
      <c r="G7" s="12">
        <f>4/24</f>
        <v>0.16666666666666666</v>
      </c>
    </row>
    <row r="8" spans="2:11">
      <c r="B8" t="s">
        <v>37</v>
      </c>
      <c r="D8" s="11" t="s">
        <v>5</v>
      </c>
      <c r="E8" s="16" t="s">
        <v>521</v>
      </c>
      <c r="G8" s="13">
        <v>2015</v>
      </c>
    </row>
    <row r="9" spans="2:11" s="11" customFormat="1">
      <c r="B9" s="11" t="s">
        <v>37</v>
      </c>
      <c r="D9" s="11" t="s">
        <v>5</v>
      </c>
      <c r="E9" s="11" t="s">
        <v>519</v>
      </c>
      <c r="G9" s="11">
        <v>2025</v>
      </c>
    </row>
    <row r="10" spans="2:11" s="11" customFormat="1">
      <c r="B10" s="11" t="s">
        <v>33</v>
      </c>
      <c r="E10" s="11" t="s">
        <v>510</v>
      </c>
      <c r="F10" s="11" t="s">
        <v>35</v>
      </c>
      <c r="G10" s="12">
        <v>1</v>
      </c>
    </row>
    <row r="13" spans="2:11">
      <c r="B13" t="s">
        <v>14</v>
      </c>
    </row>
    <row r="14" spans="2:11">
      <c r="B14" t="s">
        <v>2</v>
      </c>
      <c r="C14" t="s">
        <v>1</v>
      </c>
      <c r="D14" t="s">
        <v>17</v>
      </c>
      <c r="E14" t="s">
        <v>0</v>
      </c>
      <c r="F14" t="s">
        <v>3</v>
      </c>
    </row>
    <row r="15" spans="2:11">
      <c r="B15" t="s">
        <v>16</v>
      </c>
      <c r="D15" t="s">
        <v>18</v>
      </c>
      <c r="F15">
        <v>200</v>
      </c>
    </row>
    <row r="21" spans="2:14">
      <c r="B21" s="18" t="s">
        <v>522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spans="2:14" ht="15" thickBot="1">
      <c r="B22" s="17" t="s">
        <v>2</v>
      </c>
      <c r="C22" s="17" t="s">
        <v>512</v>
      </c>
      <c r="D22" s="17" t="s">
        <v>513</v>
      </c>
      <c r="E22" s="17" t="s">
        <v>514</v>
      </c>
      <c r="F22" s="17" t="s">
        <v>32</v>
      </c>
      <c r="G22" s="17" t="s">
        <v>1</v>
      </c>
      <c r="H22" s="17" t="s">
        <v>3</v>
      </c>
      <c r="I22" s="17" t="s">
        <v>436</v>
      </c>
      <c r="J22" s="17" t="s">
        <v>17</v>
      </c>
      <c r="K22" s="17" t="s">
        <v>4</v>
      </c>
      <c r="L22" s="17" t="s">
        <v>515</v>
      </c>
      <c r="M22" s="17" t="s">
        <v>516</v>
      </c>
      <c r="N22" s="17" t="s">
        <v>0</v>
      </c>
    </row>
    <row r="23" spans="2:14">
      <c r="B23" s="19" t="s">
        <v>511</v>
      </c>
      <c r="C23" s="14"/>
      <c r="D23" s="16"/>
      <c r="E23" s="16" t="s">
        <v>517</v>
      </c>
      <c r="F23" s="14"/>
      <c r="G23" s="14">
        <v>0</v>
      </c>
      <c r="H23" s="14">
        <v>0</v>
      </c>
      <c r="I23" s="14"/>
      <c r="J23" s="14" t="s">
        <v>18</v>
      </c>
      <c r="K23" s="16" t="s">
        <v>518</v>
      </c>
      <c r="L23" s="14"/>
      <c r="M23" s="14"/>
      <c r="N23" s="14"/>
    </row>
    <row r="24" spans="2:14">
      <c r="B24" s="14"/>
      <c r="C24" s="14"/>
      <c r="D24" s="14"/>
      <c r="E24" s="14"/>
      <c r="F24" s="14"/>
      <c r="G24" s="14"/>
      <c r="H24" s="15"/>
      <c r="I24" s="14"/>
      <c r="J24" s="14"/>
      <c r="K24" s="14"/>
      <c r="L24" s="14"/>
      <c r="M24" s="14"/>
      <c r="N24" s="14"/>
    </row>
    <row r="25" spans="2:14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2:14">
      <c r="B26" s="14"/>
      <c r="C26" s="14"/>
      <c r="D26" s="16"/>
      <c r="E26" s="16"/>
      <c r="F26" s="14"/>
      <c r="G26" s="14"/>
      <c r="H26" s="14"/>
      <c r="I26" s="14"/>
      <c r="J26" s="14"/>
      <c r="K26" s="16"/>
      <c r="L26" s="14"/>
      <c r="M26" s="14"/>
      <c r="N26" s="14"/>
    </row>
    <row r="27" spans="2:14">
      <c r="B27" s="14"/>
      <c r="C27" s="14"/>
      <c r="D27" s="16"/>
      <c r="E27" s="16"/>
      <c r="F27" s="14"/>
      <c r="G27" s="14"/>
      <c r="H27" s="14"/>
      <c r="I27" s="14"/>
      <c r="J27" s="14"/>
      <c r="K27" s="16"/>
      <c r="L27" s="14"/>
      <c r="M27" s="14"/>
      <c r="N27" s="14"/>
    </row>
    <row r="28" spans="2:14">
      <c r="B28" s="14"/>
      <c r="C28" s="14"/>
      <c r="D28" s="16"/>
      <c r="E28" s="16"/>
      <c r="F28" s="14"/>
      <c r="G28" s="14"/>
      <c r="H28" s="14"/>
      <c r="I28" s="14"/>
      <c r="J28" s="14"/>
      <c r="K28" s="16"/>
      <c r="L28" s="14"/>
      <c r="M28" s="14"/>
      <c r="N28" s="14"/>
    </row>
    <row r="29" spans="2:14">
      <c r="B29" s="14"/>
      <c r="C29" s="14"/>
      <c r="D29" s="16"/>
      <c r="E29" s="16"/>
      <c r="F29" s="14"/>
      <c r="G29" s="14"/>
      <c r="H29" s="14"/>
      <c r="I29" s="14"/>
      <c r="J29" s="14"/>
      <c r="K29" s="16"/>
      <c r="L29" s="14"/>
      <c r="M29" s="14"/>
      <c r="N29" s="14"/>
    </row>
    <row r="30" spans="2:14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2:14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2:14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2:14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2:14">
      <c r="B34" s="14"/>
      <c r="C34" s="14"/>
      <c r="D34" s="14"/>
      <c r="E34" s="14"/>
      <c r="F34" s="14"/>
      <c r="G34" s="14"/>
      <c r="H34" s="14"/>
      <c r="I34" s="14"/>
      <c r="J34" s="14"/>
      <c r="K34" s="16"/>
      <c r="L34" s="14"/>
      <c r="M34" s="14"/>
      <c r="N34" s="14"/>
    </row>
    <row r="35" spans="2:14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2:14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spans="2:14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</row>
    <row r="38" spans="2:14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2:14">
      <c r="B39" s="14"/>
      <c r="C39" s="14"/>
      <c r="D39" s="16"/>
      <c r="E39" s="16"/>
      <c r="F39" s="14"/>
      <c r="G39" s="14"/>
      <c r="H39" s="14"/>
      <c r="I39" s="14"/>
      <c r="J39" s="14"/>
      <c r="K39" s="14"/>
      <c r="L39" s="14"/>
      <c r="M39" s="14"/>
      <c r="N39" s="16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AVA</vt:lpstr>
      <vt:lpstr>Regional assumptions</vt:lpstr>
      <vt:lpstr>UPD Reg Assumptions</vt:lpstr>
      <vt:lpstr>default attrib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2022-01-12T11:43:07Z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