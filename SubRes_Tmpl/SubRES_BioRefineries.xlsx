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Veda\Veda_models\IEMM_v60_10-1\SubRes_Tmpl\"/>
    </mc:Choice>
  </mc:AlternateContent>
  <xr:revisionPtr revIDLastSave="0" documentId="13_ncr:1_{EABFB3CA-6366-4DF9-8ABB-BB18DFF39909}" xr6:coauthVersionLast="47" xr6:coauthVersionMax="47" xr10:uidLastSave="{00000000-0000-0000-0000-000000000000}"/>
  <bookViews>
    <workbookView xWindow="-108" yWindow="-108" windowWidth="30936" windowHeight="16776" xr2:uid="{006BFA72-812B-456B-A4E7-5C5998720BE3}"/>
  </bookViews>
  <sheets>
    <sheet name="SUP_BioGen1" sheetId="1" r:id="rId1"/>
    <sheet name="SUP_BioGen2" sheetId="2" r:id="rId2"/>
    <sheet name="SUP_Convers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2" l="1"/>
  <c r="E17" i="2"/>
  <c r="L42" i="2"/>
  <c r="L37" i="2"/>
  <c r="I44" i="2"/>
  <c r="E40" i="2"/>
  <c r="D40" i="2"/>
  <c r="I38" i="2"/>
  <c r="I43" i="2" s="1"/>
  <c r="E34" i="2"/>
  <c r="D34" i="2"/>
  <c r="I28" i="2"/>
  <c r="I21" i="2"/>
  <c r="I27" i="2" s="1"/>
  <c r="M85" i="1"/>
  <c r="M83" i="1"/>
  <c r="M82" i="1"/>
  <c r="L72" i="1"/>
  <c r="L71" i="1"/>
  <c r="L70" i="1"/>
  <c r="K57" i="1"/>
  <c r="K55" i="1"/>
  <c r="K54" i="1"/>
  <c r="K47" i="1"/>
  <c r="K46" i="1"/>
  <c r="K33" i="1"/>
  <c r="K32" i="1"/>
  <c r="G31" i="1"/>
  <c r="J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ese-veda04</author>
  </authors>
  <commentList>
    <comment ref="K57" authorId="0" shapeId="0" xr:uid="{7B1ADC6B-AA16-4F6D-8103-3DD9461F429C}">
      <text>
        <r>
          <rPr>
            <b/>
            <sz val="8"/>
            <color indexed="81"/>
            <rFont val="Tahoma"/>
            <family val="2"/>
          </rPr>
          <t>Amit Kanudia:</t>
        </r>
        <r>
          <rPr>
            <sz val="8"/>
            <color indexed="81"/>
            <rFont val="Tahoma"/>
            <family val="2"/>
          </rPr>
          <t xml:space="preserve">
2/6/2014
changed to t from kt</t>
        </r>
      </text>
    </comment>
    <comment ref="L70" authorId="0" shapeId="0" xr:uid="{2F8F1580-6B64-4E20-887F-CCFBE12AC08C}">
      <text>
        <r>
          <rPr>
            <b/>
            <sz val="8"/>
            <color indexed="81"/>
            <rFont val="Tahoma"/>
            <family val="2"/>
          </rPr>
          <t>Amit Kanudia:</t>
        </r>
        <r>
          <rPr>
            <sz val="8"/>
            <color indexed="81"/>
            <rFont val="Tahoma"/>
            <family val="2"/>
          </rPr>
          <t xml:space="preserve">
06-04-2011
Changed units to kg to avoid scaling issues</t>
        </r>
      </text>
    </comment>
    <comment ref="M85" authorId="1" shapeId="0" xr:uid="{7C73A4F8-7ACD-4A9E-B5B5-17B9C2AB17DA}">
      <text>
        <r>
          <rPr>
            <b/>
            <sz val="9"/>
            <color indexed="81"/>
            <rFont val="Tahoma"/>
            <family val="2"/>
          </rPr>
          <t>ese-veda04:</t>
        </r>
        <r>
          <rPr>
            <sz val="9"/>
            <color indexed="81"/>
            <rFont val="Tahoma"/>
            <family val="2"/>
          </rPr>
          <t xml:space="preserve">
Although other inputs of this process are in kt, here we corrected to PJ because we want this commodity to be supplied also by SYNH2G. Before BRF2 was only supplied via H2 import which is clearly wrong.
SSimoes and WNijs 07/10/2013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Mahmoud Mobir</author>
    <author>Amit Kanudia</author>
  </authors>
  <commentList>
    <comment ref="F17" authorId="0" shapeId="0" xr:uid="{43B0FE87-3A96-4B90-A488-AE9C277DCB46}">
      <text>
        <r>
          <rPr>
            <b/>
            <sz val="9"/>
            <color indexed="81"/>
            <rFont val="Tahoma"/>
            <charset val="1"/>
          </rPr>
          <t>Mahmoud Mobir:</t>
        </r>
        <r>
          <rPr>
            <sz val="9"/>
            <color indexed="81"/>
            <rFont val="Tahoma"/>
            <charset val="1"/>
          </rPr>
          <t xml:space="preserve">
17-01-2022
Lignocellulosic feedstock</t>
        </r>
      </text>
    </comment>
    <comment ref="F24" authorId="0" shapeId="0" xr:uid="{4592890F-F3BA-4E7D-9664-A0A563E178F3}">
      <text>
        <r>
          <rPr>
            <b/>
            <sz val="9"/>
            <color indexed="81"/>
            <rFont val="Tahoma"/>
            <charset val="1"/>
          </rPr>
          <t>Mahmoud Mobir:</t>
        </r>
        <r>
          <rPr>
            <sz val="9"/>
            <color indexed="81"/>
            <rFont val="Tahoma"/>
            <charset val="1"/>
          </rPr>
          <t xml:space="preserve">
17-01-2022
Lignocellulosic feedstock</t>
        </r>
      </text>
    </comment>
    <comment ref="G28" authorId="1" shapeId="0" xr:uid="{5B8BF44C-D949-45D1-AA5B-B4D3C904183E}">
      <text>
        <r>
          <rPr>
            <b/>
            <sz val="8"/>
            <color indexed="81"/>
            <rFont val="Tahoma"/>
            <family val="2"/>
          </rPr>
          <t>Amit Kanudia:</t>
        </r>
        <r>
          <rPr>
            <sz val="8"/>
            <color indexed="81"/>
            <rFont val="Tahoma"/>
            <family val="2"/>
          </rPr>
          <t xml:space="preserve">
21-04-2011
changed from BIONAP
Mahmoud Mobir
17-01-2022
Might bring this back to the RES if Naphta demand is added to the model</t>
        </r>
      </text>
    </comment>
    <comment ref="I28" authorId="1" shapeId="0" xr:uid="{A37564D9-8758-49DD-B5A0-A52686BFACC4}">
      <text>
        <r>
          <rPr>
            <b/>
            <sz val="8"/>
            <color indexed="81"/>
            <rFont val="Tahoma"/>
            <family val="2"/>
          </rPr>
          <t>Amit Kanudia:</t>
        </r>
        <r>
          <rPr>
            <sz val="8"/>
            <color indexed="81"/>
            <rFont val="Tahoma"/>
            <family val="2"/>
          </rPr>
          <t xml:space="preserve">
21-04-2011
kt to PJ (@44MJ/kg)</t>
        </r>
      </text>
    </comment>
    <comment ref="G31" authorId="0" shapeId="0" xr:uid="{9D63AC11-B269-4258-8A3F-773A6660129A}">
      <text>
        <r>
          <rPr>
            <b/>
            <sz val="9"/>
            <color indexed="81"/>
            <rFont val="Tahoma"/>
            <charset val="1"/>
          </rPr>
          <t>Mahmoud Mobir:</t>
        </r>
        <r>
          <rPr>
            <sz val="9"/>
            <color indexed="81"/>
            <rFont val="Tahoma"/>
            <charset val="1"/>
          </rPr>
          <t xml:space="preserve">
01-17-2022
Need more discussions with Hannah
and the ECT team</t>
        </r>
      </text>
    </comment>
    <comment ref="G44" authorId="1" shapeId="0" xr:uid="{9A031056-660C-4A4B-9D94-233CDCA27C18}">
      <text>
        <r>
          <rPr>
            <b/>
            <sz val="8"/>
            <color indexed="81"/>
            <rFont val="Tahoma"/>
            <family val="2"/>
          </rPr>
          <t>Amit Kanudia:</t>
        </r>
        <r>
          <rPr>
            <sz val="8"/>
            <color indexed="81"/>
            <rFont val="Tahoma"/>
            <family val="2"/>
          </rPr>
          <t xml:space="preserve">
21-04-2011
changed from BIONAP
Mahmoud Mobir
17-01-2022
Might bring this back to the RES if Naphta demand is added to the model</t>
        </r>
      </text>
    </comment>
    <comment ref="I44" authorId="1" shapeId="0" xr:uid="{69B00341-39B1-4A22-9052-EC57CCB8F718}">
      <text>
        <r>
          <rPr>
            <b/>
            <sz val="8"/>
            <color indexed="81"/>
            <rFont val="Tahoma"/>
            <family val="2"/>
          </rPr>
          <t>Amit Kanudia:</t>
        </r>
        <r>
          <rPr>
            <sz val="8"/>
            <color indexed="81"/>
            <rFont val="Tahoma"/>
            <family val="2"/>
          </rPr>
          <t xml:space="preserve">
21-04-2011
kt to PJ (@44MJ/kg)</t>
        </r>
      </text>
    </comment>
  </commentList>
</comments>
</file>

<file path=xl/sharedStrings.xml><?xml version="1.0" encoding="utf-8"?>
<sst xmlns="http://schemas.openxmlformats.org/spreadsheetml/2006/main" count="400" uniqueCount="138">
  <si>
    <t>~FI_Process</t>
  </si>
  <si>
    <t>Sets</t>
  </si>
  <si>
    <t>TechName</t>
  </si>
  <si>
    <t>TechDesc</t>
  </si>
  <si>
    <t>Tact</t>
  </si>
  <si>
    <t>Tcap</t>
  </si>
  <si>
    <t>Tslvl</t>
  </si>
  <si>
    <t>PrimaryCG</t>
  </si>
  <si>
    <t>Vintage</t>
  </si>
  <si>
    <t>PRE</t>
  </si>
  <si>
    <t>CRUSHING</t>
  </si>
  <si>
    <t>Oilseeds crushing</t>
  </si>
  <si>
    <t>kt</t>
  </si>
  <si>
    <t/>
  </si>
  <si>
    <t>BIOOILFS</t>
  </si>
  <si>
    <t>NO</t>
  </si>
  <si>
    <t>BRF1_TRANSESTER</t>
  </si>
  <si>
    <t>Transesterification of vegetable oils.1GenBiofuel.</t>
  </si>
  <si>
    <t>BIOEMHV</t>
  </si>
  <si>
    <t>YES</t>
  </si>
  <si>
    <t>BRF1_ETHAMIDO</t>
  </si>
  <si>
    <t>Ethanol production from starch crops.1GenBiofuel.</t>
  </si>
  <si>
    <t>BIOETHA</t>
  </si>
  <si>
    <t>BRF1_ETHSUCRI</t>
  </si>
  <si>
    <t>Ethanol production from sugar crops.1GenBiofuel.</t>
  </si>
  <si>
    <t>Hydrotreated vegetable oil.1GenBiofuel.</t>
  </si>
  <si>
    <t>BIOHVO</t>
  </si>
  <si>
    <t>BRF1_PREETBE</t>
  </si>
  <si>
    <t>ETBE production.1GenBiofuel.</t>
  </si>
  <si>
    <t>Comm-IN</t>
  </si>
  <si>
    <t>Comm-OUT</t>
  </si>
  <si>
    <t>INPUT</t>
  </si>
  <si>
    <t>OUTPUT</t>
  </si>
  <si>
    <t>FIXOM</t>
  </si>
  <si>
    <t>VAROM</t>
  </si>
  <si>
    <t>LIFE</t>
  </si>
  <si>
    <t>\I:</t>
  </si>
  <si>
    <t>SUPELC</t>
  </si>
  <si>
    <t>SUPHTH</t>
  </si>
  <si>
    <t>RAGCAKE</t>
  </si>
  <si>
    <t>SUPCO2N</t>
  </si>
  <si>
    <t>NCAP_PASTI~2002</t>
  </si>
  <si>
    <t>\I:NCAP_COST~2002</t>
  </si>
  <si>
    <t>INVCOST~2010</t>
  </si>
  <si>
    <t>INVCOST~2015</t>
  </si>
  <si>
    <t>INVCOST~2020</t>
  </si>
  <si>
    <t>INVCOST~2025</t>
  </si>
  <si>
    <t>INVCOST~2030</t>
  </si>
  <si>
    <t>BNDACT~LO</t>
  </si>
  <si>
    <t>BNDACT~2010~LO</t>
  </si>
  <si>
    <t>BNDACT~UP</t>
  </si>
  <si>
    <t>BNDACT~2010~UP</t>
  </si>
  <si>
    <t>[kt]</t>
  </si>
  <si>
    <t>Transesterification of vegetable oils</t>
  </si>
  <si>
    <t>BRFWAT</t>
  </si>
  <si>
    <t>BRFCA2</t>
  </si>
  <si>
    <t>BIOGLY2</t>
  </si>
  <si>
    <t>BIOSAP</t>
  </si>
  <si>
    <t>NCAP_PASTI~2005</t>
  </si>
  <si>
    <t>\I:NCAP_COST~2005</t>
  </si>
  <si>
    <t>Ethanol production from starch crops</t>
  </si>
  <si>
    <t>BRFEZ1</t>
  </si>
  <si>
    <t>BIODDGS</t>
  </si>
  <si>
    <t>Ethanol production from sugar crops</t>
  </si>
  <si>
    <t>BRFEZ2</t>
  </si>
  <si>
    <t>BRFEZ3</t>
  </si>
  <si>
    <t>BIOPULP</t>
  </si>
  <si>
    <t>BIOSTIL</t>
  </si>
  <si>
    <t>~FI_T</t>
  </si>
  <si>
    <t>EFF</t>
  </si>
  <si>
    <t>ETBE production</t>
  </si>
  <si>
    <t>ISOBUTYL</t>
  </si>
  <si>
    <t>CATACHEM</t>
  </si>
  <si>
    <t>BIOETBE</t>
  </si>
  <si>
    <t>Comm-IN-A</t>
  </si>
  <si>
    <t>CEFF</t>
  </si>
  <si>
    <t>Input</t>
  </si>
  <si>
    <t>Output</t>
  </si>
  <si>
    <t>Cap2Act</t>
  </si>
  <si>
    <t>START</t>
  </si>
  <si>
    <t>AF</t>
  </si>
  <si>
    <t>Life</t>
  </si>
  <si>
    <t>*</t>
  </si>
  <si>
    <t>Years</t>
  </si>
  <si>
    <t>BRFH2</t>
  </si>
  <si>
    <t>BRFCA3</t>
  </si>
  <si>
    <t>BIOPROP</t>
  </si>
  <si>
    <t>BIOCRP</t>
  </si>
  <si>
    <t>ELC</t>
  </si>
  <si>
    <t>SUPHET</t>
  </si>
  <si>
    <t>SUPOIL</t>
  </si>
  <si>
    <t>COST</t>
  </si>
  <si>
    <t>H2TOBRF</t>
  </si>
  <si>
    <t>Convert Hydrogen to commodity used for BRF</t>
  </si>
  <si>
    <t>SYNH2CU</t>
  </si>
  <si>
    <t>BRF2_ETHLGC</t>
  </si>
  <si>
    <t>Ethanol production from lignocellulosic biomass.2GenBiofuel.</t>
  </si>
  <si>
    <t>BRF2_BTLFTDSL</t>
  </si>
  <si>
    <t>FT-diesel production from lignocellulosic biomass.2GenBiofuel.</t>
  </si>
  <si>
    <t>BIOBTLFTDSL</t>
  </si>
  <si>
    <t>BRF2_ETHLGC_CCS</t>
  </si>
  <si>
    <t>Ethanol production from lign. biomass. CCS 2GenBiofuel.</t>
  </si>
  <si>
    <t>BRF2_BTLFTDSL_CCS</t>
  </si>
  <si>
    <t>FT-diesel production from lign biomass. CCS 2GenBiofuel.</t>
  </si>
  <si>
    <t>INVCOST~2014</t>
  </si>
  <si>
    <t>BIOLGCFS</t>
  </si>
  <si>
    <t>BRFEZ4</t>
  </si>
  <si>
    <t>ELCHIG</t>
  </si>
  <si>
    <t>BRFCO2</t>
  </si>
  <si>
    <t>SUPGAS</t>
  </si>
  <si>
    <t>OILNAP</t>
  </si>
  <si>
    <t xml:space="preserve">EUR to USD 07 </t>
  </si>
  <si>
    <t xml:space="preserve">Source </t>
  </si>
  <si>
    <t>Exchange rates EUR USD.xlsx</t>
  </si>
  <si>
    <t>~FI_T: USD07</t>
  </si>
  <si>
    <t>DeactivatedFI_T: USD07</t>
  </si>
  <si>
    <t>[M$/kt]</t>
  </si>
  <si>
    <t>M$/Unit</t>
  </si>
  <si>
    <t>Deactivated~FI_T</t>
  </si>
  <si>
    <t>Deactivated~FI_T: USD07</t>
  </si>
  <si>
    <t>DEactivated~FI_T: USD07</t>
  </si>
  <si>
    <t>PJ</t>
  </si>
  <si>
    <t>BIOHEFA</t>
  </si>
  <si>
    <t>BRF1_HEFA</t>
  </si>
  <si>
    <t>Hydrotreated Esters and Fatty Acids production</t>
  </si>
  <si>
    <t xml:space="preserve"> </t>
  </si>
  <si>
    <t>CommGrp</t>
  </si>
  <si>
    <t>BLDGSL</t>
  </si>
  <si>
    <t xml:space="preserve">Blending of gasoline fuels </t>
  </si>
  <si>
    <t>SynOILGSL</t>
  </si>
  <si>
    <t>BLDDSL</t>
  </si>
  <si>
    <t>Blending of diesel fuels</t>
  </si>
  <si>
    <t>BLDJET</t>
  </si>
  <si>
    <t>Blending of jet fuels</t>
  </si>
  <si>
    <t>SynOILDST</t>
  </si>
  <si>
    <t>SynOILKER</t>
  </si>
  <si>
    <t>[TBTU/kt]</t>
  </si>
  <si>
    <t>TBTU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</si>
</sst>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5" formatCode="&quot;$&quot;#,##0_);\(&quot;$&quot;#,##0\)"/>
    <numFmt numFmtId="41" formatCode="_(* #,##0_);_(* \(#,##0\);_(* &quot;-&quot;_);_(@_)"/>
    <numFmt numFmtId="43" formatCode="_(* #,##0.00_);_(* \(#,##0.00\);_(* &quot;-&quot;??_);_(@_)"/>
    <numFmt numFmtId="164" formatCode="\Te\x\t"/>
    <numFmt numFmtId="165" formatCode="0.0000"/>
    <numFmt numFmtId="166" formatCode="0.000"/>
    <numFmt numFmtId="167" formatCode="0.00000"/>
    <numFmt numFmtId="168" formatCode="0.0"/>
    <numFmt numFmtId="169" formatCode="0.0%"/>
    <numFmt numFmtId="170" formatCode="_([$€]* #,##0.00_);_([$€]* \(#,##0.00\);_([$€]* &quot;-&quot;??_);_(@_)"/>
    <numFmt numFmtId="171" formatCode="\(##\);\(##\)"/>
    <numFmt numFmtId="172" formatCode="#,##0.0"/>
    <numFmt numFmtId="173" formatCode="_ &quot;kr&quot;\ * #,##0_ ;_ &quot;kr&quot;\ * \-#,##0_ ;_ &quot;kr&quot;\ * &quot;-&quot;_ ;_ @_ "/>
    <numFmt numFmtId="174" formatCode="_ &quot;kr&quot;\ * #,##0.00_ ;_ &quot;kr&quot;\ * \-#,##0.00_ ;_ &quot;kr&quot;\ * &quot;-&quot;??_ ;_ @_ "/>
    <numFmt numFmtId="175" formatCode="_-* #,##0_-;\-* #,##0_-;_-* &quot;-&quot;_-;_-@_-"/>
    <numFmt numFmtId="176" formatCode="_-* #,##0.00_-;\-* #,##0.00_-;_-* &quot;-&quot;??_-;_-@_-"/>
    <numFmt numFmtId="177" formatCode="_ * #,##0.00_ ;_ * \-#,##0.00_ ;_ * &quot;-&quot;??_ ;_ @_ "/>
    <numFmt numFmtId="178" formatCode="_-&quot;$&quot;* #,##0.00_-;\-&quot;$&quot;* #,##0.00_-;_-&quot;$&quot;* &quot;-&quot;??_-;_-@_-"/>
    <numFmt numFmtId="179" formatCode="_-* #,##0.00\ _€_-;\-* #,##0.00\ _€_-;_-* &quot;-&quot;??\ _€_-;_-@_-"/>
    <numFmt numFmtId="180" formatCode="_-[$€-2]\ * #,##0.00_-;\-[$€-2]\ * #,##0.00_-;_-[$€-2]\ * &quot;-&quot;??_-"/>
    <numFmt numFmtId="181" formatCode="#,##0;\-\ #,##0;_-\ &quot;- &quot;"/>
    <numFmt numFmtId="182" formatCode="_-&quot;€&quot;\ * #,##0.00_-;\-&quot;€&quot;\ * #,##0.00_-;_-&quot;€&quot;\ * &quot;-&quot;??_-;_-@_-"/>
    <numFmt numFmtId="183" formatCode="_([$€-2]* #,##0.00_);_([$€-2]* \(#,##0.00\);_([$€-2]* &quot;-&quot;??_)"/>
    <numFmt numFmtId="184" formatCode="General_)"/>
    <numFmt numFmtId="185" formatCode="m\o\n\th\ d\,\ yyyy"/>
    <numFmt numFmtId="186" formatCode="#.00"/>
    <numFmt numFmtId="187" formatCode="#."/>
    <numFmt numFmtId="188" formatCode="yyyy"/>
  </numFmts>
  <fonts count="63">
    <font>
      <sz val="11"/>
      <color theme="1"/>
      <name val="Calibri"/>
      <family val="2"/>
      <scheme val="minor"/>
    </font>
    <font>
      <sz val="11"/>
      <color theme="1"/>
      <name val="Calibri"/>
      <family val="2"/>
      <scheme val="minor"/>
    </font>
    <font>
      <b/>
      <sz val="11"/>
      <color rgb="FFFA7D00"/>
      <name val="Calibri"/>
      <family val="2"/>
      <scheme val="minor"/>
    </font>
    <font>
      <b/>
      <sz val="10"/>
      <color indexed="12"/>
      <name val="Arial"/>
      <family val="2"/>
    </font>
    <font>
      <b/>
      <sz val="10"/>
      <name val="Arial"/>
      <family val="2"/>
    </font>
    <font>
      <sz val="10"/>
      <name val="Arial"/>
      <family val="2"/>
    </font>
    <font>
      <sz val="9"/>
      <name val="Arial"/>
      <family val="2"/>
    </font>
    <font>
      <sz val="10"/>
      <color indexed="22"/>
      <name val="Arial"/>
      <family val="2"/>
    </font>
    <font>
      <sz val="8"/>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sz val="10"/>
      <color indexed="8"/>
      <name val="Arial"/>
      <family val="2"/>
    </font>
    <font>
      <sz val="10"/>
      <color rgb="FFFF0000"/>
      <name val="Arial"/>
      <family val="2"/>
    </font>
    <font>
      <sz val="9"/>
      <color indexed="81"/>
      <name val="Tahoma"/>
      <charset val="1"/>
    </font>
    <font>
      <b/>
      <sz val="8"/>
      <color indexed="12"/>
      <name val="Arial"/>
      <family val="2"/>
    </font>
    <font>
      <b/>
      <sz val="9"/>
      <color indexed="81"/>
      <name val="Tahoma"/>
      <charset val="1"/>
    </font>
    <font>
      <sz val="10"/>
      <name val="Arial"/>
    </font>
    <font>
      <u/>
      <sz val="10"/>
      <color indexed="12"/>
      <name val="Arial"/>
      <family val="2"/>
    </font>
    <font>
      <sz val="10"/>
      <name val="Courier"/>
      <family val="3"/>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2"/>
      <color indexed="20"/>
      <name val="宋体"/>
      <charset val="134"/>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sz val="8"/>
      <color indexed="9"/>
      <name val="Arial"/>
      <family val="2"/>
    </font>
    <font>
      <sz val="10"/>
      <name val="Helvetica"/>
    </font>
    <font>
      <b/>
      <sz val="12"/>
      <name val="Arial"/>
      <family val="2"/>
    </font>
    <font>
      <b/>
      <sz val="11"/>
      <color indexed="10"/>
      <name val="Calibri"/>
      <family val="2"/>
    </font>
    <font>
      <sz val="9"/>
      <color indexed="8"/>
      <name val="Times New Roman"/>
      <family val="1"/>
    </font>
    <font>
      <sz val="9"/>
      <name val="Times New Roman"/>
      <family val="1"/>
    </font>
    <font>
      <b/>
      <sz val="9"/>
      <name val="Times New Roman"/>
      <family val="1"/>
    </font>
    <font>
      <sz val="10"/>
      <name val="MS Sans Serif"/>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b/>
      <sz val="18"/>
      <color indexed="62"/>
      <name val="Cambria"/>
      <family val="2"/>
    </font>
    <font>
      <sz val="1"/>
      <color indexed="8"/>
      <name val="Courier"/>
      <family val="3"/>
    </font>
    <font>
      <b/>
      <sz val="1"/>
      <color indexed="8"/>
      <name val="Courier"/>
      <family val="3"/>
    </font>
  </fonts>
  <fills count="46">
    <fill>
      <patternFill patternType="none"/>
    </fill>
    <fill>
      <patternFill patternType="gray125"/>
    </fill>
    <fill>
      <patternFill patternType="solid">
        <fgColor rgb="FFF2F2F2"/>
      </patternFill>
    </fill>
    <fill>
      <patternFill patternType="solid">
        <fgColor indexed="43"/>
        <bgColor indexed="64"/>
      </patternFill>
    </fill>
    <fill>
      <patternFill patternType="solid">
        <fgColor indexed="45"/>
        <bgColor indexed="64"/>
      </patternFill>
    </fill>
    <fill>
      <patternFill patternType="solid">
        <fgColor indexed="22"/>
        <bgColor indexed="64"/>
      </patternFill>
    </fill>
    <fill>
      <patternFill patternType="solid">
        <fgColor indexed="47"/>
        <bgColor indexed="64"/>
      </patternFill>
    </fill>
    <fill>
      <patternFill patternType="solid">
        <fgColor rgb="FF92D05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7"/>
        <bgColor indexed="64"/>
      </patternFill>
    </fill>
    <fill>
      <patternFill patternType="solid">
        <fgColor indexed="49"/>
        <bgColor indexed="64"/>
      </patternFill>
    </fill>
    <fill>
      <patternFill patternType="solid">
        <fgColor indexed="43"/>
      </patternFill>
    </fill>
    <fill>
      <patternFill patternType="solid">
        <fgColor indexed="26"/>
      </patternFill>
    </fill>
    <fill>
      <patternFill patternType="solid">
        <fgColor indexed="63"/>
        <bgColor indexed="64"/>
      </patternFill>
    </fill>
    <fill>
      <patternFill patternType="solid">
        <fgColor indexed="62"/>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56"/>
      </patternFill>
    </fill>
    <fill>
      <patternFill patternType="solid">
        <fgColor indexed="54"/>
      </patternFill>
    </fill>
    <fill>
      <patternFill patternType="solid">
        <fgColor indexed="9"/>
      </patternFill>
    </fill>
    <fill>
      <patternFill patternType="solid">
        <fgColor indexed="55"/>
        <bgColor indexed="64"/>
      </patternFill>
    </fill>
  </fills>
  <borders count="29">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right/>
      <top style="thin">
        <color indexed="62"/>
      </top>
      <bottom style="double">
        <color indexed="62"/>
      </bottom>
      <diagonal/>
    </border>
    <border>
      <left style="medium">
        <color indexed="64"/>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s>
  <cellStyleXfs count="3463">
    <xf numFmtId="0" fontId="0" fillId="0" borderId="0"/>
    <xf numFmtId="0" fontId="2" fillId="2" borderId="1" applyNumberFormat="0" applyAlignment="0" applyProtection="0"/>
    <xf numFmtId="0" fontId="5" fillId="0" borderId="0"/>
    <xf numFmtId="0" fontId="5" fillId="0" borderId="0"/>
    <xf numFmtId="0" fontId="1" fillId="0" borderId="0"/>
    <xf numFmtId="9" fontId="1" fillId="0" borderId="0" applyFont="0" applyFill="0" applyBorder="0" applyAlignment="0" applyProtection="0"/>
    <xf numFmtId="0" fontId="18" fillId="0" borderId="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1" borderId="0" applyNumberFormat="0" applyBorder="0" applyAlignment="0" applyProtection="0"/>
    <xf numFmtId="0" fontId="21" fillId="14" borderId="0" applyNumberFormat="0" applyBorder="0" applyAlignment="0" applyProtection="0"/>
    <xf numFmtId="0" fontId="21" fillId="17" borderId="0" applyNumberFormat="0" applyBorder="0" applyAlignment="0" applyProtection="0"/>
    <xf numFmtId="0" fontId="22" fillId="18"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5" borderId="0" applyNumberFormat="0" applyBorder="0" applyAlignment="0" applyProtection="0"/>
    <xf numFmtId="0" fontId="23" fillId="9" borderId="0" applyNumberFormat="0" applyBorder="0" applyAlignment="0" applyProtection="0"/>
    <xf numFmtId="0" fontId="24" fillId="26" borderId="10" applyNumberFormat="0" applyAlignment="0" applyProtection="0"/>
    <xf numFmtId="0" fontId="25" fillId="27" borderId="11" applyNumberFormat="0" applyAlignment="0" applyProtection="0"/>
    <xf numFmtId="49" fontId="5" fillId="28" borderId="12">
      <alignment vertical="top" wrapText="1"/>
    </xf>
    <xf numFmtId="43" fontId="5" fillId="0" borderId="0" applyFont="0" applyFill="0" applyBorder="0" applyAlignment="0" applyProtection="0"/>
    <xf numFmtId="43" fontId="5" fillId="0" borderId="0" applyFont="0" applyFill="0" applyBorder="0" applyAlignment="0" applyProtection="0"/>
    <xf numFmtId="3" fontId="39" fillId="0" borderId="12">
      <alignment horizontal="right" vertical="top"/>
    </xf>
    <xf numFmtId="0" fontId="4" fillId="29" borderId="13">
      <alignment horizontal="centerContinuous" vertical="top" wrapText="1"/>
    </xf>
    <xf numFmtId="0" fontId="40" fillId="0" borderId="0">
      <alignment vertical="top" wrapText="1"/>
    </xf>
    <xf numFmtId="170" fontId="5" fillId="0" borderId="0" applyFont="0" applyFill="0" applyBorder="0" applyAlignment="0" applyProtection="0"/>
    <xf numFmtId="0" fontId="26" fillId="0" borderId="0" applyNumberFormat="0" applyFill="0" applyBorder="0" applyAlignment="0" applyProtection="0"/>
    <xf numFmtId="11" fontId="5" fillId="0" borderId="0" applyFont="0" applyFill="0" applyBorder="0" applyAlignment="0" applyProtection="0"/>
    <xf numFmtId="11" fontId="5" fillId="0" borderId="0" applyFont="0" applyFill="0" applyBorder="0" applyAlignment="0" applyProtection="0"/>
    <xf numFmtId="0" fontId="27" fillId="10" borderId="0" applyNumberFormat="0" applyBorder="0" applyAlignment="0" applyProtection="0"/>
    <xf numFmtId="0" fontId="28" fillId="0" borderId="14" applyNumberFormat="0" applyFill="0" applyAlignment="0" applyProtection="0"/>
    <xf numFmtId="0" fontId="29" fillId="0" borderId="15" applyNumberFormat="0" applyFill="0" applyAlignment="0" applyProtection="0"/>
    <xf numFmtId="0" fontId="30" fillId="0" borderId="16" applyNumberFormat="0" applyFill="0" applyAlignment="0" applyProtection="0"/>
    <xf numFmtId="0" fontId="30" fillId="0" borderId="0" applyNumberFormat="0" applyFill="0" applyBorder="0" applyAlignment="0" applyProtection="0"/>
    <xf numFmtId="0" fontId="19" fillId="0" borderId="0" applyNumberFormat="0" applyFill="0" applyBorder="0" applyAlignment="0" applyProtection="0">
      <alignment vertical="top"/>
      <protection locked="0"/>
    </xf>
    <xf numFmtId="0" fontId="31" fillId="13" borderId="10" applyNumberFormat="0" applyAlignment="0" applyProtection="0"/>
    <xf numFmtId="0" fontId="41" fillId="0" borderId="0"/>
    <xf numFmtId="0" fontId="32" fillId="0" borderId="17" applyNumberFormat="0" applyFill="0" applyAlignment="0" applyProtection="0"/>
    <xf numFmtId="0" fontId="33" fillId="30" borderId="0" applyNumberFormat="0" applyBorder="0" applyAlignment="0" applyProtection="0"/>
    <xf numFmtId="0" fontId="5" fillId="0" borderId="0"/>
    <xf numFmtId="0" fontId="5" fillId="0" borderId="0"/>
    <xf numFmtId="0" fontId="21" fillId="14" borderId="0" applyNumberFormat="0" applyBorder="0" applyAlignment="0" applyProtection="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20" fillId="0" borderId="0"/>
    <xf numFmtId="0" fontId="5" fillId="31" borderId="18" applyNumberFormat="0" applyFont="0" applyAlignment="0" applyProtection="0"/>
    <xf numFmtId="0" fontId="21" fillId="31" borderId="18" applyNumberFormat="0" applyFont="0" applyAlignment="0" applyProtection="0"/>
    <xf numFmtId="171" fontId="42" fillId="0" borderId="0">
      <alignment horizontal="right"/>
    </xf>
    <xf numFmtId="0" fontId="34" fillId="26" borderId="19"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21" fillId="31" borderId="0" applyNumberFormat="0" applyBorder="0" applyAlignment="0" applyProtection="0"/>
    <xf numFmtId="43" fontId="48" fillId="0" borderId="0" applyFont="0" applyFill="0" applyBorder="0" applyAlignment="0" applyProtection="0"/>
    <xf numFmtId="41" fontId="48" fillId="0" borderId="0" applyFont="0" applyFill="0" applyBorder="0" applyAlignment="0" applyProtection="0"/>
    <xf numFmtId="173" fontId="48" fillId="0" borderId="0" applyFont="0" applyFill="0" applyBorder="0" applyAlignment="0" applyProtection="0"/>
    <xf numFmtId="0" fontId="40" fillId="0" borderId="0">
      <alignment vertical="top" wrapText="1"/>
    </xf>
    <xf numFmtId="0" fontId="5" fillId="0" borderId="13" applyNumberFormat="0" applyFill="0" applyProtection="0">
      <alignment horizontal="right"/>
    </xf>
    <xf numFmtId="0" fontId="5" fillId="0" borderId="13" applyNumberFormat="0" applyFill="0" applyProtection="0">
      <alignment horizontal="right"/>
    </xf>
    <xf numFmtId="0" fontId="4" fillId="32" borderId="13" applyNumberFormat="0" applyProtection="0">
      <alignment horizontal="right"/>
    </xf>
    <xf numFmtId="0" fontId="49" fillId="32" borderId="0" applyNumberFormat="0" applyBorder="0" applyProtection="0">
      <alignment horizontal="left"/>
    </xf>
    <xf numFmtId="0" fontId="4" fillId="32" borderId="13" applyNumberFormat="0" applyProtection="0">
      <alignment horizontal="left"/>
    </xf>
    <xf numFmtId="0" fontId="5" fillId="0" borderId="13" applyNumberFormat="0" applyFill="0" applyProtection="0">
      <alignment horizontal="right"/>
    </xf>
    <xf numFmtId="0" fontId="5" fillId="0" borderId="13" applyNumberFormat="0" applyFill="0" applyProtection="0">
      <alignment horizontal="right"/>
    </xf>
    <xf numFmtId="0" fontId="47" fillId="33" borderId="0" applyNumberFormat="0" applyBorder="0" applyProtection="0">
      <alignment horizontal="left"/>
    </xf>
    <xf numFmtId="172" fontId="43" fillId="34" borderId="20">
      <alignment vertical="center"/>
    </xf>
    <xf numFmtId="169" fontId="44" fillId="34" borderId="20">
      <alignment vertical="center"/>
    </xf>
    <xf numFmtId="172" fontId="45" fillId="35" borderId="20">
      <alignment vertical="center"/>
    </xf>
    <xf numFmtId="0" fontId="5" fillId="36" borderId="21" applyBorder="0">
      <alignment horizontal="left" vertical="center"/>
    </xf>
    <xf numFmtId="49" fontId="5" fillId="37" borderId="13">
      <alignment vertical="center" wrapText="1"/>
    </xf>
    <xf numFmtId="0" fontId="5" fillId="38" borderId="2">
      <alignment horizontal="left" vertical="center" wrapText="1"/>
    </xf>
    <xf numFmtId="0" fontId="46" fillId="39" borderId="13">
      <alignment horizontal="left" vertical="center" wrapText="1"/>
    </xf>
    <xf numFmtId="0" fontId="5" fillId="40" borderId="13">
      <alignment horizontal="left" vertical="center" wrapText="1"/>
    </xf>
    <xf numFmtId="0" fontId="5" fillId="41" borderId="13">
      <alignment horizontal="left" vertical="center" wrapText="1"/>
    </xf>
    <xf numFmtId="0" fontId="35" fillId="0" borderId="0" applyNumberFormat="0" applyFill="0" applyBorder="0" applyAlignment="0" applyProtection="0"/>
    <xf numFmtId="0" fontId="36" fillId="0" borderId="22" applyNumberFormat="0" applyFill="0" applyAlignment="0" applyProtection="0"/>
    <xf numFmtId="174" fontId="48" fillId="0" borderId="0" applyFon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alignment vertical="center"/>
    </xf>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8"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9"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10"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1"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31"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13"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4"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4"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17"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5" fillId="0" borderId="0" applyNumberFormat="0" applyFont="0" applyFill="0" applyBorder="0" applyProtection="0">
      <alignment horizontal="left" vertical="center" indent="5"/>
    </xf>
    <xf numFmtId="0" fontId="5" fillId="0" borderId="0" applyNumberFormat="0" applyFont="0" applyFill="0" applyBorder="0" applyProtection="0">
      <alignment horizontal="left" vertical="center" indent="5"/>
    </xf>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8" borderId="0" applyNumberFormat="0" applyBorder="0" applyAlignment="0" applyProtection="0"/>
    <xf numFmtId="0" fontId="22" fillId="12"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15" borderId="0" applyNumberFormat="0" applyBorder="0" applyAlignment="0" applyProtection="0"/>
    <xf numFmtId="0" fontId="22" fillId="25"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19" borderId="0" applyNumberFormat="0" applyBorder="0" applyAlignment="0" applyProtection="0"/>
    <xf numFmtId="0" fontId="22" fillId="9"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20" borderId="0" applyNumberFormat="0" applyBorder="0" applyAlignment="0" applyProtection="0"/>
    <xf numFmtId="0" fontId="22" fillId="12"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21" borderId="0" applyNumberFormat="0" applyBorder="0" applyAlignment="0" applyProtection="0"/>
    <xf numFmtId="0" fontId="22" fillId="15"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22" borderId="0" applyNumberFormat="0" applyBorder="0" applyAlignment="0" applyProtection="0"/>
    <xf numFmtId="0" fontId="22" fillId="42"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3" borderId="0" applyNumberFormat="0" applyBorder="0" applyAlignment="0" applyProtection="0"/>
    <xf numFmtId="0" fontId="22" fillId="25"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24" borderId="0" applyNumberFormat="0" applyBorder="0" applyAlignment="0" applyProtection="0"/>
    <xf numFmtId="0" fontId="22" fillId="17"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19" borderId="0" applyNumberFormat="0" applyBorder="0" applyAlignment="0" applyProtection="0"/>
    <xf numFmtId="0" fontId="22" fillId="43"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5" borderId="0" applyNumberFormat="0" applyBorder="0" applyAlignment="0" applyProtection="0"/>
    <xf numFmtId="0" fontId="22" fillId="23" borderId="0" applyNumberFormat="0" applyBorder="0" applyAlignment="0" applyProtection="0"/>
    <xf numFmtId="4" fontId="51" fillId="6" borderId="13">
      <alignment horizontal="right" vertical="center"/>
    </xf>
    <xf numFmtId="4" fontId="51" fillId="6" borderId="13">
      <alignment horizontal="right" vertical="center"/>
    </xf>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9" borderId="0" applyNumberFormat="0" applyBorder="0" applyAlignment="0" applyProtection="0"/>
    <xf numFmtId="0" fontId="23" fillId="11" borderId="0" applyNumberFormat="0" applyBorder="0" applyAlignment="0" applyProtection="0"/>
    <xf numFmtId="0" fontId="50" fillId="44" borderId="10" applyNumberFormat="0" applyAlignment="0" applyProtection="0"/>
    <xf numFmtId="0" fontId="50" fillId="44" borderId="10" applyNumberFormat="0" applyAlignment="0" applyProtection="0"/>
    <xf numFmtId="0" fontId="50" fillId="44" borderId="10" applyNumberFormat="0" applyAlignment="0" applyProtection="0"/>
    <xf numFmtId="0" fontId="50" fillId="44" borderId="10" applyNumberFormat="0" applyAlignment="0" applyProtection="0"/>
    <xf numFmtId="0" fontId="50" fillId="44" borderId="10" applyNumberFormat="0" applyAlignment="0" applyProtection="0"/>
    <xf numFmtId="0" fontId="50" fillId="44" borderId="10" applyNumberFormat="0" applyAlignment="0" applyProtection="0"/>
    <xf numFmtId="0" fontId="50" fillId="44" borderId="10" applyNumberFormat="0" applyAlignment="0" applyProtection="0"/>
    <xf numFmtId="0" fontId="50" fillId="44" borderId="10" applyNumberFormat="0" applyAlignment="0" applyProtection="0"/>
    <xf numFmtId="0" fontId="50" fillId="44" borderId="10" applyNumberFormat="0" applyAlignment="0" applyProtection="0"/>
    <xf numFmtId="0" fontId="24" fillId="26" borderId="10" applyNumberFormat="0" applyAlignment="0" applyProtection="0"/>
    <xf numFmtId="0" fontId="50" fillId="44" borderId="10" applyNumberFormat="0" applyAlignment="0" applyProtection="0"/>
    <xf numFmtId="0" fontId="25" fillId="27" borderId="11" applyNumberFormat="0" applyAlignment="0" applyProtection="0"/>
    <xf numFmtId="0" fontId="25" fillId="27" borderId="11" applyNumberFormat="0" applyAlignment="0" applyProtection="0"/>
    <xf numFmtId="0" fontId="25" fillId="27" borderId="11" applyNumberFormat="0" applyAlignment="0" applyProtection="0"/>
    <xf numFmtId="0" fontId="25" fillId="27" borderId="11" applyNumberFormat="0" applyAlignment="0" applyProtection="0"/>
    <xf numFmtId="0" fontId="25" fillId="27" borderId="11" applyNumberFormat="0" applyAlignment="0" applyProtection="0"/>
    <xf numFmtId="0" fontId="25" fillId="27" borderId="11" applyNumberFormat="0" applyAlignment="0" applyProtection="0"/>
    <xf numFmtId="0" fontId="25" fillId="27" borderId="11" applyNumberFormat="0" applyAlignment="0" applyProtection="0"/>
    <xf numFmtId="0" fontId="25" fillId="27" borderId="11" applyNumberFormat="0" applyAlignment="0" applyProtection="0"/>
    <xf numFmtId="0" fontId="25" fillId="27" borderId="11" applyNumberFormat="0" applyAlignment="0" applyProtection="0"/>
    <xf numFmtId="0" fontId="25" fillId="27" borderId="11" applyNumberFormat="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40" fontId="54" fillId="0" borderId="0" applyFont="0" applyFill="0" applyBorder="0" applyAlignment="0" applyProtection="0"/>
    <xf numFmtId="176" fontId="5" fillId="0" borderId="0" applyFont="0" applyFill="0" applyBorder="0" applyAlignment="0" applyProtection="0"/>
    <xf numFmtId="43"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6"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40" fontId="5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6" fontId="5"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8" fontId="5" fillId="0" borderId="0" applyFont="0" applyFill="0" applyBorder="0" applyAlignment="0" applyProtection="0"/>
    <xf numFmtId="0" fontId="52" fillId="0" borderId="23">
      <alignment horizontal="left" vertical="center" wrapText="1" indent="2"/>
    </xf>
    <xf numFmtId="185" fontId="61" fillId="0" borderId="0">
      <protection locked="0"/>
    </xf>
    <xf numFmtId="185" fontId="61" fillId="0" borderId="0">
      <protection locked="0"/>
    </xf>
    <xf numFmtId="180"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70" fontId="5" fillId="0" borderId="0" applyFont="0" applyFill="0" applyBorder="0" applyAlignment="0" applyProtection="0"/>
    <xf numFmtId="182" fontId="5" fillId="0" borderId="0" applyFon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186" fontId="61" fillId="0" borderId="0">
      <protection locked="0"/>
    </xf>
    <xf numFmtId="186" fontId="61" fillId="0" borderId="0">
      <protection locked="0"/>
    </xf>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0" borderId="0" applyNumberFormat="0" applyBorder="0" applyAlignment="0" applyProtection="0"/>
    <xf numFmtId="0" fontId="27" fillId="12" borderId="0" applyNumberFormat="0" applyBorder="0" applyAlignment="0" applyProtection="0"/>
    <xf numFmtId="0" fontId="55" fillId="0" borderId="24" applyNumberFormat="0" applyFill="0" applyAlignment="0" applyProtection="0"/>
    <xf numFmtId="0" fontId="55" fillId="0" borderId="24" applyNumberFormat="0" applyFill="0" applyAlignment="0" applyProtection="0"/>
    <xf numFmtId="0" fontId="55" fillId="0" borderId="24" applyNumberFormat="0" applyFill="0" applyAlignment="0" applyProtection="0"/>
    <xf numFmtId="0" fontId="55" fillId="0" borderId="24" applyNumberFormat="0" applyFill="0" applyAlignment="0" applyProtection="0"/>
    <xf numFmtId="0" fontId="55" fillId="0" borderId="24" applyNumberFormat="0" applyFill="0" applyAlignment="0" applyProtection="0"/>
    <xf numFmtId="0" fontId="55" fillId="0" borderId="24" applyNumberFormat="0" applyFill="0" applyAlignment="0" applyProtection="0"/>
    <xf numFmtId="0" fontId="55" fillId="0" borderId="24" applyNumberFormat="0" applyFill="0" applyAlignment="0" applyProtection="0"/>
    <xf numFmtId="0" fontId="55" fillId="0" borderId="24" applyNumberFormat="0" applyFill="0" applyAlignment="0" applyProtection="0"/>
    <xf numFmtId="0" fontId="55" fillId="0" borderId="24" applyNumberFormat="0" applyFill="0" applyAlignment="0" applyProtection="0"/>
    <xf numFmtId="0" fontId="28" fillId="0" borderId="14" applyNumberFormat="0" applyFill="0" applyAlignment="0" applyProtection="0"/>
    <xf numFmtId="0" fontId="55" fillId="0" borderId="24"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29" fillId="0" borderId="15" applyNumberFormat="0" applyFill="0" applyAlignment="0" applyProtection="0"/>
    <xf numFmtId="0" fontId="56" fillId="0" borderId="25"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30" fillId="0" borderId="16" applyNumberFormat="0" applyFill="0" applyAlignment="0" applyProtection="0"/>
    <xf numFmtId="0" fontId="57" fillId="0" borderId="26"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30" fillId="0" borderId="0" applyNumberFormat="0" applyFill="0" applyBorder="0" applyAlignment="0" applyProtection="0"/>
    <xf numFmtId="0" fontId="57" fillId="0" borderId="0" applyNumberFormat="0" applyFill="0" applyBorder="0" applyAlignment="0" applyProtection="0"/>
    <xf numFmtId="187" fontId="62" fillId="0" borderId="0">
      <protection locked="0"/>
    </xf>
    <xf numFmtId="187" fontId="62" fillId="0" borderId="0">
      <protection locked="0"/>
    </xf>
    <xf numFmtId="187" fontId="62" fillId="0" borderId="0">
      <protection locked="0"/>
    </xf>
    <xf numFmtId="187" fontId="62" fillId="0" borderId="0">
      <protection locked="0"/>
    </xf>
    <xf numFmtId="0" fontId="31" fillId="30" borderId="10" applyNumberFormat="0" applyAlignment="0" applyProtection="0"/>
    <xf numFmtId="0" fontId="31" fillId="30" borderId="10" applyNumberFormat="0" applyAlignment="0" applyProtection="0"/>
    <xf numFmtId="0" fontId="31" fillId="30" borderId="10" applyNumberFormat="0" applyAlignment="0" applyProtection="0"/>
    <xf numFmtId="0" fontId="31" fillId="30" borderId="10" applyNumberFormat="0" applyAlignment="0" applyProtection="0"/>
    <xf numFmtId="0" fontId="31" fillId="30" borderId="10" applyNumberFormat="0" applyAlignment="0" applyProtection="0"/>
    <xf numFmtId="0" fontId="31" fillId="30" borderId="10" applyNumberFormat="0" applyAlignment="0" applyProtection="0"/>
    <xf numFmtId="0" fontId="31" fillId="30" borderId="10" applyNumberFormat="0" applyAlignment="0" applyProtection="0"/>
    <xf numFmtId="0" fontId="31" fillId="30" borderId="10" applyNumberFormat="0" applyAlignment="0" applyProtection="0"/>
    <xf numFmtId="0" fontId="31" fillId="30" borderId="10" applyNumberFormat="0" applyAlignment="0" applyProtection="0"/>
    <xf numFmtId="0" fontId="31" fillId="13" borderId="10" applyNumberFormat="0" applyAlignment="0" applyProtection="0"/>
    <xf numFmtId="0" fontId="31" fillId="30" borderId="10" applyNumberFormat="0" applyAlignment="0" applyProtection="0"/>
    <xf numFmtId="4" fontId="52" fillId="0" borderId="0" applyBorder="0">
      <alignment horizontal="right" vertical="center"/>
    </xf>
    <xf numFmtId="0" fontId="37" fillId="0" borderId="27" applyNumberFormat="0" applyFill="0" applyAlignment="0" applyProtection="0"/>
    <xf numFmtId="0" fontId="37" fillId="0" borderId="27" applyNumberFormat="0" applyFill="0" applyAlignment="0" applyProtection="0"/>
    <xf numFmtId="0" fontId="37" fillId="0" borderId="27" applyNumberFormat="0" applyFill="0" applyAlignment="0" applyProtection="0"/>
    <xf numFmtId="0" fontId="37" fillId="0" borderId="27" applyNumberFormat="0" applyFill="0" applyAlignment="0" applyProtection="0"/>
    <xf numFmtId="0" fontId="37" fillId="0" borderId="27" applyNumberFormat="0" applyFill="0" applyAlignment="0" applyProtection="0"/>
    <xf numFmtId="0" fontId="37" fillId="0" borderId="27" applyNumberFormat="0" applyFill="0" applyAlignment="0" applyProtection="0"/>
    <xf numFmtId="0" fontId="37" fillId="0" borderId="27" applyNumberFormat="0" applyFill="0" applyAlignment="0" applyProtection="0"/>
    <xf numFmtId="0" fontId="37" fillId="0" borderId="27" applyNumberFormat="0" applyFill="0" applyAlignment="0" applyProtection="0"/>
    <xf numFmtId="0" fontId="37" fillId="0" borderId="27" applyNumberFormat="0" applyFill="0" applyAlignment="0" applyProtection="0"/>
    <xf numFmtId="0" fontId="32" fillId="0" borderId="17" applyNumberFormat="0" applyFill="0" applyAlignment="0" applyProtection="0"/>
    <xf numFmtId="0" fontId="37" fillId="0" borderId="27" applyNumberFormat="0" applyFill="0" applyAlignment="0" applyProtection="0"/>
    <xf numFmtId="179" fontId="5" fillId="0" borderId="0" applyFont="0" applyFill="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33" fillId="30" borderId="0" applyNumberFormat="0" applyBorder="0" applyAlignment="0" applyProtection="0"/>
    <xf numFmtId="0" fontId="58" fillId="30"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5" fontId="59" fillId="0" borderId="0">
      <alignment vertical="center"/>
    </xf>
    <xf numFmtId="0" fontId="1" fillId="0" borderId="0"/>
    <xf numFmtId="0" fontId="1" fillId="0" borderId="0"/>
    <xf numFmtId="0" fontId="1" fillId="0" borderId="0"/>
    <xf numFmtId="0" fontId="1" fillId="0" borderId="0"/>
    <xf numFmtId="5" fontId="59" fillId="0" borderId="0">
      <alignment vertical="center"/>
    </xf>
    <xf numFmtId="5" fontId="59" fillId="0" borderId="0">
      <alignment vertical="center"/>
    </xf>
    <xf numFmtId="5" fontId="59" fillId="0" borderId="0">
      <alignment vertical="center"/>
    </xf>
    <xf numFmtId="5" fontId="59"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5" fontId="59" fillId="0" borderId="0">
      <alignment vertical="center"/>
    </xf>
    <xf numFmtId="5" fontId="59" fillId="0" borderId="0">
      <alignment vertical="center"/>
    </xf>
    <xf numFmtId="5" fontId="59"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5" fontId="59" fillId="0" borderId="0">
      <alignment vertical="center"/>
    </xf>
    <xf numFmtId="5" fontId="59" fillId="0" borderId="0">
      <alignment vertical="center"/>
    </xf>
    <xf numFmtId="5" fontId="59" fillId="0" borderId="0">
      <alignment vertical="center"/>
    </xf>
    <xf numFmtId="5" fontId="59" fillId="0" borderId="0">
      <alignment vertical="center"/>
    </xf>
    <xf numFmtId="0" fontId="1" fillId="0" borderId="0"/>
    <xf numFmtId="169" fontId="59"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169" fontId="59" fillId="0" borderId="0">
      <alignment vertical="center"/>
    </xf>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184" fontId="59"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 fontId="52" fillId="0" borderId="13" applyFill="0" applyBorder="0" applyProtection="0">
      <alignment horizontal="right" vertical="center"/>
    </xf>
    <xf numFmtId="0" fontId="53" fillId="0" borderId="0" applyNumberFormat="0" applyFill="0" applyBorder="0" applyProtection="0">
      <alignment horizontal="left" vertical="center"/>
    </xf>
    <xf numFmtId="0" fontId="5" fillId="45" borderId="0" applyNumberFormat="0" applyFont="0" applyBorder="0" applyAlignment="0" applyProtection="0"/>
    <xf numFmtId="0" fontId="5" fillId="45" borderId="0" applyNumberFormat="0" applyFont="0" applyBorder="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21"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181" fontId="5" fillId="0" borderId="0" applyFont="0" applyFill="0" applyBorder="0" applyAlignment="0" applyProtection="0"/>
    <xf numFmtId="0" fontId="34" fillId="44" borderId="19" applyNumberFormat="0" applyAlignment="0" applyProtection="0"/>
    <xf numFmtId="0" fontId="34" fillId="44" borderId="19" applyNumberFormat="0" applyAlignment="0" applyProtection="0"/>
    <xf numFmtId="0" fontId="34" fillId="44" borderId="19" applyNumberFormat="0" applyAlignment="0" applyProtection="0"/>
    <xf numFmtId="0" fontId="34" fillId="44" borderId="19" applyNumberFormat="0" applyAlignment="0" applyProtection="0"/>
    <xf numFmtId="0" fontId="34" fillId="44" borderId="19" applyNumberFormat="0" applyAlignment="0" applyProtection="0"/>
    <xf numFmtId="0" fontId="34" fillId="44" borderId="19" applyNumberFormat="0" applyAlignment="0" applyProtection="0"/>
    <xf numFmtId="0" fontId="34" fillId="44" borderId="19" applyNumberFormat="0" applyAlignment="0" applyProtection="0"/>
    <xf numFmtId="0" fontId="34" fillId="44" borderId="19" applyNumberFormat="0" applyAlignment="0" applyProtection="0"/>
    <xf numFmtId="0" fontId="34" fillId="44" borderId="19" applyNumberFormat="0" applyAlignment="0" applyProtection="0"/>
    <xf numFmtId="0" fontId="34" fillId="26" borderId="19" applyNumberFormat="0" applyAlignment="0" applyProtection="0"/>
    <xf numFmtId="0" fontId="34" fillId="44" borderId="19"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5" fillId="0" borderId="0" applyFont="0" applyFill="0" applyBorder="0" applyAlignment="0" applyProtection="0"/>
    <xf numFmtId="9" fontId="5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188" fontId="5" fillId="0" borderId="0" applyFill="0" applyBorder="0" applyAlignment="0" applyProtection="0">
      <alignment wrapText="1"/>
    </xf>
    <xf numFmtId="188" fontId="5" fillId="0" borderId="0" applyFill="0" applyBorder="0" applyAlignment="0" applyProtection="0">
      <alignment wrapText="1"/>
    </xf>
    <xf numFmtId="0" fontId="4" fillId="0" borderId="0" applyNumberFormat="0" applyFill="0" applyBorder="0">
      <alignment horizontal="center" wrapText="1"/>
    </xf>
    <xf numFmtId="0" fontId="4" fillId="0" borderId="0" applyNumberFormat="0" applyFill="0" applyBorder="0">
      <alignment horizontal="center" wrapText="1"/>
    </xf>
    <xf numFmtId="0" fontId="4" fillId="0" borderId="0" applyNumberFormat="0" applyFill="0" applyBorder="0">
      <alignment horizontal="center" wrapText="1"/>
    </xf>
    <xf numFmtId="0" fontId="4" fillId="0" borderId="0" applyNumberFormat="0" applyFill="0" applyBorder="0">
      <alignment horizontal="center" wrapText="1"/>
    </xf>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35" fillId="0" borderId="0" applyNumberFormat="0" applyFill="0" applyBorder="0" applyAlignment="0" applyProtection="0"/>
    <xf numFmtId="0" fontId="60" fillId="0" borderId="0" applyNumberFormat="0" applyFill="0" applyBorder="0" applyAlignment="0" applyProtection="0"/>
    <xf numFmtId="0" fontId="36" fillId="0" borderId="28" applyNumberFormat="0" applyFill="0" applyAlignment="0" applyProtection="0"/>
    <xf numFmtId="0" fontId="36" fillId="0" borderId="28" applyNumberFormat="0" applyFill="0" applyAlignment="0" applyProtection="0"/>
    <xf numFmtId="0" fontId="36" fillId="0" borderId="28" applyNumberFormat="0" applyFill="0" applyAlignment="0" applyProtection="0"/>
    <xf numFmtId="0" fontId="36" fillId="0" borderId="28" applyNumberFormat="0" applyFill="0" applyAlignment="0" applyProtection="0"/>
    <xf numFmtId="0" fontId="36" fillId="0" borderId="28" applyNumberFormat="0" applyFill="0" applyAlignment="0" applyProtection="0"/>
    <xf numFmtId="0" fontId="36" fillId="0" borderId="28" applyNumberFormat="0" applyFill="0" applyAlignment="0" applyProtection="0"/>
    <xf numFmtId="0" fontId="36" fillId="0" borderId="28" applyNumberFormat="0" applyFill="0" applyAlignment="0" applyProtection="0"/>
    <xf numFmtId="0" fontId="36" fillId="0" borderId="28" applyNumberFormat="0" applyFill="0" applyAlignment="0" applyProtection="0"/>
    <xf numFmtId="0" fontId="36" fillId="0" borderId="28" applyNumberFormat="0" applyFill="0" applyAlignment="0" applyProtection="0"/>
    <xf numFmtId="0" fontId="36" fillId="0" borderId="22" applyNumberFormat="0" applyFill="0" applyAlignment="0" applyProtection="0"/>
    <xf numFmtId="0" fontId="36"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4" fontId="52" fillId="0" borderId="0"/>
    <xf numFmtId="0" fontId="5" fillId="0" borderId="0" applyNumberFormat="0" applyFont="0" applyFill="0" applyBorder="0" applyProtection="0">
      <alignment horizontal="left" vertical="center" indent="5"/>
    </xf>
    <xf numFmtId="0" fontId="5" fillId="0" borderId="0" applyNumberFormat="0" applyFont="0" applyFill="0" applyBorder="0" applyProtection="0">
      <alignment horizontal="left" vertical="center" indent="5"/>
    </xf>
    <xf numFmtId="49" fontId="5" fillId="28" borderId="12">
      <alignment vertical="top" wrapText="1"/>
    </xf>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5" fillId="0" borderId="0" applyFont="0" applyFill="0" applyBorder="0" applyAlignment="0" applyProtection="0"/>
    <xf numFmtId="178" fontId="5" fillId="0" borderId="0" applyFont="0" applyFill="0" applyBorder="0" applyAlignment="0" applyProtection="0"/>
    <xf numFmtId="170" fontId="5" fillId="0" borderId="0" applyFont="0" applyFill="0" applyBorder="0" applyAlignment="0" applyProtection="0"/>
    <xf numFmtId="180"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70" fontId="5" fillId="0" borderId="0" applyFont="0" applyFill="0" applyBorder="0" applyAlignment="0" applyProtection="0"/>
    <xf numFmtId="182"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45" borderId="0" applyNumberFormat="0" applyFont="0" applyBorder="0" applyAlignment="0" applyProtection="0"/>
    <xf numFmtId="0" fontId="5" fillId="45" borderId="0" applyNumberFormat="0" applyFont="0" applyBorder="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0" fontId="5" fillId="31" borderId="18" applyNumberFormat="0" applyFont="0" applyAlignment="0" applyProtection="0"/>
    <xf numFmtId="181"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88" fontId="5" fillId="0" borderId="0" applyFill="0" applyBorder="0" applyAlignment="0" applyProtection="0">
      <alignment wrapText="1"/>
    </xf>
    <xf numFmtId="188" fontId="5" fillId="0" borderId="0" applyFill="0" applyBorder="0" applyAlignment="0" applyProtection="0">
      <alignment wrapText="1"/>
    </xf>
    <xf numFmtId="0" fontId="5" fillId="36" borderId="21" applyBorder="0">
      <alignment horizontal="left" vertical="center"/>
    </xf>
    <xf numFmtId="49" fontId="5" fillId="37" borderId="13">
      <alignment vertical="center" wrapText="1"/>
    </xf>
    <xf numFmtId="0" fontId="5" fillId="38" borderId="2">
      <alignment horizontal="left" vertical="center" wrapText="1"/>
    </xf>
    <xf numFmtId="0" fontId="5" fillId="40" borderId="13">
      <alignment horizontal="left" vertical="center" wrapText="1"/>
    </xf>
    <xf numFmtId="0" fontId="5" fillId="41" borderId="13">
      <alignment horizontal="left" vertical="center" wrapText="1"/>
    </xf>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176"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cellStyleXfs>
  <cellXfs count="103">
    <xf numFmtId="0" fontId="0" fillId="0" borderId="0" xfId="0"/>
    <xf numFmtId="164" fontId="3" fillId="0" borderId="0" xfId="0" applyNumberFormat="1" applyFont="1"/>
    <xf numFmtId="164" fontId="0" fillId="0" borderId="0" xfId="0" applyNumberFormat="1"/>
    <xf numFmtId="164" fontId="4" fillId="3" borderId="2" xfId="0" applyNumberFormat="1" applyFont="1" applyFill="1" applyBorder="1"/>
    <xf numFmtId="164" fontId="4" fillId="3" borderId="3" xfId="0" applyNumberFormat="1" applyFont="1" applyFill="1" applyBorder="1"/>
    <xf numFmtId="164" fontId="4" fillId="3" borderId="4" xfId="0" applyNumberFormat="1" applyFont="1" applyFill="1" applyBorder="1"/>
    <xf numFmtId="0" fontId="5" fillId="0" borderId="0" xfId="0" applyFont="1"/>
    <xf numFmtId="2" fontId="3" fillId="0" borderId="0" xfId="0" applyNumberFormat="1" applyFont="1"/>
    <xf numFmtId="0" fontId="5" fillId="3" borderId="3" xfId="0" applyFont="1" applyFill="1" applyBorder="1" applyAlignment="1">
      <alignment horizontal="left" vertical="center" wrapText="1"/>
    </xf>
    <xf numFmtId="0" fontId="4" fillId="3" borderId="5" xfId="0" quotePrefix="1" applyFont="1" applyFill="1" applyBorder="1" applyAlignment="1">
      <alignment horizontal="left"/>
    </xf>
    <xf numFmtId="0" fontId="4" fillId="3" borderId="5" xfId="0" applyFont="1" applyFill="1" applyBorder="1" applyAlignment="1">
      <alignment horizontal="left"/>
    </xf>
    <xf numFmtId="0" fontId="0" fillId="3" borderId="5" xfId="0" applyFill="1" applyBorder="1"/>
    <xf numFmtId="0" fontId="5" fillId="3" borderId="3" xfId="0" applyFont="1" applyFill="1" applyBorder="1" applyAlignment="1">
      <alignment horizontal="center" vertical="center" wrapText="1"/>
    </xf>
    <xf numFmtId="0" fontId="5" fillId="3" borderId="3" xfId="0" quotePrefix="1" applyFont="1" applyFill="1" applyBorder="1" applyAlignment="1">
      <alignment horizontal="center" vertical="center" wrapText="1"/>
    </xf>
    <xf numFmtId="0" fontId="6" fillId="3" borderId="3" xfId="2" applyFont="1" applyFill="1" applyBorder="1" applyAlignment="1">
      <alignment horizontal="center" vertical="center" wrapText="1"/>
    </xf>
    <xf numFmtId="0" fontId="5" fillId="3" borderId="5" xfId="0" applyFont="1" applyFill="1" applyBorder="1" applyAlignment="1">
      <alignment horizontal="center"/>
    </xf>
    <xf numFmtId="0" fontId="5" fillId="3" borderId="5" xfId="0" applyFont="1" applyFill="1" applyBorder="1" applyAlignment="1">
      <alignment horizontal="center" vertical="center" wrapText="1"/>
    </xf>
    <xf numFmtId="0" fontId="6" fillId="4" borderId="0" xfId="0" applyFont="1" applyFill="1" applyAlignment="1">
      <alignment horizontal="left"/>
    </xf>
    <xf numFmtId="0" fontId="0" fillId="4" borderId="0" xfId="0" applyFill="1" applyAlignment="1">
      <alignment horizontal="left"/>
    </xf>
    <xf numFmtId="0" fontId="5" fillId="3" borderId="0" xfId="0" applyFont="1" applyFill="1"/>
    <xf numFmtId="0" fontId="0" fillId="3" borderId="0" xfId="0" applyFill="1" applyAlignment="1">
      <alignment wrapText="1"/>
    </xf>
    <xf numFmtId="166" fontId="0" fillId="5" borderId="0" xfId="0" applyNumberFormat="1" applyFill="1"/>
    <xf numFmtId="2" fontId="0" fillId="5" borderId="0" xfId="0" applyNumberFormat="1" applyFill="1" applyAlignment="1">
      <alignment horizontal="right"/>
    </xf>
    <xf numFmtId="0" fontId="0" fillId="5" borderId="0" xfId="0" applyFill="1" applyAlignment="1">
      <alignment horizontal="center"/>
    </xf>
    <xf numFmtId="0" fontId="7" fillId="5" borderId="0" xfId="0" applyFont="1" applyFill="1"/>
    <xf numFmtId="0" fontId="0" fillId="4" borderId="0" xfId="0" applyFill="1" applyAlignment="1">
      <alignment horizontal="left" wrapText="1"/>
    </xf>
    <xf numFmtId="167" fontId="0" fillId="5" borderId="0" xfId="0" applyNumberFormat="1" applyFill="1" applyAlignment="1">
      <alignment horizontal="right"/>
    </xf>
    <xf numFmtId="166" fontId="0" fillId="5" borderId="0" xfId="0" applyNumberFormat="1" applyFill="1" applyAlignment="1">
      <alignment horizontal="right"/>
    </xf>
    <xf numFmtId="0" fontId="0" fillId="3" borderId="0" xfId="0" applyFill="1"/>
    <xf numFmtId="0" fontId="0" fillId="5" borderId="0" xfId="0" applyFill="1"/>
    <xf numFmtId="166" fontId="5" fillId="5" borderId="0" xfId="0" applyNumberFormat="1" applyFont="1" applyFill="1" applyAlignment="1">
      <alignment horizontal="right"/>
    </xf>
    <xf numFmtId="166" fontId="0" fillId="5" borderId="0" xfId="0" applyNumberFormat="1" applyFill="1" applyAlignment="1">
      <alignment horizontal="center"/>
    </xf>
    <xf numFmtId="165" fontId="0" fillId="5" borderId="0" xfId="0" applyNumberFormat="1" applyFill="1" applyAlignment="1">
      <alignment horizontal="center"/>
    </xf>
    <xf numFmtId="165" fontId="0" fillId="5" borderId="0" xfId="0" applyNumberFormat="1" applyFill="1"/>
    <xf numFmtId="0" fontId="8" fillId="4" borderId="0" xfId="0" applyFont="1" applyFill="1" applyAlignment="1">
      <alignment horizontal="left" vertical="center"/>
    </xf>
    <xf numFmtId="0" fontId="5" fillId="3" borderId="0" xfId="0" applyFont="1" applyFill="1" applyAlignment="1">
      <alignment horizontal="left" wrapText="1"/>
    </xf>
    <xf numFmtId="2" fontId="0" fillId="5" borderId="0" xfId="0" applyNumberFormat="1" applyFill="1"/>
    <xf numFmtId="0" fontId="5" fillId="5" borderId="0" xfId="0" applyFont="1" applyFill="1"/>
    <xf numFmtId="167" fontId="0" fillId="5" borderId="0" xfId="0" applyNumberFormat="1" applyFill="1" applyAlignment="1">
      <alignment horizontal="center"/>
    </xf>
    <xf numFmtId="2" fontId="3" fillId="0" borderId="6" xfId="0" applyNumberFormat="1" applyFont="1" applyBorder="1"/>
    <xf numFmtId="0" fontId="5" fillId="3" borderId="7" xfId="0" applyFont="1" applyFill="1" applyBorder="1" applyAlignment="1">
      <alignment horizontal="left" vertical="center" wrapText="1"/>
    </xf>
    <xf numFmtId="0" fontId="4" fillId="3" borderId="3" xfId="0" quotePrefix="1" applyFont="1" applyFill="1" applyBorder="1" applyAlignment="1">
      <alignment horizontal="left"/>
    </xf>
    <xf numFmtId="0" fontId="4" fillId="3" borderId="3" xfId="0" applyFont="1" applyFill="1" applyBorder="1" applyAlignment="1">
      <alignment horizontal="left"/>
    </xf>
    <xf numFmtId="0" fontId="0" fillId="3" borderId="3" xfId="0" applyFill="1" applyBorder="1"/>
    <xf numFmtId="0" fontId="0" fillId="4" borderId="0" xfId="0" applyFill="1"/>
    <xf numFmtId="0" fontId="5" fillId="3" borderId="0" xfId="0" applyFont="1" applyFill="1" applyAlignment="1">
      <alignment horizontal="left"/>
    </xf>
    <xf numFmtId="0" fontId="8" fillId="4" borderId="0" xfId="0" applyFont="1" applyFill="1"/>
    <xf numFmtId="0" fontId="5" fillId="4" borderId="0" xfId="0" applyFont="1" applyFill="1" applyAlignment="1">
      <alignment horizontal="left"/>
    </xf>
    <xf numFmtId="0" fontId="5" fillId="4" borderId="0" xfId="0" applyFont="1" applyFill="1" applyAlignment="1">
      <alignment horizontal="center" wrapText="1"/>
    </xf>
    <xf numFmtId="0" fontId="8" fillId="4" borderId="0" xfId="0" applyFont="1" applyFill="1" applyAlignment="1">
      <alignment horizontal="center" vertical="center"/>
    </xf>
    <xf numFmtId="0" fontId="8" fillId="3" borderId="0" xfId="0" applyFont="1" applyFill="1" applyAlignment="1">
      <alignment horizontal="center" vertical="center"/>
    </xf>
    <xf numFmtId="0" fontId="3" fillId="0" borderId="0" xfId="0" applyFont="1"/>
    <xf numFmtId="0" fontId="5" fillId="3" borderId="3" xfId="0" applyFont="1" applyFill="1" applyBorder="1" applyAlignment="1">
      <alignment vertical="center"/>
    </xf>
    <xf numFmtId="0" fontId="5" fillId="3" borderId="3" xfId="0" applyFont="1" applyFill="1" applyBorder="1" applyAlignment="1">
      <alignment vertical="center" wrapText="1"/>
    </xf>
    <xf numFmtId="0" fontId="4" fillId="3" borderId="0" xfId="0" applyFont="1" applyFill="1"/>
    <xf numFmtId="167" fontId="5" fillId="5" borderId="0" xfId="0" applyNumberFormat="1" applyFont="1" applyFill="1"/>
    <xf numFmtId="0" fontId="5" fillId="3" borderId="7" xfId="0" applyFont="1" applyFill="1" applyBorder="1" applyAlignment="1">
      <alignment vertical="center" wrapText="1"/>
    </xf>
    <xf numFmtId="0" fontId="13" fillId="3" borderId="7" xfId="0" applyFont="1" applyFill="1" applyBorder="1" applyAlignment="1">
      <alignment horizontal="center" vertical="center" wrapText="1"/>
    </xf>
    <xf numFmtId="0" fontId="5" fillId="3" borderId="0" xfId="0" applyFont="1" applyFill="1" applyAlignment="1">
      <alignment vertical="center" wrapText="1"/>
    </xf>
    <xf numFmtId="0" fontId="4" fillId="6" borderId="8" xfId="0" quotePrefix="1" applyFont="1" applyFill="1" applyBorder="1" applyAlignment="1">
      <alignment horizontal="left" vertical="center"/>
    </xf>
    <xf numFmtId="0" fontId="4" fillId="6" borderId="8" xfId="0" applyFont="1" applyFill="1" applyBorder="1" applyAlignment="1">
      <alignment horizontal="left" vertical="center"/>
    </xf>
    <xf numFmtId="0" fontId="5" fillId="6" borderId="8" xfId="0" applyFont="1" applyFill="1" applyBorder="1" applyAlignment="1">
      <alignment horizontal="center" vertical="center" wrapText="1"/>
    </xf>
    <xf numFmtId="0" fontId="5" fillId="3" borderId="0" xfId="0" applyFont="1" applyFill="1" applyAlignment="1">
      <alignment horizontal="center"/>
    </xf>
    <xf numFmtId="0" fontId="5" fillId="4" borderId="0" xfId="0" applyFont="1" applyFill="1"/>
    <xf numFmtId="0" fontId="14" fillId="3" borderId="0" xfId="0" applyFont="1" applyFill="1"/>
    <xf numFmtId="168" fontId="13" fillId="5" borderId="0" xfId="0" applyNumberFormat="1" applyFont="1" applyFill="1" applyAlignment="1">
      <alignment horizontal="center"/>
    </xf>
    <xf numFmtId="0" fontId="16" fillId="0" borderId="0" xfId="0" applyFont="1" applyAlignment="1">
      <alignment horizontal="left" wrapText="1"/>
    </xf>
    <xf numFmtId="0" fontId="6" fillId="3" borderId="8" xfId="3" applyFont="1" applyFill="1" applyBorder="1" applyAlignment="1">
      <alignment horizontal="center" vertical="center" wrapText="1"/>
    </xf>
    <xf numFmtId="0" fontId="5" fillId="3" borderId="7" xfId="0" applyFont="1" applyFill="1" applyBorder="1" applyAlignment="1">
      <alignment horizontal="center" vertical="center" wrapText="1"/>
    </xf>
    <xf numFmtId="0" fontId="4" fillId="6" borderId="3" xfId="0" applyFont="1" applyFill="1" applyBorder="1"/>
    <xf numFmtId="0" fontId="5" fillId="6" borderId="5" xfId="0" applyFont="1" applyFill="1" applyBorder="1" applyAlignment="1">
      <alignment vertical="center"/>
    </xf>
    <xf numFmtId="0" fontId="0" fillId="6" borderId="5" xfId="0" applyFill="1" applyBorder="1" applyAlignment="1">
      <alignment horizontal="center" vertical="center"/>
    </xf>
    <xf numFmtId="0" fontId="5" fillId="6" borderId="5" xfId="0" applyFont="1" applyFill="1" applyBorder="1" applyAlignment="1">
      <alignment horizontal="center" vertical="center" wrapText="1"/>
    </xf>
    <xf numFmtId="0" fontId="5" fillId="6" borderId="9" xfId="0" applyFont="1" applyFill="1" applyBorder="1" applyAlignment="1">
      <alignment horizontal="center"/>
    </xf>
    <xf numFmtId="0" fontId="5" fillId="6" borderId="9" xfId="0" applyFont="1" applyFill="1" applyBorder="1" applyAlignment="1">
      <alignment horizontal="center" vertical="center" wrapText="1"/>
    </xf>
    <xf numFmtId="165" fontId="5" fillId="3" borderId="0" xfId="0" applyNumberFormat="1" applyFont="1" applyFill="1"/>
    <xf numFmtId="165" fontId="5" fillId="5" borderId="0" xfId="0" applyNumberFormat="1" applyFont="1" applyFill="1"/>
    <xf numFmtId="166" fontId="5" fillId="3" borderId="0" xfId="0" applyNumberFormat="1" applyFont="1" applyFill="1"/>
    <xf numFmtId="165" fontId="14" fillId="3" borderId="0" xfId="0" applyNumberFormat="1" applyFont="1" applyFill="1"/>
    <xf numFmtId="164" fontId="0" fillId="4" borderId="0" xfId="0" applyNumberFormat="1" applyFill="1"/>
    <xf numFmtId="0" fontId="5" fillId="7" borderId="0" xfId="0" applyFont="1" applyFill="1"/>
    <xf numFmtId="165" fontId="5" fillId="7" borderId="0" xfId="0" applyNumberFormat="1" applyFont="1" applyFill="1"/>
    <xf numFmtId="0" fontId="1" fillId="0" borderId="0" xfId="4"/>
    <xf numFmtId="168" fontId="0" fillId="0" borderId="0" xfId="0" applyNumberFormat="1"/>
    <xf numFmtId="9" fontId="0" fillId="0" borderId="0" xfId="5" applyFont="1"/>
    <xf numFmtId="0" fontId="2" fillId="2" borderId="1" xfId="1"/>
    <xf numFmtId="0" fontId="18" fillId="0" borderId="0" xfId="6"/>
    <xf numFmtId="0" fontId="5" fillId="3" borderId="8" xfId="6" applyFont="1" applyFill="1" applyBorder="1" applyAlignment="1">
      <alignment horizontal="center" vertical="center" wrapText="1"/>
    </xf>
    <xf numFmtId="2" fontId="3" fillId="0" borderId="0" xfId="6" applyNumberFormat="1" applyFont="1" applyFill="1" applyBorder="1" applyAlignment="1"/>
    <xf numFmtId="164" fontId="3" fillId="0" borderId="0" xfId="6" applyNumberFormat="1" applyFont="1"/>
    <xf numFmtId="0" fontId="18" fillId="3" borderId="8" xfId="6" applyFill="1" applyBorder="1" applyAlignment="1">
      <alignment horizontal="center" vertical="center" wrapText="1"/>
    </xf>
    <xf numFmtId="166" fontId="18" fillId="5" borderId="0" xfId="6" applyNumberFormat="1" applyFill="1" applyBorder="1" applyAlignment="1">
      <alignment wrapText="1"/>
    </xf>
    <xf numFmtId="0" fontId="18" fillId="4" borderId="0" xfId="6" applyFill="1" applyBorder="1" applyAlignment="1">
      <alignment horizontal="left" wrapText="1"/>
    </xf>
    <xf numFmtId="0" fontId="18" fillId="3" borderId="0" xfId="6" applyFill="1" applyBorder="1"/>
    <xf numFmtId="0" fontId="18" fillId="4" borderId="0" xfId="6" applyFill="1" applyBorder="1" applyAlignment="1">
      <alignment horizontal="left" wrapText="1"/>
    </xf>
    <xf numFmtId="0" fontId="18" fillId="3" borderId="0" xfId="6" applyFill="1" applyBorder="1"/>
    <xf numFmtId="166" fontId="18" fillId="5" borderId="0" xfId="6" applyNumberFormat="1" applyFill="1" applyBorder="1" applyAlignment="1">
      <alignment wrapText="1"/>
    </xf>
    <xf numFmtId="164" fontId="4" fillId="3" borderId="2" xfId="6" applyNumberFormat="1" applyFont="1" applyFill="1" applyBorder="1"/>
    <xf numFmtId="164" fontId="18" fillId="0" borderId="0" xfId="6" applyNumberFormat="1"/>
    <xf numFmtId="0" fontId="18" fillId="4" borderId="0" xfId="6" applyFill="1" applyBorder="1" applyAlignment="1">
      <alignment horizontal="left" wrapText="1"/>
    </xf>
    <xf numFmtId="164" fontId="4" fillId="3" borderId="3" xfId="6" applyNumberFormat="1" applyFont="1" applyFill="1" applyBorder="1"/>
    <xf numFmtId="164" fontId="4" fillId="3" borderId="4" xfId="6" applyNumberFormat="1" applyFont="1" applyFill="1" applyBorder="1"/>
    <xf numFmtId="164" fontId="3" fillId="0" borderId="0" xfId="6" applyNumberFormat="1" applyFont="1"/>
  </cellXfs>
  <cellStyles count="3463">
    <cellStyle name="20% - Accent1 2" xfId="7" xr:uid="{50921CF9-4693-4FE9-A755-9C4F59AA73F4}"/>
    <cellStyle name="20% - Accent1 2 10" xfId="56" xr:uid="{0D65D451-8B39-45B8-979E-F0B8CC56172D}"/>
    <cellStyle name="20% - Accent1 2 11" xfId="103" xr:uid="{8B778F7F-377C-4DF4-A268-F55E0B60795B}"/>
    <cellStyle name="20% - Accent1 2 12" xfId="104" xr:uid="{5D05B489-C005-4D91-82E2-C4D894054D03}"/>
    <cellStyle name="20% - Accent1 2 13" xfId="105" xr:uid="{10E8E6AA-60FF-4F6A-8AAF-0F4080EFDE2C}"/>
    <cellStyle name="20% - Accent1 2 14" xfId="106" xr:uid="{FF5FE501-9A46-459D-975C-C6D54EDCFDA8}"/>
    <cellStyle name="20% - Accent1 2 15" xfId="107" xr:uid="{13D6D86E-A406-42BC-A30D-717642972B3B}"/>
    <cellStyle name="20% - Accent1 2 2" xfId="108" xr:uid="{A25C4CAC-641F-4500-AA20-688B162CCAC2}"/>
    <cellStyle name="20% - Accent1 2 3" xfId="109" xr:uid="{64B5F5F0-7266-4C5B-A9AE-FEF0370AFEAF}"/>
    <cellStyle name="20% - Accent1 2 4" xfId="110" xr:uid="{B53B7BAF-50DE-4BC4-B5E1-AAA917C63FDF}"/>
    <cellStyle name="20% - Accent1 2 5" xfId="111" xr:uid="{AE41FC60-12F5-4E27-A7E2-62834A86D146}"/>
    <cellStyle name="20% - Accent1 2 6" xfId="112" xr:uid="{A79314E1-701E-4ADC-BD0B-BC92733A015C}"/>
    <cellStyle name="20% - Accent1 2 7" xfId="113" xr:uid="{A6233B50-F3FB-41AC-B871-917158521361}"/>
    <cellStyle name="20% - Accent1 2 8" xfId="114" xr:uid="{42DBCA60-B404-4502-B871-C600461E4AB5}"/>
    <cellStyle name="20% - Accent1 2 9" xfId="115" xr:uid="{3ABA9F51-69B3-49A0-8B96-BE931D395BA6}"/>
    <cellStyle name="20% - Accent1 3" xfId="116" xr:uid="{481E1828-FFE5-4373-8F33-B171ADA82994}"/>
    <cellStyle name="20% - Accent1 3 2" xfId="117" xr:uid="{7C1969EB-E1BA-4454-BE0E-4C9BA85108DB}"/>
    <cellStyle name="20% - Accent1 4" xfId="118" xr:uid="{54A05454-99FB-476A-ABD2-D64473AF26A5}"/>
    <cellStyle name="20% - Accent1 5" xfId="119" xr:uid="{6B9FB144-7895-4AC9-97A3-2F5C9D6272C5}"/>
    <cellStyle name="20% - Accent1 6" xfId="120" xr:uid="{5CDE2072-B683-4015-A163-53A868A91624}"/>
    <cellStyle name="20% - Accent1 7" xfId="121" xr:uid="{4A5959FC-4D00-4F1A-B50F-CABD3BA6E375}"/>
    <cellStyle name="20% - Accent1 8" xfId="122" xr:uid="{128F9FAB-27FE-40FC-BCF2-C2590945AA3D}"/>
    <cellStyle name="20% - Accent2 2" xfId="8" xr:uid="{CA63282F-F1E7-48D2-847B-D89C8DCF9326}"/>
    <cellStyle name="20% - Accent2 2 10" xfId="123" xr:uid="{F13E6083-4FE2-429A-A0B3-83465C042B54}"/>
    <cellStyle name="20% - Accent2 2 11" xfId="124" xr:uid="{707FF3B8-ACC8-48F4-ADED-5D06A231F3D6}"/>
    <cellStyle name="20% - Accent2 2 12" xfId="125" xr:uid="{293E130D-230A-47F3-B714-F92A638E3821}"/>
    <cellStyle name="20% - Accent2 2 13" xfId="126" xr:uid="{C9A9F48A-49CB-4BCC-A8CF-5C4D554672ED}"/>
    <cellStyle name="20% - Accent2 2 14" xfId="127" xr:uid="{1CA21E52-83BB-43AF-829F-869BE3AEBFBF}"/>
    <cellStyle name="20% - Accent2 2 15" xfId="128" xr:uid="{2B576E64-779E-4F49-B686-35989F03562B}"/>
    <cellStyle name="20% - Accent2 2 2" xfId="129" xr:uid="{267A0350-F1FC-4F92-9A51-5583FC7F2E40}"/>
    <cellStyle name="20% - Accent2 2 3" xfId="130" xr:uid="{5E4CC294-76BD-42DD-A569-0C474C139C62}"/>
    <cellStyle name="20% - Accent2 2 4" xfId="131" xr:uid="{E2D06B01-93AA-4413-894B-D6CD7F8184B6}"/>
    <cellStyle name="20% - Accent2 2 5" xfId="132" xr:uid="{74EE1473-1CF1-4D82-8657-71198689F866}"/>
    <cellStyle name="20% - Accent2 2 6" xfId="133" xr:uid="{6D850D1C-A366-4884-B960-8B388FED2B94}"/>
    <cellStyle name="20% - Accent2 2 7" xfId="134" xr:uid="{0CAEE3AC-2898-4B9C-9C2A-C505B8C14FE6}"/>
    <cellStyle name="20% - Accent2 2 8" xfId="135" xr:uid="{71DDDAFD-4F20-48E4-8F3C-455456A83C55}"/>
    <cellStyle name="20% - Accent2 2 9" xfId="136" xr:uid="{D9649FB7-D669-4420-83A5-EEC343F314DE}"/>
    <cellStyle name="20% - Accent2 3" xfId="137" xr:uid="{673FB8A7-F02B-4167-A9F8-79BA76675CE9}"/>
    <cellStyle name="20% - Accent2 3 2" xfId="138" xr:uid="{01C8851A-E5FA-46EB-B767-7AC20D4E7AD5}"/>
    <cellStyle name="20% - Accent2 4" xfId="139" xr:uid="{AFD053B7-822F-4021-A588-8C7B97FC328A}"/>
    <cellStyle name="20% - Accent2 5" xfId="140" xr:uid="{9048D461-D371-49F6-BD88-91D882935D78}"/>
    <cellStyle name="20% - Accent2 6" xfId="141" xr:uid="{BD4239B2-CC5A-449C-B55A-46FE43106E10}"/>
    <cellStyle name="20% - Accent2 7" xfId="142" xr:uid="{BB0E2D67-EF3C-4952-B237-F8C3CC336DF7}"/>
    <cellStyle name="20% - Accent2 8" xfId="143" xr:uid="{5E3BD1BF-291E-424C-A41B-3191879D9862}"/>
    <cellStyle name="20% - Accent3 2" xfId="9" xr:uid="{AAA39F92-27A3-4ACA-A7AA-88ABB536843E}"/>
    <cellStyle name="20% - Accent3 2 10" xfId="144" xr:uid="{7F8E9AB1-3AE2-4EC1-81C9-AE6A183A195E}"/>
    <cellStyle name="20% - Accent3 2 11" xfId="76" xr:uid="{1CC74E55-C00F-41C5-AF57-D047852E471D}"/>
    <cellStyle name="20% - Accent3 2 12" xfId="145" xr:uid="{627ADECC-D1C8-4BAD-901B-E8B3770B4357}"/>
    <cellStyle name="20% - Accent3 2 13" xfId="146" xr:uid="{C6922C40-7A1B-417D-B9E1-50107AB22AFC}"/>
    <cellStyle name="20% - Accent3 2 14" xfId="147" xr:uid="{D97F617C-1CAE-49BF-9ACA-98E927783D45}"/>
    <cellStyle name="20% - Accent3 2 15" xfId="193" xr:uid="{EF81DDFE-DAB6-4618-B36F-ED1DFA387DFC}"/>
    <cellStyle name="20% - Accent3 2 2" xfId="148" xr:uid="{E512BD0E-A8E0-4818-8047-F9238F6E117B}"/>
    <cellStyle name="20% - Accent3 2 3" xfId="149" xr:uid="{B4EC989F-2ED7-409B-865B-5C342A1316B3}"/>
    <cellStyle name="20% - Accent3 2 4" xfId="150" xr:uid="{EAEB38CF-6DAD-4EBE-999F-F341091136E1}"/>
    <cellStyle name="20% - Accent3 2 5" xfId="151" xr:uid="{9EA62006-CD2B-4EAD-BBE1-E123DC3DDF96}"/>
    <cellStyle name="20% - Accent3 2 6" xfId="152" xr:uid="{26F06BAA-858A-44CA-917E-422502038678}"/>
    <cellStyle name="20% - Accent3 2 7" xfId="153" xr:uid="{7E717A87-41BB-4232-B825-FC4B1B34305C}"/>
    <cellStyle name="20% - Accent3 2 8" xfId="154" xr:uid="{62813507-190B-4E25-B12E-3E53881241FD}"/>
    <cellStyle name="20% - Accent3 2 9" xfId="155" xr:uid="{7506203A-A544-4B9A-B414-D158D76C963A}"/>
    <cellStyle name="20% - Accent3 3" xfId="156" xr:uid="{19021A0A-8321-4EE0-9FCA-B3F39716F911}"/>
    <cellStyle name="20% - Accent3 3 2" xfId="157" xr:uid="{88F41169-F6CE-49C2-A2C3-EEC8E643D6B5}"/>
    <cellStyle name="20% - Accent3 4" xfId="158" xr:uid="{CF468758-BEF1-43F7-89B1-B6EE3A009EC8}"/>
    <cellStyle name="20% - Accent3 5" xfId="159" xr:uid="{9DF51113-6531-4DF9-9B15-B55498A7C653}"/>
    <cellStyle name="20% - Accent3 6" xfId="160" xr:uid="{6A244DB4-D096-4C26-B101-DFE30D7C0C4F}"/>
    <cellStyle name="20% - Accent3 7" xfId="161" xr:uid="{EAAF679A-82D4-4588-929C-255B5C3CB71A}"/>
    <cellStyle name="20% - Accent3 8" xfId="162" xr:uid="{636136B7-FD62-4553-ADB8-DAA6DC5E4845}"/>
    <cellStyle name="20% - Accent4 2" xfId="10" xr:uid="{7FF33418-6DF4-47BE-AAEC-571E0E0E8676}"/>
    <cellStyle name="20% - Accent4 2 10" xfId="163" xr:uid="{E78A2596-4C36-47C3-8ABA-5432ABAD9283}"/>
    <cellStyle name="20% - Accent4 2 11" xfId="164" xr:uid="{D1BC4157-1C84-47A5-9657-BFF00E6747BE}"/>
    <cellStyle name="20% - Accent4 2 12" xfId="165" xr:uid="{F33C45CB-31E0-4E71-BE89-D4827D717FB3}"/>
    <cellStyle name="20% - Accent4 2 13" xfId="166" xr:uid="{202AF138-D35D-4F08-B6F9-61061ED46F36}"/>
    <cellStyle name="20% - Accent4 2 14" xfId="167" xr:uid="{EB416890-7E65-477E-B4D1-5ECC403C5C4F}"/>
    <cellStyle name="20% - Accent4 2 15" xfId="168" xr:uid="{1D31F6AA-E63C-45D1-829A-2E1A66DF2FFE}"/>
    <cellStyle name="20% - Accent4 2 2" xfId="169" xr:uid="{AA92C90C-9E2A-4030-89C5-415663709225}"/>
    <cellStyle name="20% - Accent4 2 3" xfId="170" xr:uid="{FCE35925-9B15-4C34-9CB8-1C07F4525304}"/>
    <cellStyle name="20% - Accent4 2 4" xfId="171" xr:uid="{9214E686-6325-4570-A2AB-2E38A5DAE232}"/>
    <cellStyle name="20% - Accent4 2 5" xfId="172" xr:uid="{15C7D9FD-136D-4777-908F-6CAE0AD91C88}"/>
    <cellStyle name="20% - Accent4 2 6" xfId="173" xr:uid="{56ECDF85-70A5-40FA-A1FE-D26F3C4F5087}"/>
    <cellStyle name="20% - Accent4 2 7" xfId="174" xr:uid="{E18AAA76-943B-459B-AD11-DC6203010873}"/>
    <cellStyle name="20% - Accent4 2 8" xfId="175" xr:uid="{1ADD6355-0437-4124-8125-ABE9AFEBF824}"/>
    <cellStyle name="20% - Accent4 2 9" xfId="176" xr:uid="{4F85CF43-4D76-4979-8E60-A5AA048C4164}"/>
    <cellStyle name="20% - Accent4 3" xfId="177" xr:uid="{500CA227-E08A-48C7-B2A0-C00D76E60789}"/>
    <cellStyle name="20% - Accent4 3 2" xfId="178" xr:uid="{97D04540-5D06-4E51-9328-84CD980A64BE}"/>
    <cellStyle name="20% - Accent4 4" xfId="179" xr:uid="{599DCD8A-56B9-4C24-9612-59A1E17CAD00}"/>
    <cellStyle name="20% - Accent4 5" xfId="180" xr:uid="{F254BD24-5FC5-4722-8F12-10B85CF8101E}"/>
    <cellStyle name="20% - Accent4 6" xfId="181" xr:uid="{0CCEDBFC-0EA8-4782-B2B8-6DCB8D71982E}"/>
    <cellStyle name="20% - Accent4 7" xfId="182" xr:uid="{09A67A60-6D63-41D8-82A4-24E8A650003A}"/>
    <cellStyle name="20% - Accent4 8" xfId="183" xr:uid="{94A09898-2977-4C0E-872F-EAFDBAC674F9}"/>
    <cellStyle name="20% - Accent5 2" xfId="11" xr:uid="{A4AC2476-A7D6-42CD-9C3E-21CE1F728010}"/>
    <cellStyle name="20% - Accent5 2 10" xfId="184" xr:uid="{4686690F-4F90-46D5-A797-500BB0FE7A73}"/>
    <cellStyle name="20% - Accent5 2 11" xfId="185" xr:uid="{BDEC772E-2D30-49C5-A203-509A2538BFFC}"/>
    <cellStyle name="20% - Accent5 2 12" xfId="186" xr:uid="{FA5BA3CD-32A0-4F88-A732-29B518A8B1CF}"/>
    <cellStyle name="20% - Accent5 2 13" xfId="187" xr:uid="{40A5C016-B1BC-425B-AD40-DB96E9C56234}"/>
    <cellStyle name="20% - Accent5 2 14" xfId="188" xr:uid="{FED0C206-18BE-4514-B4DE-E8F6C66C79A0}"/>
    <cellStyle name="20% - Accent5 2 15" xfId="189" xr:uid="{26020E71-19FE-4AE0-B57E-79AAF42E38BF}"/>
    <cellStyle name="20% - Accent5 2 2" xfId="190" xr:uid="{8EB76941-7FBD-4C93-A003-215817F5D713}"/>
    <cellStyle name="20% - Accent5 2 3" xfId="191" xr:uid="{A0D1679F-03EB-4342-9065-63639DF4DC7C}"/>
    <cellStyle name="20% - Accent5 2 4" xfId="192" xr:uid="{E9B67FE7-030F-4868-BBB8-4B1528ED9CA2}"/>
    <cellStyle name="20% - Accent5 2 5" xfId="194" xr:uid="{011F0CCD-2E5E-420C-85CA-4861C6D2B1F0}"/>
    <cellStyle name="20% - Accent5 2 6" xfId="195" xr:uid="{F282DBD0-E33B-45F0-B048-B045E99CA453}"/>
    <cellStyle name="20% - Accent5 2 7" xfId="196" xr:uid="{9F08CED2-6B66-40DB-B3EB-160B86ED4610}"/>
    <cellStyle name="20% - Accent5 2 8" xfId="197" xr:uid="{68C9A237-56A9-4015-80A7-3930478F514C}"/>
    <cellStyle name="20% - Accent5 2 9" xfId="198" xr:uid="{1D0CB24E-70C4-4FDB-84C9-6B348C9041F3}"/>
    <cellStyle name="20% - Accent5 3" xfId="199" xr:uid="{CE1ED71A-D50C-455F-B406-BDBD5CB0D817}"/>
    <cellStyle name="20% - Accent5 4" xfId="200" xr:uid="{5634D038-E3EE-439F-A410-63A521EE1182}"/>
    <cellStyle name="20% - Accent5 5" xfId="201" xr:uid="{2171861D-BF17-478D-B212-23302A9352A0}"/>
    <cellStyle name="20% - Accent5 6" xfId="202" xr:uid="{1C0F2BE9-6512-4383-995A-44FAE60638D6}"/>
    <cellStyle name="20% - Accent5 7" xfId="203" xr:uid="{E91C51D4-E202-4D2B-8006-A115C1092587}"/>
    <cellStyle name="20% - Accent5 8" xfId="204" xr:uid="{7592771D-0668-481C-BBD0-48E3A55F13D4}"/>
    <cellStyle name="20% - Accent6 2" xfId="12" xr:uid="{BDD2C19F-1CFF-4EE0-B2E5-651B0442850B}"/>
    <cellStyle name="20% - Accent6 2 10" xfId="205" xr:uid="{1CB26EBF-A678-4E18-A94D-6484A1C5B228}"/>
    <cellStyle name="20% - Accent6 2 11" xfId="206" xr:uid="{BAB264BA-6920-41F4-9877-80B782AB2308}"/>
    <cellStyle name="20% - Accent6 2 12" xfId="207" xr:uid="{17CE8E54-9A0B-4340-A07F-AEEB0EA1E07E}"/>
    <cellStyle name="20% - Accent6 2 13" xfId="208" xr:uid="{9060E834-9475-441B-AE63-C6CB7C1D2FA1}"/>
    <cellStyle name="20% - Accent6 2 14" xfId="209" xr:uid="{7C34BF06-FFED-415B-9C72-D355ADB3CD58}"/>
    <cellStyle name="20% - Accent6 2 15" xfId="210" xr:uid="{F4B7D416-D133-431C-8930-52A864C47AB5}"/>
    <cellStyle name="20% - Accent6 2 2" xfId="211" xr:uid="{85EDF17F-8954-48CC-BBD5-13E39DBB1C15}"/>
    <cellStyle name="20% - Accent6 2 3" xfId="212" xr:uid="{4EE9E607-433D-4770-947D-902F23988CDA}"/>
    <cellStyle name="20% - Accent6 2 4" xfId="213" xr:uid="{2D3A1F93-E9A5-4E89-8253-046DD531792D}"/>
    <cellStyle name="20% - Accent6 2 5" xfId="214" xr:uid="{2343DFF9-F8A1-45C6-A238-39FFC6FB63B2}"/>
    <cellStyle name="20% - Accent6 2 6" xfId="215" xr:uid="{6DEEF9F6-3415-40C1-8EED-B5531572A74F}"/>
    <cellStyle name="20% - Accent6 2 7" xfId="216" xr:uid="{A6DAF4D2-A89A-4962-8936-712304CBAFC3}"/>
    <cellStyle name="20% - Accent6 2 8" xfId="217" xr:uid="{EEB75D9F-9EB1-4924-8535-55366DB7A706}"/>
    <cellStyle name="20% - Accent6 2 9" xfId="218" xr:uid="{566064DD-5C52-4BBD-8E8C-9E2A82197402}"/>
    <cellStyle name="20% - Accent6 3" xfId="219" xr:uid="{D4B7A9A9-1A79-4265-8B17-6F008A4E7514}"/>
    <cellStyle name="20% - Accent6 3 2" xfId="220" xr:uid="{3040CFD3-3DE0-448C-A61F-4A4B8FF9C197}"/>
    <cellStyle name="20% - Accent6 4" xfId="221" xr:uid="{366D6C27-02F0-42F1-ABA1-ED59E3EBFF7E}"/>
    <cellStyle name="20% - Accent6 5" xfId="222" xr:uid="{EA8E89F3-D264-4C58-A08C-5522DB67EDCA}"/>
    <cellStyle name="20% - Accent6 6" xfId="223" xr:uid="{D8E265DF-0814-4047-AA4A-36E362531ED4}"/>
    <cellStyle name="20% - Accent6 7" xfId="224" xr:uid="{6A7D7201-CE71-4FA7-A71A-AAB9BF3F0F5A}"/>
    <cellStyle name="20% - Accent6 8" xfId="225" xr:uid="{223C6478-59D9-43E9-80D9-21DA1A6FF42E}"/>
    <cellStyle name="40% - Accent1 2" xfId="13" xr:uid="{00F12F6E-2D35-413E-BC0F-40A1811AF39A}"/>
    <cellStyle name="40% - Accent1 2 10" xfId="226" xr:uid="{5E5DE1A4-EC61-4029-B222-CD7F29CA57A4}"/>
    <cellStyle name="40% - Accent1 2 11" xfId="227" xr:uid="{0ED98F44-D376-48F5-8930-8822B1F29D1A}"/>
    <cellStyle name="40% - Accent1 2 12" xfId="228" xr:uid="{BC0410B6-1868-42F9-AE08-D6E8EC0437D3}"/>
    <cellStyle name="40% - Accent1 2 13" xfId="229" xr:uid="{B078F463-6A25-48CC-A33C-75A6E5459FAF}"/>
    <cellStyle name="40% - Accent1 2 14" xfId="230" xr:uid="{48AF065A-AD5A-4F16-9EE5-B3C8734655DE}"/>
    <cellStyle name="40% - Accent1 2 15" xfId="231" xr:uid="{954BCE45-815C-45F2-9417-90CF77E174FF}"/>
    <cellStyle name="40% - Accent1 2 2" xfId="232" xr:uid="{32340F65-FC1F-49E3-9731-3878429C36A2}"/>
    <cellStyle name="40% - Accent1 2 3" xfId="233" xr:uid="{16281DFE-F539-415A-9205-DFC15EFAB277}"/>
    <cellStyle name="40% - Accent1 2 4" xfId="234" xr:uid="{DBD47523-E6BB-4935-BF4B-4AA473DDDBCB}"/>
    <cellStyle name="40% - Accent1 2 5" xfId="235" xr:uid="{A98328F4-FFC7-4EFD-AD31-75A223CE03A5}"/>
    <cellStyle name="40% - Accent1 2 6" xfId="236" xr:uid="{6A0C430E-C5E9-4232-9453-224931CB6167}"/>
    <cellStyle name="40% - Accent1 2 7" xfId="237" xr:uid="{77AAF64D-85BD-47C1-B41A-F42244F3A215}"/>
    <cellStyle name="40% - Accent1 2 8" xfId="238" xr:uid="{E0FC9F6B-8B95-4C68-A98F-3BF07B6C0BD5}"/>
    <cellStyle name="40% - Accent1 2 9" xfId="239" xr:uid="{F63B3E50-8F59-4582-B99A-A899AD2D123C}"/>
    <cellStyle name="40% - Accent1 3" xfId="240" xr:uid="{86D4084B-97BC-4CD3-9F8F-D7B2DDD1402F}"/>
    <cellStyle name="40% - Accent1 3 2" xfId="241" xr:uid="{4904E051-B19F-48BC-874D-558B67A6D254}"/>
    <cellStyle name="40% - Accent1 4" xfId="242" xr:uid="{C51E40A1-73EF-4AC3-9813-633060A44552}"/>
    <cellStyle name="40% - Accent1 5" xfId="243" xr:uid="{C6161575-90CC-4C1B-9D26-0CEDC09607CE}"/>
    <cellStyle name="40% - Accent1 6" xfId="244" xr:uid="{A66E9952-7E64-40A4-865E-81BE308ACF3F}"/>
    <cellStyle name="40% - Accent1 7" xfId="245" xr:uid="{1E74CBFA-9DC9-4367-BF65-6446A2A248DB}"/>
    <cellStyle name="40% - Accent1 8" xfId="246" xr:uid="{1D460CB0-9F46-44F9-989F-E5F6C1177C4F}"/>
    <cellStyle name="40% - Accent2 2" xfId="14" xr:uid="{DAB2E659-752F-44ED-97F7-BA2171DB934F}"/>
    <cellStyle name="40% - Accent2 2 10" xfId="247" xr:uid="{091443FA-87EF-4610-8EAC-015A73A03B38}"/>
    <cellStyle name="40% - Accent2 2 11" xfId="248" xr:uid="{06ACF992-3598-4294-A87B-94D926FAE284}"/>
    <cellStyle name="40% - Accent2 2 12" xfId="249" xr:uid="{8ECC4A77-2094-4666-9A50-1F19EE2D714B}"/>
    <cellStyle name="40% - Accent2 2 13" xfId="250" xr:uid="{4747B907-E5AC-41D7-941E-C4C6358DDCFF}"/>
    <cellStyle name="40% - Accent2 2 14" xfId="251" xr:uid="{62E56DBC-3150-4463-B131-2F002E236497}"/>
    <cellStyle name="40% - Accent2 2 15" xfId="252" xr:uid="{900E1E34-1A41-4BAD-8AD4-6EA4AC929148}"/>
    <cellStyle name="40% - Accent2 2 2" xfId="253" xr:uid="{18BAD658-F4EC-4C36-BF7C-D029DCF153D1}"/>
    <cellStyle name="40% - Accent2 2 3" xfId="254" xr:uid="{376D8708-8E93-442A-887D-791EBF3FBC47}"/>
    <cellStyle name="40% - Accent2 2 4" xfId="255" xr:uid="{B73044FC-88C1-40CD-A812-378A24BC7E4D}"/>
    <cellStyle name="40% - Accent2 2 5" xfId="256" xr:uid="{7424FBF7-3459-482F-9150-87D2C4E4B99F}"/>
    <cellStyle name="40% - Accent2 2 6" xfId="257" xr:uid="{E9DDDF79-5615-41A1-9084-106B2ABB84E7}"/>
    <cellStyle name="40% - Accent2 2 7" xfId="258" xr:uid="{D9A5AFFD-9F0F-4802-89E8-96F682849EF8}"/>
    <cellStyle name="40% - Accent2 2 8" xfId="259" xr:uid="{F8846BAE-F787-4B8E-BE6C-5A4D40A42694}"/>
    <cellStyle name="40% - Accent2 2 9" xfId="260" xr:uid="{7D9EA6A4-EF13-4921-BECE-89F23F009F05}"/>
    <cellStyle name="40% - Accent2 3" xfId="261" xr:uid="{57E7A256-E63E-49BC-A1D9-A415139C7C3F}"/>
    <cellStyle name="40% - Accent2 4" xfId="262" xr:uid="{BA6996CD-14B5-46BF-8AE7-080F84685441}"/>
    <cellStyle name="40% - Accent2 5" xfId="263" xr:uid="{00675A7C-D6DC-4563-A06A-F299967882E8}"/>
    <cellStyle name="40% - Accent2 6" xfId="264" xr:uid="{2A8BB4D9-5D88-4E9F-9590-BFCFE3ED22B9}"/>
    <cellStyle name="40% - Accent2 7" xfId="265" xr:uid="{0365CD2F-56E7-42CD-9F4C-E73C19B167F8}"/>
    <cellStyle name="40% - Accent2 8" xfId="266" xr:uid="{4B2F8922-6DE3-4232-886D-6F9A8D59733F}"/>
    <cellStyle name="40% - Accent3 2" xfId="15" xr:uid="{A1090EE8-519D-410E-864F-3B98EDAFB8BC}"/>
    <cellStyle name="40% - Accent3 2 10" xfId="267" xr:uid="{A10BA947-C07E-4B08-948B-B87742E290AE}"/>
    <cellStyle name="40% - Accent3 2 11" xfId="268" xr:uid="{4788B377-354E-4BF7-B97B-3485477BBB11}"/>
    <cellStyle name="40% - Accent3 2 12" xfId="269" xr:uid="{5FE7C2C4-630A-434D-A891-01A8DD6B1453}"/>
    <cellStyle name="40% - Accent3 2 13" xfId="270" xr:uid="{75C0E040-47B5-4BC4-BE30-CD00E849589B}"/>
    <cellStyle name="40% - Accent3 2 14" xfId="271" xr:uid="{C19B8078-4196-48BE-A46C-D81DCC292D2D}"/>
    <cellStyle name="40% - Accent3 2 15" xfId="272" xr:uid="{8F69198A-F075-43FA-9B64-93F40AD9FE3A}"/>
    <cellStyle name="40% - Accent3 2 2" xfId="273" xr:uid="{A5933D77-EDBE-456C-9C7C-721418C0414A}"/>
    <cellStyle name="40% - Accent3 2 3" xfId="274" xr:uid="{062ABF21-3234-4E11-B6B5-ABEDBF3D00D7}"/>
    <cellStyle name="40% - Accent3 2 4" xfId="275" xr:uid="{3D37D695-9EC6-434B-8D23-2D9115E857A9}"/>
    <cellStyle name="40% - Accent3 2 5" xfId="276" xr:uid="{DAEAEBCB-58EA-42C8-8E76-A6EAE64C78A1}"/>
    <cellStyle name="40% - Accent3 2 6" xfId="277" xr:uid="{D87BF8D6-83A6-4A78-B7E4-42B005A1A6D1}"/>
    <cellStyle name="40% - Accent3 2 7" xfId="278" xr:uid="{DA1598A7-54E8-4A17-9860-198D47F80037}"/>
    <cellStyle name="40% - Accent3 2 8" xfId="279" xr:uid="{CF35CEBB-550E-493F-BB05-A5C8264F08FB}"/>
    <cellStyle name="40% - Accent3 2 9" xfId="280" xr:uid="{FED8AFAD-3C70-461E-9B09-56CD65109E78}"/>
    <cellStyle name="40% - Accent3 3" xfId="281" xr:uid="{AB27E940-0AB2-4A3D-888D-3C249E18CA82}"/>
    <cellStyle name="40% - Accent3 3 2" xfId="282" xr:uid="{9ACBD216-808A-45D8-B62E-0611B7E0A933}"/>
    <cellStyle name="40% - Accent3 4" xfId="283" xr:uid="{0A497BF8-B58E-4908-A566-224F2F1ED8B7}"/>
    <cellStyle name="40% - Accent3 5" xfId="284" xr:uid="{EE9D4840-945A-493B-A1FE-8C8D8C97E79D}"/>
    <cellStyle name="40% - Accent3 6" xfId="285" xr:uid="{EDB3FD5E-5014-4A2F-8F28-054B5FD450A6}"/>
    <cellStyle name="40% - Accent3 7" xfId="286" xr:uid="{026AD62E-093A-4669-9A56-1742515689A4}"/>
    <cellStyle name="40% - Accent3 8" xfId="287" xr:uid="{94F4553B-7EB9-4D31-8BF1-7FAEBD3458A2}"/>
    <cellStyle name="40% - Accent4 2" xfId="16" xr:uid="{91689E77-C94B-4A80-83A6-3841C8C02C4E}"/>
    <cellStyle name="40% - Accent4 2 10" xfId="288" xr:uid="{7AD314C3-C8BA-400B-9BA1-33C79693D151}"/>
    <cellStyle name="40% - Accent4 2 11" xfId="289" xr:uid="{567219C7-D66D-499D-B267-1C4010C0ED2F}"/>
    <cellStyle name="40% - Accent4 2 12" xfId="290" xr:uid="{7FFA17DF-55BF-476D-B443-77C3121722E2}"/>
    <cellStyle name="40% - Accent4 2 13" xfId="291" xr:uid="{574C0DD7-5E0E-44C6-B8F5-0C24B8D637EF}"/>
    <cellStyle name="40% - Accent4 2 14" xfId="292" xr:uid="{6D427260-91A2-4726-8ED1-486FECB46D10}"/>
    <cellStyle name="40% - Accent4 2 15" xfId="293" xr:uid="{0A8116AF-9B3A-4EBE-A141-AB22C5548F8F}"/>
    <cellStyle name="40% - Accent4 2 2" xfId="294" xr:uid="{F1914A88-7C14-441F-B550-753169F929B7}"/>
    <cellStyle name="40% - Accent4 2 3" xfId="295" xr:uid="{605F5D95-B447-4FE3-B283-CE3432F92D21}"/>
    <cellStyle name="40% - Accent4 2 4" xfId="296" xr:uid="{99684FEB-AE91-4377-97E0-D155D084A145}"/>
    <cellStyle name="40% - Accent4 2 5" xfId="297" xr:uid="{C2F41F3A-2CE1-4B9F-BEAC-D3553A65FF74}"/>
    <cellStyle name="40% - Accent4 2 6" xfId="298" xr:uid="{F837E5CB-4B75-44CB-AD40-6B5D73A9FA1E}"/>
    <cellStyle name="40% - Accent4 2 7" xfId="299" xr:uid="{22821B6B-661E-46BC-AC4E-E0D7361F6FA8}"/>
    <cellStyle name="40% - Accent4 2 8" xfId="300" xr:uid="{988A3190-6434-4283-808F-A53842408E52}"/>
    <cellStyle name="40% - Accent4 2 9" xfId="301" xr:uid="{46D794B8-AE32-4129-B579-9F0E059EE142}"/>
    <cellStyle name="40% - Accent4 3" xfId="302" xr:uid="{A82CF798-F42D-4E83-90CE-92863828E403}"/>
    <cellStyle name="40% - Accent4 3 2" xfId="303" xr:uid="{55291D02-7ED2-421C-924F-3DF6067D47C3}"/>
    <cellStyle name="40% - Accent4 4" xfId="304" xr:uid="{1BC4B774-72B9-43DB-BB63-E06080F8E140}"/>
    <cellStyle name="40% - Accent4 5" xfId="305" xr:uid="{8FBA7388-89BC-4FA1-8D90-15A669129B5A}"/>
    <cellStyle name="40% - Accent4 6" xfId="306" xr:uid="{935AFEB5-2656-440E-8260-88CD7C162C90}"/>
    <cellStyle name="40% - Accent4 7" xfId="307" xr:uid="{50798066-18A4-4A8E-BAAA-819D1FE2C51B}"/>
    <cellStyle name="40% - Accent4 8" xfId="308" xr:uid="{65C308CB-8BE8-48AB-A382-12ADC7CB1CB5}"/>
    <cellStyle name="40% - Accent5 2" xfId="17" xr:uid="{30B47306-8A0E-448B-80E8-F0D7BE8294C6}"/>
    <cellStyle name="40% - Accent5 2 10" xfId="309" xr:uid="{9B413FCE-E95F-4A9F-9501-B1165EEF97EF}"/>
    <cellStyle name="40% - Accent5 2 11" xfId="310" xr:uid="{D7EFB59C-D077-4787-97B7-3E1D11FDD6B2}"/>
    <cellStyle name="40% - Accent5 2 12" xfId="311" xr:uid="{AB81063A-2223-45AF-9063-285A4B1020FB}"/>
    <cellStyle name="40% - Accent5 2 13" xfId="312" xr:uid="{5798E5AC-0982-4810-9FE6-FC53B79716AA}"/>
    <cellStyle name="40% - Accent5 2 14" xfId="313" xr:uid="{724F9401-88F6-467F-8439-4FA73FDD5ED5}"/>
    <cellStyle name="40% - Accent5 2 15" xfId="314" xr:uid="{3666552D-1878-4F61-8C61-E72C6816DC80}"/>
    <cellStyle name="40% - Accent5 2 2" xfId="315" xr:uid="{696CA8A1-D542-46B0-AB5D-10ABE2B61D22}"/>
    <cellStyle name="40% - Accent5 2 3" xfId="316" xr:uid="{6CAC7268-097C-4414-981B-97B0B48AF9DB}"/>
    <cellStyle name="40% - Accent5 2 4" xfId="317" xr:uid="{F24BB0B7-65B6-4B54-8109-FB1A7D33D26A}"/>
    <cellStyle name="40% - Accent5 2 5" xfId="318" xr:uid="{25FE1D66-74F2-4C61-9C31-8DC76BCDFDD9}"/>
    <cellStyle name="40% - Accent5 2 6" xfId="319" xr:uid="{4F549443-BE52-4C21-9001-D7A6039C66DB}"/>
    <cellStyle name="40% - Accent5 2 7" xfId="320" xr:uid="{BD7FA2A2-DFAF-4BB2-92D4-5500C5BF8EA1}"/>
    <cellStyle name="40% - Accent5 2 8" xfId="321" xr:uid="{32F890C2-1404-495E-9DA2-6447FBADC84F}"/>
    <cellStyle name="40% - Accent5 2 9" xfId="322" xr:uid="{029F3112-7563-413C-9B73-73ED646095E3}"/>
    <cellStyle name="40% - Accent5 3" xfId="323" xr:uid="{AE33CB29-01C5-4A17-96D6-28317A5959A5}"/>
    <cellStyle name="40% - Accent5 3 2" xfId="324" xr:uid="{8B1CEC0E-2EA8-4C94-8C75-850BDEBFDE3D}"/>
    <cellStyle name="40% - Accent5 4" xfId="325" xr:uid="{93D53898-072D-4D5B-9347-0B9FE5DBABAC}"/>
    <cellStyle name="40% - Accent5 5" xfId="326" xr:uid="{9BB8D1B4-D8B7-4E3B-B00E-1C2CB6CE568F}"/>
    <cellStyle name="40% - Accent5 6" xfId="327" xr:uid="{B801DA15-B950-4C9B-966B-918D36072B21}"/>
    <cellStyle name="40% - Accent5 7" xfId="328" xr:uid="{D7A3A037-7357-446C-96E6-C006C94F4A50}"/>
    <cellStyle name="40% - Accent5 8" xfId="329" xr:uid="{0AD3EC4D-57D9-4B4B-BFC9-371983C1A915}"/>
    <cellStyle name="40% - Accent6 2" xfId="18" xr:uid="{B85139D9-C906-43C1-A68E-9506E37F0F23}"/>
    <cellStyle name="40% - Accent6 2 10" xfId="330" xr:uid="{CEA122EB-169B-4160-8FB6-CA203BA33772}"/>
    <cellStyle name="40% - Accent6 2 11" xfId="331" xr:uid="{9C3212E2-05C8-46FC-A1C1-EC5B154B1443}"/>
    <cellStyle name="40% - Accent6 2 12" xfId="332" xr:uid="{38FE864F-8BA5-424C-8B60-6FF3E3EF72B4}"/>
    <cellStyle name="40% - Accent6 2 13" xfId="333" xr:uid="{D997058B-5592-41B0-80A1-A5A716043027}"/>
    <cellStyle name="40% - Accent6 2 14" xfId="334" xr:uid="{099D567B-BC63-4FCB-8EE4-415F6B4D6848}"/>
    <cellStyle name="40% - Accent6 2 15" xfId="335" xr:uid="{7DC17FC4-C200-48EC-95AF-628335654399}"/>
    <cellStyle name="40% - Accent6 2 2" xfId="336" xr:uid="{D62DC36E-0BBC-4ADE-BCD2-A26B20262704}"/>
    <cellStyle name="40% - Accent6 2 3" xfId="337" xr:uid="{646061CC-ACE5-4364-BD0A-FDF72F6FFC6D}"/>
    <cellStyle name="40% - Accent6 2 4" xfId="338" xr:uid="{E21FADC4-22A6-44B1-9564-71381D4300C5}"/>
    <cellStyle name="40% - Accent6 2 5" xfId="339" xr:uid="{E8B4717D-A6F6-4C1E-9875-360E546B4907}"/>
    <cellStyle name="40% - Accent6 2 6" xfId="340" xr:uid="{6DD8F1CF-F98F-4EAB-81B8-4297734C8ABE}"/>
    <cellStyle name="40% - Accent6 2 7" xfId="341" xr:uid="{CBA825BF-067D-4D79-991B-1C0A169051F3}"/>
    <cellStyle name="40% - Accent6 2 8" xfId="342" xr:uid="{2455BFA0-91E2-491C-96F5-E363D455369D}"/>
    <cellStyle name="40% - Accent6 2 9" xfId="343" xr:uid="{6E6CE9D9-868A-47FF-BDC1-046A29C59D89}"/>
    <cellStyle name="40% - Accent6 3" xfId="344" xr:uid="{21A5EA86-65BA-4900-AFAD-01C37B010227}"/>
    <cellStyle name="40% - Accent6 3 2" xfId="345" xr:uid="{66B7DB2A-B792-4BEE-99EF-E1EE56EADF46}"/>
    <cellStyle name="40% - Accent6 4" xfId="346" xr:uid="{BF5F8F0E-CEE0-441A-8668-F07F17357139}"/>
    <cellStyle name="40% - Accent6 5" xfId="347" xr:uid="{CE406171-FD61-4A55-B0E2-66ACA588008E}"/>
    <cellStyle name="40% - Accent6 6" xfId="348" xr:uid="{32DB60CA-6765-4B6E-866A-27136BA6ECEB}"/>
    <cellStyle name="40% - Accent6 7" xfId="349" xr:uid="{27C79630-4648-4713-9DDB-D3F7ED8EE109}"/>
    <cellStyle name="40% - Accent6 8" xfId="350" xr:uid="{35F3B255-8D62-4CE6-9470-A96299C61D7E}"/>
    <cellStyle name="5x indented GHG Textfiels" xfId="351" xr:uid="{A1EDCDE3-4812-4395-9DE2-8B6E01AD57C3}"/>
    <cellStyle name="5x indented GHG Textfiels 2" xfId="352" xr:uid="{6FA85A28-B5FB-486E-9D72-964FBFA0199F}"/>
    <cellStyle name="5x indented GHG Textfiels 2 2" xfId="1775" xr:uid="{810E61D8-7D83-47D8-A203-903206461469}"/>
    <cellStyle name="5x indented GHG Textfiels 3" xfId="1774" xr:uid="{D8CE70E8-3782-424A-B794-BBE83E42D882}"/>
    <cellStyle name="60% - Accent1 2" xfId="19" xr:uid="{0243484E-2BCC-4CCD-AC6A-17A75B5B7D9E}"/>
    <cellStyle name="60% - Accent1 2 10" xfId="353" xr:uid="{9B3DA047-A47D-4841-842F-FAAF5F132179}"/>
    <cellStyle name="60% - Accent1 2 2" xfId="354" xr:uid="{75EA1664-C130-4471-86E9-F99231C377A0}"/>
    <cellStyle name="60% - Accent1 2 3" xfId="355" xr:uid="{EA9CBC81-BBFA-4250-998B-431036C954F0}"/>
    <cellStyle name="60% - Accent1 2 4" xfId="356" xr:uid="{C7BE5BE6-75A3-46BD-8DA2-2483629DE4C2}"/>
    <cellStyle name="60% - Accent1 2 5" xfId="357" xr:uid="{73CEE7B1-FFE9-4CA4-A9C5-89414099032F}"/>
    <cellStyle name="60% - Accent1 2 6" xfId="358" xr:uid="{1B804748-EC8B-4881-8389-53B295D9E6B9}"/>
    <cellStyle name="60% - Accent1 2 7" xfId="359" xr:uid="{498FDE9F-E7FE-4835-9DB6-094B0596D336}"/>
    <cellStyle name="60% - Accent1 2 8" xfId="360" xr:uid="{3401F58F-391D-47C6-8AE0-D97C08261387}"/>
    <cellStyle name="60% - Accent1 2 9" xfId="361" xr:uid="{EEDB7BCC-A8DB-4042-BDCE-06FB73DC6A4E}"/>
    <cellStyle name="60% - Accent1 3" xfId="362" xr:uid="{55C3E94C-9D3C-4711-80F8-4F8EC94ABD8E}"/>
    <cellStyle name="60% - Accent1 3 2" xfId="363" xr:uid="{075915E7-ED6E-46E7-A611-95619600DC7F}"/>
    <cellStyle name="60% - Accent2 2" xfId="20" xr:uid="{50FFE122-BF2C-44C3-BA26-7FCAF28D1861}"/>
    <cellStyle name="60% - Accent2 2 10" xfId="364" xr:uid="{718A55C7-6AF2-46C0-AC95-BB7BE5DA5278}"/>
    <cellStyle name="60% - Accent2 2 2" xfId="365" xr:uid="{E4EF551F-E96E-4641-AE69-96E2DFB60B4A}"/>
    <cellStyle name="60% - Accent2 2 3" xfId="366" xr:uid="{CD985251-CDD7-43DC-A631-AB5106E1971D}"/>
    <cellStyle name="60% - Accent2 2 4" xfId="367" xr:uid="{7C0ED223-D124-464A-81C0-8BC10D45DD69}"/>
    <cellStyle name="60% - Accent2 2 5" xfId="368" xr:uid="{0A62FC80-3C84-4DF2-AF9F-902F72CE4DE9}"/>
    <cellStyle name="60% - Accent2 2 6" xfId="369" xr:uid="{AB90216A-C1B9-4DAA-AB72-509525AFDA5E}"/>
    <cellStyle name="60% - Accent2 2 7" xfId="370" xr:uid="{D8DFD360-610E-47D1-895D-531D5788CF58}"/>
    <cellStyle name="60% - Accent2 2 8" xfId="371" xr:uid="{7A630EC4-098A-4352-991E-47C04AAB71AB}"/>
    <cellStyle name="60% - Accent2 2 9" xfId="372" xr:uid="{BEC03875-8674-47A2-A0A1-06FDA32F4B49}"/>
    <cellStyle name="60% - Accent2 3" xfId="373" xr:uid="{AB24A141-C358-4CE7-99EA-EEF7768EFEFD}"/>
    <cellStyle name="60% - Accent2 3 2" xfId="374" xr:uid="{CEC2E31E-DFB8-447E-AA84-22E40AF2E213}"/>
    <cellStyle name="60% - Accent3 2" xfId="21" xr:uid="{233E88D8-935C-43B4-9CBC-22595B82B963}"/>
    <cellStyle name="60% - Accent3 2 10" xfId="375" xr:uid="{439AB937-2483-48C2-BA5C-B64ECD9D76E7}"/>
    <cellStyle name="60% - Accent3 2 2" xfId="376" xr:uid="{926FCBEB-9C03-4C56-8040-0B65A16E3AEC}"/>
    <cellStyle name="60% - Accent3 2 3" xfId="377" xr:uid="{922915E3-D218-4E16-9262-6F9370BAB8E0}"/>
    <cellStyle name="60% - Accent3 2 4" xfId="378" xr:uid="{37414855-CEF6-4446-A6C8-104B980EC4B5}"/>
    <cellStyle name="60% - Accent3 2 5" xfId="379" xr:uid="{787B6DF2-653B-4F78-A0CE-EA6FADF7902D}"/>
    <cellStyle name="60% - Accent3 2 6" xfId="380" xr:uid="{F5673BB0-7959-40B7-AEEA-B7FAECA5C66F}"/>
    <cellStyle name="60% - Accent3 2 7" xfId="381" xr:uid="{725F98FB-64C0-42F1-821F-8A6D133EEA65}"/>
    <cellStyle name="60% - Accent3 2 8" xfId="382" xr:uid="{2C263FE4-91B7-436C-B612-56BBB5672341}"/>
    <cellStyle name="60% - Accent3 2 9" xfId="383" xr:uid="{2EF7F676-D68E-45CB-AE20-6FDF9FF4FC80}"/>
    <cellStyle name="60% - Accent3 3" xfId="384" xr:uid="{7C270220-F03E-4705-B5E0-C6115C0BB212}"/>
    <cellStyle name="60% - Accent3 3 2" xfId="385" xr:uid="{85A6677B-FCC8-481E-82F5-79DE4BA6CE90}"/>
    <cellStyle name="60% - Accent4 2" xfId="22" xr:uid="{C5C02BA3-327A-4565-841A-01977E0D31C3}"/>
    <cellStyle name="60% - Accent4 2 10" xfId="386" xr:uid="{BA305467-D783-4AE1-B5F2-D9BB9A58E03A}"/>
    <cellStyle name="60% - Accent4 2 2" xfId="387" xr:uid="{D0512A51-044C-4C37-A149-E9E6DB1D559F}"/>
    <cellStyle name="60% - Accent4 2 3" xfId="388" xr:uid="{986477A7-C892-4FCD-A582-85015F0FE50D}"/>
    <cellStyle name="60% - Accent4 2 4" xfId="389" xr:uid="{19503CD9-76FC-4E79-97D5-6FEAB7933A0F}"/>
    <cellStyle name="60% - Accent4 2 5" xfId="390" xr:uid="{9BA79BC4-F69C-4444-9AA7-1F10EF4C9180}"/>
    <cellStyle name="60% - Accent4 2 6" xfId="391" xr:uid="{D7FB56E8-5996-4CF9-A80F-B2507A001B14}"/>
    <cellStyle name="60% - Accent4 2 7" xfId="392" xr:uid="{EB1B74AB-2ACB-47F8-BF59-569D4B2E6881}"/>
    <cellStyle name="60% - Accent4 2 8" xfId="393" xr:uid="{F2BB34EA-4C69-4682-8882-F88CD8DE6D8B}"/>
    <cellStyle name="60% - Accent4 2 9" xfId="394" xr:uid="{A0FD5170-9049-41AA-8189-E21A0D10329A}"/>
    <cellStyle name="60% - Accent4 3" xfId="395" xr:uid="{ABA46F59-A4AD-4A83-B4DE-3EBCFDEF2598}"/>
    <cellStyle name="60% - Accent4 3 2" xfId="396" xr:uid="{0E38380D-036C-4AFE-B2AE-3CD4661C4923}"/>
    <cellStyle name="60% - Accent5 2" xfId="23" xr:uid="{990B79EA-1EA3-4F3D-867A-C071558349F8}"/>
    <cellStyle name="60% - Accent5 2 10" xfId="397" xr:uid="{FD702124-0928-4440-BA7B-AA2474B38F87}"/>
    <cellStyle name="60% - Accent5 2 2" xfId="398" xr:uid="{B9D87776-694D-469B-95D7-1DB33F3EE90D}"/>
    <cellStyle name="60% - Accent5 2 3" xfId="399" xr:uid="{C1C432DF-6F96-4993-8CB3-07E607CE7F56}"/>
    <cellStyle name="60% - Accent5 2 4" xfId="400" xr:uid="{50D44F73-C1F4-47C4-9118-9CE02B8AE068}"/>
    <cellStyle name="60% - Accent5 2 5" xfId="401" xr:uid="{4767F422-A079-41E7-946C-DD3BECDD100C}"/>
    <cellStyle name="60% - Accent5 2 6" xfId="402" xr:uid="{7E5B40AE-DC83-44AD-AD6F-C558D89FD3E6}"/>
    <cellStyle name="60% - Accent5 2 7" xfId="403" xr:uid="{282A7364-C0A4-4BA3-9029-2D7188348132}"/>
    <cellStyle name="60% - Accent5 2 8" xfId="404" xr:uid="{2F3280A3-7BC1-4E98-8452-C549A7A7AA49}"/>
    <cellStyle name="60% - Accent5 2 9" xfId="405" xr:uid="{899AE382-F877-4832-BC17-0D9BAE87D395}"/>
    <cellStyle name="60% - Accent5 3" xfId="406" xr:uid="{C8FFF63C-4624-4F8A-BF1C-7A9AC6D7E3E8}"/>
    <cellStyle name="60% - Accent5 3 2" xfId="407" xr:uid="{27D59F22-0243-4B44-A1E9-C45848CFC213}"/>
    <cellStyle name="60% - Accent6 2" xfId="24" xr:uid="{F03BD4AC-1C53-4A58-B121-4267221C4CEA}"/>
    <cellStyle name="60% - Accent6 2 10" xfId="408" xr:uid="{1A04336F-F8FD-4D40-98A7-A6A9CA038B94}"/>
    <cellStyle name="60% - Accent6 2 2" xfId="409" xr:uid="{DF52A492-45F4-4FD7-AB99-E557CCCD2E90}"/>
    <cellStyle name="60% - Accent6 2 3" xfId="410" xr:uid="{AC822484-7450-48BE-8642-3291E19EB76D}"/>
    <cellStyle name="60% - Accent6 2 4" xfId="411" xr:uid="{EE82EEEF-D5F8-4916-80B9-1B79E2B55CC0}"/>
    <cellStyle name="60% - Accent6 2 5" xfId="412" xr:uid="{08D4DAAB-035D-4AD3-9C30-4E645741C1F6}"/>
    <cellStyle name="60% - Accent6 2 6" xfId="413" xr:uid="{D7199287-02A7-43F3-9E94-D181613898E5}"/>
    <cellStyle name="60% - Accent6 2 7" xfId="414" xr:uid="{699720BE-B7AD-41E4-B136-A38ABA423222}"/>
    <cellStyle name="60% - Accent6 2 8" xfId="415" xr:uid="{A850BE26-6D03-4F71-99C8-1EB6D1971E8D}"/>
    <cellStyle name="60% - Accent6 2 9" xfId="416" xr:uid="{9B37ED25-040F-44CD-8C42-805021F32834}"/>
    <cellStyle name="60% - Accent6 3" xfId="417" xr:uid="{7C8DBD56-ADFB-4C8C-8B1F-4AB415A43A42}"/>
    <cellStyle name="60% - Accent6 3 2" xfId="418" xr:uid="{25FBC001-DB60-4E5E-A518-4442F49D4663}"/>
    <cellStyle name="Accent1 2" xfId="25" xr:uid="{CBE435D2-A6CC-4C4C-86D7-61DC76C397B6}"/>
    <cellStyle name="Accent1 2 10" xfId="419" xr:uid="{2BF8DD4A-0715-4421-836C-EB7DE83A5069}"/>
    <cellStyle name="Accent1 2 2" xfId="420" xr:uid="{97B7D482-EC9B-4A2A-8AB9-461AFEB51611}"/>
    <cellStyle name="Accent1 2 3" xfId="421" xr:uid="{0C78AB19-D1A8-46FB-B1D1-E19E0491C300}"/>
    <cellStyle name="Accent1 2 4" xfId="422" xr:uid="{A314B9DE-B6CB-4A0A-9CF9-6EC8772E4CA0}"/>
    <cellStyle name="Accent1 2 5" xfId="423" xr:uid="{3ABB3B42-E40C-4377-8F32-B82EC50F4EE7}"/>
    <cellStyle name="Accent1 2 6" xfId="424" xr:uid="{3C9A1010-9C30-4F2C-98E8-F8866422B4F2}"/>
    <cellStyle name="Accent1 2 7" xfId="425" xr:uid="{E78B23F9-2B7E-4A5A-A0F4-DAE37FF979BB}"/>
    <cellStyle name="Accent1 2 8" xfId="426" xr:uid="{93BE1DCE-061B-445D-B563-9A0A9F51FD18}"/>
    <cellStyle name="Accent1 2 9" xfId="427" xr:uid="{FF2C1E31-0A6B-485B-846B-D2F1C4A5461F}"/>
    <cellStyle name="Accent1 3" xfId="428" xr:uid="{F0CDDD16-0BA1-4328-A9BA-9D4E44B128E5}"/>
    <cellStyle name="Accent1 3 2" xfId="429" xr:uid="{2B6DF7ED-C855-48F6-BEAE-D2356630EA83}"/>
    <cellStyle name="Accent2 2" xfId="26" xr:uid="{9917AA05-25FB-44DC-89C7-818BA1FB1A06}"/>
    <cellStyle name="Accent2 2 10" xfId="430" xr:uid="{CEB9296C-AF93-4D5F-8CF5-31500489CCCB}"/>
    <cellStyle name="Accent2 2 2" xfId="431" xr:uid="{5DCCA0F4-1246-40B6-83C4-7A929A7CCA76}"/>
    <cellStyle name="Accent2 2 3" xfId="432" xr:uid="{ABDDB011-DF0F-4167-A1B8-19F04516DDB1}"/>
    <cellStyle name="Accent2 2 4" xfId="433" xr:uid="{A8DA2B23-9EBE-4C84-8E44-86C424D3C4BC}"/>
    <cellStyle name="Accent2 2 5" xfId="434" xr:uid="{962CF690-D6E6-462D-9760-63EBE4CC69F7}"/>
    <cellStyle name="Accent2 2 6" xfId="435" xr:uid="{B951A3DD-1DAB-4755-8951-0F2AABD1A818}"/>
    <cellStyle name="Accent2 2 7" xfId="436" xr:uid="{99C348AC-6271-4E4D-9B3D-E739B6F40489}"/>
    <cellStyle name="Accent2 2 8" xfId="437" xr:uid="{E75EB486-ED5D-4CCB-A5C4-FA49DC407A5C}"/>
    <cellStyle name="Accent2 2 9" xfId="438" xr:uid="{85740EBA-2DAB-4ABB-ADAB-418F96D52B09}"/>
    <cellStyle name="Accent2 3" xfId="439" xr:uid="{19AF77E8-8A4B-4936-8BB1-7070E6590D5B}"/>
    <cellStyle name="Accent2 3 2" xfId="440" xr:uid="{3D87B404-87CB-4F76-8369-F5DFACED8F1D}"/>
    <cellStyle name="Accent3 2" xfId="27" xr:uid="{DAFEA54C-6066-42B4-A41D-341FAF21ED3F}"/>
    <cellStyle name="Accent3 2 10" xfId="441" xr:uid="{88D06BBF-8557-4EC4-903F-9C87BB1C7C0F}"/>
    <cellStyle name="Accent3 2 2" xfId="442" xr:uid="{A6F174D5-A888-43C3-A692-2EC6F6B23088}"/>
    <cellStyle name="Accent3 2 3" xfId="443" xr:uid="{DD35F71B-933D-42C1-95DF-19736BFF0715}"/>
    <cellStyle name="Accent3 2 4" xfId="444" xr:uid="{A8A98C4A-844A-4549-B21C-C83E4D099366}"/>
    <cellStyle name="Accent3 2 5" xfId="445" xr:uid="{70C3F035-9325-4B8A-B47B-E23D5B08FE69}"/>
    <cellStyle name="Accent3 2 6" xfId="446" xr:uid="{20670DB7-CA2F-453A-895B-EECC0F4E0A25}"/>
    <cellStyle name="Accent3 2 7" xfId="447" xr:uid="{E6CF5A39-1788-4BD8-A74A-772FFB1B68C0}"/>
    <cellStyle name="Accent3 2 8" xfId="448" xr:uid="{8BDE36FB-0155-471E-B7AB-5212D02F5035}"/>
    <cellStyle name="Accent3 2 9" xfId="449" xr:uid="{3431E419-BA75-488C-B473-7E58909CCCFC}"/>
    <cellStyle name="Accent3 3" xfId="450" xr:uid="{99A2D109-CC91-4721-A9CC-42BBA93A12F2}"/>
    <cellStyle name="Accent3 3 2" xfId="451" xr:uid="{5A33A979-2BA4-44CC-8483-02EB0229995E}"/>
    <cellStyle name="Accent4 2" xfId="28" xr:uid="{BD6E1847-78A0-48F8-9246-6061C413AA15}"/>
    <cellStyle name="Accent4 2 10" xfId="452" xr:uid="{52B59A34-B18F-4FD6-97AF-6425EEBA5289}"/>
    <cellStyle name="Accent4 2 2" xfId="453" xr:uid="{A10EB5E2-DFE4-4EF7-A239-AD232F37A198}"/>
    <cellStyle name="Accent4 2 3" xfId="454" xr:uid="{2199BD5F-5A53-49D0-B83F-F56939CB0F16}"/>
    <cellStyle name="Accent4 2 4" xfId="455" xr:uid="{94DB847B-03D8-4180-BD9C-077DFFCB4047}"/>
    <cellStyle name="Accent4 2 5" xfId="456" xr:uid="{D0E75A55-5FEF-49C7-910A-8B6645606C24}"/>
    <cellStyle name="Accent4 2 6" xfId="457" xr:uid="{EE9E316E-E8A4-4321-A4AF-CAE2955484D5}"/>
    <cellStyle name="Accent4 2 7" xfId="458" xr:uid="{BF7FB6C3-0FDF-4AED-AD1B-A6B83EBB01A2}"/>
    <cellStyle name="Accent4 2 8" xfId="459" xr:uid="{C76F0129-91E3-47DF-8522-D719C6B1DC8F}"/>
    <cellStyle name="Accent4 2 9" xfId="460" xr:uid="{1CDF31DE-8EF2-477C-BB56-35F2E152F2E3}"/>
    <cellStyle name="Accent4 3" xfId="461" xr:uid="{9722B281-C252-4ED4-90A0-7DEC204CF143}"/>
    <cellStyle name="Accent4 3 2" xfId="462" xr:uid="{5D413727-7DCF-4812-AFE5-43BB772609DA}"/>
    <cellStyle name="Accent5 2" xfId="29" xr:uid="{7F13A54C-FE66-477B-BC2B-5B2788F1B4F6}"/>
    <cellStyle name="Accent5 2 10" xfId="463" xr:uid="{E526299F-5793-4384-8A43-6A3C02C21B6A}"/>
    <cellStyle name="Accent5 2 2" xfId="464" xr:uid="{DB3678C5-50A8-485A-9C15-1A11FA52F121}"/>
    <cellStyle name="Accent5 2 3" xfId="465" xr:uid="{5DF2819B-453F-4F77-9259-839FD1320F2D}"/>
    <cellStyle name="Accent5 2 4" xfId="466" xr:uid="{E6605BCE-B8EF-4721-AF10-36A2E913B899}"/>
    <cellStyle name="Accent5 2 5" xfId="467" xr:uid="{BDB5D1AF-5D27-40D3-8ECC-F44CE7B9A83E}"/>
    <cellStyle name="Accent5 2 6" xfId="468" xr:uid="{82F93741-361C-4A82-9799-3F4A0E154AAA}"/>
    <cellStyle name="Accent5 2 7" xfId="469" xr:uid="{F3E5B156-3C3E-4A88-8488-ED14D0A58B87}"/>
    <cellStyle name="Accent5 2 8" xfId="470" xr:uid="{A3EBE94C-AE92-4F03-B459-998E5FF99D3D}"/>
    <cellStyle name="Accent5 2 9" xfId="471" xr:uid="{2F0BE9C6-9DF5-40C7-A098-6302D6C7434B}"/>
    <cellStyle name="Accent5 3" xfId="472" xr:uid="{324D94F5-89C2-4B15-9D2F-8E64058FA6CD}"/>
    <cellStyle name="Accent6 2" xfId="30" xr:uid="{30782D3F-5711-4957-BB4B-B32DFF45BCF7}"/>
    <cellStyle name="Accent6 2 10" xfId="473" xr:uid="{A82891F5-C2AA-4256-877E-6DF9DE076DA9}"/>
    <cellStyle name="Accent6 2 2" xfId="474" xr:uid="{C8339713-7D44-46BA-9CA3-B7505C64DA3D}"/>
    <cellStyle name="Accent6 2 3" xfId="475" xr:uid="{AB58B710-EB76-4380-A52A-043C19CCAEED}"/>
    <cellStyle name="Accent6 2 4" xfId="476" xr:uid="{E5DABDF6-248F-48B1-9F6B-B64C7E5AC4C9}"/>
    <cellStyle name="Accent6 2 5" xfId="477" xr:uid="{93ABF97E-BE01-494F-A013-449114D76650}"/>
    <cellStyle name="Accent6 2 6" xfId="478" xr:uid="{5305766A-5A1B-4ECA-9F21-6E03E969B64C}"/>
    <cellStyle name="Accent6 2 7" xfId="479" xr:uid="{8858B270-2851-46F8-B6FA-6E9C4DEF29D6}"/>
    <cellStyle name="Accent6 2 8" xfId="480" xr:uid="{88E7DBC8-19B3-4680-8781-E6028FB7015A}"/>
    <cellStyle name="Accent6 2 9" xfId="481" xr:uid="{6E98439B-FE3F-4A87-A46A-B6B4C4A103DD}"/>
    <cellStyle name="Accent6 3" xfId="482" xr:uid="{2C2490CF-6160-4A39-9BB6-0A4A67749262}"/>
    <cellStyle name="Accent6 3 2" xfId="483" xr:uid="{2E200582-9951-4D0A-9806-925A715C23A4}"/>
    <cellStyle name="AggOrange_CRFReport-template" xfId="484" xr:uid="{A30F8BE5-B5ED-47BF-9C2C-CCBCC6130870}"/>
    <cellStyle name="AggOrange9_CRFReport-template" xfId="485" xr:uid="{4B9072A7-BA1C-4F90-A61E-DE9081FA8E5E}"/>
    <cellStyle name="Bad 2" xfId="31" xr:uid="{3F2DE402-BD13-473C-8BDA-DE75851AFE27}"/>
    <cellStyle name="Bad 2 10" xfId="486" xr:uid="{7FFF3F60-680E-44C9-8836-9F7FA93F7CC7}"/>
    <cellStyle name="Bad 2 2" xfId="487" xr:uid="{1AB5BD35-A5E5-429F-ACEC-3F9215D705CC}"/>
    <cellStyle name="Bad 2 3" xfId="488" xr:uid="{2A0AE032-A289-4FF6-954C-037F3DCFABA1}"/>
    <cellStyle name="Bad 2 4" xfId="489" xr:uid="{58B9E1F9-FD2F-47DD-AE8F-A64BB5479ADB}"/>
    <cellStyle name="Bad 2 5" xfId="490" xr:uid="{D14972BC-2773-4506-B864-8053030962B6}"/>
    <cellStyle name="Bad 2 6" xfId="491" xr:uid="{D02F81C9-9B86-421D-AFB5-9E3904205415}"/>
    <cellStyle name="Bad 2 7" xfId="492" xr:uid="{866C68E2-B6DD-43AE-A8CC-C1884AAD717B}"/>
    <cellStyle name="Bad 2 8" xfId="493" xr:uid="{636E3063-76E7-4EAE-9A85-4A03E6E89C09}"/>
    <cellStyle name="Bad 2 9" xfId="494" xr:uid="{C2EA8FD6-3E57-4281-B503-61FDC573B8FB}"/>
    <cellStyle name="Bad 3" xfId="495" xr:uid="{21B2B3B1-3E1A-4F46-9BF5-C8CEA11F0827}"/>
    <cellStyle name="Bad 3 2" xfId="496" xr:uid="{6B03BBE0-C3EE-4C0A-8BF5-9DA041B0D452}"/>
    <cellStyle name="Calculation" xfId="1" builtinId="22"/>
    <cellStyle name="Calculation 2" xfId="32" xr:uid="{793B1FE0-7BEA-4C40-AFCE-AB93FBAD79C0}"/>
    <cellStyle name="Calculation 2 10" xfId="497" xr:uid="{5353A815-B16E-4847-BB49-DCD5D2755DE9}"/>
    <cellStyle name="Calculation 2 2" xfId="498" xr:uid="{8D157D18-8E71-485F-BC5E-1388E9788963}"/>
    <cellStyle name="Calculation 2 3" xfId="499" xr:uid="{DF3421FE-8B97-43D7-A03A-865F913D1529}"/>
    <cellStyle name="Calculation 2 4" xfId="500" xr:uid="{74B29E5B-104F-43C0-985B-42708815063D}"/>
    <cellStyle name="Calculation 2 5" xfId="501" xr:uid="{0C30B7BF-7E61-4D10-9C9D-36F672637D2A}"/>
    <cellStyle name="Calculation 2 6" xfId="502" xr:uid="{87318862-D9C4-4C8D-BBBD-8C499B334D37}"/>
    <cellStyle name="Calculation 2 7" xfId="503" xr:uid="{152DFD1C-3A1F-4259-B768-65A2ED18A9BC}"/>
    <cellStyle name="Calculation 2 8" xfId="504" xr:uid="{8EF93C7C-D397-4B56-AE54-F3CE7FFE592A}"/>
    <cellStyle name="Calculation 2 9" xfId="505" xr:uid="{F0FF8CDE-C808-4038-B8D0-4384A5906CFF}"/>
    <cellStyle name="Calculation 3" xfId="506" xr:uid="{09680939-D21D-42BF-88C4-DD92ACDB2D6D}"/>
    <cellStyle name="Calculation 3 2" xfId="507" xr:uid="{F8BB3B90-B799-4223-B5FA-0200C08A702C}"/>
    <cellStyle name="Check Cell 2" xfId="33" xr:uid="{01486DFB-733D-440C-A70C-A0B5B619D49E}"/>
    <cellStyle name="Check Cell 2 10" xfId="508" xr:uid="{E82853FC-21C8-4C48-B91C-B40CBF775092}"/>
    <cellStyle name="Check Cell 2 2" xfId="509" xr:uid="{64581F9A-C03D-428E-B187-39C280A9D079}"/>
    <cellStyle name="Check Cell 2 3" xfId="510" xr:uid="{17D431F7-158C-4428-ADBF-D7A94105FC9E}"/>
    <cellStyle name="Check Cell 2 4" xfId="511" xr:uid="{10A0BB66-ACE8-4D3C-A6D8-31D2D6956B7A}"/>
    <cellStyle name="Check Cell 2 5" xfId="512" xr:uid="{FCFB83BD-2C41-4439-9517-2DEE9EA25A97}"/>
    <cellStyle name="Check Cell 2 6" xfId="513" xr:uid="{1F846971-3B65-4575-90DA-CEFE9A545E39}"/>
    <cellStyle name="Check Cell 2 7" xfId="514" xr:uid="{B3257893-3C22-4BA5-B6FF-B01D33CB95FE}"/>
    <cellStyle name="Check Cell 2 8" xfId="515" xr:uid="{273BB1C6-2D8F-43AC-98FF-915E547444DE}"/>
    <cellStyle name="Check Cell 2 9" xfId="516" xr:uid="{0ECFD578-B576-4AD1-8C01-12CF47F57F92}"/>
    <cellStyle name="Check Cell 3" xfId="517" xr:uid="{78023E3C-B4B1-4ACC-816D-72104A54A044}"/>
    <cellStyle name="coin" xfId="34" xr:uid="{4B2F37AB-2DF6-4085-AF91-D230553DCC46}"/>
    <cellStyle name="coin 2" xfId="1776" xr:uid="{541D0D87-EC5E-4307-985E-FB4032BB6954}"/>
    <cellStyle name="Comma [0] 2 10" xfId="518" xr:uid="{74191C04-A156-45C1-8543-70CA5639269B}"/>
    <cellStyle name="Comma [0] 2 10 2" xfId="1777" xr:uid="{F42F49E1-5CA1-4AA6-B4FE-2BC8E9231F36}"/>
    <cellStyle name="Comma [0] 2 10 2 2" xfId="3170" xr:uid="{90D3DA2E-9435-4D08-AC3A-78627B19AF8C}"/>
    <cellStyle name="Comma [0] 2 10 3" xfId="2856" xr:uid="{D8BD37D7-32AD-4BF4-9B45-2E9C01FAD86D}"/>
    <cellStyle name="Comma [0] 2 2" xfId="519" xr:uid="{6E217EA0-5E03-47EB-A073-8B021EF03D2A}"/>
    <cellStyle name="Comma [0] 2 2 2" xfId="1778" xr:uid="{5FE06B4C-48D0-42E3-9A85-D35966BDA98C}"/>
    <cellStyle name="Comma [0] 2 2 2 2" xfId="3171" xr:uid="{EE76C65E-E437-4F1F-B180-9B87F5D7C288}"/>
    <cellStyle name="Comma [0] 2 2 3" xfId="2857" xr:uid="{56E987CE-664B-448F-AA83-41F76B49F54C}"/>
    <cellStyle name="Comma [0] 2 3" xfId="520" xr:uid="{B0226EAD-FB5A-4A46-A9D5-4C978B345CEC}"/>
    <cellStyle name="Comma [0] 2 3 2" xfId="1779" xr:uid="{49A5D5FD-29AA-4959-8541-6F23B6A3A7DE}"/>
    <cellStyle name="Comma [0] 2 3 2 2" xfId="3172" xr:uid="{B4B6B2A9-D332-48AD-AE0B-C9E4ECD1AD0D}"/>
    <cellStyle name="Comma [0] 2 3 3" xfId="2858" xr:uid="{BD50BF5A-F9F1-4799-8ABD-3E0E778D9C25}"/>
    <cellStyle name="Comma [0] 2 4" xfId="521" xr:uid="{78AB660C-0652-4267-9CD5-030158E899E6}"/>
    <cellStyle name="Comma [0] 2 4 2" xfId="1780" xr:uid="{663687AE-92DD-4F86-8978-FADC345E7D2E}"/>
    <cellStyle name="Comma [0] 2 4 2 2" xfId="3173" xr:uid="{2FF6EBC9-6F89-4BBB-8C02-F090E23ED0C5}"/>
    <cellStyle name="Comma [0] 2 4 3" xfId="2859" xr:uid="{DBAA1EEB-E011-413E-8477-B01305960692}"/>
    <cellStyle name="Comma [0] 2 5" xfId="522" xr:uid="{38BC39DD-1A34-4E9E-A716-ADE29388CE16}"/>
    <cellStyle name="Comma [0] 2 5 2" xfId="1781" xr:uid="{E4972744-B5A5-4836-9598-79E3E9B22590}"/>
    <cellStyle name="Comma [0] 2 5 2 2" xfId="3174" xr:uid="{C3254D9C-3CBF-4331-BC5D-563911BD24F4}"/>
    <cellStyle name="Comma [0] 2 5 3" xfId="2860" xr:uid="{E5D64E73-4BB7-4563-A242-62EAC46FEB4D}"/>
    <cellStyle name="Comma [0] 2 6" xfId="523" xr:uid="{EE7A88A1-2241-4839-9C97-46AAD4577BAE}"/>
    <cellStyle name="Comma [0] 2 6 2" xfId="1782" xr:uid="{6D94D445-D739-4774-ABC6-2B34501E5779}"/>
    <cellStyle name="Comma [0] 2 6 2 2" xfId="3175" xr:uid="{7A69DA3A-7C73-4133-9F2C-A206513A848A}"/>
    <cellStyle name="Comma [0] 2 6 3" xfId="2861" xr:uid="{06124566-C049-4F89-BAE8-CE9D13B50DFF}"/>
    <cellStyle name="Comma [0] 2 7" xfId="524" xr:uid="{C48593AC-8943-4E65-AF91-0A1E4DD57192}"/>
    <cellStyle name="Comma [0] 2 7 2" xfId="1783" xr:uid="{38FBBDA5-13F0-43A5-9779-0C8631BDA716}"/>
    <cellStyle name="Comma [0] 2 7 2 2" xfId="3176" xr:uid="{1CEE3980-3C06-4F2B-8DBB-24BEF55FF41D}"/>
    <cellStyle name="Comma [0] 2 7 3" xfId="2862" xr:uid="{6B37869E-DA86-48B8-ADB3-1074EBC364FB}"/>
    <cellStyle name="Comma [0] 2 8" xfId="525" xr:uid="{16EF63A4-CC53-47F5-AD3E-F8B170C3619F}"/>
    <cellStyle name="Comma [0] 2 8 2" xfId="1784" xr:uid="{6E1E9FED-3253-4099-A397-3AE467625268}"/>
    <cellStyle name="Comma [0] 2 8 2 2" xfId="3177" xr:uid="{79F5CDFF-1C75-4F37-A668-C8A398430841}"/>
    <cellStyle name="Comma [0] 2 8 3" xfId="2863" xr:uid="{88D9811E-4833-4D80-94D9-B8184D9DA751}"/>
    <cellStyle name="Comma [0] 2 9" xfId="526" xr:uid="{4276E7BF-A5A2-4E82-9DA6-609C5FFC2B56}"/>
    <cellStyle name="Comma [0] 2 9 2" xfId="1785" xr:uid="{AEA293EB-32D8-4540-8B94-67632052EAE3}"/>
    <cellStyle name="Comma [0] 2 9 2 2" xfId="3178" xr:uid="{5049BEAB-A0E1-4CD9-B917-48DFD74C352E}"/>
    <cellStyle name="Comma [0] 2 9 3" xfId="2864" xr:uid="{023CF097-82F6-4D8B-BA18-C2F41B35277A}"/>
    <cellStyle name="Comma 10 2" xfId="527" xr:uid="{4B5942A8-9D13-42E3-A00A-1CBD5D56A4FC}"/>
    <cellStyle name="Comma 10 2 10" xfId="528" xr:uid="{3C1D286A-B609-4115-A66E-861E7151332B}"/>
    <cellStyle name="Comma 10 2 10 2" xfId="1787" xr:uid="{FA33F195-9C0A-4EFB-A2AC-F384469A67C3}"/>
    <cellStyle name="Comma 10 2 10 2 2" xfId="3180" xr:uid="{45F9DDBF-B81C-4737-8102-07435AC0EC5C}"/>
    <cellStyle name="Comma 10 2 10 3" xfId="2866" xr:uid="{B217F9D9-F013-44A9-8D18-A940C81283C9}"/>
    <cellStyle name="Comma 10 2 11" xfId="529" xr:uid="{90ADA1FD-D9FA-4BFF-BA29-719A49F4BF53}"/>
    <cellStyle name="Comma 10 2 11 2" xfId="1788" xr:uid="{FE8A2B22-7847-438F-8AB7-548D05E20FB4}"/>
    <cellStyle name="Comma 10 2 11 2 2" xfId="3181" xr:uid="{98596707-C647-4DFC-BAC9-E757B9007842}"/>
    <cellStyle name="Comma 10 2 11 3" xfId="2867" xr:uid="{A77D1E76-0AB3-4D50-A4CD-81794753825E}"/>
    <cellStyle name="Comma 10 2 12" xfId="530" xr:uid="{153B6ABB-E65A-4CD7-B719-DB71D26854C7}"/>
    <cellStyle name="Comma 10 2 12 2" xfId="1789" xr:uid="{AAFA914C-39DF-4CA6-A76A-B2944DEE725D}"/>
    <cellStyle name="Comma 10 2 12 2 2" xfId="3182" xr:uid="{DC1391E5-4109-4427-9D85-50BB970663A9}"/>
    <cellStyle name="Comma 10 2 12 3" xfId="2868" xr:uid="{F14FE25E-F63F-48BA-86F1-950840B49314}"/>
    <cellStyle name="Comma 10 2 13" xfId="531" xr:uid="{D08818A8-3D8D-473F-A1D8-3B8257C2B045}"/>
    <cellStyle name="Comma 10 2 13 2" xfId="1790" xr:uid="{95D473B7-03B4-43D0-8487-AACF65A9B9F1}"/>
    <cellStyle name="Comma 10 2 13 2 2" xfId="3183" xr:uid="{D248690D-8176-4726-9AD5-1E3939647ED8}"/>
    <cellStyle name="Comma 10 2 13 3" xfId="2869" xr:uid="{7ABE47B4-A5E3-47D0-9426-12B46EED5BBB}"/>
    <cellStyle name="Comma 10 2 14" xfId="532" xr:uid="{961839F1-28E1-4614-8657-F7B2F5A5FA98}"/>
    <cellStyle name="Comma 10 2 14 2" xfId="1791" xr:uid="{9EC8A06A-AA3B-4A86-AB30-2F65D09A31AB}"/>
    <cellStyle name="Comma 10 2 14 2 2" xfId="3184" xr:uid="{880D5E44-3AF5-4F53-A19E-51F6DDE8017A}"/>
    <cellStyle name="Comma 10 2 14 3" xfId="2870" xr:uid="{972C8F0F-30F2-4768-96A4-C450DC643D14}"/>
    <cellStyle name="Comma 10 2 15" xfId="533" xr:uid="{4B799FBA-D36A-43C5-8695-50210129496B}"/>
    <cellStyle name="Comma 10 2 15 2" xfId="1792" xr:uid="{DA6A88FD-6A64-4B2B-A6ED-B9168FD90B7E}"/>
    <cellStyle name="Comma 10 2 15 2 2" xfId="3185" xr:uid="{0BA63D91-E7B0-4699-A827-17E71B7AC4B0}"/>
    <cellStyle name="Comma 10 2 15 3" xfId="2871" xr:uid="{96AC01CC-2F06-4BC6-9F66-4D41D85A583E}"/>
    <cellStyle name="Comma 10 2 16" xfId="534" xr:uid="{DC7EF701-918E-4136-A455-73C4F8A6F53E}"/>
    <cellStyle name="Comma 10 2 16 2" xfId="1793" xr:uid="{134CAB1B-EC24-4D7C-BCA5-FFB64A0EA688}"/>
    <cellStyle name="Comma 10 2 16 2 2" xfId="3186" xr:uid="{8AD86639-A0FB-4D68-B61B-84C97F98DDDC}"/>
    <cellStyle name="Comma 10 2 16 3" xfId="2872" xr:uid="{5F02A1AE-86AA-42DE-9125-4A5D233C57DF}"/>
    <cellStyle name="Comma 10 2 17" xfId="535" xr:uid="{2C5E41DB-86B3-47E7-9752-25ABAC7BE347}"/>
    <cellStyle name="Comma 10 2 17 2" xfId="1794" xr:uid="{D4A1D4DC-A25E-4EF0-BDED-7DF19862AD15}"/>
    <cellStyle name="Comma 10 2 17 2 2" xfId="3187" xr:uid="{0E8692AD-02E6-4649-8844-77E9DA3AD2E7}"/>
    <cellStyle name="Comma 10 2 17 3" xfId="2873" xr:uid="{3F46726C-0BCB-46E4-AFA2-D482A0A427AF}"/>
    <cellStyle name="Comma 10 2 18" xfId="1786" xr:uid="{FA351463-B8FC-4B1F-8ADA-5F3350565161}"/>
    <cellStyle name="Comma 10 2 18 2" xfId="3179" xr:uid="{C850FF29-1BDE-4808-8A46-48CA12FA7BE6}"/>
    <cellStyle name="Comma 10 2 19" xfId="2865" xr:uid="{C27D3540-98B3-42F3-9DB8-723558764F12}"/>
    <cellStyle name="Comma 10 2 2" xfId="536" xr:uid="{D88043C1-3E80-471E-89E9-5B459A6EFD31}"/>
    <cellStyle name="Comma 10 2 2 2" xfId="1795" xr:uid="{443A0F39-3414-417A-BF93-C858770D4C65}"/>
    <cellStyle name="Comma 10 2 2 2 2" xfId="3188" xr:uid="{CB995B30-9D16-4C70-BCDA-B381F1BFB46C}"/>
    <cellStyle name="Comma 10 2 2 3" xfId="2874" xr:uid="{917BDF9C-19CB-49DF-AB7F-1D843A02C078}"/>
    <cellStyle name="Comma 10 2 3" xfId="537" xr:uid="{3262125B-2B4B-438E-8125-E039ECEE0D94}"/>
    <cellStyle name="Comma 10 2 3 2" xfId="1796" xr:uid="{B4AA55BE-AE23-4A70-BFDC-F3D30913F9E5}"/>
    <cellStyle name="Comma 10 2 3 2 2" xfId="3189" xr:uid="{29D2C514-2A34-4D17-A601-693C92AD4C58}"/>
    <cellStyle name="Comma 10 2 3 3" xfId="2875" xr:uid="{178D7C13-0453-4CE8-9198-AF5D25344657}"/>
    <cellStyle name="Comma 10 2 4" xfId="538" xr:uid="{543059A4-7E06-4263-9361-A11649758669}"/>
    <cellStyle name="Comma 10 2 4 2" xfId="1797" xr:uid="{8324F8CB-B208-4BDF-8516-AF90E48DB648}"/>
    <cellStyle name="Comma 10 2 4 2 2" xfId="3190" xr:uid="{B8BDE0CE-0A6F-4BA6-B154-A30F8DC6F548}"/>
    <cellStyle name="Comma 10 2 4 3" xfId="2876" xr:uid="{0D4ACC7A-01A8-4651-ABCA-4780AE399283}"/>
    <cellStyle name="Comma 10 2 5" xfId="539" xr:uid="{B1FB1386-C511-4A6F-AD9A-0B8B69BB8343}"/>
    <cellStyle name="Comma 10 2 5 2" xfId="1798" xr:uid="{915B62AB-AC10-4544-8107-C8AE0A5E64E2}"/>
    <cellStyle name="Comma 10 2 5 2 2" xfId="3191" xr:uid="{8A9CFBE1-BD07-4266-BF46-8E50FC0D69A7}"/>
    <cellStyle name="Comma 10 2 5 3" xfId="2877" xr:uid="{079DD84C-7EE6-4F1B-BCF7-80B96F59E67F}"/>
    <cellStyle name="Comma 10 2 6" xfId="540" xr:uid="{F8282776-027E-4F88-B6BB-C0376082F2A9}"/>
    <cellStyle name="Comma 10 2 6 2" xfId="1799" xr:uid="{CCD6EC08-76BA-497D-B293-B6EB6FC95854}"/>
    <cellStyle name="Comma 10 2 6 2 2" xfId="3192" xr:uid="{FD0B75C5-7B00-4609-936A-D5D8415CBC43}"/>
    <cellStyle name="Comma 10 2 6 3" xfId="2878" xr:uid="{3392E1A6-92E3-4587-B44F-6B7818ED0986}"/>
    <cellStyle name="Comma 10 2 7" xfId="541" xr:uid="{05B92189-E2BF-4D8D-8982-41A98C59991D}"/>
    <cellStyle name="Comma 10 2 7 2" xfId="1800" xr:uid="{6DF9D4CA-DAA3-4E40-B800-C29325DF857A}"/>
    <cellStyle name="Comma 10 2 7 2 2" xfId="3193" xr:uid="{247029E9-0308-4EF1-B96D-535FD67937AD}"/>
    <cellStyle name="Comma 10 2 7 3" xfId="2879" xr:uid="{EABFE552-604B-4E3A-8656-95C3FE1A870C}"/>
    <cellStyle name="Comma 10 2 8" xfId="542" xr:uid="{460639CD-B6C1-483B-90AE-1701B31D1450}"/>
    <cellStyle name="Comma 10 2 8 2" xfId="1801" xr:uid="{43B24A76-18FA-46A9-BA11-60C23CB55876}"/>
    <cellStyle name="Comma 10 2 8 2 2" xfId="3194" xr:uid="{FC54ED24-F20B-453E-9C3D-47A3C9104E1D}"/>
    <cellStyle name="Comma 10 2 8 3" xfId="2880" xr:uid="{D8570807-1CCA-48A6-991D-216B7622A2A7}"/>
    <cellStyle name="Comma 10 2 9" xfId="543" xr:uid="{474DAD39-463D-4097-9499-E78A8F66C3C1}"/>
    <cellStyle name="Comma 10 2 9 2" xfId="1802" xr:uid="{A445B83A-F098-4B61-86A9-1098CA2B1445}"/>
    <cellStyle name="Comma 10 2 9 2 2" xfId="3195" xr:uid="{65B4D7FF-87F5-43AF-B153-C589D268A5F8}"/>
    <cellStyle name="Comma 10 2 9 3" xfId="2881" xr:uid="{F87FD76F-7739-43CF-831B-EB4B42B50174}"/>
    <cellStyle name="Comma 10 3" xfId="544" xr:uid="{B8460946-EB1E-4EF6-B904-6E6AE1D74548}"/>
    <cellStyle name="Comma 10 3 10" xfId="545" xr:uid="{DF314F03-75B8-4C33-B2BE-A31D5744D109}"/>
    <cellStyle name="Comma 10 3 10 2" xfId="1804" xr:uid="{1613A163-3766-4CBB-9E46-B4CBA6834380}"/>
    <cellStyle name="Comma 10 3 10 2 2" xfId="3197" xr:uid="{18942687-1037-4D58-B31A-2A5156C03FE4}"/>
    <cellStyle name="Comma 10 3 10 3" xfId="2883" xr:uid="{0FDDAED2-5716-4F45-91DB-588130FA28ED}"/>
    <cellStyle name="Comma 10 3 11" xfId="546" xr:uid="{EA2A34A0-C247-4E01-A05E-029DD41A4788}"/>
    <cellStyle name="Comma 10 3 11 2" xfId="1805" xr:uid="{CCFAE506-024A-47BC-8759-8EE0E0E40503}"/>
    <cellStyle name="Comma 10 3 11 2 2" xfId="3198" xr:uid="{F4752E20-CD65-4CE1-B63E-AB7D719F8E7C}"/>
    <cellStyle name="Comma 10 3 11 3" xfId="2884" xr:uid="{01E3327C-3311-41DA-856E-5638C2A0AD36}"/>
    <cellStyle name="Comma 10 3 12" xfId="547" xr:uid="{310FF406-C787-4DA2-B491-B5E204E69663}"/>
    <cellStyle name="Comma 10 3 12 2" xfId="1806" xr:uid="{4F7B2FDE-1ABC-4D8F-A3A2-8E2B1FEDEB46}"/>
    <cellStyle name="Comma 10 3 12 2 2" xfId="3199" xr:uid="{B6E15B6B-E716-4401-BC76-F9738958DB44}"/>
    <cellStyle name="Comma 10 3 12 3" xfId="2885" xr:uid="{C82EA045-0989-441D-8BD7-A67F5C6B9080}"/>
    <cellStyle name="Comma 10 3 13" xfId="548" xr:uid="{A68A2B2F-20FC-467A-A0F8-D9553AFEB255}"/>
    <cellStyle name="Comma 10 3 13 2" xfId="1807" xr:uid="{CF5B15A4-2D33-4DB8-ABE6-E04AEF032F61}"/>
    <cellStyle name="Comma 10 3 13 2 2" xfId="3200" xr:uid="{E6FF8EF7-39D3-4CCB-A4E0-AE2C91BF9C42}"/>
    <cellStyle name="Comma 10 3 13 3" xfId="2886" xr:uid="{C05DFBB2-2E47-4221-B414-3A756306D24F}"/>
    <cellStyle name="Comma 10 3 14" xfId="549" xr:uid="{020925B7-3D80-4543-88E0-84897D705866}"/>
    <cellStyle name="Comma 10 3 14 2" xfId="1808" xr:uid="{F653F2F1-9CD1-4903-8E71-CB74A66CE748}"/>
    <cellStyle name="Comma 10 3 14 2 2" xfId="3201" xr:uid="{BFCDDB11-B10B-48FB-B33C-5C7D8A10F6B4}"/>
    <cellStyle name="Comma 10 3 14 3" xfId="2887" xr:uid="{121E42C7-72A4-4A22-B3F4-0CD613187CE8}"/>
    <cellStyle name="Comma 10 3 15" xfId="550" xr:uid="{0DA31EDC-199B-4EEA-9E98-462052D4047E}"/>
    <cellStyle name="Comma 10 3 15 2" xfId="1809" xr:uid="{7A03AE88-AA3F-4287-BC43-4386F1DC2BB1}"/>
    <cellStyle name="Comma 10 3 15 2 2" xfId="3202" xr:uid="{C72E4A18-68BE-44E5-B7BF-22A8C21F9955}"/>
    <cellStyle name="Comma 10 3 15 3" xfId="2888" xr:uid="{A9B99B55-B41B-4F32-970C-BCE6D1DA0CDA}"/>
    <cellStyle name="Comma 10 3 16" xfId="551" xr:uid="{DF6BD9A9-6534-4ABE-BE04-3D56FE31F2F2}"/>
    <cellStyle name="Comma 10 3 16 2" xfId="1810" xr:uid="{10EBB197-9E61-4D4A-AE8D-A87D5337AF54}"/>
    <cellStyle name="Comma 10 3 16 2 2" xfId="3203" xr:uid="{EC69A4AD-2097-47E9-89D2-5E93123F3CD6}"/>
    <cellStyle name="Comma 10 3 16 3" xfId="2889" xr:uid="{C8D8AC28-A842-4B33-8EF3-F6FC84CD6910}"/>
    <cellStyle name="Comma 10 3 17" xfId="552" xr:uid="{5209737D-E787-4E0E-8EAB-9219F583B059}"/>
    <cellStyle name="Comma 10 3 17 2" xfId="1811" xr:uid="{A56DA484-5667-4E8D-B925-65D8C67924F5}"/>
    <cellStyle name="Comma 10 3 17 2 2" xfId="3204" xr:uid="{DD4391AF-58D6-477D-8F5A-AE8138D982B7}"/>
    <cellStyle name="Comma 10 3 17 3" xfId="2890" xr:uid="{E0D28F53-2D51-45FA-A214-FB829A6E3A00}"/>
    <cellStyle name="Comma 10 3 18" xfId="1803" xr:uid="{1CFA9DE6-E78B-431B-A5C3-D8E4086011D9}"/>
    <cellStyle name="Comma 10 3 18 2" xfId="3196" xr:uid="{7BD96EA2-2EF9-40FE-A648-5AFD34294896}"/>
    <cellStyle name="Comma 10 3 19" xfId="2882" xr:uid="{DE921108-48AD-4759-A7B4-399A9C9B54E7}"/>
    <cellStyle name="Comma 10 3 2" xfId="553" xr:uid="{9D46D25B-5C6C-42F4-91B9-B01D1570D272}"/>
    <cellStyle name="Comma 10 3 2 2" xfId="1812" xr:uid="{6A36B2AE-5075-4C1A-88A9-9D69A0C6FEDA}"/>
    <cellStyle name="Comma 10 3 2 2 2" xfId="3205" xr:uid="{A33F4F66-F28C-428B-B447-5F9E273DBD52}"/>
    <cellStyle name="Comma 10 3 2 3" xfId="2891" xr:uid="{6EE67744-F0D4-44C1-B182-219749D6100D}"/>
    <cellStyle name="Comma 10 3 3" xfId="554" xr:uid="{388046C8-F86F-4A70-9EBE-6BF0B02F0DC6}"/>
    <cellStyle name="Comma 10 3 3 2" xfId="1813" xr:uid="{4F764157-FE04-4850-83ED-12D2E3B309BF}"/>
    <cellStyle name="Comma 10 3 3 2 2" xfId="3206" xr:uid="{E4E93FA2-E3AE-4921-BB75-99EE1BA7A38D}"/>
    <cellStyle name="Comma 10 3 3 3" xfId="2892" xr:uid="{CAA604A8-8B00-404A-B1CC-C52677CF5333}"/>
    <cellStyle name="Comma 10 3 4" xfId="555" xr:uid="{2CC38FB8-35B1-41CB-9E19-30E491F7C008}"/>
    <cellStyle name="Comma 10 3 4 2" xfId="1814" xr:uid="{07A28367-3485-4F59-ADD2-15994403208D}"/>
    <cellStyle name="Comma 10 3 4 2 2" xfId="3207" xr:uid="{2C31D14A-D8DC-4CD7-876B-B57E396D1B15}"/>
    <cellStyle name="Comma 10 3 4 3" xfId="2893" xr:uid="{C06E825E-24F9-4A8A-BE6F-E6113D113080}"/>
    <cellStyle name="Comma 10 3 5" xfId="556" xr:uid="{A0752046-B712-4242-ABDD-2A40FBFC86E8}"/>
    <cellStyle name="Comma 10 3 5 2" xfId="1815" xr:uid="{85A3CA1F-F0B4-46B1-8C46-A34A3E97DD90}"/>
    <cellStyle name="Comma 10 3 5 2 2" xfId="3208" xr:uid="{54B7B66A-3D99-4509-A7E2-10166417E3C5}"/>
    <cellStyle name="Comma 10 3 5 3" xfId="2894" xr:uid="{38FF221C-6AAF-4261-BF3E-5B85FB168740}"/>
    <cellStyle name="Comma 10 3 6" xfId="557" xr:uid="{9530E236-5B81-4E2D-802A-2364321C70F5}"/>
    <cellStyle name="Comma 10 3 6 2" xfId="1816" xr:uid="{EB00C0FA-E35E-4919-AE4B-3917EFCAFB10}"/>
    <cellStyle name="Comma 10 3 6 2 2" xfId="3209" xr:uid="{B5478588-AC20-41FA-932F-6B3B66231E6B}"/>
    <cellStyle name="Comma 10 3 6 3" xfId="2895" xr:uid="{FB00A124-0CF6-4610-A023-B149FA68FF84}"/>
    <cellStyle name="Comma 10 3 7" xfId="558" xr:uid="{45CC33C4-2CC3-4E1B-9193-D4E0F0ACBCAD}"/>
    <cellStyle name="Comma 10 3 7 2" xfId="1817" xr:uid="{D463C1FC-DFBE-4556-A876-98F499D2AED2}"/>
    <cellStyle name="Comma 10 3 7 2 2" xfId="3210" xr:uid="{0FBC2058-0F34-437D-A378-36B565EF2FA9}"/>
    <cellStyle name="Comma 10 3 7 3" xfId="2896" xr:uid="{66DC1241-FAB9-44DE-9D16-DDD9B231482F}"/>
    <cellStyle name="Comma 10 3 8" xfId="559" xr:uid="{A31FEF32-F24C-4D0B-B98A-C085D529CE83}"/>
    <cellStyle name="Comma 10 3 8 2" xfId="1818" xr:uid="{2FED524A-4F90-4485-9029-925A8316010A}"/>
    <cellStyle name="Comma 10 3 8 2 2" xfId="3211" xr:uid="{6F5D2750-010D-4207-95E6-644D7A59C4DE}"/>
    <cellStyle name="Comma 10 3 8 3" xfId="2897" xr:uid="{03260537-C19B-47C8-A90C-0689D0B30603}"/>
    <cellStyle name="Comma 10 3 9" xfId="560" xr:uid="{678665DA-241E-4AA0-869B-DFB990F5A6E4}"/>
    <cellStyle name="Comma 10 3 9 2" xfId="1819" xr:uid="{3E91BB45-483A-4BBE-A203-E2483BE7755C}"/>
    <cellStyle name="Comma 10 3 9 2 2" xfId="3212" xr:uid="{DF4F3B27-E7C8-4963-8B53-4589C33286C2}"/>
    <cellStyle name="Comma 10 3 9 3" xfId="2898" xr:uid="{93DF0669-D980-4491-BC45-895BD6AC002B}"/>
    <cellStyle name="Comma 10 4" xfId="561" xr:uid="{8BDCEFE9-19CB-4341-B3FA-A032A612330C}"/>
    <cellStyle name="Comma 10 4 10" xfId="562" xr:uid="{C2F17131-FB37-4C49-B607-BB4491A2D852}"/>
    <cellStyle name="Comma 10 4 10 2" xfId="1821" xr:uid="{A45B1225-367F-4015-A59E-FA747320961F}"/>
    <cellStyle name="Comma 10 4 10 2 2" xfId="3214" xr:uid="{22694343-E1E5-483C-938F-FB565835368D}"/>
    <cellStyle name="Comma 10 4 10 3" xfId="2900" xr:uid="{8A41383E-3C22-4A75-AF8F-682C9053307C}"/>
    <cellStyle name="Comma 10 4 11" xfId="563" xr:uid="{58959849-41D5-4070-AFEC-A962C9991378}"/>
    <cellStyle name="Comma 10 4 11 2" xfId="1822" xr:uid="{9AFFD6B2-6B5B-40C5-83EE-50A244F6B1D0}"/>
    <cellStyle name="Comma 10 4 11 2 2" xfId="3215" xr:uid="{36220417-CECF-444C-9F23-C4F32211977C}"/>
    <cellStyle name="Comma 10 4 11 3" xfId="2901" xr:uid="{34C5D6FE-E4CD-4A96-90C7-098ABA291165}"/>
    <cellStyle name="Comma 10 4 12" xfId="564" xr:uid="{6F3A864F-1202-4C8A-BBED-51300A1937A7}"/>
    <cellStyle name="Comma 10 4 12 2" xfId="1823" xr:uid="{A25D784B-57E5-4C3F-8C6F-6B68F6D3CE61}"/>
    <cellStyle name="Comma 10 4 12 2 2" xfId="3216" xr:uid="{C07DF36D-03AB-4677-BEA8-2DAFE6BA6D88}"/>
    <cellStyle name="Comma 10 4 12 3" xfId="2902" xr:uid="{3B4BB894-4B07-4C63-B691-1A57D567A207}"/>
    <cellStyle name="Comma 10 4 13" xfId="565" xr:uid="{5C50250A-6B3D-463F-B776-A430FCA6B1FD}"/>
    <cellStyle name="Comma 10 4 13 2" xfId="1824" xr:uid="{7F318FAC-E47F-4544-BC51-5DCDBC6E32C1}"/>
    <cellStyle name="Comma 10 4 13 2 2" xfId="3217" xr:uid="{FF3EE04C-2C3B-4ADA-954B-978DBB5C7308}"/>
    <cellStyle name="Comma 10 4 13 3" xfId="2903" xr:uid="{99668831-F6A0-4553-9E26-FC2025D1ECB6}"/>
    <cellStyle name="Comma 10 4 14" xfId="566" xr:uid="{3A18DBE0-C55D-4624-A9AB-E5925B165DAD}"/>
    <cellStyle name="Comma 10 4 14 2" xfId="1825" xr:uid="{9F6E92E4-7BBF-4A8E-808C-ED8B6EB3E338}"/>
    <cellStyle name="Comma 10 4 14 2 2" xfId="3218" xr:uid="{35B689DB-9458-4F8D-8E97-F6377602ACF9}"/>
    <cellStyle name="Comma 10 4 14 3" xfId="2904" xr:uid="{37369616-9147-4E3F-8841-616C37CDDA20}"/>
    <cellStyle name="Comma 10 4 15" xfId="567" xr:uid="{1BFEC050-EF59-4C72-87EC-8DD89199F285}"/>
    <cellStyle name="Comma 10 4 15 2" xfId="1826" xr:uid="{C264A992-EC72-4897-8A7E-72F0942AFE26}"/>
    <cellStyle name="Comma 10 4 15 2 2" xfId="3219" xr:uid="{C767EF0E-C688-43D6-BA7E-F03DD80F81A9}"/>
    <cellStyle name="Comma 10 4 15 3" xfId="2905" xr:uid="{9C6653A0-2C6B-4D6B-84A8-32A7FBD211C4}"/>
    <cellStyle name="Comma 10 4 16" xfId="568" xr:uid="{0BBBE562-B1AD-4CE0-8920-ACA8624F197A}"/>
    <cellStyle name="Comma 10 4 16 2" xfId="1827" xr:uid="{4DB17EBC-3B37-413F-8784-B8D76C1BE057}"/>
    <cellStyle name="Comma 10 4 16 2 2" xfId="3220" xr:uid="{036AD804-84EF-4808-B1AF-76DA0D1FE3E5}"/>
    <cellStyle name="Comma 10 4 16 3" xfId="2906" xr:uid="{699BD859-1D9E-4C5C-BC20-3A9FBD743A12}"/>
    <cellStyle name="Comma 10 4 17" xfId="569" xr:uid="{D9326CB5-643C-4556-96BB-37919D61B35C}"/>
    <cellStyle name="Comma 10 4 17 2" xfId="1828" xr:uid="{A9C71D03-4D1D-4A8E-9FAA-4582311C76A1}"/>
    <cellStyle name="Comma 10 4 17 2 2" xfId="3221" xr:uid="{65CFE125-A225-4F7C-825B-CA4363996FA9}"/>
    <cellStyle name="Comma 10 4 17 3" xfId="2907" xr:uid="{69974415-7DA9-4192-8895-54CF73926F8F}"/>
    <cellStyle name="Comma 10 4 18" xfId="1820" xr:uid="{2BC21A1F-48B5-422F-857B-D806F1EE7056}"/>
    <cellStyle name="Comma 10 4 18 2" xfId="3213" xr:uid="{1CA8C43F-266C-41E5-A73E-5444E8847C77}"/>
    <cellStyle name="Comma 10 4 19" xfId="2899" xr:uid="{DAC68F9E-1C46-47D9-BCE0-42F8881F6B69}"/>
    <cellStyle name="Comma 10 4 2" xfId="570" xr:uid="{42ADDD78-EE38-4D1E-AC47-F113EE69DD67}"/>
    <cellStyle name="Comma 10 4 2 2" xfId="1829" xr:uid="{F9ADBC99-A851-4F56-A01C-63DB2808693F}"/>
    <cellStyle name="Comma 10 4 2 2 2" xfId="3222" xr:uid="{E8F5A401-FF20-4077-B44D-D35F99E75F7D}"/>
    <cellStyle name="Comma 10 4 2 3" xfId="2908" xr:uid="{9DCF2AB0-7F1A-409B-8E27-A58C1D829753}"/>
    <cellStyle name="Comma 10 4 3" xfId="571" xr:uid="{86A4580B-B6CD-418C-BCC4-AA8809C3D121}"/>
    <cellStyle name="Comma 10 4 3 2" xfId="1830" xr:uid="{F99D79CA-F577-43AE-8020-FD2F437891B7}"/>
    <cellStyle name="Comma 10 4 3 2 2" xfId="3223" xr:uid="{31ECEB1A-838E-434E-AAB7-1CCA6DAA38BD}"/>
    <cellStyle name="Comma 10 4 3 3" xfId="2909" xr:uid="{096EF85C-0687-4737-B2A7-F1B2D601C5F7}"/>
    <cellStyle name="Comma 10 4 4" xfId="572" xr:uid="{44251191-F1E4-4E5F-9D6C-71262A1EE7D8}"/>
    <cellStyle name="Comma 10 4 4 2" xfId="1831" xr:uid="{411C8B90-D67E-420A-AF4B-6E3E3B3A0D91}"/>
    <cellStyle name="Comma 10 4 4 2 2" xfId="3224" xr:uid="{497C8482-F6AC-47B9-B936-E343FEBF4E52}"/>
    <cellStyle name="Comma 10 4 4 3" xfId="2910" xr:uid="{A47EF81C-54D2-42C7-9FA0-7D0F52E6642D}"/>
    <cellStyle name="Comma 10 4 5" xfId="573" xr:uid="{05F08112-E208-4881-948B-6F698820D486}"/>
    <cellStyle name="Comma 10 4 5 2" xfId="1832" xr:uid="{D951ACA6-76E8-446E-91C4-64E0386FFD40}"/>
    <cellStyle name="Comma 10 4 5 2 2" xfId="3225" xr:uid="{2D5368C6-43A6-4D3A-9916-B4A6099FEDE3}"/>
    <cellStyle name="Comma 10 4 5 3" xfId="2911" xr:uid="{61240763-04DB-4AAD-AE94-E5754A03E5B9}"/>
    <cellStyle name="Comma 10 4 6" xfId="574" xr:uid="{FB2237B1-0D65-41BD-809E-E316B2A09CF0}"/>
    <cellStyle name="Comma 10 4 6 2" xfId="1833" xr:uid="{3010E3B0-DD52-4C90-A4F6-309B9E8DB1C7}"/>
    <cellStyle name="Comma 10 4 6 2 2" xfId="3226" xr:uid="{FF51CBFE-54DB-429D-8A1A-8E39EBB1EE27}"/>
    <cellStyle name="Comma 10 4 6 3" xfId="2912" xr:uid="{F618AAD8-1CF4-4A26-AAE7-4311AF82FFC9}"/>
    <cellStyle name="Comma 10 4 7" xfId="575" xr:uid="{96B14D36-114F-41C5-8527-44979BECEB77}"/>
    <cellStyle name="Comma 10 4 7 2" xfId="1834" xr:uid="{93CCC556-0D42-41C8-98AF-259D51EC8425}"/>
    <cellStyle name="Comma 10 4 7 2 2" xfId="3227" xr:uid="{DA5C0B00-7C8B-4224-BA57-365096AE688C}"/>
    <cellStyle name="Comma 10 4 7 3" xfId="2913" xr:uid="{C57C96DD-7CA4-4539-8329-3E45C9CC5D90}"/>
    <cellStyle name="Comma 10 4 8" xfId="576" xr:uid="{22718906-AD74-4221-BFF4-A4E48CA5201F}"/>
    <cellStyle name="Comma 10 4 8 2" xfId="1835" xr:uid="{05A9C966-22F6-4D35-805D-F733FDC74BEC}"/>
    <cellStyle name="Comma 10 4 8 2 2" xfId="3228" xr:uid="{528ADD0B-3C05-49D6-94BA-BFE7EDBADBBE}"/>
    <cellStyle name="Comma 10 4 8 3" xfId="2914" xr:uid="{C368E3A8-1BF4-482E-AE78-777D64AD2FF3}"/>
    <cellStyle name="Comma 10 4 9" xfId="577" xr:uid="{C773B7B5-8983-4682-B3C7-898D335A80A0}"/>
    <cellStyle name="Comma 10 4 9 2" xfId="1836" xr:uid="{E5242578-E02D-4A28-BE34-A6378F797CF0}"/>
    <cellStyle name="Comma 10 4 9 2 2" xfId="3229" xr:uid="{54EE9DA7-233A-431B-A94B-A500FC31B8B1}"/>
    <cellStyle name="Comma 10 4 9 3" xfId="2915" xr:uid="{7B3B65DB-E170-477E-A6E1-CB048E668403}"/>
    <cellStyle name="Comma 10 5" xfId="578" xr:uid="{D4EEC98C-239E-4ECA-9866-F20758A7C1DA}"/>
    <cellStyle name="Comma 10 5 10" xfId="579" xr:uid="{016CB85F-29EF-4EF0-A79A-C126646E9155}"/>
    <cellStyle name="Comma 10 5 10 2" xfId="1838" xr:uid="{ED710E81-D35B-4987-B0CA-DA1D96690590}"/>
    <cellStyle name="Comma 10 5 10 2 2" xfId="3231" xr:uid="{51636EFB-3175-4207-BA3A-DBE1EB9A71EC}"/>
    <cellStyle name="Comma 10 5 10 3" xfId="2917" xr:uid="{47EBAC59-BFAB-43B7-A789-426A93A936A1}"/>
    <cellStyle name="Comma 10 5 11" xfId="580" xr:uid="{C351C4F1-958C-47B5-B590-FBAE06CE84A7}"/>
    <cellStyle name="Comma 10 5 11 2" xfId="1839" xr:uid="{E97EBFCD-3C7A-46DE-AB77-E415977E0AEC}"/>
    <cellStyle name="Comma 10 5 11 2 2" xfId="3232" xr:uid="{7A469751-8586-4EEF-8502-400CE68BD95D}"/>
    <cellStyle name="Comma 10 5 11 3" xfId="2918" xr:uid="{972CC183-F55C-4454-A513-FC4374F870A7}"/>
    <cellStyle name="Comma 10 5 12" xfId="581" xr:uid="{DF7782B5-905F-4721-81BE-24DAF92ECE8A}"/>
    <cellStyle name="Comma 10 5 12 2" xfId="1840" xr:uid="{475B670C-F693-4F91-B0EB-9F5FC11C9C69}"/>
    <cellStyle name="Comma 10 5 12 2 2" xfId="3233" xr:uid="{7A83FC27-A81F-44C1-802F-988ADDE3B07B}"/>
    <cellStyle name="Comma 10 5 12 3" xfId="2919" xr:uid="{C842CB0A-5BCD-440A-8CAB-BFDB68930990}"/>
    <cellStyle name="Comma 10 5 13" xfId="582" xr:uid="{8A53E796-D7AD-4084-98F0-F9AE8D4B8357}"/>
    <cellStyle name="Comma 10 5 13 2" xfId="1841" xr:uid="{997F3751-6CE8-40F2-835F-81A7FB4F7FC2}"/>
    <cellStyle name="Comma 10 5 13 2 2" xfId="3234" xr:uid="{37199C81-7278-4C29-907C-1AD6F6F9A5DF}"/>
    <cellStyle name="Comma 10 5 13 3" xfId="2920" xr:uid="{F4909841-D75E-4E4E-8C26-FD0901A46B17}"/>
    <cellStyle name="Comma 10 5 14" xfId="583" xr:uid="{8EF88BE5-EAC9-44BA-B57B-6FEDFA6B1247}"/>
    <cellStyle name="Comma 10 5 14 2" xfId="1842" xr:uid="{C8470B16-41BB-4F61-9782-BF1E1ED148D4}"/>
    <cellStyle name="Comma 10 5 14 2 2" xfId="3235" xr:uid="{35B28383-C5D9-464D-B5AB-7C0D483E3DEB}"/>
    <cellStyle name="Comma 10 5 14 3" xfId="2921" xr:uid="{C79ACCC8-424C-486D-AC75-19EB85843C71}"/>
    <cellStyle name="Comma 10 5 15" xfId="584" xr:uid="{6427F4CF-CE0D-437F-AACE-80536C199683}"/>
    <cellStyle name="Comma 10 5 15 2" xfId="1843" xr:uid="{8F7E7367-8218-432E-811A-8A7B1ED415EA}"/>
    <cellStyle name="Comma 10 5 15 2 2" xfId="3236" xr:uid="{D3419A66-D3F9-402D-BE5B-66E3D9742112}"/>
    <cellStyle name="Comma 10 5 15 3" xfId="2922" xr:uid="{6D4EF811-06B4-4D62-8694-6BEA7A3E2416}"/>
    <cellStyle name="Comma 10 5 16" xfId="585" xr:uid="{21584394-0F9A-4E6E-838B-90CBE3BF7B8C}"/>
    <cellStyle name="Comma 10 5 16 2" xfId="1844" xr:uid="{2B888970-6D53-4992-A34C-3609AB138614}"/>
    <cellStyle name="Comma 10 5 16 2 2" xfId="3237" xr:uid="{02E7B1CD-00EB-4703-BF66-DFD39D379B0B}"/>
    <cellStyle name="Comma 10 5 16 3" xfId="2923" xr:uid="{68503C89-FAA6-4E66-AE29-176542170FCE}"/>
    <cellStyle name="Comma 10 5 17" xfId="586" xr:uid="{EB0BAF4E-1341-4342-91E8-203A26EBCF1B}"/>
    <cellStyle name="Comma 10 5 17 2" xfId="1845" xr:uid="{51E64AF1-5793-47BC-A2E2-2DC0B3CF40AD}"/>
    <cellStyle name="Comma 10 5 17 2 2" xfId="3238" xr:uid="{80AB9569-8472-45EB-9193-A8A7166F20DE}"/>
    <cellStyle name="Comma 10 5 17 3" xfId="2924" xr:uid="{076D859F-79BA-40BF-870E-AB9B3DC09B97}"/>
    <cellStyle name="Comma 10 5 18" xfId="1837" xr:uid="{F0AD13BA-0EAF-49F1-A188-750C34D9F8E3}"/>
    <cellStyle name="Comma 10 5 18 2" xfId="3230" xr:uid="{DCC22B4C-6E08-4294-8691-44EEE00FF99A}"/>
    <cellStyle name="Comma 10 5 19" xfId="2916" xr:uid="{E2E1C2C1-ED9E-40AE-B9EA-365200302400}"/>
    <cellStyle name="Comma 10 5 2" xfId="587" xr:uid="{A1BB9E96-7ED7-45E8-BE85-DF6645E89158}"/>
    <cellStyle name="Comma 10 5 2 2" xfId="1846" xr:uid="{C3775060-EB1F-478F-9B5D-9120A944C383}"/>
    <cellStyle name="Comma 10 5 2 2 2" xfId="3239" xr:uid="{76E73EDE-CE2F-42F7-9A54-0F358F477D45}"/>
    <cellStyle name="Comma 10 5 2 3" xfId="2925" xr:uid="{32084287-CCE4-46B8-B0FB-97ACD35B253B}"/>
    <cellStyle name="Comma 10 5 3" xfId="588" xr:uid="{57474CB8-4DF2-4FB4-A44A-E97D5416E747}"/>
    <cellStyle name="Comma 10 5 3 2" xfId="1847" xr:uid="{3ECEF41E-431C-4BBE-ACB1-62525D310C89}"/>
    <cellStyle name="Comma 10 5 3 2 2" xfId="3240" xr:uid="{A2077236-C6E4-4869-BE29-33ECC4BAAFEA}"/>
    <cellStyle name="Comma 10 5 3 3" xfId="2926" xr:uid="{BD721219-043D-43C6-8EE3-61A45F6D941C}"/>
    <cellStyle name="Comma 10 5 4" xfId="589" xr:uid="{0336B350-24AE-485B-8CAD-7500AFF15B10}"/>
    <cellStyle name="Comma 10 5 4 2" xfId="1848" xr:uid="{9F6CE7D3-4EDB-42D3-8D48-703B3D78FA79}"/>
    <cellStyle name="Comma 10 5 4 2 2" xfId="3241" xr:uid="{5B0855BE-602A-4ABF-B368-EA4E531A3F53}"/>
    <cellStyle name="Comma 10 5 4 3" xfId="2927" xr:uid="{B8C6864D-F93F-40DB-9214-11C539247197}"/>
    <cellStyle name="Comma 10 5 5" xfId="590" xr:uid="{D8E96BBF-6A62-427B-82FA-82344F61EE54}"/>
    <cellStyle name="Comma 10 5 5 2" xfId="1849" xr:uid="{1FAFC34C-4202-41E0-A7BB-80F9DBACBC3D}"/>
    <cellStyle name="Comma 10 5 5 2 2" xfId="3242" xr:uid="{E49B74BF-C6DB-475D-B52E-19818606B175}"/>
    <cellStyle name="Comma 10 5 5 3" xfId="2928" xr:uid="{9CC93D7E-10F0-42BD-90F2-DE6B6908C74F}"/>
    <cellStyle name="Comma 10 5 6" xfId="591" xr:uid="{641E6257-D38E-4A82-925C-8AB33E42DA8E}"/>
    <cellStyle name="Comma 10 5 6 2" xfId="1850" xr:uid="{1A09D59F-F923-415C-A86F-B6753918AA17}"/>
    <cellStyle name="Comma 10 5 6 2 2" xfId="3243" xr:uid="{B73261B3-75E2-480F-84C3-030A85979BF4}"/>
    <cellStyle name="Comma 10 5 6 3" xfId="2929" xr:uid="{C7E4F32C-6183-4F97-B468-0AE830301FA4}"/>
    <cellStyle name="Comma 10 5 7" xfId="592" xr:uid="{7F29B76C-1386-45BC-81E2-E406E482A12B}"/>
    <cellStyle name="Comma 10 5 7 2" xfId="1851" xr:uid="{7A65ACA8-343E-4CDB-A2C8-BEFEA35838DC}"/>
    <cellStyle name="Comma 10 5 7 2 2" xfId="3244" xr:uid="{9221B17B-9FB7-4F61-A7B4-89909D038A1D}"/>
    <cellStyle name="Comma 10 5 7 3" xfId="2930" xr:uid="{0A5E9FF4-591C-4814-8FB9-C189DABF5243}"/>
    <cellStyle name="Comma 10 5 8" xfId="593" xr:uid="{AB741B3C-265E-481A-830F-46C1F92EB8EE}"/>
    <cellStyle name="Comma 10 5 8 2" xfId="1852" xr:uid="{A97CA3B9-93D2-495A-B2CD-4B8A2659E3F1}"/>
    <cellStyle name="Comma 10 5 8 2 2" xfId="3245" xr:uid="{A96D6856-9B55-40A3-8BF4-9535EE534845}"/>
    <cellStyle name="Comma 10 5 8 3" xfId="2931" xr:uid="{79266269-3635-4A5D-82F4-E86F83E0E979}"/>
    <cellStyle name="Comma 10 5 9" xfId="594" xr:uid="{AE5B6E8F-31E8-4936-A53D-459BD367C463}"/>
    <cellStyle name="Comma 10 5 9 2" xfId="1853" xr:uid="{E2C93F9D-F3CC-4A3A-B9FD-C52B8DDF8947}"/>
    <cellStyle name="Comma 10 5 9 2 2" xfId="3246" xr:uid="{3E206AE4-07B4-4063-8C39-FCFB4120B50E}"/>
    <cellStyle name="Comma 10 5 9 3" xfId="2932" xr:uid="{473BF0FC-9CB3-4DC3-8F95-DB5AB136809E}"/>
    <cellStyle name="Comma 10 6" xfId="595" xr:uid="{1585036B-6997-4401-A63F-F04E81FF2FAD}"/>
    <cellStyle name="Comma 10 6 10" xfId="596" xr:uid="{869C98BF-30B3-4301-9A00-E8CB5D4D8FA7}"/>
    <cellStyle name="Comma 10 6 10 2" xfId="1855" xr:uid="{DE570A4F-968B-4519-B201-078CEC1557B0}"/>
    <cellStyle name="Comma 10 6 10 2 2" xfId="3248" xr:uid="{C6CF6C99-C6DB-4640-8B4D-3FF7BB4E8BD4}"/>
    <cellStyle name="Comma 10 6 10 3" xfId="2934" xr:uid="{433EA6A2-329B-4EC1-A6D5-31452B992677}"/>
    <cellStyle name="Comma 10 6 11" xfId="597" xr:uid="{03EC24AE-FBD6-40F7-8BED-7B195B0A8FBD}"/>
    <cellStyle name="Comma 10 6 11 2" xfId="1856" xr:uid="{5E4A2EC2-1A9E-4543-8C67-E97EF46C9B8A}"/>
    <cellStyle name="Comma 10 6 11 2 2" xfId="3249" xr:uid="{36CF8D50-327D-4EAB-A27F-9256BE752F39}"/>
    <cellStyle name="Comma 10 6 11 3" xfId="2935" xr:uid="{79DCE4D2-F0DD-47E0-87FF-A6CD9B74BFA8}"/>
    <cellStyle name="Comma 10 6 12" xfId="598" xr:uid="{E26E71A6-F280-4008-BD7C-428BDC4C4206}"/>
    <cellStyle name="Comma 10 6 12 2" xfId="1857" xr:uid="{399BAD71-E690-4930-B416-1F2779C3FA7A}"/>
    <cellStyle name="Comma 10 6 12 2 2" xfId="3250" xr:uid="{33C2712F-F1A5-497C-9072-BE71CA8A7686}"/>
    <cellStyle name="Comma 10 6 12 3" xfId="2936" xr:uid="{2D555465-762E-4636-BA5F-485FE4E4D640}"/>
    <cellStyle name="Comma 10 6 13" xfId="599" xr:uid="{C43C761C-AEB0-4D5A-970F-72ED0CAD02FB}"/>
    <cellStyle name="Comma 10 6 13 2" xfId="1858" xr:uid="{CA1D8839-D996-4DC0-845D-E0F1B6ECE8B6}"/>
    <cellStyle name="Comma 10 6 13 2 2" xfId="3251" xr:uid="{F2101B19-02A5-45E8-A654-974995B4F439}"/>
    <cellStyle name="Comma 10 6 13 3" xfId="2937" xr:uid="{170BC505-F903-451B-98CD-243DA331EA01}"/>
    <cellStyle name="Comma 10 6 14" xfId="600" xr:uid="{DC2F042F-FAA9-4DA6-B0CC-5B85E3443AD5}"/>
    <cellStyle name="Comma 10 6 14 2" xfId="1859" xr:uid="{A47D5248-4F7A-4601-A425-72D99B74E056}"/>
    <cellStyle name="Comma 10 6 14 2 2" xfId="3252" xr:uid="{E1694FDE-06E8-4FC7-9FD0-0A73A7F37C21}"/>
    <cellStyle name="Comma 10 6 14 3" xfId="2938" xr:uid="{8FB52A6E-3ACE-40D5-827B-2E100E6F8E0F}"/>
    <cellStyle name="Comma 10 6 15" xfId="601" xr:uid="{9104C461-48E5-4BBD-AB48-FBA15508C020}"/>
    <cellStyle name="Comma 10 6 15 2" xfId="1860" xr:uid="{AD4FA1BE-5499-4D26-A697-D639C324B4DA}"/>
    <cellStyle name="Comma 10 6 15 2 2" xfId="3253" xr:uid="{F3E773A2-6E67-4DAE-B23F-3F697A22C011}"/>
    <cellStyle name="Comma 10 6 15 3" xfId="2939" xr:uid="{B1F0A26C-DEB1-47C1-A6CB-292F327AD1C1}"/>
    <cellStyle name="Comma 10 6 16" xfId="602" xr:uid="{85523CAA-4DC3-4E97-80E3-8C5935856C18}"/>
    <cellStyle name="Comma 10 6 16 2" xfId="1861" xr:uid="{7F2FB40D-4534-45DD-B328-F868D5A0A773}"/>
    <cellStyle name="Comma 10 6 16 2 2" xfId="3254" xr:uid="{40CC6C6F-83D8-4EE0-A986-3717BB07DB63}"/>
    <cellStyle name="Comma 10 6 16 3" xfId="2940" xr:uid="{ECF88505-F2FB-4BC0-9C4E-4731367C9E3B}"/>
    <cellStyle name="Comma 10 6 17" xfId="603" xr:uid="{2B1686C9-21B1-4812-BB56-A2FD36DED5EC}"/>
    <cellStyle name="Comma 10 6 17 2" xfId="1862" xr:uid="{FB3B1B7F-60F3-4D40-8555-D6157E483131}"/>
    <cellStyle name="Comma 10 6 17 2 2" xfId="3255" xr:uid="{686AA98B-78EE-48EC-91EE-B224067D6D9B}"/>
    <cellStyle name="Comma 10 6 17 3" xfId="2941" xr:uid="{55B63E9D-D715-4568-A088-090ED4BF8599}"/>
    <cellStyle name="Comma 10 6 18" xfId="1854" xr:uid="{916F23BD-DB70-4AF5-8311-931005707CB0}"/>
    <cellStyle name="Comma 10 6 18 2" xfId="3247" xr:uid="{CE17785C-42D1-498D-A90C-D1D29C76BC20}"/>
    <cellStyle name="Comma 10 6 19" xfId="2933" xr:uid="{DCA44A90-9BA7-4A88-9A31-0D2B4FBC7EB2}"/>
    <cellStyle name="Comma 10 6 2" xfId="604" xr:uid="{B014CB1C-F417-483C-A7FB-8D9CEF8D3E40}"/>
    <cellStyle name="Comma 10 6 2 2" xfId="1863" xr:uid="{5AEE9F87-46F5-4230-96DD-3500C9A0E15F}"/>
    <cellStyle name="Comma 10 6 2 2 2" xfId="3256" xr:uid="{D26A7FE3-8F45-45A4-AA74-10BF7DDB3609}"/>
    <cellStyle name="Comma 10 6 2 3" xfId="2942" xr:uid="{2059CE24-B0C7-46E2-8E15-2C716B326A01}"/>
    <cellStyle name="Comma 10 6 3" xfId="605" xr:uid="{B1069CBF-880F-47E7-9B7B-9E6E61EC75F4}"/>
    <cellStyle name="Comma 10 6 3 2" xfId="1864" xr:uid="{86572FF8-5AEA-4177-B5A8-EB1474BA7A5A}"/>
    <cellStyle name="Comma 10 6 3 2 2" xfId="3257" xr:uid="{170DE313-1E2A-4C20-BE35-FA7A17080154}"/>
    <cellStyle name="Comma 10 6 3 3" xfId="2943" xr:uid="{032CFCA5-ACB4-4D04-9733-A708DA87BDB7}"/>
    <cellStyle name="Comma 10 6 4" xfId="606" xr:uid="{6BD76BA9-B3D1-46E3-B2D1-E92ABEA1F26A}"/>
    <cellStyle name="Comma 10 6 4 2" xfId="1865" xr:uid="{8E95E982-D7AA-4FBA-8809-77660E7C9128}"/>
    <cellStyle name="Comma 10 6 4 2 2" xfId="3258" xr:uid="{AD0D5727-13D8-47BE-994E-27B43056C1B4}"/>
    <cellStyle name="Comma 10 6 4 3" xfId="2944" xr:uid="{4E25B5DD-F05C-48AA-A0DF-C29364CDB232}"/>
    <cellStyle name="Comma 10 6 5" xfId="607" xr:uid="{8B1A044E-0CB6-4D19-980D-367F3DBC9966}"/>
    <cellStyle name="Comma 10 6 5 2" xfId="1866" xr:uid="{065FDF1A-6291-469A-A902-4C6BB3373F01}"/>
    <cellStyle name="Comma 10 6 5 2 2" xfId="3259" xr:uid="{A287CBB3-9C3D-4113-9431-108B17C90450}"/>
    <cellStyle name="Comma 10 6 5 3" xfId="2945" xr:uid="{DAD2954E-74FC-4D89-A1BE-D28BDBA8FB12}"/>
    <cellStyle name="Comma 10 6 6" xfId="608" xr:uid="{537743A6-45BB-49D4-A1B4-4DED81E0E24C}"/>
    <cellStyle name="Comma 10 6 6 2" xfId="1867" xr:uid="{BC17D519-3CC1-49BD-8FEF-EC7CF40CA1D3}"/>
    <cellStyle name="Comma 10 6 6 2 2" xfId="3260" xr:uid="{097BDD8A-EE27-4F9E-A0E2-F601CD701040}"/>
    <cellStyle name="Comma 10 6 6 3" xfId="2946" xr:uid="{FED0F122-2337-4600-9D36-DC286C5508B9}"/>
    <cellStyle name="Comma 10 6 7" xfId="609" xr:uid="{3839D0EF-9F76-417B-B5FD-BF2E31DC64BE}"/>
    <cellStyle name="Comma 10 6 7 2" xfId="1868" xr:uid="{D0EB3E5F-B0ED-4E76-AEDF-2FF034B7B4B4}"/>
    <cellStyle name="Comma 10 6 7 2 2" xfId="3261" xr:uid="{22408F7F-C2E5-4786-8FBE-97B11EDAF70D}"/>
    <cellStyle name="Comma 10 6 7 3" xfId="2947" xr:uid="{EFDEE5AF-2D63-42F8-A186-8B6B342CD6F9}"/>
    <cellStyle name="Comma 10 6 8" xfId="610" xr:uid="{D14B8EFD-7941-4B75-9C0D-4FB19E036F3A}"/>
    <cellStyle name="Comma 10 6 8 2" xfId="1869" xr:uid="{0A8E5711-4620-4202-A808-6FD4260C77E1}"/>
    <cellStyle name="Comma 10 6 8 2 2" xfId="3262" xr:uid="{AB55D4B2-B959-430E-9A3A-31F82A35C14F}"/>
    <cellStyle name="Comma 10 6 8 3" xfId="2948" xr:uid="{4422AD98-0414-45AF-901B-832CECC1B17E}"/>
    <cellStyle name="Comma 10 6 9" xfId="611" xr:uid="{033CA1FD-87EB-4C08-8044-48D4B2EEB9C7}"/>
    <cellStyle name="Comma 10 6 9 2" xfId="1870" xr:uid="{C80558F9-C632-4AFD-9C9F-F6E3259A17BE}"/>
    <cellStyle name="Comma 10 6 9 2 2" xfId="3263" xr:uid="{CCD0FD0A-195D-41A5-9DA7-FF617441F0C2}"/>
    <cellStyle name="Comma 10 6 9 3" xfId="2949" xr:uid="{44676665-B1B1-4AD2-B63C-F0F81A2B597E}"/>
    <cellStyle name="Comma 10 7" xfId="612" xr:uid="{DD5C3A8E-7F7D-46A7-B118-CE97CE537D09}"/>
    <cellStyle name="Comma 10 7 10" xfId="613" xr:uid="{5E5803C1-9D28-46D2-8273-2068A6D47C44}"/>
    <cellStyle name="Comma 10 7 10 2" xfId="1872" xr:uid="{BD79E088-F019-4494-8BD9-A3289321BD1B}"/>
    <cellStyle name="Comma 10 7 10 2 2" xfId="3265" xr:uid="{804D118F-D5FE-4708-9CFA-34970F50AC4B}"/>
    <cellStyle name="Comma 10 7 10 3" xfId="2951" xr:uid="{68A424BF-695B-40D7-A4D4-0BC600976672}"/>
    <cellStyle name="Comma 10 7 11" xfId="614" xr:uid="{8D256792-17A2-4F9C-AF23-F9A8C669A977}"/>
    <cellStyle name="Comma 10 7 11 2" xfId="1873" xr:uid="{FBEF85B5-7DF0-446A-B2EF-0F3CCFFACFAC}"/>
    <cellStyle name="Comma 10 7 11 2 2" xfId="3266" xr:uid="{B2B00D9C-A3ED-4CDE-BB5E-CDE060EF2684}"/>
    <cellStyle name="Comma 10 7 11 3" xfId="2952" xr:uid="{347A4E2C-BB1D-48F7-B749-BF0A49B10B28}"/>
    <cellStyle name="Comma 10 7 12" xfId="615" xr:uid="{A44E8D6C-1CF3-48A6-8D84-E93F4BF25E05}"/>
    <cellStyle name="Comma 10 7 12 2" xfId="1874" xr:uid="{825C4E1A-1CE9-41FF-888B-2D4905528EEE}"/>
    <cellStyle name="Comma 10 7 12 2 2" xfId="3267" xr:uid="{12890045-C0BC-4496-B65E-73C0B81D62F6}"/>
    <cellStyle name="Comma 10 7 12 3" xfId="2953" xr:uid="{1DB390BE-92E2-44F1-9D6E-DF3C5F8C15F3}"/>
    <cellStyle name="Comma 10 7 13" xfId="616" xr:uid="{C0087A25-1380-4565-9E12-459ACD67B94E}"/>
    <cellStyle name="Comma 10 7 13 2" xfId="1875" xr:uid="{53EE20B7-510B-46E0-8622-494CC2F94D3F}"/>
    <cellStyle name="Comma 10 7 13 2 2" xfId="3268" xr:uid="{F133B84C-6C10-436B-88D9-8949E6E88F18}"/>
    <cellStyle name="Comma 10 7 13 3" xfId="2954" xr:uid="{9A7F17AE-FBA6-4F7B-AD31-6EDB8F94A03A}"/>
    <cellStyle name="Comma 10 7 14" xfId="617" xr:uid="{EA80337B-8AE0-4F13-9399-7E3F350624FF}"/>
    <cellStyle name="Comma 10 7 14 2" xfId="1876" xr:uid="{099443D0-C214-4400-BB34-F00F5EE0B24C}"/>
    <cellStyle name="Comma 10 7 14 2 2" xfId="3269" xr:uid="{53709A6D-B438-4074-B7C1-1A3F7459E10A}"/>
    <cellStyle name="Comma 10 7 14 3" xfId="2955" xr:uid="{DB5C8A57-3014-4294-8F16-8639C69703EA}"/>
    <cellStyle name="Comma 10 7 15" xfId="618" xr:uid="{DA8AEA82-E554-46D2-A3EB-281D570E2AC2}"/>
    <cellStyle name="Comma 10 7 15 2" xfId="1877" xr:uid="{31092FFF-309F-47B3-A096-FD39E8A4E7EF}"/>
    <cellStyle name="Comma 10 7 15 2 2" xfId="3270" xr:uid="{F9438FE6-59E2-4B5B-95D5-D60A4753C8AD}"/>
    <cellStyle name="Comma 10 7 15 3" xfId="2956" xr:uid="{C88A7B14-289B-43E1-8CB5-B0EBE8EFED5B}"/>
    <cellStyle name="Comma 10 7 16" xfId="619" xr:uid="{550BBB45-D064-4D5C-AD07-6A3CA81395C6}"/>
    <cellStyle name="Comma 10 7 16 2" xfId="1878" xr:uid="{69AB76D9-57E4-43D9-8A3B-B9C22DF70034}"/>
    <cellStyle name="Comma 10 7 16 2 2" xfId="3271" xr:uid="{439D1D7A-CE86-458D-9FDC-B7C148125187}"/>
    <cellStyle name="Comma 10 7 16 3" xfId="2957" xr:uid="{01F4FEEB-41D3-48F7-9FC3-4F6F431AA683}"/>
    <cellStyle name="Comma 10 7 17" xfId="620" xr:uid="{6E62201A-0F17-4935-905F-E479E29984D7}"/>
    <cellStyle name="Comma 10 7 17 2" xfId="1879" xr:uid="{1C9ADBF6-7CD2-497C-87B2-1514C3A10211}"/>
    <cellStyle name="Comma 10 7 17 2 2" xfId="3272" xr:uid="{6D3360E7-1262-4A5A-BF5A-6D0C187C7417}"/>
    <cellStyle name="Comma 10 7 17 3" xfId="2958" xr:uid="{EED31353-0504-496B-88BA-9F4F05A1632B}"/>
    <cellStyle name="Comma 10 7 18" xfId="1871" xr:uid="{593212BF-F5FA-41B5-8416-5BE2ABF1F389}"/>
    <cellStyle name="Comma 10 7 18 2" xfId="3264" xr:uid="{85A8EAF9-977F-49E3-939C-79F713D7E994}"/>
    <cellStyle name="Comma 10 7 19" xfId="2950" xr:uid="{15B1751D-634D-4F5F-981A-C147D54A5A2D}"/>
    <cellStyle name="Comma 10 7 2" xfId="621" xr:uid="{EAB2FC08-A2F4-4B13-B192-B3FD68F9575B}"/>
    <cellStyle name="Comma 10 7 2 2" xfId="1880" xr:uid="{E89FBE18-1D1E-4CA3-8455-0AF6A4DEFA4E}"/>
    <cellStyle name="Comma 10 7 2 2 2" xfId="3273" xr:uid="{46D572D6-FE00-471C-B211-F27670D2D592}"/>
    <cellStyle name="Comma 10 7 2 3" xfId="2959" xr:uid="{5B2991AD-27CB-4D85-8871-780D6A1B375D}"/>
    <cellStyle name="Comma 10 7 3" xfId="622" xr:uid="{7F3C8EC8-0AC2-46A9-A60B-D7C242D1DA44}"/>
    <cellStyle name="Comma 10 7 3 2" xfId="1881" xr:uid="{E34B54D3-848B-4E5D-8044-79390E72B2CE}"/>
    <cellStyle name="Comma 10 7 3 2 2" xfId="3274" xr:uid="{C41660CD-B342-4C64-898B-86B0D782A73D}"/>
    <cellStyle name="Comma 10 7 3 3" xfId="2960" xr:uid="{A8B20DBF-FDD3-4249-A1B3-C35B4BB0798E}"/>
    <cellStyle name="Comma 10 7 4" xfId="623" xr:uid="{DF4860FE-8479-49C0-9943-0D7DD66D4E69}"/>
    <cellStyle name="Comma 10 7 4 2" xfId="1882" xr:uid="{7699074A-D4B9-433D-A132-CE0206CC0AF7}"/>
    <cellStyle name="Comma 10 7 4 2 2" xfId="3275" xr:uid="{CF9AD93C-45EB-4484-81BA-A8FFCFA2C6E5}"/>
    <cellStyle name="Comma 10 7 4 3" xfId="2961" xr:uid="{1726C764-1792-4569-A8E1-2DC00B0468DE}"/>
    <cellStyle name="Comma 10 7 5" xfId="624" xr:uid="{83D02525-901C-4700-9C67-6B91BAB18B65}"/>
    <cellStyle name="Comma 10 7 5 2" xfId="1883" xr:uid="{2DD81CD9-38A2-4D40-B8F3-6B76821CEAF8}"/>
    <cellStyle name="Comma 10 7 5 2 2" xfId="3276" xr:uid="{2FE5DC63-6C8B-49A2-8B15-67E5B7334AF5}"/>
    <cellStyle name="Comma 10 7 5 3" xfId="2962" xr:uid="{3500C1C5-73A4-46EA-8050-2A36230FB261}"/>
    <cellStyle name="Comma 10 7 6" xfId="625" xr:uid="{91CD11E0-A568-4613-97C5-67D464BDBDF0}"/>
    <cellStyle name="Comma 10 7 6 2" xfId="1884" xr:uid="{C137AA49-372E-4B1E-8974-BD45196E7426}"/>
    <cellStyle name="Comma 10 7 6 2 2" xfId="3277" xr:uid="{A180CADC-BFF7-4927-80F7-A96D3E9CF54B}"/>
    <cellStyle name="Comma 10 7 6 3" xfId="2963" xr:uid="{24BA8B18-4D95-4A17-B394-B584ED56B4A9}"/>
    <cellStyle name="Comma 10 7 7" xfId="626" xr:uid="{9563A11D-2C7E-4A64-97CA-1723197F1EC4}"/>
    <cellStyle name="Comma 10 7 7 2" xfId="1885" xr:uid="{1D919A48-482D-4AC3-8DDD-024E0133E8E7}"/>
    <cellStyle name="Comma 10 7 7 2 2" xfId="3278" xr:uid="{D2FF12F6-92EE-4499-A459-8F834182DA9E}"/>
    <cellStyle name="Comma 10 7 7 3" xfId="2964" xr:uid="{2B637A03-00CB-4995-B34B-28F115A413D5}"/>
    <cellStyle name="Comma 10 7 8" xfId="627" xr:uid="{92FAD92A-EB23-4AC9-970A-7C0AB33C60C1}"/>
    <cellStyle name="Comma 10 7 8 2" xfId="1886" xr:uid="{5F200985-D24E-4D29-85CC-5973A291791D}"/>
    <cellStyle name="Comma 10 7 8 2 2" xfId="3279" xr:uid="{3708EB7A-12D9-43A1-839E-ABF1CDD19EC3}"/>
    <cellStyle name="Comma 10 7 8 3" xfId="2965" xr:uid="{4772E015-C891-4139-BCF6-764B3EA32C39}"/>
    <cellStyle name="Comma 10 7 9" xfId="628" xr:uid="{7326608E-2C2A-4660-B8A6-060FE0FC080B}"/>
    <cellStyle name="Comma 10 7 9 2" xfId="1887" xr:uid="{D3E16D39-DB04-406C-9CF3-9BA6B48169CD}"/>
    <cellStyle name="Comma 10 7 9 2 2" xfId="3280" xr:uid="{FE403645-FD81-41C1-99D0-85784A24546E}"/>
    <cellStyle name="Comma 10 7 9 3" xfId="2966" xr:uid="{E85EEE0D-A792-4FCF-9DB0-069748CDC759}"/>
    <cellStyle name="Comma 10 8" xfId="629" xr:uid="{03C5D4B3-71C4-45F6-A12E-40686DA6EAC4}"/>
    <cellStyle name="Comma 10 8 10" xfId="630" xr:uid="{FDBDEA4D-91BE-4FF2-9C92-14EE881B52F6}"/>
    <cellStyle name="Comma 10 8 10 2" xfId="1889" xr:uid="{A70213AF-3069-423A-8BBF-D3AD66AE1031}"/>
    <cellStyle name="Comma 10 8 10 2 2" xfId="3282" xr:uid="{718DC865-17FE-42C0-922E-59CE5FF1C7D1}"/>
    <cellStyle name="Comma 10 8 10 3" xfId="2968" xr:uid="{FCCF1663-A22F-4F54-A25F-87BE316E656D}"/>
    <cellStyle name="Comma 10 8 11" xfId="631" xr:uid="{08EDA000-ACFF-4FB8-925D-7A360878DFA0}"/>
    <cellStyle name="Comma 10 8 11 2" xfId="1890" xr:uid="{2A71F278-F57B-4750-AF43-A13EC54CF0AF}"/>
    <cellStyle name="Comma 10 8 11 2 2" xfId="3283" xr:uid="{6C559F60-955A-475D-9EB5-89FF440E32B9}"/>
    <cellStyle name="Comma 10 8 11 3" xfId="2969" xr:uid="{168F485A-70AB-4F3B-B7F0-62D68DC69B1B}"/>
    <cellStyle name="Comma 10 8 12" xfId="632" xr:uid="{A7B2AF3C-D86F-4655-8C0E-C1AE6AB617F4}"/>
    <cellStyle name="Comma 10 8 12 2" xfId="1891" xr:uid="{AD6E55EB-7241-4098-89FA-A0ECF133A689}"/>
    <cellStyle name="Comma 10 8 12 2 2" xfId="3284" xr:uid="{64971C18-1542-4F88-9C73-BA84C8AB0BAB}"/>
    <cellStyle name="Comma 10 8 12 3" xfId="2970" xr:uid="{5C695CA3-DDB5-491F-99EC-3A1F8E8E78BC}"/>
    <cellStyle name="Comma 10 8 13" xfId="633" xr:uid="{003A28B1-FC2A-452A-9C00-0D1A310FF009}"/>
    <cellStyle name="Comma 10 8 13 2" xfId="1892" xr:uid="{B284768E-A64A-42F7-8A86-95427AD024C3}"/>
    <cellStyle name="Comma 10 8 13 2 2" xfId="3285" xr:uid="{D10E64FA-29BF-4771-BE43-CFD8957B2CC7}"/>
    <cellStyle name="Comma 10 8 13 3" xfId="2971" xr:uid="{C17CAA28-62A2-4761-94BD-149D55704AD9}"/>
    <cellStyle name="Comma 10 8 14" xfId="634" xr:uid="{54469854-49AC-4873-B486-653AD0A6386C}"/>
    <cellStyle name="Comma 10 8 14 2" xfId="1893" xr:uid="{AF97B8A4-D2DE-4747-B3D1-335D2EE1D50A}"/>
    <cellStyle name="Comma 10 8 14 2 2" xfId="3286" xr:uid="{0723B85C-3254-42E7-9E89-FF57756ED936}"/>
    <cellStyle name="Comma 10 8 14 3" xfId="2972" xr:uid="{FBC4DC64-D912-43F6-B558-54D9ECEBEC2C}"/>
    <cellStyle name="Comma 10 8 15" xfId="635" xr:uid="{DE3B483F-6A60-4514-9B6A-A490FB3C9D1C}"/>
    <cellStyle name="Comma 10 8 15 2" xfId="1894" xr:uid="{F893F5D6-E890-4C5C-8E5E-80AA9A9B807B}"/>
    <cellStyle name="Comma 10 8 15 2 2" xfId="3287" xr:uid="{ADFA861E-D012-46CE-9722-137ECF381DD4}"/>
    <cellStyle name="Comma 10 8 15 3" xfId="2973" xr:uid="{E420EA2C-D8ED-485D-9C1D-4DF9749156A3}"/>
    <cellStyle name="Comma 10 8 16" xfId="636" xr:uid="{B3C3182A-233D-466E-97B8-281793C68601}"/>
    <cellStyle name="Comma 10 8 16 2" xfId="1895" xr:uid="{5B4C4DB6-3ED4-449F-83EB-278D2C55A272}"/>
    <cellStyle name="Comma 10 8 16 2 2" xfId="3288" xr:uid="{DABC63A6-E70D-43C8-A462-C8035C2E88EC}"/>
    <cellStyle name="Comma 10 8 16 3" xfId="2974" xr:uid="{691FDAA5-EBFB-4798-8AEC-F49C9B02C2F4}"/>
    <cellStyle name="Comma 10 8 17" xfId="637" xr:uid="{F98D4C9D-25EF-4073-8173-45A691338074}"/>
    <cellStyle name="Comma 10 8 17 2" xfId="1896" xr:uid="{682C4E62-D3A2-468D-B671-1773EFDC2F83}"/>
    <cellStyle name="Comma 10 8 17 2 2" xfId="3289" xr:uid="{3A49B64D-00E2-416F-9233-1B986CBEFCA7}"/>
    <cellStyle name="Comma 10 8 17 3" xfId="2975" xr:uid="{5FD56559-1489-489B-B800-79E82702711F}"/>
    <cellStyle name="Comma 10 8 18" xfId="1888" xr:uid="{B3226B8F-00CB-4EF7-A2C1-18AB0E4A5982}"/>
    <cellStyle name="Comma 10 8 18 2" xfId="3281" xr:uid="{889B7B85-F08D-495E-9185-AB6D65331EF4}"/>
    <cellStyle name="Comma 10 8 19" xfId="2967" xr:uid="{E60C1B30-8A9D-47A0-91D2-5AC838289889}"/>
    <cellStyle name="Comma 10 8 2" xfId="638" xr:uid="{10DA7BF4-450A-4791-ABA4-A5DD507CC442}"/>
    <cellStyle name="Comma 10 8 2 2" xfId="1897" xr:uid="{4AD262A4-88F9-4074-9E9F-976DA125C843}"/>
    <cellStyle name="Comma 10 8 2 2 2" xfId="3290" xr:uid="{94F6B6AA-BC05-416E-B1A0-747D716C4340}"/>
    <cellStyle name="Comma 10 8 2 3" xfId="2976" xr:uid="{FB246B42-6F7E-42F8-95A8-BE15A079FD9B}"/>
    <cellStyle name="Comma 10 8 3" xfId="639" xr:uid="{8E3AE668-DAB2-412E-B23F-CA923DAE748F}"/>
    <cellStyle name="Comma 10 8 3 2" xfId="1898" xr:uid="{9CABB01B-3072-4761-BCA7-FC711B3F06CE}"/>
    <cellStyle name="Comma 10 8 3 2 2" xfId="3291" xr:uid="{6CD3A0AC-23EC-4B11-BB01-4186E500ED0E}"/>
    <cellStyle name="Comma 10 8 3 3" xfId="2977" xr:uid="{733A7D89-8324-4D52-8385-C12B774A0DD2}"/>
    <cellStyle name="Comma 10 8 4" xfId="640" xr:uid="{F8B3AF86-0770-44FA-A452-639F3B8479CE}"/>
    <cellStyle name="Comma 10 8 4 2" xfId="1899" xr:uid="{DB15A6FB-B40A-4F2F-9029-8358D67FA7F8}"/>
    <cellStyle name="Comma 10 8 4 2 2" xfId="3292" xr:uid="{83B60365-E3ED-47F1-919E-7C032236CABF}"/>
    <cellStyle name="Comma 10 8 4 3" xfId="2978" xr:uid="{62BC90C6-5AA7-44A0-987A-6A419F70E490}"/>
    <cellStyle name="Comma 10 8 5" xfId="641" xr:uid="{72C01938-E7DC-4671-AE19-E132F03CB36D}"/>
    <cellStyle name="Comma 10 8 5 2" xfId="1900" xr:uid="{6FA86745-EFB1-40E2-98AE-930D51079371}"/>
    <cellStyle name="Comma 10 8 5 2 2" xfId="3293" xr:uid="{83D60818-8ADF-4C55-88FA-8BA18BF09D11}"/>
    <cellStyle name="Comma 10 8 5 3" xfId="2979" xr:uid="{5EB03CC4-3C24-4985-BEB3-2E98677D2CDF}"/>
    <cellStyle name="Comma 10 8 6" xfId="642" xr:uid="{E2919490-499E-41A3-BB7A-FCA51FBC0C79}"/>
    <cellStyle name="Comma 10 8 6 2" xfId="1901" xr:uid="{1A8A7FDA-A6E1-4FDE-8A64-170CC7CF5396}"/>
    <cellStyle name="Comma 10 8 6 2 2" xfId="3294" xr:uid="{F6EF6AEA-8B5D-4F80-8AF1-AF482743DBDB}"/>
    <cellStyle name="Comma 10 8 6 3" xfId="2980" xr:uid="{CA18FD55-A5C2-486C-A70A-FDFF3439DFBC}"/>
    <cellStyle name="Comma 10 8 7" xfId="643" xr:uid="{C51F5F0C-90B0-4C73-866B-8D5D578A7278}"/>
    <cellStyle name="Comma 10 8 7 2" xfId="1902" xr:uid="{987C1E31-98D4-4734-8F78-061A2F00C7F7}"/>
    <cellStyle name="Comma 10 8 7 2 2" xfId="3295" xr:uid="{72C7ED87-E7BB-4E75-852A-67F8155EFCB6}"/>
    <cellStyle name="Comma 10 8 7 3" xfId="2981" xr:uid="{0092F941-D93A-403B-9001-DC4AF3F083DB}"/>
    <cellStyle name="Comma 10 8 8" xfId="644" xr:uid="{A4A9D715-A595-40AC-934A-E7F054EF7686}"/>
    <cellStyle name="Comma 10 8 8 2" xfId="1903" xr:uid="{935F9F86-D686-4F46-924C-01E4D982FFFF}"/>
    <cellStyle name="Comma 10 8 8 2 2" xfId="3296" xr:uid="{D5B1E13D-35E6-4507-9C3D-587414743689}"/>
    <cellStyle name="Comma 10 8 8 3" xfId="2982" xr:uid="{D9369648-9CA1-4676-8D8E-729BC572AAEC}"/>
    <cellStyle name="Comma 10 8 9" xfId="645" xr:uid="{7B553E99-330B-448D-8391-9AB0F1518463}"/>
    <cellStyle name="Comma 10 8 9 2" xfId="1904" xr:uid="{64AB094F-4609-400E-A5DB-CD9D23D593FF}"/>
    <cellStyle name="Comma 10 8 9 2 2" xfId="3297" xr:uid="{5A4602A3-F06D-4901-8F95-732CD712C421}"/>
    <cellStyle name="Comma 10 8 9 3" xfId="2983" xr:uid="{F03FF902-D5B8-4CD9-BD5D-D724F648F564}"/>
    <cellStyle name="Comma 2" xfId="35" xr:uid="{15F41FF0-153A-415C-9326-D544BBE16867}"/>
    <cellStyle name="Comma 2 10" xfId="646" xr:uid="{D6AD6152-F4AC-45CE-827F-E733E40625C5}"/>
    <cellStyle name="Comma 2 10 2" xfId="1906" xr:uid="{F45EF4FB-4A4C-4B34-9F37-D32F28C51429}"/>
    <cellStyle name="Comma 2 11" xfId="647" xr:uid="{9FF6FB1B-87FA-4B08-A454-940A21442BA4}"/>
    <cellStyle name="Comma 2 11 2" xfId="1907" xr:uid="{301B35E8-E726-4A3E-8448-7E7F3312EFB1}"/>
    <cellStyle name="Comma 2 12" xfId="648" xr:uid="{B9C7C7CC-1D98-45A7-8C75-DC626C6B5698}"/>
    <cellStyle name="Comma 2 12 2" xfId="1908" xr:uid="{25FA7F92-CB5F-47FC-BBA7-3911331AAD47}"/>
    <cellStyle name="Comma 2 13" xfId="649" xr:uid="{8741861D-FAB2-4466-A8E2-19EA739B9B96}"/>
    <cellStyle name="Comma 2 13 2" xfId="1909" xr:uid="{49BE04B3-0367-4662-9C5F-98682778F024}"/>
    <cellStyle name="Comma 2 14" xfId="650" xr:uid="{E7FD9D60-8056-4359-9A01-EB012AF8A632}"/>
    <cellStyle name="Comma 2 14 2" xfId="1910" xr:uid="{DAE0D721-9E73-4B3B-87D8-933DB102DBEE}"/>
    <cellStyle name="Comma 2 15" xfId="651" xr:uid="{81C62660-F4B3-42B7-AA6E-B03CF3A48A5E}"/>
    <cellStyle name="Comma 2 15 2" xfId="1911" xr:uid="{09AA8DD7-FBA8-453C-9E9E-056FB5EE8F39}"/>
    <cellStyle name="Comma 2 16" xfId="652" xr:uid="{284F7A39-D988-411C-B2EC-B84DA1ECB6CC}"/>
    <cellStyle name="Comma 2 16 2" xfId="1912" xr:uid="{7753BBC2-760D-4B3D-8832-620134D8F7FE}"/>
    <cellStyle name="Comma 2 17" xfId="1905" xr:uid="{9FAC56AB-CE0B-4E06-96BD-410FD551F3AA}"/>
    <cellStyle name="Comma 2 18" xfId="2984" xr:uid="{D412A081-B686-4D98-970E-20BAF21B2657}"/>
    <cellStyle name="Comma 2 2" xfId="36" xr:uid="{618EEEBD-DA06-4E74-8AB8-74095662B615}"/>
    <cellStyle name="Comma 2 2 2" xfId="1913" xr:uid="{A7A04FE9-E6D7-487B-B16C-972E95D69FD0}"/>
    <cellStyle name="Comma 2 2 3" xfId="653" xr:uid="{03ECCDC6-CD61-41CC-AC65-F9F149D3D757}"/>
    <cellStyle name="Comma 2 3" xfId="654" xr:uid="{D3C7BC12-F97A-431A-8B45-48B8B6E2C2A3}"/>
    <cellStyle name="Comma 2 3 2" xfId="1914" xr:uid="{906A4E5F-9AE7-4B44-8450-2CC6DA7A8E10}"/>
    <cellStyle name="Comma 2 4" xfId="655" xr:uid="{C161BCE7-2B0C-42BA-A68E-31B6B1FF128C}"/>
    <cellStyle name="Comma 2 4 2" xfId="1915" xr:uid="{6AA5904A-D664-4F3F-9252-3175A9009F08}"/>
    <cellStyle name="Comma 2 5" xfId="656" xr:uid="{47D6C62F-441A-4807-9F17-484822ECB5C1}"/>
    <cellStyle name="Comma 2 5 2" xfId="1916" xr:uid="{0C641AEE-E7B9-483C-A35B-E2ED0756D401}"/>
    <cellStyle name="Comma 2 6" xfId="657" xr:uid="{1BC7DF4B-D31B-4F97-9BBE-11FC6A356A7C}"/>
    <cellStyle name="Comma 2 6 2" xfId="1917" xr:uid="{A97705F6-DF88-409E-9C82-0E9D940B7AF4}"/>
    <cellStyle name="Comma 2 7" xfId="658" xr:uid="{EF7465A4-481A-446A-9827-FA41686FBB07}"/>
    <cellStyle name="Comma 2 7 2" xfId="1918" xr:uid="{BD3B7967-ABA3-43CE-9351-237E3D42C58C}"/>
    <cellStyle name="Comma 2 8" xfId="659" xr:uid="{14BCF07B-C3E2-4738-95A7-B6CFF0B52E57}"/>
    <cellStyle name="Comma 2 8 2" xfId="1919" xr:uid="{F37470E6-C1FD-472E-96BC-68A9D2CC7018}"/>
    <cellStyle name="Comma 2 9" xfId="660" xr:uid="{6A861DE2-1E54-44AC-B90B-FCA99740E31C}"/>
    <cellStyle name="Comma 2 9 2" xfId="1920" xr:uid="{4A8A5E39-667F-47DE-ACD8-D18A5CF5C00E}"/>
    <cellStyle name="Comma 3" xfId="661" xr:uid="{200C0DF7-3530-4145-9FDC-39A4605CC99D}"/>
    <cellStyle name="Comma 3 10" xfId="2985" xr:uid="{07F7C7BD-EE4C-43C6-A9B6-638E834E5732}"/>
    <cellStyle name="Comma 3 2" xfId="662" xr:uid="{83097201-449C-4CC5-989F-771332B075AA}"/>
    <cellStyle name="Comma 3 2 2" xfId="1922" xr:uid="{194ED0CF-6472-4F3C-9979-257F896D6E25}"/>
    <cellStyle name="Comma 3 2 2 2" xfId="3299" xr:uid="{76C5F619-485A-4438-92DA-E194063144DE}"/>
    <cellStyle name="Comma 3 2 3" xfId="2986" xr:uid="{B851F6B4-0050-429B-8A93-E40731C68164}"/>
    <cellStyle name="Comma 3 3" xfId="663" xr:uid="{BACA54A6-A83D-4B59-83CA-FFEA34F198D8}"/>
    <cellStyle name="Comma 3 3 2" xfId="1923" xr:uid="{3ACA1A2A-07AD-4C6E-BF56-ADCB915DBF11}"/>
    <cellStyle name="Comma 3 3 2 2" xfId="3300" xr:uid="{959EB575-F775-468C-8EE8-E57275D868AB}"/>
    <cellStyle name="Comma 3 3 3" xfId="2987" xr:uid="{9A016A2F-A6F4-4570-8D7D-6608A066A254}"/>
    <cellStyle name="Comma 3 4" xfId="664" xr:uid="{3A7DA444-8222-4157-B44D-81623EBADCC6}"/>
    <cellStyle name="Comma 3 4 2" xfId="1924" xr:uid="{B19C1AE1-299A-49E8-B088-18CDA9B5DB60}"/>
    <cellStyle name="Comma 3 4 2 2" xfId="3301" xr:uid="{AED427DF-2E96-419F-ABB4-8CF473018169}"/>
    <cellStyle name="Comma 3 4 3" xfId="2988" xr:uid="{82CD99CE-A442-4FE5-9AC3-12EA0ACF1BC1}"/>
    <cellStyle name="Comma 3 5" xfId="665" xr:uid="{5C76BB59-C863-4410-88B7-50DFCEA5071B}"/>
    <cellStyle name="Comma 3 5 2" xfId="1925" xr:uid="{FE847B29-6B14-4F09-86E1-A2BF5981CE78}"/>
    <cellStyle name="Comma 3 5 2 2" xfId="3302" xr:uid="{8D9C783D-66EA-427F-A0E9-B883E877A09A}"/>
    <cellStyle name="Comma 3 5 3" xfId="2989" xr:uid="{89997DCD-BBC9-43B3-8888-FA8117DED544}"/>
    <cellStyle name="Comma 3 6" xfId="666" xr:uid="{3B2BC266-62DA-4979-818C-C9699AC534E4}"/>
    <cellStyle name="Comma 3 6 2" xfId="1926" xr:uid="{DDC93E06-FD28-4F14-9A4E-3D7A29AACAC9}"/>
    <cellStyle name="Comma 3 6 2 2" xfId="3303" xr:uid="{E20C84BA-F92F-409B-9162-CF29DE5C84D9}"/>
    <cellStyle name="Comma 3 6 3" xfId="2990" xr:uid="{2596FE5E-35F3-4CAD-96E8-BBDF159E1FDC}"/>
    <cellStyle name="Comma 3 7" xfId="667" xr:uid="{B538924C-8E4E-4725-8971-501C4A9DC2BB}"/>
    <cellStyle name="Comma 3 7 2" xfId="1927" xr:uid="{7BBD209C-FF65-41AC-A973-85564A0B45E5}"/>
    <cellStyle name="Comma 3 7 2 2" xfId="3304" xr:uid="{1BAE271E-EB0C-4538-97F5-65FA0F8A12DB}"/>
    <cellStyle name="Comma 3 7 3" xfId="2991" xr:uid="{006EB36D-C9C8-493E-B5FF-C436704D64D2}"/>
    <cellStyle name="Comma 3 8" xfId="668" xr:uid="{F64C7336-E16E-41E8-AC63-2CC46EFC4CB8}"/>
    <cellStyle name="Comma 3 8 2" xfId="1928" xr:uid="{CF1DCD3A-4473-4A29-9C77-5208D9EC9F1D}"/>
    <cellStyle name="Comma 3 8 2 2" xfId="3305" xr:uid="{A3D6F2FF-F9B9-4B20-B032-79A2DD4F9F96}"/>
    <cellStyle name="Comma 3 8 3" xfId="2992" xr:uid="{71EF0E63-48A6-4E9E-A6E8-E48CB874DBF9}"/>
    <cellStyle name="Comma 3 9" xfId="1921" xr:uid="{77220E6E-98FF-4BDA-AA05-441CD95AA956}"/>
    <cellStyle name="Comma 3 9 2" xfId="3298" xr:uid="{70AC0C14-E155-4758-AF24-7574FAAB946C}"/>
    <cellStyle name="Comma 4" xfId="669" xr:uid="{22F96E02-25BD-4FEA-A40C-8F3B118B278F}"/>
    <cellStyle name="Comma 4 10" xfId="2993" xr:uid="{8069B408-04C5-4BD2-AB41-97FFE892A30D}"/>
    <cellStyle name="Comma 4 2" xfId="670" xr:uid="{667A3662-3BC6-4A74-BB50-91641E4AD583}"/>
    <cellStyle name="Comma 4 2 2" xfId="1930" xr:uid="{A206D88A-8266-4484-872B-CBF293112036}"/>
    <cellStyle name="Comma 4 2 2 2" xfId="3307" xr:uid="{E26078CC-994C-47D3-A749-503E784553D7}"/>
    <cellStyle name="Comma 4 2 3" xfId="2994" xr:uid="{8CF78F46-206B-4656-B4DC-D8FAE2F2CFE8}"/>
    <cellStyle name="Comma 4 3" xfId="671" xr:uid="{3563030A-D3A6-4AC8-A11F-0DF979819D35}"/>
    <cellStyle name="Comma 4 3 2" xfId="1931" xr:uid="{51C0BE87-E25C-4FCC-BAD4-C7BB67E94426}"/>
    <cellStyle name="Comma 4 3 2 2" xfId="3308" xr:uid="{A92C3464-FAF2-4BF5-8A30-D3F250F96010}"/>
    <cellStyle name="Comma 4 3 3" xfId="2995" xr:uid="{83C14746-B4FC-4FF7-899B-706B80D62D8E}"/>
    <cellStyle name="Comma 4 4" xfId="672" xr:uid="{D36CEAC4-A881-4F0C-8950-E21F96327FC7}"/>
    <cellStyle name="Comma 4 4 2" xfId="1932" xr:uid="{8CE86C85-FFAD-4383-B8F8-86F2D0FCFF20}"/>
    <cellStyle name="Comma 4 4 2 2" xfId="3309" xr:uid="{223D970B-FDDC-4E1D-A1A1-F799B5F05507}"/>
    <cellStyle name="Comma 4 4 3" xfId="2996" xr:uid="{F987B5CC-EF98-46B2-8792-92726EB8199D}"/>
    <cellStyle name="Comma 4 5" xfId="673" xr:uid="{AF26172E-7C75-45C5-BC9B-D363E0CB62F2}"/>
    <cellStyle name="Comma 4 5 2" xfId="1933" xr:uid="{E42D44D2-EB0E-46C5-A82E-D73B105216FF}"/>
    <cellStyle name="Comma 4 5 2 2" xfId="3310" xr:uid="{B1F0D6F2-FA20-4474-B68B-79A415E51305}"/>
    <cellStyle name="Comma 4 5 3" xfId="2997" xr:uid="{19900254-EBA5-4DFA-9DFD-538842885FD6}"/>
    <cellStyle name="Comma 4 6" xfId="674" xr:uid="{EE7CB052-1DC1-43E6-AAA2-7E614B0F780B}"/>
    <cellStyle name="Comma 4 6 2" xfId="1934" xr:uid="{DE2543E0-88D7-4B98-AF9C-157FB3083FDE}"/>
    <cellStyle name="Comma 4 6 2 2" xfId="3311" xr:uid="{19632CC4-5918-42C6-9408-E837CF078535}"/>
    <cellStyle name="Comma 4 6 3" xfId="2998" xr:uid="{6F8DBD5D-19B7-412F-914F-249F2BCF2D00}"/>
    <cellStyle name="Comma 4 7" xfId="675" xr:uid="{945D8DE9-21EB-4F45-B254-5931275538CF}"/>
    <cellStyle name="Comma 4 7 2" xfId="1935" xr:uid="{D2169C15-C974-4AAC-A2E3-AAE62415F18B}"/>
    <cellStyle name="Comma 4 7 2 2" xfId="3312" xr:uid="{76EA0D99-67FD-4F10-BD10-C50743EC942A}"/>
    <cellStyle name="Comma 4 7 3" xfId="2999" xr:uid="{677D4028-93CA-4D00-A615-DEE11C59DAD3}"/>
    <cellStyle name="Comma 4 8" xfId="676" xr:uid="{C82E56A3-5C68-4C8F-8140-127C3C982AC4}"/>
    <cellStyle name="Comma 4 8 2" xfId="1936" xr:uid="{08A3FA24-9FB0-465D-BC7E-B79C579A244E}"/>
    <cellStyle name="Comma 4 8 2 2" xfId="3313" xr:uid="{940ADC8D-3D84-43AD-AD07-F18222807135}"/>
    <cellStyle name="Comma 4 8 3" xfId="3000" xr:uid="{8374B5B9-5CA6-49E6-BD42-0F4A1F6760AF}"/>
    <cellStyle name="Comma 4 9" xfId="1929" xr:uid="{E565C0C3-E57C-4E7B-B394-505E560894A8}"/>
    <cellStyle name="Comma 4 9 2" xfId="3306" xr:uid="{19B3057E-52EA-4E58-AE36-3182C35AEE21}"/>
    <cellStyle name="Comma 5" xfId="677" xr:uid="{C3E9D1C5-D094-4659-ACFB-3E49317F820F}"/>
    <cellStyle name="Comma 5 10" xfId="3001" xr:uid="{697E0778-AADC-42AD-8909-ACE7A1A39D44}"/>
    <cellStyle name="Comma 5 2" xfId="678" xr:uid="{1E18CAC4-AD6B-4C1F-804B-985B3CA14201}"/>
    <cellStyle name="Comma 5 2 2" xfId="1938" xr:uid="{B849AAC7-5775-49F9-806C-F09B942813A8}"/>
    <cellStyle name="Comma 5 2 2 2" xfId="3315" xr:uid="{98160A8B-364D-4EED-9718-3E2C6569BBC1}"/>
    <cellStyle name="Comma 5 2 3" xfId="3002" xr:uid="{AB5B0D7B-488E-40C6-AC1A-94B70A06E205}"/>
    <cellStyle name="Comma 5 3" xfId="679" xr:uid="{80B16731-4D89-4FF9-B806-DCB52DF7DE04}"/>
    <cellStyle name="Comma 5 3 2" xfId="1939" xr:uid="{AAD016EE-C37F-4B11-87A4-F1531F802DFC}"/>
    <cellStyle name="Comma 5 3 2 2" xfId="3316" xr:uid="{B92CA152-38CC-435E-B297-C5C0717338AB}"/>
    <cellStyle name="Comma 5 3 3" xfId="3003" xr:uid="{EFF4D87B-321A-4E93-A413-25E6F8B28E16}"/>
    <cellStyle name="Comma 5 4" xfId="680" xr:uid="{F0377E93-4184-42FD-AA27-F6403FEE28C1}"/>
    <cellStyle name="Comma 5 4 2" xfId="1940" xr:uid="{CA6E2E95-9A9C-4A2A-B92A-4FDC7DB053F1}"/>
    <cellStyle name="Comma 5 4 2 2" xfId="3317" xr:uid="{D5BDB3DD-2453-4B1B-9A9A-27C62D433A16}"/>
    <cellStyle name="Comma 5 4 3" xfId="3004" xr:uid="{6DDD31D2-F3C9-4F83-80C8-E0C6880C7CB0}"/>
    <cellStyle name="Comma 5 5" xfId="681" xr:uid="{26CDA22E-BFD8-4048-BB70-F4A8E5C4E3FF}"/>
    <cellStyle name="Comma 5 5 2" xfId="1941" xr:uid="{8B90B1AC-F595-4F26-9D23-AA0CF077467C}"/>
    <cellStyle name="Comma 5 5 2 2" xfId="3318" xr:uid="{AB56D1B2-6C23-49E2-A5D7-39C293DA7542}"/>
    <cellStyle name="Comma 5 5 3" xfId="3005" xr:uid="{15E5D84F-BC46-423D-A845-494A4107E519}"/>
    <cellStyle name="Comma 5 6" xfId="682" xr:uid="{CF22226F-0592-4087-8EFA-25DE47F44F63}"/>
    <cellStyle name="Comma 5 6 2" xfId="1942" xr:uid="{63CE02D0-BEC9-4A8D-B425-CB01007152F3}"/>
    <cellStyle name="Comma 5 6 2 2" xfId="3319" xr:uid="{B3F20833-57EA-46A2-BF1B-9715AC7F56C4}"/>
    <cellStyle name="Comma 5 6 3" xfId="3006" xr:uid="{EB15856C-1320-41A2-B74D-8388C261BB09}"/>
    <cellStyle name="Comma 5 7" xfId="683" xr:uid="{6CBFCDBC-0E22-409D-BBB3-CF1F791393D5}"/>
    <cellStyle name="Comma 5 7 2" xfId="1943" xr:uid="{F78D642F-F372-4668-9007-542761D79CF0}"/>
    <cellStyle name="Comma 5 7 2 2" xfId="3320" xr:uid="{507BF4DE-6A99-49ED-95E5-B0950190A711}"/>
    <cellStyle name="Comma 5 7 3" xfId="3007" xr:uid="{39398879-E88E-45A8-A473-EB1564255869}"/>
    <cellStyle name="Comma 5 8" xfId="684" xr:uid="{30BD3933-54C4-44D7-AB0B-190359C8EA90}"/>
    <cellStyle name="Comma 5 8 2" xfId="1944" xr:uid="{64F4E7EE-D5D1-4EB4-A4D5-1DF1A56CC4BB}"/>
    <cellStyle name="Comma 5 8 2 2" xfId="3321" xr:uid="{70349D64-A452-445F-8B2B-8C40A3DAD7F2}"/>
    <cellStyle name="Comma 5 8 3" xfId="3008" xr:uid="{577BAA5C-24D1-4DE6-BABF-72D348515C8D}"/>
    <cellStyle name="Comma 5 9" xfId="1937" xr:uid="{03179A89-012C-4A99-8BD5-51050D09D335}"/>
    <cellStyle name="Comma 5 9 2" xfId="3314" xr:uid="{5647DDB1-AFCA-441D-926F-8ADC17F83031}"/>
    <cellStyle name="Comma 6" xfId="685" xr:uid="{7275C203-78F5-454C-B509-FB518E232155}"/>
    <cellStyle name="Comma 6 10" xfId="3009" xr:uid="{EE52F114-3510-4785-814A-BE09E6E1B68A}"/>
    <cellStyle name="Comma 6 2" xfId="686" xr:uid="{E6C27686-CB89-4343-9FFE-CBFC7CAFCAE8}"/>
    <cellStyle name="Comma 6 2 2" xfId="1946" xr:uid="{BB2C9748-1083-4872-9C53-6E58AED4BC28}"/>
    <cellStyle name="Comma 6 2 2 2" xfId="3323" xr:uid="{183524A9-15A6-48B7-B985-AFEE7A7790E1}"/>
    <cellStyle name="Comma 6 2 3" xfId="3010" xr:uid="{87BB7270-EF20-495C-B66C-F85B1A33D9C0}"/>
    <cellStyle name="Comma 6 3" xfId="687" xr:uid="{8E6EDF03-DD34-4EDD-A9F8-F2992EF4AB7E}"/>
    <cellStyle name="Comma 6 3 2" xfId="1947" xr:uid="{08D3928B-A516-4454-A0F4-14D4A78F6D24}"/>
    <cellStyle name="Comma 6 3 2 2" xfId="3324" xr:uid="{7B38F8C0-4F62-474C-9DFA-CBF108E8DDF2}"/>
    <cellStyle name="Comma 6 3 3" xfId="3011" xr:uid="{21C9AE74-0A74-47C1-B406-7DE9C98A4B59}"/>
    <cellStyle name="Comma 6 4" xfId="688" xr:uid="{E99A79EB-6290-4D6F-9417-EAA3F10A28B8}"/>
    <cellStyle name="Comma 6 4 2" xfId="1948" xr:uid="{D6B7AA76-AFFD-460A-BD17-784411F88046}"/>
    <cellStyle name="Comma 6 4 2 2" xfId="3325" xr:uid="{1CF63B83-73A5-433F-8B86-D4E4EB54B98C}"/>
    <cellStyle name="Comma 6 4 3" xfId="3012" xr:uid="{B7AD3B71-B865-4240-BAAA-571B37752B48}"/>
    <cellStyle name="Comma 6 5" xfId="689" xr:uid="{4B8C472C-FC82-4B43-80E6-DF765E699B4B}"/>
    <cellStyle name="Comma 6 5 2" xfId="1949" xr:uid="{A82779C3-DA6E-493E-8459-EF85E502B29D}"/>
    <cellStyle name="Comma 6 5 2 2" xfId="3326" xr:uid="{3AD8BF7F-2BB9-4532-956F-ACC2B511F4D3}"/>
    <cellStyle name="Comma 6 5 3" xfId="3013" xr:uid="{E04147CE-0051-4FA8-9C34-BBD74DC4E025}"/>
    <cellStyle name="Comma 6 6" xfId="690" xr:uid="{5F1B6BE4-82AD-4189-9D57-8583346B8273}"/>
    <cellStyle name="Comma 6 6 2" xfId="1950" xr:uid="{33132CD4-B998-4769-BE64-AA08E30F9C26}"/>
    <cellStyle name="Comma 6 6 2 2" xfId="3327" xr:uid="{090F8E5E-597C-446A-AB61-53DDA3180326}"/>
    <cellStyle name="Comma 6 6 3" xfId="3014" xr:uid="{F98B9FF8-8204-420C-A184-2A91ECEAF022}"/>
    <cellStyle name="Comma 6 7" xfId="691" xr:uid="{2774C1A6-F7BC-4CD6-9405-0AB0336254E2}"/>
    <cellStyle name="Comma 6 7 2" xfId="1951" xr:uid="{8728099D-C35F-4A6C-ACE7-DD698FAD16E6}"/>
    <cellStyle name="Comma 6 7 2 2" xfId="3328" xr:uid="{4400B98D-B3D3-4FA4-A071-E14E37A77EA6}"/>
    <cellStyle name="Comma 6 7 3" xfId="3015" xr:uid="{74232A06-BB92-4970-8CCC-E5050C6DD75F}"/>
    <cellStyle name="Comma 6 8" xfId="692" xr:uid="{B7BDBCD0-790C-4BDC-9C70-7A1BB5AFA8C4}"/>
    <cellStyle name="Comma 6 8 2" xfId="1952" xr:uid="{9A653EEF-400A-465D-9BD0-EAC18F01E6AA}"/>
    <cellStyle name="Comma 6 8 2 2" xfId="3329" xr:uid="{95A909C7-4B3F-48BF-A41D-289C983BDA01}"/>
    <cellStyle name="Comma 6 8 3" xfId="3016" xr:uid="{84DFE6F0-D9F3-4C2B-A2CA-A0AE96B61BCF}"/>
    <cellStyle name="Comma 6 9" xfId="1945" xr:uid="{9D8A3ABB-E7A5-44EE-A382-49FF2758531C}"/>
    <cellStyle name="Comma 6 9 2" xfId="3322" xr:uid="{271691A6-C12F-49E5-9FB3-D6134DEB85A0}"/>
    <cellStyle name="Comma 7" xfId="693" xr:uid="{02F68101-F02F-4EE5-BA15-E22C2DDF150A}"/>
    <cellStyle name="Comma 7 10" xfId="694" xr:uid="{4121F03E-90C5-4B93-8621-0E22EEA8CB72}"/>
    <cellStyle name="Comma 7 10 2" xfId="1953" xr:uid="{E0A1F755-2EA8-4996-94AC-750E585E6B19}"/>
    <cellStyle name="Comma 7 10 2 2" xfId="3330" xr:uid="{2E7B7881-B88E-4944-8B4C-FCAC09127945}"/>
    <cellStyle name="Comma 7 10 3" xfId="3017" xr:uid="{9CC2595F-DE39-43D8-8B76-277580AAC445}"/>
    <cellStyle name="Comma 7 11" xfId="695" xr:uid="{496B2BA6-031B-4423-B73D-371AD617A94B}"/>
    <cellStyle name="Comma 7 11 2" xfId="1954" xr:uid="{A25FB9B0-5585-441D-8ADD-04CEEC9B49B7}"/>
    <cellStyle name="Comma 7 11 3" xfId="3018" xr:uid="{513D5148-86E7-46D6-A450-D87AD8E10B6F}"/>
    <cellStyle name="Comma 7 12" xfId="696" xr:uid="{AC72C1FB-9B3D-4509-A459-467962AF4606}"/>
    <cellStyle name="Comma 7 12 2" xfId="1955" xr:uid="{C4F5017A-4D9E-4FAF-84B8-8E2E7D5EE8B5}"/>
    <cellStyle name="Comma 7 12 2 2" xfId="3331" xr:uid="{1EDDB00B-E9DA-41FB-B660-B73112B266C4}"/>
    <cellStyle name="Comma 7 12 3" xfId="3019" xr:uid="{3916ED6D-E295-46D2-903A-7DDF63076426}"/>
    <cellStyle name="Comma 7 13" xfId="697" xr:uid="{BA5D6A78-9FA7-4C18-8579-03A54903E5FD}"/>
    <cellStyle name="Comma 7 13 2" xfId="1956" xr:uid="{0DE4E2FB-642B-403C-916D-EFCB9863681B}"/>
    <cellStyle name="Comma 7 13 2 2" xfId="3332" xr:uid="{FE69F10B-ACFB-41AF-A40E-0BFC76AC23B0}"/>
    <cellStyle name="Comma 7 13 3" xfId="3020" xr:uid="{8AE99ECB-3DFB-453D-A784-EEDE82EBE759}"/>
    <cellStyle name="Comma 7 14" xfId="698" xr:uid="{AA2176F7-E357-40A5-AA56-CAE860F6F3B1}"/>
    <cellStyle name="Comma 7 14 2" xfId="1957" xr:uid="{F6DC7749-DE88-40B7-BC34-A4030BC758C5}"/>
    <cellStyle name="Comma 7 14 2 2" xfId="3333" xr:uid="{4C3442E8-995B-4F17-AA04-E0690C50CCBD}"/>
    <cellStyle name="Comma 7 14 3" xfId="3021" xr:uid="{1219E8EE-521D-48DC-B064-B293326DCEEC}"/>
    <cellStyle name="Comma 7 15" xfId="699" xr:uid="{2A850338-21FB-4355-99A8-BA35FEEA8286}"/>
    <cellStyle name="Comma 7 15 2" xfId="1958" xr:uid="{753D580A-44C1-46ED-9107-0C0031ADDF2A}"/>
    <cellStyle name="Comma 7 15 2 2" xfId="3334" xr:uid="{3C21E572-15AE-40DB-94F7-181BCAE7860F}"/>
    <cellStyle name="Comma 7 15 3" xfId="3022" xr:uid="{1AF3DF88-D79D-4FFD-B58B-2A9BC5980562}"/>
    <cellStyle name="Comma 7 16" xfId="700" xr:uid="{9D8364D6-25F5-44CE-BEBE-13D753D6773B}"/>
    <cellStyle name="Comma 7 16 2" xfId="1959" xr:uid="{D3FB0106-EB37-4489-BE4D-7BDE369D5EF7}"/>
    <cellStyle name="Comma 7 16 3" xfId="3023" xr:uid="{D512DA7E-A914-41BE-B42F-DFA848F19298}"/>
    <cellStyle name="Comma 7 17" xfId="701" xr:uid="{620D7B48-7B30-42E6-B915-94EBC0FE03D5}"/>
    <cellStyle name="Comma 7 17 2" xfId="1960" xr:uid="{BEF3F970-63FE-480B-AD3C-F33B58B3662C}"/>
    <cellStyle name="Comma 7 17 3" xfId="3024" xr:uid="{E9C6D9C7-E67D-44B4-9D46-EAB7D6C6ABE4}"/>
    <cellStyle name="Comma 7 18" xfId="702" xr:uid="{3F3663E1-8B1D-4A5F-953F-BDE36B63AE60}"/>
    <cellStyle name="Comma 7 18 2" xfId="1961" xr:uid="{75ECBF5D-7A79-416C-A782-00DD5BE4D557}"/>
    <cellStyle name="Comma 7 18 3" xfId="3025" xr:uid="{D37768F3-6685-4302-B468-EEB1207D2FC4}"/>
    <cellStyle name="Comma 7 19" xfId="703" xr:uid="{AE882C53-001B-4EFA-9F0A-1F19FBC74C15}"/>
    <cellStyle name="Comma 7 19 2" xfId="1962" xr:uid="{097B453C-BF94-41B7-A206-93FA936B4F82}"/>
    <cellStyle name="Comma 7 19 3" xfId="3026" xr:uid="{61CC46E6-CC0D-4D5C-87CF-D566703B9751}"/>
    <cellStyle name="Comma 7 2" xfId="704" xr:uid="{237F68F4-6E8D-40E2-9702-5EA081A86C19}"/>
    <cellStyle name="Comma 7 2 2" xfId="1963" xr:uid="{E1C22731-E345-4F3E-906A-425ADD1D4242}"/>
    <cellStyle name="Comma 7 2 2 2" xfId="3335" xr:uid="{889FD4EA-11A5-4734-B79F-ADF7AE1B2D8C}"/>
    <cellStyle name="Comma 7 2 3" xfId="3027" xr:uid="{1FF9FC4C-45BA-43F1-9E6F-950B1CA107D0}"/>
    <cellStyle name="Comma 7 20" xfId="705" xr:uid="{0F26C93A-65D7-4A7D-AB5F-3A2B00AD208B}"/>
    <cellStyle name="Comma 7 20 2" xfId="1964" xr:uid="{70FF2C2C-C4CB-4218-9C6E-197783CC8AF1}"/>
    <cellStyle name="Comma 7 20 3" xfId="3028" xr:uid="{36C5AA12-821C-42FC-ADE3-CCE825295A01}"/>
    <cellStyle name="Comma 7 21" xfId="706" xr:uid="{D47F7C65-6C75-4BD5-BF9E-28788F3D367C}"/>
    <cellStyle name="Comma 7 21 2" xfId="1965" xr:uid="{47E7B1C9-A5B1-4BD0-A2B9-25481AE4D5B1}"/>
    <cellStyle name="Comma 7 21 3" xfId="3029" xr:uid="{58F4C1B6-D0F6-4EC5-8C28-799E7DE255EA}"/>
    <cellStyle name="Comma 7 3" xfId="707" xr:uid="{E341A577-A62F-4259-8390-6EDFD18F282B}"/>
    <cellStyle name="Comma 7 3 10" xfId="708" xr:uid="{77C68C1E-FC9C-4ED3-A53E-40A4E202B775}"/>
    <cellStyle name="Comma 7 3 10 2" xfId="1967" xr:uid="{0FFFB185-5776-4675-B7E1-AC5F2C986061}"/>
    <cellStyle name="Comma 7 3 10 2 2" xfId="3336" xr:uid="{7C09996E-5202-4654-A1D1-D7ED54B493D6}"/>
    <cellStyle name="Comma 7 3 10 3" xfId="3030" xr:uid="{89243CEE-73E0-4A50-8D4A-51966DC79CA2}"/>
    <cellStyle name="Comma 7 3 11" xfId="709" xr:uid="{B1A3AA2E-AD99-4D87-97C5-45E22D2758C1}"/>
    <cellStyle name="Comma 7 3 11 2" xfId="1968" xr:uid="{F74A7524-AD1D-4DF5-B4C1-1A493E29E1D2}"/>
    <cellStyle name="Comma 7 3 11 2 2" xfId="3337" xr:uid="{8123C3AE-6EFD-4C22-89C0-517F87198BB5}"/>
    <cellStyle name="Comma 7 3 11 3" xfId="3031" xr:uid="{FBFFB247-9B8F-4B84-9F8E-6193387163AD}"/>
    <cellStyle name="Comma 7 3 12" xfId="710" xr:uid="{63D903D3-F22B-43F3-9D86-45BB643F04A4}"/>
    <cellStyle name="Comma 7 3 12 2" xfId="1969" xr:uid="{264EEBBE-46AE-4292-A350-13653026662B}"/>
    <cellStyle name="Comma 7 3 12 2 2" xfId="3338" xr:uid="{F847C70C-E388-44D4-853E-A0533EBDF7D8}"/>
    <cellStyle name="Comma 7 3 12 3" xfId="3032" xr:uid="{BF837DB2-9D85-4DC8-A893-2FC3911FBE7C}"/>
    <cellStyle name="Comma 7 3 13" xfId="711" xr:uid="{21F85D27-7F60-40CD-9160-97114921F676}"/>
    <cellStyle name="Comma 7 3 13 2" xfId="1970" xr:uid="{2CA2679E-C6BE-41B2-98CA-07085C11DC04}"/>
    <cellStyle name="Comma 7 3 13 2 2" xfId="3339" xr:uid="{AC8090BE-B35C-488B-BEFB-49D6057F9F42}"/>
    <cellStyle name="Comma 7 3 13 3" xfId="3033" xr:uid="{895104FB-4AB8-4D86-A906-9A8552ECD8A0}"/>
    <cellStyle name="Comma 7 3 14" xfId="712" xr:uid="{DDF99B1D-656E-4452-9C2E-F7CF0D8956E5}"/>
    <cellStyle name="Comma 7 3 14 2" xfId="1971" xr:uid="{3A070D80-17DF-42F0-8F30-6B3F54B4B1C8}"/>
    <cellStyle name="Comma 7 3 14 2 2" xfId="3340" xr:uid="{6406D922-586A-431E-B330-978FBCA56552}"/>
    <cellStyle name="Comma 7 3 14 3" xfId="3034" xr:uid="{55FD5595-EF4B-462E-B676-247619B57376}"/>
    <cellStyle name="Comma 7 3 15" xfId="713" xr:uid="{684A3344-2C75-410A-874F-24809C6A166A}"/>
    <cellStyle name="Comma 7 3 15 2" xfId="1972" xr:uid="{6535024A-C91E-4400-B724-5A9E654C1B69}"/>
    <cellStyle name="Comma 7 3 15 2 2" xfId="3341" xr:uid="{E76BC616-7767-4789-84F8-09BD35F94677}"/>
    <cellStyle name="Comma 7 3 15 3" xfId="3035" xr:uid="{6A65331B-80A0-4A95-81E4-5617E8D9B6A2}"/>
    <cellStyle name="Comma 7 3 16" xfId="1966" xr:uid="{BE039239-61E1-44A9-BAD4-14B910698FFF}"/>
    <cellStyle name="Comma 7 3 2" xfId="714" xr:uid="{D17A0DC9-EF78-4953-A99D-A793A6DD0359}"/>
    <cellStyle name="Comma 7 3 2 2" xfId="1973" xr:uid="{6DE15B9E-958E-4115-82D1-D84981BC14CB}"/>
    <cellStyle name="Comma 7 3 2 2 2" xfId="3342" xr:uid="{32A1F5FF-C03F-4E3D-AEF1-A6AED0982216}"/>
    <cellStyle name="Comma 7 3 2 3" xfId="3036" xr:uid="{41609814-12A2-4269-9512-AEAE820A173C}"/>
    <cellStyle name="Comma 7 3 3" xfId="715" xr:uid="{57E59BEC-CF5C-4049-872B-D1611121C988}"/>
    <cellStyle name="Comma 7 3 3 2" xfId="1974" xr:uid="{8BDACD28-96C6-487F-AB20-EC2BD1D740E1}"/>
    <cellStyle name="Comma 7 3 3 2 2" xfId="3343" xr:uid="{E2EF9637-1CB0-497D-8AC0-155145C05909}"/>
    <cellStyle name="Comma 7 3 3 3" xfId="3037" xr:uid="{9A586B22-C481-4D37-AEC6-DAC7BEF0926E}"/>
    <cellStyle name="Comma 7 3 4" xfId="716" xr:uid="{45C40C11-FC30-490A-9820-382877A1BE65}"/>
    <cellStyle name="Comma 7 3 4 2" xfId="1975" xr:uid="{F88ADDAD-3BF2-4A70-BEC5-209FCC62E398}"/>
    <cellStyle name="Comma 7 3 4 2 2" xfId="3344" xr:uid="{E750275A-BF10-41A2-B386-DBA31545AB8E}"/>
    <cellStyle name="Comma 7 3 4 3" xfId="3038" xr:uid="{8C8E487B-6C29-45B0-B5C0-17C7DA3532B0}"/>
    <cellStyle name="Comma 7 3 5" xfId="717" xr:uid="{3812D84A-99FE-4B55-8C1D-32220170BA9E}"/>
    <cellStyle name="Comma 7 3 5 2" xfId="1976" xr:uid="{12AA2C5F-6D22-44C2-A645-0B9E61F1109B}"/>
    <cellStyle name="Comma 7 3 5 2 2" xfId="3345" xr:uid="{286E1F56-DC11-41C3-8AA1-AC6F01E5D7E7}"/>
    <cellStyle name="Comma 7 3 5 3" xfId="3039" xr:uid="{D5CE43A2-1456-41BA-9C0A-1DCD1F92085B}"/>
    <cellStyle name="Comma 7 3 6" xfId="718" xr:uid="{D6B71CDD-9DC4-4999-99D2-41F3A531DD51}"/>
    <cellStyle name="Comma 7 3 6 2" xfId="1977" xr:uid="{F7FA2962-60FD-4A68-BDD0-22303186605A}"/>
    <cellStyle name="Comma 7 3 6 2 2" xfId="3346" xr:uid="{D520E85B-A04D-4DD2-822A-2D03A15063AB}"/>
    <cellStyle name="Comma 7 3 6 3" xfId="3040" xr:uid="{FD5C0818-06CC-4DD7-975D-ADC0E9AF33F2}"/>
    <cellStyle name="Comma 7 3 7" xfId="719" xr:uid="{7C31693A-965F-45B3-8E04-1DCD9E1AD39D}"/>
    <cellStyle name="Comma 7 3 7 2" xfId="1978" xr:uid="{141928BC-92A6-4E5E-99DC-6C8EC95A767F}"/>
    <cellStyle name="Comma 7 3 7 2 2" xfId="3347" xr:uid="{4891C0F8-D2EF-4844-B6CB-AC6C1BC989D8}"/>
    <cellStyle name="Comma 7 3 7 3" xfId="3041" xr:uid="{8147171F-49B4-4203-8C9C-DF517C7FCB30}"/>
    <cellStyle name="Comma 7 3 8" xfId="720" xr:uid="{77B4E98C-9F3D-4F6F-AD61-731C42CC93FA}"/>
    <cellStyle name="Comma 7 3 8 2" xfId="1979" xr:uid="{95D557EF-2741-4561-8E34-6C3F1CEF5D15}"/>
    <cellStyle name="Comma 7 3 8 2 2" xfId="3348" xr:uid="{867ED152-C6E5-4CB7-B999-C8657F7301DE}"/>
    <cellStyle name="Comma 7 3 8 3" xfId="3042" xr:uid="{99137FBE-EF46-4B67-A75D-4B96E3C48147}"/>
    <cellStyle name="Comma 7 3 9" xfId="721" xr:uid="{6DDF683C-C280-4558-AA39-65C7565BCE06}"/>
    <cellStyle name="Comma 7 3 9 2" xfId="1980" xr:uid="{14E5C538-860E-4E10-BBFD-1ADDA36379F8}"/>
    <cellStyle name="Comma 7 3 9 2 2" xfId="3349" xr:uid="{2C247562-1B3C-4CA8-B45C-D2C24981FED0}"/>
    <cellStyle name="Comma 7 3 9 3" xfId="3043" xr:uid="{D42FF856-043B-4EC3-8725-F909639AE4B4}"/>
    <cellStyle name="Comma 7 4" xfId="722" xr:uid="{AF5AE42C-F82E-42D7-886B-EE2CDABBFBF5}"/>
    <cellStyle name="Comma 7 4 2" xfId="1981" xr:uid="{08F1E402-20A8-4EA3-B038-E38D4DB80426}"/>
    <cellStyle name="Comma 7 4 2 2" xfId="3350" xr:uid="{3C225853-B099-446D-90E2-4C52183EC5A4}"/>
    <cellStyle name="Comma 7 4 3" xfId="3044" xr:uid="{8112D2D0-DA87-4664-9B69-4B66F11BDE07}"/>
    <cellStyle name="Comma 7 5" xfId="723" xr:uid="{38CFFE12-1FF5-483F-A640-6F6F91B42ED1}"/>
    <cellStyle name="Comma 7 5 2" xfId="1982" xr:uid="{611ECE6E-E17C-4A3D-9169-4A45D03D059A}"/>
    <cellStyle name="Comma 7 5 2 2" xfId="3351" xr:uid="{1B9A9AC3-DBBD-4AA2-882F-05867035B28D}"/>
    <cellStyle name="Comma 7 5 3" xfId="3045" xr:uid="{61E170A1-8B07-448A-B370-D4E89A1B7F61}"/>
    <cellStyle name="Comma 7 6" xfId="724" xr:uid="{EEEDBB99-45E6-40D4-93FC-32AABFA3A783}"/>
    <cellStyle name="Comma 7 6 2" xfId="1983" xr:uid="{3D9A692D-7A66-4A42-AFB1-38C492212845}"/>
    <cellStyle name="Comma 7 6 2 2" xfId="3352" xr:uid="{48F7D60D-D5C1-4ADF-85C5-D53625E9BBED}"/>
    <cellStyle name="Comma 7 6 3" xfId="3046" xr:uid="{695F14D2-3256-487E-8589-8FF567EA4234}"/>
    <cellStyle name="Comma 7 7" xfId="725" xr:uid="{B7B20D8A-6ECC-4A77-ADBA-72694F832EA2}"/>
    <cellStyle name="Comma 7 7 2" xfId="1984" xr:uid="{2C13FCD9-D12D-46D8-B273-491A5E80274B}"/>
    <cellStyle name="Comma 7 7 2 2" xfId="3353" xr:uid="{B8A51232-9D0A-40C9-8342-AF2B743AEAEA}"/>
    <cellStyle name="Comma 7 7 3" xfId="3047" xr:uid="{2CA514B1-670E-4217-9428-16DB65E32528}"/>
    <cellStyle name="Comma 7 8" xfId="726" xr:uid="{6355BE7D-08A4-478E-9540-962345F69919}"/>
    <cellStyle name="Comma 7 8 2" xfId="1985" xr:uid="{6261D98C-EED5-47E2-B016-A8B32A17F23A}"/>
    <cellStyle name="Comma 7 8 2 2" xfId="3354" xr:uid="{99B87157-EAA2-480F-8597-0D4634A78172}"/>
    <cellStyle name="Comma 7 8 3" xfId="3048" xr:uid="{84956BE3-D4BA-476C-BB28-3079918C561C}"/>
    <cellStyle name="Comma 7 9" xfId="727" xr:uid="{8BE21751-4358-4F73-8F3B-B30D52354078}"/>
    <cellStyle name="Comma 7 9 2" xfId="1986" xr:uid="{CF824A96-6035-4387-9A6E-F88C85736195}"/>
    <cellStyle name="Comma 7 9 2 2" xfId="3355" xr:uid="{9BC9E02D-B080-4C4D-80EB-80B8D0F051EC}"/>
    <cellStyle name="Comma 7 9 3" xfId="3049" xr:uid="{5ECAD72F-4544-4D6A-BBEF-94307BA5E1B8}"/>
    <cellStyle name="Comma 8" xfId="728" xr:uid="{D5D6A9E3-EFA6-49DE-9126-74D38732BDF7}"/>
    <cellStyle name="Comma 8 2" xfId="729" xr:uid="{49DB0380-CF8D-45A2-85A4-277DD81E0DEB}"/>
    <cellStyle name="Comma 8 2 2" xfId="1987" xr:uid="{301548BE-BF03-48B0-A3F9-EF7C905BAD86}"/>
    <cellStyle name="Comma 8 2 3" xfId="3050" xr:uid="{16B84BDE-E358-48CF-8A99-C1619FBEA3D1}"/>
    <cellStyle name="Comma 8 3" xfId="730" xr:uid="{AF0A5577-87C7-4F6B-A624-B7F52EDFD18E}"/>
    <cellStyle name="Comma 8 3 2" xfId="1988" xr:uid="{203A5694-821D-4EBB-8B6C-45F3CD84E34B}"/>
    <cellStyle name="Comma 8 3 3" xfId="3051" xr:uid="{EA040144-5038-40A1-97BF-E3AE76528CD7}"/>
    <cellStyle name="Comma 8 4" xfId="731" xr:uid="{15B35F66-9F8C-4320-8931-C68DF54A9651}"/>
    <cellStyle name="Comma 8 4 2" xfId="1989" xr:uid="{8FF8E017-9637-4F26-A604-5807F3A35F0E}"/>
    <cellStyle name="Comma 8 4 3" xfId="3052" xr:uid="{7783822D-DCFA-429C-893B-3A6C5F1E522E}"/>
    <cellStyle name="Comma 8 5" xfId="732" xr:uid="{F9BA53E1-9F8E-45CB-B17C-BCAA1959B568}"/>
    <cellStyle name="Comma 8 5 2" xfId="1990" xr:uid="{9D886C27-A40A-4373-8ED6-DC40140C32C4}"/>
    <cellStyle name="Comma 8 5 3" xfId="3053" xr:uid="{EEFB1C04-2615-4768-9408-D0220F641A05}"/>
    <cellStyle name="Comma 8 6" xfId="733" xr:uid="{A1E6AF6A-7168-4566-B5C3-A06EA8D8423A}"/>
    <cellStyle name="Comma 8 6 2" xfId="1991" xr:uid="{C55681CA-4E94-4141-B900-5720D2A1FA8F}"/>
    <cellStyle name="Comma 8 6 3" xfId="3054" xr:uid="{8DAA3692-C158-4D74-83D7-67A16A5F7D39}"/>
    <cellStyle name="Comma 8 7" xfId="734" xr:uid="{A2E70188-0C70-4E6B-ABAD-6BBE02429F66}"/>
    <cellStyle name="Comma 8 7 2" xfId="1992" xr:uid="{90117C8B-4A72-471E-81A8-F9178F620EF1}"/>
    <cellStyle name="Comma 8 7 3" xfId="3055" xr:uid="{F04084B8-0D94-4FD2-9577-48E1AFDD69DD}"/>
    <cellStyle name="Comma 8 8" xfId="735" xr:uid="{05CB9F53-DBBA-4517-A82F-362C63238D74}"/>
    <cellStyle name="Comma 8 8 2" xfId="1993" xr:uid="{5169323F-69D8-4F12-A717-E43A44109CA7}"/>
    <cellStyle name="Comma 8 8 3" xfId="3056" xr:uid="{5E49618C-E5DA-443A-BEF4-C31BB4045716}"/>
    <cellStyle name="Comma 9 2" xfId="736" xr:uid="{95091399-1EB7-46FC-BB5C-37DAB6659953}"/>
    <cellStyle name="Comma 9 2 2" xfId="1994" xr:uid="{BBC28FC6-EBF5-49CC-9DB5-A6FC3B3AC208}"/>
    <cellStyle name="Comma 9 2 2 2" xfId="3356" xr:uid="{0A18CC18-9ADA-44E7-8F10-48B3744F5495}"/>
    <cellStyle name="Comma 9 2 3" xfId="3057" xr:uid="{718073CF-3923-4D4C-9307-97AC49CE1B56}"/>
    <cellStyle name="Comma 9 3" xfId="737" xr:uid="{E6D33D95-9A50-458D-9DBA-DABC16B3B378}"/>
    <cellStyle name="Comma 9 3 2" xfId="3058" xr:uid="{783A2961-A4A1-48D0-90FE-AC12F366587C}"/>
    <cellStyle name="Comma 9 4" xfId="738" xr:uid="{8364B170-9638-4CEE-9D04-6D81F72A6ED7}"/>
    <cellStyle name="Comma 9 4 2" xfId="3059" xr:uid="{1C2E7E90-AE28-458F-8B28-72939190477D}"/>
    <cellStyle name="Comma 9 5" xfId="739" xr:uid="{F263F546-53C4-4E22-8A8E-2A1B474E5A06}"/>
    <cellStyle name="Comma 9 5 2" xfId="3060" xr:uid="{E4EB0D81-E456-42B4-826E-F98683E19F1B}"/>
    <cellStyle name="Comma 9 6" xfId="740" xr:uid="{A4065C1E-86A0-4EE7-B82C-E6CA654D7254}"/>
    <cellStyle name="Comma 9 6 2" xfId="3061" xr:uid="{94432F87-6EBF-443E-8572-F3D0140F1377}"/>
    <cellStyle name="Comma 9 7" xfId="741" xr:uid="{5B276A78-63FB-4844-B67E-DAF0ED96F74A}"/>
    <cellStyle name="Comma 9 7 2" xfId="3062" xr:uid="{1DABD0D9-558C-4887-B712-41FDA130F9EE}"/>
    <cellStyle name="Comma 9 8" xfId="742" xr:uid="{008F9D12-25BD-4CB3-A366-469D1724F6A2}"/>
    <cellStyle name="Comma 9 8 2" xfId="3063" xr:uid="{261AAF6B-B262-41BF-BE6A-81D0B5964814}"/>
    <cellStyle name="Comma 9 9" xfId="743" xr:uid="{886B87CF-9811-408D-8EEE-C004DB336CD5}"/>
    <cellStyle name="Comma 9 9 2" xfId="3064" xr:uid="{D8B63770-B0F4-41B6-9073-BF60C68B289E}"/>
    <cellStyle name="Currency 2 2" xfId="744" xr:uid="{D950F872-83A2-4A50-901B-546485AD9336}"/>
    <cellStyle name="Currency 2 2 2" xfId="1995" xr:uid="{D8ABC1DE-6952-4E93-A34D-19E6597A5099}"/>
    <cellStyle name="CustomizationCells" xfId="745" xr:uid="{D76D49BA-CADC-45EE-B40C-11554F16D31A}"/>
    <cellStyle name="Date" xfId="746" xr:uid="{7DC93C25-8CDC-47CC-98A0-55D7608E7960}"/>
    <cellStyle name="Date 2" xfId="747" xr:uid="{C90C5BCF-32A0-4CC4-9A78-00A070751BFE}"/>
    <cellStyle name="donn_normal" xfId="37" xr:uid="{B9A3DA9A-7AAE-45A3-A1EC-BEA13B14A2A8}"/>
    <cellStyle name="ent_col_ser" xfId="38" xr:uid="{4495E80B-4AF8-4C39-801F-8C50C4F3F170}"/>
    <cellStyle name="entete_source" xfId="39" xr:uid="{7CB65DD2-B939-4C25-A62E-2D9986FBB9BC}"/>
    <cellStyle name="Euro" xfId="40" xr:uid="{211578DF-7563-490F-82DD-8BF8CAE8C736}"/>
    <cellStyle name="Euro 2" xfId="748" xr:uid="{BD351E07-95B5-4B40-99B9-0E0EE6D3BBFF}"/>
    <cellStyle name="Euro 2 2" xfId="749" xr:uid="{7BCD516D-2986-45B4-A6A8-7B5C30345599}"/>
    <cellStyle name="Euro 2 2 2" xfId="750" xr:uid="{6EEB7D8B-1B81-44DF-A5AF-83B75435FAF9}"/>
    <cellStyle name="Euro 2 2 2 2" xfId="1999" xr:uid="{E7EDAFFF-15D3-4326-AA8D-B3078D9F793A}"/>
    <cellStyle name="Euro 2 2 3" xfId="1998" xr:uid="{0483B289-163E-4513-8B06-9D769F2D2603}"/>
    <cellStyle name="Euro 2 3" xfId="751" xr:uid="{87B6C7F1-B157-462A-9926-35B1046C2F8B}"/>
    <cellStyle name="Euro 2 3 2" xfId="2000" xr:uid="{DB4AE1B1-FFEB-4BDF-9043-2B5FFBC5C81C}"/>
    <cellStyle name="Euro 2 4" xfId="1997" xr:uid="{7EB78A9F-AD50-47B7-B131-F006D1AEF54A}"/>
    <cellStyle name="Euro 3" xfId="752" xr:uid="{76D24B08-B9E0-45DF-BF6A-4FA3DEC83DD1}"/>
    <cellStyle name="Euro 3 2" xfId="2001" xr:uid="{A9D6CF89-EB6F-4E8D-B70E-BD6CE94FBCC4}"/>
    <cellStyle name="Euro 4" xfId="753" xr:uid="{1AD91319-6713-43A9-9710-51884536156F}"/>
    <cellStyle name="Euro 4 2" xfId="2002" xr:uid="{22C15496-91FD-46A1-A87A-06E7F4B16B48}"/>
    <cellStyle name="Euro 5" xfId="1996" xr:uid="{299151C7-B521-445F-8016-B804D78EEDC3}"/>
    <cellStyle name="Explanatory Text 2" xfId="41" xr:uid="{921DEA44-BA6B-419E-8819-2E43B5DCA821}"/>
    <cellStyle name="Explanatory Text 2 10" xfId="754" xr:uid="{A3480412-96DB-4E4C-BA42-5192CB7BF64C}"/>
    <cellStyle name="Explanatory Text 2 2" xfId="755" xr:uid="{28A813ED-08A9-499A-A694-578E39D84DA3}"/>
    <cellStyle name="Explanatory Text 2 3" xfId="756" xr:uid="{7197AAE6-A79C-4AE2-AD83-C5968736DF02}"/>
    <cellStyle name="Explanatory Text 2 4" xfId="757" xr:uid="{D0F76D6D-52F6-4A91-BAE3-1EBD45EBC660}"/>
    <cellStyle name="Explanatory Text 2 5" xfId="758" xr:uid="{3038C4F2-A68E-4C29-886A-FA3FC369BB27}"/>
    <cellStyle name="Explanatory Text 2 6" xfId="759" xr:uid="{A3CA9121-B9D5-4B75-BE95-F2480D195184}"/>
    <cellStyle name="Explanatory Text 2 7" xfId="760" xr:uid="{78D21B76-DC0D-471B-A3F6-9E6C2C2DE10E}"/>
    <cellStyle name="Explanatory Text 2 8" xfId="761" xr:uid="{5A3384E3-8A80-4AF5-9F22-FBC873F2054C}"/>
    <cellStyle name="Explanatory Text 2 9" xfId="762" xr:uid="{24CB9FAB-B4DA-4C21-BCA8-FAE20127D08E}"/>
    <cellStyle name="Explanatory Text 3" xfId="763" xr:uid="{135FD5C0-0152-46FE-85E2-8C3E9920E87B}"/>
    <cellStyle name="Fixed" xfId="764" xr:uid="{BF5A4AF2-1803-4964-B8A6-D5EE28927D58}"/>
    <cellStyle name="Fixed 2" xfId="765" xr:uid="{8DB4B9A1-9161-43FB-874F-EB296F3367B2}"/>
    <cellStyle name="Float" xfId="42" xr:uid="{FB3B9623-4E8F-4FE7-B3C0-D461F89F9078}"/>
    <cellStyle name="Float 2" xfId="43" xr:uid="{A0A0FDA0-1E79-4721-9CC9-9AE67EA9F6E7}"/>
    <cellStyle name="Good 2" xfId="44" xr:uid="{F67440DD-1F35-4B83-9846-1B30DD8F0B3F}"/>
    <cellStyle name="Good 2 10" xfId="766" xr:uid="{64CEFCBB-A278-4C67-96D8-1B055279B1C1}"/>
    <cellStyle name="Good 2 2" xfId="767" xr:uid="{DF44FE61-17EA-4570-AF12-A3A5418F5DE0}"/>
    <cellStyle name="Good 2 3" xfId="768" xr:uid="{F8F4B235-EBE5-406D-A725-D8865D974427}"/>
    <cellStyle name="Good 2 4" xfId="769" xr:uid="{7DF18A92-41FA-4577-B756-35B07A657048}"/>
    <cellStyle name="Good 2 5" xfId="770" xr:uid="{D70AAF6C-84E4-4D09-AE45-A86003359A40}"/>
    <cellStyle name="Good 2 6" xfId="771" xr:uid="{610AF59C-A13F-47D8-9768-08D1D425B300}"/>
    <cellStyle name="Good 2 7" xfId="772" xr:uid="{43E46E21-9343-4A8A-AE7D-37EE9CDD6F48}"/>
    <cellStyle name="Good 2 8" xfId="773" xr:uid="{72275045-7E32-488C-96E0-8A713ECF9AED}"/>
    <cellStyle name="Good 2 9" xfId="774" xr:uid="{F34BDD97-885F-4B62-8546-CAFA0B551D28}"/>
    <cellStyle name="Good 3" xfId="775" xr:uid="{3FA2D7A1-5E92-419A-917B-C8576696B545}"/>
    <cellStyle name="Good 3 2" xfId="776" xr:uid="{293913E9-64B4-4E7E-B8B5-BDD45E609F76}"/>
    <cellStyle name="Heading 1 2" xfId="45" xr:uid="{196B543F-E9AA-4963-ACC1-E8780CF0F950}"/>
    <cellStyle name="Heading 1 2 10" xfId="777" xr:uid="{48EC9CD5-ECF7-454F-BA83-462D8C1028B6}"/>
    <cellStyle name="Heading 1 2 2" xfId="778" xr:uid="{8CD86CA3-904F-4866-BA80-042A23592F23}"/>
    <cellStyle name="Heading 1 2 3" xfId="779" xr:uid="{3C10FD1E-0E66-4C30-B977-9FB329DA3D29}"/>
    <cellStyle name="Heading 1 2 4" xfId="780" xr:uid="{5CCAB020-9BC6-48DE-ABEA-6D09F0C002F4}"/>
    <cellStyle name="Heading 1 2 5" xfId="781" xr:uid="{B2B05FB4-0A64-42A5-B5D0-AF798F49D1EF}"/>
    <cellStyle name="Heading 1 2 6" xfId="782" xr:uid="{C3452865-BE3D-4073-8286-F7B5CBB659F7}"/>
    <cellStyle name="Heading 1 2 7" xfId="783" xr:uid="{EA43E436-114C-4CDE-9CC9-D56749A04F67}"/>
    <cellStyle name="Heading 1 2 8" xfId="784" xr:uid="{1D59FD4B-CF48-427B-A19D-EC535AC2C83D}"/>
    <cellStyle name="Heading 1 2 9" xfId="785" xr:uid="{A391AE2A-678D-497B-BA2D-6CB82B4A3CE5}"/>
    <cellStyle name="Heading 1 3" xfId="786" xr:uid="{26937B3A-7E81-4D5A-BCC7-E10D5040E79D}"/>
    <cellStyle name="Heading 1 3 2" xfId="787" xr:uid="{D583529D-60E9-4D8A-AF3A-314F0F4B794A}"/>
    <cellStyle name="Heading 2 2" xfId="46" xr:uid="{2AEA89E4-853A-4812-BE6E-1E82D139EEF0}"/>
    <cellStyle name="Heading 2 2 10" xfId="788" xr:uid="{EF2F48CD-D32E-40B5-8398-6E5F84A25933}"/>
    <cellStyle name="Heading 2 2 2" xfId="789" xr:uid="{BF3E6031-5EC6-4941-94B0-C5B490A2BFE6}"/>
    <cellStyle name="Heading 2 2 3" xfId="790" xr:uid="{C25CE5D8-6506-403E-AF23-08EA7A45386D}"/>
    <cellStyle name="Heading 2 2 4" xfId="791" xr:uid="{7D76E713-AF2A-45CE-BE00-8A042575797F}"/>
    <cellStyle name="Heading 2 2 5" xfId="792" xr:uid="{F59F428A-7D43-41E9-996C-EB44880B122C}"/>
    <cellStyle name="Heading 2 2 6" xfId="793" xr:uid="{17C54019-1A10-4D91-A4C0-A89D582802CA}"/>
    <cellStyle name="Heading 2 2 7" xfId="794" xr:uid="{BB845397-E5E3-49FB-AE82-4881BD3C03F5}"/>
    <cellStyle name="Heading 2 2 8" xfId="795" xr:uid="{25619555-6A5D-41AE-8626-930BFD797060}"/>
    <cellStyle name="Heading 2 2 9" xfId="796" xr:uid="{04A767D1-788D-46AD-A8D5-DDF18C33CCCF}"/>
    <cellStyle name="Heading 2 3" xfId="797" xr:uid="{28486036-CD57-4A07-9A3E-1D2BA67C907B}"/>
    <cellStyle name="Heading 2 3 2" xfId="798" xr:uid="{7552E736-F610-4C89-BFD3-42C15FCF5146}"/>
    <cellStyle name="Heading 3 2" xfId="47" xr:uid="{ACF54FA1-F9DA-47CB-9F6A-24E1B8BA5EEE}"/>
    <cellStyle name="Heading 3 2 10" xfId="799" xr:uid="{9D36CB93-536F-47E7-9247-90AA111D677D}"/>
    <cellStyle name="Heading 3 2 2" xfId="800" xr:uid="{C4D0242B-2210-4486-8CD4-7894803DDD6D}"/>
    <cellStyle name="Heading 3 2 3" xfId="801" xr:uid="{3910F9A0-CCD4-4B5E-8988-CAC7489B2311}"/>
    <cellStyle name="Heading 3 2 4" xfId="802" xr:uid="{7803A075-5669-4A96-9398-6C6A7A3ACB4E}"/>
    <cellStyle name="Heading 3 2 5" xfId="803" xr:uid="{4D474E8F-D5C8-47D5-8A23-B12917EACC1A}"/>
    <cellStyle name="Heading 3 2 6" xfId="804" xr:uid="{2764D3C5-7B73-4F24-9393-AE8F0607BE56}"/>
    <cellStyle name="Heading 3 2 7" xfId="805" xr:uid="{9D870F0F-CC8A-425E-A66F-7263EE6B9647}"/>
    <cellStyle name="Heading 3 2 8" xfId="806" xr:uid="{F0125C90-70E6-4EB0-B129-C14A6A8A3949}"/>
    <cellStyle name="Heading 3 2 9" xfId="807" xr:uid="{D486D7AB-2E76-4833-8169-D052799957CB}"/>
    <cellStyle name="Heading 3 3" xfId="808" xr:uid="{7DBFA503-1797-4C02-AD9E-062C59F48187}"/>
    <cellStyle name="Heading 3 3 2" xfId="809" xr:uid="{335D2755-6124-4569-BB95-7497F91426E3}"/>
    <cellStyle name="Heading 4 2" xfId="48" xr:uid="{15EF9765-8EE2-4600-BA39-6E9E8FE1E62F}"/>
    <cellStyle name="Heading 4 2 10" xfId="810" xr:uid="{356E468F-FB93-44AC-8403-D0A7A99EC4E4}"/>
    <cellStyle name="Heading 4 2 2" xfId="811" xr:uid="{9D2EEB87-D9E2-47FC-AF5C-FB5F95151D48}"/>
    <cellStyle name="Heading 4 2 3" xfId="812" xr:uid="{4461BEB1-B612-46A7-9AB5-A4740CDBF6F0}"/>
    <cellStyle name="Heading 4 2 4" xfId="813" xr:uid="{25EEEBEE-4598-4D45-AFB3-2A02B7E88C30}"/>
    <cellStyle name="Heading 4 2 5" xfId="814" xr:uid="{9000BDD3-91DB-4232-8F05-402B4B511F41}"/>
    <cellStyle name="Heading 4 2 6" xfId="815" xr:uid="{143734F2-1122-408E-A72F-416F6ACEA7A5}"/>
    <cellStyle name="Heading 4 2 7" xfId="816" xr:uid="{C4594A08-265C-4A2D-8FEC-60E91C807915}"/>
    <cellStyle name="Heading 4 2 8" xfId="817" xr:uid="{BAE65914-AFF2-4F76-AB84-254FF36CD765}"/>
    <cellStyle name="Heading 4 2 9" xfId="818" xr:uid="{DB0E8C41-4A1C-4380-983E-FFF9B36B96A0}"/>
    <cellStyle name="Heading 4 3" xfId="819" xr:uid="{FA6A3712-A62B-434F-BBDB-A573FABAECEE}"/>
    <cellStyle name="Heading 4 3 2" xfId="820" xr:uid="{FF94D0D8-4F4D-4958-9EF6-30FD5C608054}"/>
    <cellStyle name="Heading1" xfId="821" xr:uid="{32BC929E-9C65-4DA4-8840-769CE42BA9DF}"/>
    <cellStyle name="Heading1 2" xfId="822" xr:uid="{84A0FFB7-98B7-40CB-9D5D-0049FB68B126}"/>
    <cellStyle name="Heading2" xfId="823" xr:uid="{5452DEB4-5AA8-4D56-A724-4883B678E02E}"/>
    <cellStyle name="Heading2 2" xfId="824" xr:uid="{4371747C-016E-4F5D-AFFA-3413A3914F1B}"/>
    <cellStyle name="Hyperlink 2" xfId="49" xr:uid="{9C8FA148-3F84-4B3A-BA65-92004AE7C296}"/>
    <cellStyle name="Input 2" xfId="50" xr:uid="{844AF1EE-7026-4625-A376-EC2011CBD279}"/>
    <cellStyle name="Input 2 10" xfId="825" xr:uid="{3B536C56-5126-45F7-AC17-FC18D27E5570}"/>
    <cellStyle name="Input 2 2" xfId="826" xr:uid="{2AF890ED-AFD4-480B-BC24-FD0016A9CA97}"/>
    <cellStyle name="Input 2 3" xfId="827" xr:uid="{78576672-86C8-4D0A-AEEB-6511613B0D9B}"/>
    <cellStyle name="Input 2 4" xfId="828" xr:uid="{F45BB929-0A58-469A-A698-3DDBCF020917}"/>
    <cellStyle name="Input 2 5" xfId="829" xr:uid="{A950DFAD-F557-406E-B4CE-92782B06A48C}"/>
    <cellStyle name="Input 2 6" xfId="830" xr:uid="{F82CA564-135E-4AB0-9B1C-6A664028F58F}"/>
    <cellStyle name="Input 2 7" xfId="831" xr:uid="{459DD172-7284-458D-A183-08064E015A54}"/>
    <cellStyle name="Input 2 8" xfId="832" xr:uid="{E796CA38-C586-4659-840A-58ADCB435225}"/>
    <cellStyle name="Input 2 9" xfId="833" xr:uid="{05C75CA7-D2A8-45A6-B5B7-A802B6257185}"/>
    <cellStyle name="Input 3" xfId="834" xr:uid="{3E305C07-4619-4D66-B913-05CEB7C11110}"/>
    <cellStyle name="Input 3 2" xfId="835" xr:uid="{CEA86F7A-8C14-4330-9B12-6B6B0DDA895B}"/>
    <cellStyle name="InputCells" xfId="836" xr:uid="{07934199-61FF-441A-A1CA-8726BE390353}"/>
    <cellStyle name="ligne_titre_0" xfId="51" xr:uid="{56A1E0EF-0814-4E64-93BB-B844ACA5098E}"/>
    <cellStyle name="Linked Cell 2" xfId="52" xr:uid="{351D4B08-7859-4BE4-9474-7042FE93C63A}"/>
    <cellStyle name="Linked Cell 2 10" xfId="837" xr:uid="{F45A824E-CB0D-4B3D-900F-21E9D495DAC1}"/>
    <cellStyle name="Linked Cell 2 2" xfId="838" xr:uid="{9220787F-5954-4A6F-B895-45D371DE012A}"/>
    <cellStyle name="Linked Cell 2 3" xfId="839" xr:uid="{3565D5D4-D6B7-4AFF-9B4E-85DA59965332}"/>
    <cellStyle name="Linked Cell 2 4" xfId="840" xr:uid="{781E3AAB-53CE-4B8C-9142-B28456D47382}"/>
    <cellStyle name="Linked Cell 2 5" xfId="841" xr:uid="{903C16DE-336C-4997-8D69-AC01FBA93691}"/>
    <cellStyle name="Linked Cell 2 6" xfId="842" xr:uid="{66580440-8E2F-42A2-8041-C12768788CC8}"/>
    <cellStyle name="Linked Cell 2 7" xfId="843" xr:uid="{F34A8361-086A-4DCE-B92C-203C707CC10D}"/>
    <cellStyle name="Linked Cell 2 8" xfId="844" xr:uid="{FDEA09A6-98BA-4BD4-BFD7-90180A1C137D}"/>
    <cellStyle name="Linked Cell 2 9" xfId="845" xr:uid="{B112A59C-6D36-4F87-B4A3-DC666B72081A}"/>
    <cellStyle name="Linked Cell 3" xfId="846" xr:uid="{08D478C0-EA22-4E02-959A-EB3437FD8B97}"/>
    <cellStyle name="Linked Cell 3 2" xfId="847" xr:uid="{02E48040-ECA1-4427-AD84-2B74D68F8E7F}"/>
    <cellStyle name="Migliaia_Oil&amp;Gas IFE ARC POLITO" xfId="848" xr:uid="{21B07F3E-1115-4F69-9D01-8676F25BD6C3}"/>
    <cellStyle name="Neutral 2" xfId="53" xr:uid="{420469B5-81D7-4998-8C77-B4DE85B89F1B}"/>
    <cellStyle name="Neutral 2 10" xfId="849" xr:uid="{AA20172A-463B-4EBC-8DAB-93A89B844982}"/>
    <cellStyle name="Neutral 2 2" xfId="850" xr:uid="{DCE38835-2014-456E-B459-8341EDE3CFB4}"/>
    <cellStyle name="Neutral 2 3" xfId="851" xr:uid="{DBE9958D-1413-43D5-B76C-B728CD4FF8CD}"/>
    <cellStyle name="Neutral 2 4" xfId="852" xr:uid="{B79A1A5F-5E27-47BC-B275-0480360CB7C8}"/>
    <cellStyle name="Neutral 2 5" xfId="853" xr:uid="{A91F8EEA-AA6D-43EE-B473-D61BDB54B9C3}"/>
    <cellStyle name="Neutral 2 6" xfId="854" xr:uid="{BA3E481C-7DF3-4CE9-B7FD-F848D88D4109}"/>
    <cellStyle name="Neutral 2 7" xfId="855" xr:uid="{36047CFD-FDC5-4F12-A218-B07A1E3ADCB1}"/>
    <cellStyle name="Neutral 2 8" xfId="856" xr:uid="{DAE0DAFD-AD00-4DAE-B8BD-7DED3CB71B55}"/>
    <cellStyle name="Neutral 2 9" xfId="857" xr:uid="{097226B3-C18F-4760-91FB-4B0352706D43}"/>
    <cellStyle name="Neutral 3" xfId="858" xr:uid="{02BACA39-7D7D-43CF-8AA7-F4C75B34D158}"/>
    <cellStyle name="Neutral 3 2" xfId="859" xr:uid="{6ABF6257-0A84-4BFA-92B7-94473D58AAC1}"/>
    <cellStyle name="Normal" xfId="0" builtinId="0"/>
    <cellStyle name="Normal 10" xfId="54" xr:uid="{18E5D7BF-F5BC-42C1-88AE-2B5FC342522A}"/>
    <cellStyle name="Normal 10 2" xfId="860" xr:uid="{C4D91A62-9900-49C8-A264-9F01AEC17868}"/>
    <cellStyle name="Normal 10 2 2" xfId="2004" xr:uid="{4FA14E4F-52C6-4088-B7BB-164A3CC88BCF}"/>
    <cellStyle name="Normal 10 3" xfId="861" xr:uid="{7F1BB5C6-6E18-4AF8-91CB-32B4CE99468D}"/>
    <cellStyle name="Normal 10 3 2" xfId="2005" xr:uid="{B8EADC78-9DE7-46B5-B751-5C70F18F59B1}"/>
    <cellStyle name="Normal 10 4" xfId="862" xr:uid="{7599AE6C-2CDE-4022-BF04-24AB8808AA67}"/>
    <cellStyle name="Normal 10 4 2" xfId="2006" xr:uid="{910E2E86-B1AD-42C9-B7E1-84C24A355FE0}"/>
    <cellStyle name="Normal 10 5" xfId="863" xr:uid="{3E7C8E59-E2F3-43C8-BDD1-446FA15BCD27}"/>
    <cellStyle name="Normal 10 5 2" xfId="2007" xr:uid="{81D079B2-706C-4778-AB0B-A62E90178E22}"/>
    <cellStyle name="Normal 10 6" xfId="864" xr:uid="{EB46DCA9-B5F6-418D-81F6-0CCEF14A204E}"/>
    <cellStyle name="Normal 10 6 2" xfId="2008" xr:uid="{B645DBE1-74C8-4D1F-AEE9-5A1ACC57F398}"/>
    <cellStyle name="Normal 10 7" xfId="865" xr:uid="{F784DD81-086B-4FF7-AD1E-DFDA36EF6891}"/>
    <cellStyle name="Normal 10 7 2" xfId="2009" xr:uid="{6BD1FEC2-02F7-4CEE-82A2-ADF7470927BD}"/>
    <cellStyle name="Normal 10 8" xfId="866" xr:uid="{E76D7D85-AB3B-4186-936E-4C74945E4276}"/>
    <cellStyle name="Normal 10 8 2" xfId="2010" xr:uid="{EFBE9D73-CBDA-44D8-B0DC-6EA1196390FF}"/>
    <cellStyle name="Normal 10 9" xfId="2003" xr:uid="{6C71EB93-A18F-4662-9ED1-EB70B9F7614D}"/>
    <cellStyle name="Normal 11" xfId="867" xr:uid="{75BE99E2-046A-4873-9975-263AED5E0572}"/>
    <cellStyle name="Normal 11 2" xfId="868" xr:uid="{B4A2BD86-1F35-4DE3-8AEB-04F22CC1C9AB}"/>
    <cellStyle name="Normal 11 2 2" xfId="2012" xr:uid="{D8F1CCB8-18B8-44D4-863E-1F9ED08FF0F2}"/>
    <cellStyle name="Normal 11 3" xfId="869" xr:uid="{633C2A68-14D7-489F-851A-CE2DBA2BF28B}"/>
    <cellStyle name="Normal 11 3 2" xfId="2013" xr:uid="{713045B1-3A30-4BFD-BD9D-4B7152C21E64}"/>
    <cellStyle name="Normal 11 4" xfId="870" xr:uid="{A232B354-5D7E-41E4-ADFA-2029EB672ED3}"/>
    <cellStyle name="Normal 11 4 2" xfId="2014" xr:uid="{2FAF3B73-DC73-4ADE-B02A-8455030217FC}"/>
    <cellStyle name="Normal 11 5" xfId="871" xr:uid="{7F396DED-1C9C-406E-B38B-DA0360FEC6D5}"/>
    <cellStyle name="Normal 11 5 2" xfId="2015" xr:uid="{9C24A1A7-A840-46D1-A248-41D3467C265E}"/>
    <cellStyle name="Normal 11 6" xfId="872" xr:uid="{DC054416-FEF4-4501-A698-04765340C5B3}"/>
    <cellStyle name="Normal 11 6 2" xfId="2016" xr:uid="{928E85D9-71E0-42F4-AF2D-1A58CB54ECA6}"/>
    <cellStyle name="Normal 11 7" xfId="873" xr:uid="{7D683295-92C3-48C6-8F13-9496B4721FB1}"/>
    <cellStyle name="Normal 11 7 2" xfId="2017" xr:uid="{EEA0BA51-B831-45BC-9A98-B0533EEB3751}"/>
    <cellStyle name="Normal 11 8" xfId="874" xr:uid="{1F591F0D-C47A-4489-9EE4-775287C23F69}"/>
    <cellStyle name="Normal 11 8 2" xfId="2018" xr:uid="{7F7DB638-2240-45A0-815B-ACB2053DF51B}"/>
    <cellStyle name="Normal 11 9" xfId="2011" xr:uid="{1F6803D8-3C1A-4C2E-AEF2-7D3366BEE33E}"/>
    <cellStyle name="Normal 12" xfId="875" xr:uid="{87225925-D2FC-4E3F-9395-DC6D0D7F305E}"/>
    <cellStyle name="Normal 12 2" xfId="876" xr:uid="{AEB81FB6-EAE9-48DD-8ECE-EB72125D4BF7}"/>
    <cellStyle name="Normal 12 2 2" xfId="2020" xr:uid="{D0646096-7C44-405E-82A5-E40C2D330837}"/>
    <cellStyle name="Normal 12 3" xfId="877" xr:uid="{05CC7A0B-F154-41C4-BAC4-E48D8045E02B}"/>
    <cellStyle name="Normal 12 3 2" xfId="2021" xr:uid="{50230C3D-A7DC-486D-BAE7-69479ECBE3C8}"/>
    <cellStyle name="Normal 12 4" xfId="878" xr:uid="{4FD638F9-4D25-43D8-8F70-5DF5A62A4705}"/>
    <cellStyle name="Normal 12 4 2" xfId="2022" xr:uid="{4B8ECB50-0270-4C12-8BCC-FC86FD000C31}"/>
    <cellStyle name="Normal 12 5" xfId="879" xr:uid="{031A1EE1-6C49-4818-99E6-3221A1B31AAF}"/>
    <cellStyle name="Normal 12 5 2" xfId="2023" xr:uid="{E5C240C0-C7F0-4006-B3A3-1C442D35D195}"/>
    <cellStyle name="Normal 12 6" xfId="880" xr:uid="{B7E5CFF1-94DE-440B-BB87-F893246E45FD}"/>
    <cellStyle name="Normal 12 6 2" xfId="2024" xr:uid="{98B2EA66-7169-4DBA-9739-A780B4D1D0FB}"/>
    <cellStyle name="Normal 12 7" xfId="881" xr:uid="{8379C823-0A4C-43C9-A1B6-94195BCAF8CE}"/>
    <cellStyle name="Normal 12 7 2" xfId="2025" xr:uid="{4712AFBF-5A0D-4757-86D7-451C3A04560C}"/>
    <cellStyle name="Normal 12 8" xfId="882" xr:uid="{43FF5B48-F3E8-4057-89B5-28976966D664}"/>
    <cellStyle name="Normal 12 8 2" xfId="2026" xr:uid="{5C187EA8-4301-44CB-90FA-6C152193AC31}"/>
    <cellStyle name="Normal 12 9" xfId="2019" xr:uid="{B7D2DF96-BFCF-417F-8A2C-FBD9AC685D2D}"/>
    <cellStyle name="Normal 13" xfId="883" xr:uid="{066DB6F5-7DA8-44CE-9B27-045BA78C2D0A}"/>
    <cellStyle name="Normal 13 10" xfId="884" xr:uid="{77B5FD8B-5BEC-432F-A7C6-C541471B5E82}"/>
    <cellStyle name="Normal 13 10 2" xfId="2028" xr:uid="{77199EAA-EEF2-46B4-9921-DB2370318256}"/>
    <cellStyle name="Normal 13 10 2 2" xfId="3357" xr:uid="{CDEBBE33-E418-49F1-A6E6-E53E1D4B31BF}"/>
    <cellStyle name="Normal 13 10 3" xfId="3065" xr:uid="{8780FDD4-B40B-4CEB-99EA-D5197A4B667E}"/>
    <cellStyle name="Normal 13 11" xfId="885" xr:uid="{C6AE0934-288E-45D6-9126-8958A66747F8}"/>
    <cellStyle name="Normal 13 11 2" xfId="2029" xr:uid="{562510D3-367E-4336-B699-79946458B674}"/>
    <cellStyle name="Normal 13 11 2 2" xfId="3358" xr:uid="{0DD4DF61-A305-408F-84D9-FEF635B55420}"/>
    <cellStyle name="Normal 13 11 3" xfId="3066" xr:uid="{0F3CEA15-4356-4FE2-9E31-417CD92F1D90}"/>
    <cellStyle name="Normal 13 12" xfId="886" xr:uid="{D9DC8388-59A1-4DA3-ADB6-2FD83191E840}"/>
    <cellStyle name="Normal 13 13" xfId="887" xr:uid="{C26398BC-9356-4280-B700-6808E82FA99C}"/>
    <cellStyle name="Normal 13 13 2" xfId="2030" xr:uid="{580FFDE0-FF9B-4A13-8B5C-C2F70414F09E}"/>
    <cellStyle name="Normal 13 13 2 2" xfId="3359" xr:uid="{7C37CAE7-0BD1-4E73-961B-40A0488635C1}"/>
    <cellStyle name="Normal 13 13 3" xfId="3067" xr:uid="{1C5A1A08-E5E2-48A0-810B-5C421D25B861}"/>
    <cellStyle name="Normal 13 14" xfId="888" xr:uid="{C571F364-7206-42AB-AF86-3C4DFAFF887C}"/>
    <cellStyle name="Normal 13 14 2" xfId="2031" xr:uid="{4D85F0C6-02BD-43C3-A6E3-516A7B564C45}"/>
    <cellStyle name="Normal 13 14 2 2" xfId="3360" xr:uid="{6FC8BB18-DA52-46AF-980A-21FEF79A0D68}"/>
    <cellStyle name="Normal 13 14 3" xfId="3068" xr:uid="{8F83E252-A9C4-44C1-8BB8-8E81DFC7F05C}"/>
    <cellStyle name="Normal 13 15" xfId="889" xr:uid="{9807F0A2-01C1-44A7-8DDD-7BE2BF6C6DCE}"/>
    <cellStyle name="Normal 13 15 2" xfId="2032" xr:uid="{2DE64690-E114-4981-A632-AA65943C6F36}"/>
    <cellStyle name="Normal 13 15 2 2" xfId="3361" xr:uid="{692779B4-D932-4627-B05A-6A7E1ADC1FA8}"/>
    <cellStyle name="Normal 13 15 3" xfId="3069" xr:uid="{EC833B87-111C-4B22-B8DE-FA9197DAA697}"/>
    <cellStyle name="Normal 13 16" xfId="890" xr:uid="{61A74898-9052-492D-9FB6-55C2504817DC}"/>
    <cellStyle name="Normal 13 16 2" xfId="2033" xr:uid="{4F300640-6CFD-4AAF-8FD3-8C687A2F51E2}"/>
    <cellStyle name="Normal 13 16 2 2" xfId="3362" xr:uid="{22757CEF-9E0A-4184-BDEE-B4C559B39AB3}"/>
    <cellStyle name="Normal 13 16 3" xfId="3070" xr:uid="{8B496C7B-C08D-4411-A543-10FAD11292D1}"/>
    <cellStyle name="Normal 13 17" xfId="891" xr:uid="{76D994C0-413B-4DB0-98F5-567201C8D1F7}"/>
    <cellStyle name="Normal 13 18" xfId="892" xr:uid="{96982D9F-5A2A-4596-8715-2DA390484A83}"/>
    <cellStyle name="Normal 13 19" xfId="893" xr:uid="{58123700-7C5F-490A-943A-9F4DA35597FF}"/>
    <cellStyle name="Normal 13 2" xfId="894" xr:uid="{2E943942-FE8F-4D6F-B2D0-C8ABFA9EB540}"/>
    <cellStyle name="Normal 13 2 2" xfId="895" xr:uid="{75FA7A20-4945-4FF9-8A86-6A0CF8C62AE9}"/>
    <cellStyle name="Normal 13 2 2 2" xfId="2034" xr:uid="{8B99C853-4D75-47FD-950D-7FB3315B564D}"/>
    <cellStyle name="Normal 13 2 2 2 2" xfId="3363" xr:uid="{D58A5F9A-21A3-460B-B4B5-07338BD7C57D}"/>
    <cellStyle name="Normal 13 2 2 3" xfId="3071" xr:uid="{9243C05B-DCD1-40F3-9E4E-FF3D1B29A254}"/>
    <cellStyle name="Normal 13 2 3" xfId="896" xr:uid="{47FA3266-A437-4378-94C8-6955EB526A7A}"/>
    <cellStyle name="Normal 13 2 3 2" xfId="2035" xr:uid="{81816042-5CFF-4FE5-9242-DE87A8BF262E}"/>
    <cellStyle name="Normal 13 2 3 2 2" xfId="3364" xr:uid="{AD02F7BF-1C58-4D3A-BE1C-B5C579E63089}"/>
    <cellStyle name="Normal 13 2 3 3" xfId="3072" xr:uid="{0444F87D-8978-40FA-AA23-6AB1A2FFBADE}"/>
    <cellStyle name="Normal 13 2 4" xfId="897" xr:uid="{45A6B456-FDE8-40F1-B173-0B553450D379}"/>
    <cellStyle name="Normal 13 2 4 2" xfId="2036" xr:uid="{4D723B67-345F-4D50-850B-F9E177473EFF}"/>
    <cellStyle name="Normal 13 2 4 2 2" xfId="3365" xr:uid="{9C0627C4-1853-4915-9CA8-4FF922CC2E90}"/>
    <cellStyle name="Normal 13 2 4 3" xfId="3073" xr:uid="{7E6FA25B-38BC-4CDB-8C4B-A8FCF44F6E93}"/>
    <cellStyle name="Normal 13 2 5" xfId="898" xr:uid="{40027DF2-C4A2-48FC-B89A-8F4092D6CEEB}"/>
    <cellStyle name="Normal 13 2 5 2" xfId="2037" xr:uid="{351044B6-47D7-4DCC-9FBC-2390A27BC4B7}"/>
    <cellStyle name="Normal 13 2 5 2 2" xfId="3366" xr:uid="{FB23D274-9270-4951-A620-1E683944AA57}"/>
    <cellStyle name="Normal 13 2 5 3" xfId="3074" xr:uid="{03CEB059-2F6A-4969-BC32-29F391EAEAB4}"/>
    <cellStyle name="Normal 13 2 6" xfId="899" xr:uid="{4D70F1B0-C08A-4900-89B6-D545B461334C}"/>
    <cellStyle name="Normal 13 2 6 2" xfId="2038" xr:uid="{A0AA6775-EE46-4D0C-AEF1-814B52C46B4C}"/>
    <cellStyle name="Normal 13 2 6 2 2" xfId="3367" xr:uid="{B76AECD2-0A91-4061-9890-1BF09E79F7B2}"/>
    <cellStyle name="Normal 13 2 6 3" xfId="3075" xr:uid="{2460FF89-006E-4418-8EB6-C909A8F98AF6}"/>
    <cellStyle name="Normal 13 2 7" xfId="900" xr:uid="{43D1F245-20CF-4C1D-BDF3-1F481D07E4C0}"/>
    <cellStyle name="Normal 13 2 7 2" xfId="2039" xr:uid="{AA20E59D-B8E3-4A74-96A4-CF984E4BEC65}"/>
    <cellStyle name="Normal 13 2 7 2 2" xfId="3368" xr:uid="{0B1C3539-3236-420C-8121-688DB28C3CF0}"/>
    <cellStyle name="Normal 13 2 7 3" xfId="3076" xr:uid="{D8E6C191-A6ED-4FAD-BDE4-8453EEAF14A3}"/>
    <cellStyle name="Normal 13 2 8" xfId="901" xr:uid="{3BC912E9-B54C-4082-A561-516A0CADFAE2}"/>
    <cellStyle name="Normal 13 2 8 2" xfId="2040" xr:uid="{2CDB8F4F-27FB-4F90-9B54-36CFA6114CBD}"/>
    <cellStyle name="Normal 13 2 8 2 2" xfId="3369" xr:uid="{D69D9EEB-2233-4C7C-8A1E-72B50E6DF17C}"/>
    <cellStyle name="Normal 13 2 8 3" xfId="3077" xr:uid="{DF9B4CCE-8F3A-43A1-B23E-36704E3FEF91}"/>
    <cellStyle name="Normal 13 20" xfId="902" xr:uid="{757A48B4-231F-44A1-9FAC-5EEB28E804FE}"/>
    <cellStyle name="Normal 13 21" xfId="903" xr:uid="{78DC96D1-F89E-45DB-B2E0-28105BCD2495}"/>
    <cellStyle name="Normal 13 22" xfId="904" xr:uid="{1E5243B8-25AF-45E7-9CB7-7D568556BB00}"/>
    <cellStyle name="Normal 13 23" xfId="905" xr:uid="{BBAF47BF-6FCD-41FB-9758-5C1289C081F3}"/>
    <cellStyle name="Normal 13 23 2" xfId="2041" xr:uid="{103DCCA6-A0CE-4D52-821A-190C2EE41C7E}"/>
    <cellStyle name="Normal 13 24" xfId="906" xr:uid="{719E4C3D-F23F-41B5-8838-83316C49C545}"/>
    <cellStyle name="Normal 13 24 2" xfId="2042" xr:uid="{DE7E217D-E877-40FA-A73B-1A7A6B88C063}"/>
    <cellStyle name="Normal 13 25" xfId="907" xr:uid="{B8B5E527-1A79-43C8-94E7-74C65616ACD5}"/>
    <cellStyle name="Normal 13 25 2" xfId="2043" xr:uid="{CF22F986-D27E-4AF0-8015-98D0046A525D}"/>
    <cellStyle name="Normal 13 26" xfId="908" xr:uid="{A2741EB8-FE12-48AC-B0E2-965BA475A2AB}"/>
    <cellStyle name="Normal 13 26 2" xfId="2044" xr:uid="{8715B1B6-9954-4D5E-9CD1-782474446683}"/>
    <cellStyle name="Normal 13 27" xfId="909" xr:uid="{4D2B3563-7347-4A75-87B6-A481CB3F8209}"/>
    <cellStyle name="Normal 13 27 2" xfId="2045" xr:uid="{9DF91AC7-5721-45F6-AB81-C3EBA932C743}"/>
    <cellStyle name="Normal 13 28" xfId="910" xr:uid="{1B3E19E4-24E5-45C2-9892-3460AC4A5102}"/>
    <cellStyle name="Normal 13 28 2" xfId="2046" xr:uid="{B0EF9C73-8E72-4909-BF05-E22BCF70BA6C}"/>
    <cellStyle name="Normal 13 29" xfId="911" xr:uid="{A8491E19-00F1-42B5-AF34-60EF14220821}"/>
    <cellStyle name="Normal 13 29 2" xfId="2047" xr:uid="{914C354B-BB92-4DC1-A44B-E74CBB78A005}"/>
    <cellStyle name="Normal 13 3" xfId="912" xr:uid="{85A94149-5490-4A6F-81DD-F2AFA1DD7424}"/>
    <cellStyle name="Normal 13 3 2" xfId="2048" xr:uid="{69A8E908-2B3C-4AD0-8211-0412901C2BB4}"/>
    <cellStyle name="Normal 13 3 2 2" xfId="3370" xr:uid="{3F93F22F-7E58-4F41-B82E-46C85FE9D25E}"/>
    <cellStyle name="Normal 13 3 3" xfId="3078" xr:uid="{4A25C10C-94C8-47A1-ACE6-44C84488D74A}"/>
    <cellStyle name="Normal 13 30" xfId="913" xr:uid="{F85D2B3F-7581-4563-B24E-073D8C62385F}"/>
    <cellStyle name="Normal 13 30 2" xfId="2049" xr:uid="{1F335B6D-DB21-406F-A3DA-951F4811C9A4}"/>
    <cellStyle name="Normal 13 31" xfId="914" xr:uid="{75143D58-7CAF-44AD-B439-016F500FEE90}"/>
    <cellStyle name="Normal 13 31 2" xfId="2050" xr:uid="{7DB88771-8AEF-48E0-935A-B83004D68458}"/>
    <cellStyle name="Normal 13 32" xfId="915" xr:uid="{2CF7B90B-75C8-4F6E-980F-7A375291B307}"/>
    <cellStyle name="Normal 13 32 2" xfId="2051" xr:uid="{2AF65559-776D-427C-8E13-F63484D17F57}"/>
    <cellStyle name="Normal 13 33" xfId="916" xr:uid="{DE75BF9B-BF3A-4B85-B40C-70D6F4464C48}"/>
    <cellStyle name="Normal 13 33 2" xfId="2052" xr:uid="{4F92107B-1D4B-489F-9FA9-13D1E3261F03}"/>
    <cellStyle name="Normal 13 34" xfId="917" xr:uid="{06D21EDB-EE44-4123-A412-D48B3339B5E0}"/>
    <cellStyle name="Normal 13 34 2" xfId="2053" xr:uid="{4481437E-16A5-4959-8303-3CAD703C01E3}"/>
    <cellStyle name="Normal 13 35" xfId="918" xr:uid="{7C96F092-285B-4D34-BB31-72B31E85B9E5}"/>
    <cellStyle name="Normal 13 35 2" xfId="2054" xr:uid="{93984068-0EEB-47F8-B759-F4CFA1EC18A7}"/>
    <cellStyle name="Normal 13 36" xfId="919" xr:uid="{6B2FD4EE-45F1-4551-A360-B70315D0245B}"/>
    <cellStyle name="Normal 13 36 2" xfId="2055" xr:uid="{2C660A5A-789C-42B6-B4A7-59BFBF7C69B8}"/>
    <cellStyle name="Normal 13 37" xfId="920" xr:uid="{BB270631-4349-4BFC-A660-2D1B9654EAE4}"/>
    <cellStyle name="Normal 13 37 2" xfId="2056" xr:uid="{9B5447FE-54D3-45BB-A521-C31E4D653124}"/>
    <cellStyle name="Normal 13 38" xfId="921" xr:uid="{82F55A32-1CDF-44DD-B234-C1CE7BE25E73}"/>
    <cellStyle name="Normal 13 38 2" xfId="2057" xr:uid="{C0397212-87E2-47E3-BF97-9718CD34E221}"/>
    <cellStyle name="Normal 13 39" xfId="2027" xr:uid="{B3A1B7A0-4D60-4A69-9567-FDE9546C0846}"/>
    <cellStyle name="Normal 13 4" xfId="922" xr:uid="{613D42C9-8557-4570-AC17-6D6241AA1561}"/>
    <cellStyle name="Normal 13 4 2" xfId="2058" xr:uid="{1183DA22-B035-47BF-8AF2-6C63A35EB864}"/>
    <cellStyle name="Normal 13 4 2 2" xfId="3371" xr:uid="{E35BD23C-6536-4AD5-9C27-E86D50961AF1}"/>
    <cellStyle name="Normal 13 4 3" xfId="3079" xr:uid="{CEBF1AD3-4C09-40E1-A0E4-B49DC4758DD8}"/>
    <cellStyle name="Normal 13 5" xfId="923" xr:uid="{C0CB0F08-98AF-443B-A584-9A0DD965A4EE}"/>
    <cellStyle name="Normal 13 6" xfId="924" xr:uid="{57731C61-EC20-40C3-8649-7A0D86578631}"/>
    <cellStyle name="Normal 13 7" xfId="925" xr:uid="{273C8A02-5580-4616-A97C-91E95D7BB727}"/>
    <cellStyle name="Normal 13 8" xfId="926" xr:uid="{1F8BBD34-4C74-4A73-8E0A-DCAF7190265D}"/>
    <cellStyle name="Normal 13 9" xfId="927" xr:uid="{077B11D9-D220-435D-A706-35BD0724AC71}"/>
    <cellStyle name="Normal 13 9 2" xfId="2059" xr:uid="{6CF5D578-AB5E-4789-87AA-7DEA801569B9}"/>
    <cellStyle name="Normal 13 9 2 2" xfId="3372" xr:uid="{317477D7-8548-4788-A3BA-646B652C31CA}"/>
    <cellStyle name="Normal 13 9 3" xfId="3080" xr:uid="{A6B9D2B0-EC68-415D-B20A-F7B4F583345D}"/>
    <cellStyle name="Normal 14" xfId="928" xr:uid="{9C80462F-F66B-4CB3-AAB1-2483D85ADF31}"/>
    <cellStyle name="Normal 14 10" xfId="929" xr:uid="{B3AE341F-7318-4419-99F5-F430BFD92CFD}"/>
    <cellStyle name="Normal 14 10 2" xfId="2060" xr:uid="{46C904FE-D618-4BCD-B966-A8E044BFFA3B}"/>
    <cellStyle name="Normal 14 10 2 2" xfId="3373" xr:uid="{AD1413C0-BB78-4906-B81E-8F15A9E03798}"/>
    <cellStyle name="Normal 14 10 3" xfId="3081" xr:uid="{348256F6-2562-44E4-83DC-D1F4B570133E}"/>
    <cellStyle name="Normal 14 11" xfId="930" xr:uid="{E6C50250-61B8-4D77-8618-8F76AF89341D}"/>
    <cellStyle name="Normal 14 11 2" xfId="2061" xr:uid="{D11154AA-B953-4271-8254-E2DDAAEF1A9B}"/>
    <cellStyle name="Normal 14 11 2 2" xfId="3374" xr:uid="{4A0E641A-9FFB-4B47-B300-1B2DFF859F80}"/>
    <cellStyle name="Normal 14 11 3" xfId="3082" xr:uid="{096845DE-05B7-4A51-B822-F76BAA58D956}"/>
    <cellStyle name="Normal 14 12" xfId="931" xr:uid="{4C48296A-A11A-42DF-85A0-33B273760404}"/>
    <cellStyle name="Normal 14 12 2" xfId="2062" xr:uid="{CB44F6F6-3209-438A-8906-DEDD467DE103}"/>
    <cellStyle name="Normal 14 12 2 2" xfId="3375" xr:uid="{B1338005-B411-43B5-9677-C3B32EB39095}"/>
    <cellStyle name="Normal 14 12 3" xfId="3083" xr:uid="{0C61FD49-75E4-45CD-9295-203280254DDF}"/>
    <cellStyle name="Normal 14 13" xfId="932" xr:uid="{B865D8F8-FBA5-41DC-9E15-F3C01F3479A1}"/>
    <cellStyle name="Normal 14 13 2" xfId="2063" xr:uid="{AE685A64-F111-43AB-871B-2A5F788AFCD7}"/>
    <cellStyle name="Normal 14 13 2 2" xfId="3376" xr:uid="{B522C771-5836-4512-9A74-A34F3CF63154}"/>
    <cellStyle name="Normal 14 13 3" xfId="3084" xr:uid="{D92B0B4E-2A01-4F7E-B656-B01BDB22F09F}"/>
    <cellStyle name="Normal 14 14" xfId="933" xr:uid="{422322F4-E44D-4DB3-A7F7-3A8563519BAC}"/>
    <cellStyle name="Normal 14 14 2" xfId="2064" xr:uid="{FEA2A558-6BBA-42F0-951F-AE4E25F4730B}"/>
    <cellStyle name="Normal 14 14 2 2" xfId="3377" xr:uid="{34B12246-925A-4CCF-820C-82FA4B1EA5C0}"/>
    <cellStyle name="Normal 14 14 3" xfId="3085" xr:uid="{4E1A5345-575A-47CD-A339-EC39C59021F0}"/>
    <cellStyle name="Normal 14 15" xfId="934" xr:uid="{FCA3EDD7-4557-4808-84AE-7BF98B5BD3FF}"/>
    <cellStyle name="Normal 14 15 2" xfId="2065" xr:uid="{909E1D66-1698-4AC9-914C-5820E8874C39}"/>
    <cellStyle name="Normal 14 15 2 2" xfId="3378" xr:uid="{E596A115-DEAF-43C9-81FA-9939B1EFD3E1}"/>
    <cellStyle name="Normal 14 15 3" xfId="3086" xr:uid="{F0295ACA-842E-401D-B009-8FC4650037A9}"/>
    <cellStyle name="Normal 14 2" xfId="935" xr:uid="{202C7EA4-2AF6-47BC-B26F-E65C2B4B2B71}"/>
    <cellStyle name="Normal 14 2 2" xfId="936" xr:uid="{D18AB59E-8B2C-4CD5-9B10-4F13CC7F4D5A}"/>
    <cellStyle name="Normal 14 2 2 2" xfId="2067" xr:uid="{13488FD5-247F-4C64-A5BD-BB01954E30A1}"/>
    <cellStyle name="Normal 14 2 3" xfId="937" xr:uid="{78E0BD9A-2FA9-4B84-9EDE-6BC15A447D71}"/>
    <cellStyle name="Normal 14 2 3 2" xfId="2068" xr:uid="{0644578F-9475-4492-B1C9-F5DB4A0077BB}"/>
    <cellStyle name="Normal 14 2 4" xfId="938" xr:uid="{815C0281-5DDC-49AF-A1B7-B08978B85356}"/>
    <cellStyle name="Normal 14 2 4 2" xfId="2069" xr:uid="{03C513AA-2266-4A28-831B-3AFE71A5CBF1}"/>
    <cellStyle name="Normal 14 2 5" xfId="939" xr:uid="{67384EB6-2C00-4CEC-BF91-41BB647B14D7}"/>
    <cellStyle name="Normal 14 2 5 2" xfId="2070" xr:uid="{421B662F-826F-4A3B-AD98-96835ADDC9B5}"/>
    <cellStyle name="Normal 14 2 6" xfId="940" xr:uid="{0EF46C52-6433-48F0-A572-C1358767732D}"/>
    <cellStyle name="Normal 14 2 6 2" xfId="2071" xr:uid="{D75FCA61-0117-4B1E-ADA4-E4601F8BBB53}"/>
    <cellStyle name="Normal 14 2 7" xfId="941" xr:uid="{2648AE5D-2E65-4327-ACFD-FE91F504394B}"/>
    <cellStyle name="Normal 14 2 7 2" xfId="2072" xr:uid="{B8D72D4E-D2EC-4CE5-9B62-681AE7217BBD}"/>
    <cellStyle name="Normal 14 2 8" xfId="2066" xr:uid="{76EEC647-40EF-4E44-BE90-E86EC08A64D7}"/>
    <cellStyle name="Normal 14 2 8 2" xfId="3379" xr:uid="{73204364-2207-465E-AFFD-B5044904B17B}"/>
    <cellStyle name="Normal 14 2 9" xfId="3087" xr:uid="{8775B324-30F5-4A8D-89CA-71465BAC0D83}"/>
    <cellStyle name="Normal 14 3" xfId="942" xr:uid="{48EBC740-D8AE-48FB-911B-BB5502055AE3}"/>
    <cellStyle name="Normal 14 3 2" xfId="2073" xr:uid="{C2F6CCA8-DD3D-4D5C-9DCA-4985FB30B0B5}"/>
    <cellStyle name="Normal 14 4" xfId="943" xr:uid="{055660C5-6298-40A9-8D18-F3295D818BF0}"/>
    <cellStyle name="Normal 14 4 2" xfId="2074" xr:uid="{3735D16D-75B0-487E-9168-C8044ED1B1D3}"/>
    <cellStyle name="Normal 14 4 2 2" xfId="3380" xr:uid="{9EEF2C87-4A3A-47B4-8F84-20511A2ED628}"/>
    <cellStyle name="Normal 14 4 3" xfId="3088" xr:uid="{4CBCE05B-4C73-4AE3-8C32-D97B55779356}"/>
    <cellStyle name="Normal 14 5" xfId="944" xr:uid="{28BA9094-0E8F-4567-85BA-C37ED8EBD155}"/>
    <cellStyle name="Normal 14 5 2" xfId="2075" xr:uid="{DFF61D3E-BD62-4691-BE4A-FE3328B987D9}"/>
    <cellStyle name="Normal 14 5 2 2" xfId="3381" xr:uid="{D3A47DF8-0D94-4ADA-98DB-FD82EE7650AA}"/>
    <cellStyle name="Normal 14 5 3" xfId="3089" xr:uid="{412CDE5A-B5D8-4569-86D8-8D38055340F9}"/>
    <cellStyle name="Normal 14 6" xfId="945" xr:uid="{5C637170-F98A-4D4A-B7AB-854F58718367}"/>
    <cellStyle name="Normal 14 6 2" xfId="2076" xr:uid="{8EED169D-DD53-4545-B284-283A25E37338}"/>
    <cellStyle name="Normal 14 7" xfId="946" xr:uid="{5D2906DA-C405-4802-B841-F1D479910EBD}"/>
    <cellStyle name="Normal 14 7 2" xfId="2077" xr:uid="{381A511B-F7CF-41B7-821B-48424EAD758F}"/>
    <cellStyle name="Normal 14 8" xfId="947" xr:uid="{B982B303-AB0F-47B7-9CD2-7F1B16575DB3}"/>
    <cellStyle name="Normal 14 8 2" xfId="2078" xr:uid="{ED911040-C939-459E-855B-E54CF532CDEF}"/>
    <cellStyle name="Normal 14 9" xfId="948" xr:uid="{D20362F9-71F5-4102-A101-DF968D9805D8}"/>
    <cellStyle name="Normal 14 9 2" xfId="2079" xr:uid="{6B20B543-66FB-4E14-AC10-735114CB5365}"/>
    <cellStyle name="Normal 15" xfId="949" xr:uid="{CFA28192-E043-426A-B6BA-3ED105B65F44}"/>
    <cellStyle name="Normal 15 2" xfId="950" xr:uid="{A771AF59-8AC6-4A05-BA60-CDB13F1622F1}"/>
    <cellStyle name="Normal 15 2 2" xfId="2080" xr:uid="{41BFE050-5C7E-4080-8197-56C1CEF4F30B}"/>
    <cellStyle name="Normal 15 3" xfId="951" xr:uid="{FAC31CE3-40E0-4226-B0AF-E22C4651E79C}"/>
    <cellStyle name="Normal 15 3 2" xfId="2081" xr:uid="{70CFDCCB-126C-4953-A0EE-9979EFAF1390}"/>
    <cellStyle name="Normal 15 4" xfId="952" xr:uid="{513B68B5-82AB-4067-B950-EC240A7F2774}"/>
    <cellStyle name="Normal 15 4 2" xfId="2082" xr:uid="{6D48D787-E3B7-448D-BCFB-0371250E4FA1}"/>
    <cellStyle name="Normal 15 5" xfId="953" xr:uid="{7CFD89F3-8E26-47AA-A314-70B443A5D5A5}"/>
    <cellStyle name="Normal 15 5 2" xfId="2083" xr:uid="{63EAA336-A849-45E9-B53F-C136FC419D37}"/>
    <cellStyle name="Normal 15 6" xfId="954" xr:uid="{B39E7B2E-3B43-47D1-8BAF-1967D5AE1292}"/>
    <cellStyle name="Normal 15 6 2" xfId="2084" xr:uid="{AC843543-8485-412B-87AD-71995F44B0B0}"/>
    <cellStyle name="Normal 16" xfId="955" xr:uid="{D94A9659-50D4-464A-9C11-B5899DA3A792}"/>
    <cellStyle name="Normal 16 2" xfId="956" xr:uid="{BC3C7D87-2B61-47E7-95FD-9A146F0D82AA}"/>
    <cellStyle name="Normal 16 2 2" xfId="2086" xr:uid="{C2715CCC-AA8E-4322-9991-BD8C95809783}"/>
    <cellStyle name="Normal 16 3" xfId="957" xr:uid="{9D07C3FD-6501-4BDC-A036-9A2906912D72}"/>
    <cellStyle name="Normal 16 3 2" xfId="2087" xr:uid="{63C5931E-139F-4076-BE3C-6ED6172D0D9C}"/>
    <cellStyle name="Normal 16 4" xfId="958" xr:uid="{E2734054-720E-4BAD-B66D-9ABC0CCD8098}"/>
    <cellStyle name="Normal 16 4 2" xfId="2088" xr:uid="{6650618E-4A3D-4690-BBD5-41E2F4B4129E}"/>
    <cellStyle name="Normal 16 5" xfId="959" xr:uid="{9F89CAE2-F299-4F03-B703-0B0C2D80CDF0}"/>
    <cellStyle name="Normal 16 5 2" xfId="2089" xr:uid="{467D1077-3DB9-48B9-900E-B4B904534139}"/>
    <cellStyle name="Normal 16 6" xfId="960" xr:uid="{72AA0DFF-A91F-4E29-B36B-7D06D08D978D}"/>
    <cellStyle name="Normal 16 6 2" xfId="2090" xr:uid="{EEF330A7-6895-471C-9B39-7DE5DF88AAC5}"/>
    <cellStyle name="Normal 16 7" xfId="2085" xr:uid="{C6F9BD34-1975-4D63-9A6F-C9C608138DCD}"/>
    <cellStyle name="Normal 16 7 2" xfId="3382" xr:uid="{D734E6C1-FDD6-48EA-8A55-733F5277C146}"/>
    <cellStyle name="Normal 16 8" xfId="3090" xr:uid="{4CFF6F15-936F-48DB-9A95-C93112D31D51}"/>
    <cellStyle name="Normal 17" xfId="961" xr:uid="{DCF3A49D-9EBF-47FF-A3AF-443869667742}"/>
    <cellStyle name="Normal 17 10" xfId="962" xr:uid="{E2C76E70-74D4-4179-83B1-0E57679C1497}"/>
    <cellStyle name="Normal 17 10 2" xfId="2092" xr:uid="{6EC71A96-8FEE-498E-B702-08A9B854BBF6}"/>
    <cellStyle name="Normal 17 11" xfId="963" xr:uid="{68811151-490E-4A0E-A62C-799D52716CEC}"/>
    <cellStyle name="Normal 17 11 2" xfId="2093" xr:uid="{A99DB512-334D-445B-844B-71B5AAFB0E7D}"/>
    <cellStyle name="Normal 17 12" xfId="964" xr:uid="{2F5D72F4-18CC-4478-BCC4-606EC6B3E804}"/>
    <cellStyle name="Normal 17 12 2" xfId="2094" xr:uid="{EBD614A2-42FD-45BC-A26F-1642FB78931A}"/>
    <cellStyle name="Normal 17 13" xfId="965" xr:uid="{232B0A0D-C241-4420-9AE6-30EF70D8AF4B}"/>
    <cellStyle name="Normal 17 13 2" xfId="2095" xr:uid="{8F116D6D-9D6E-4E75-B103-83C7D9FDCF0A}"/>
    <cellStyle name="Normal 17 14" xfId="2091" xr:uid="{6EDDB300-9A4A-4F2C-BD7B-DCA0ABF86E7A}"/>
    <cellStyle name="Normal 17 14 2" xfId="3383" xr:uid="{816EBE2E-11FD-4629-B9B1-1CA1B2B68BEB}"/>
    <cellStyle name="Normal 17 15" xfId="3091" xr:uid="{93E921EF-8895-4A6C-A184-ED30FC1669ED}"/>
    <cellStyle name="Normal 17 2" xfId="966" xr:uid="{BA329EA0-6A3E-416E-B688-C0AD909EDCA7}"/>
    <cellStyle name="Normal 17 2 2" xfId="2096" xr:uid="{D405A4A2-C925-4EA3-AEE4-291B607B7D31}"/>
    <cellStyle name="Normal 17 3" xfId="967" xr:uid="{3169375C-E927-4B52-A6FD-3E3028D23C60}"/>
    <cellStyle name="Normal 17 3 2" xfId="2097" xr:uid="{D1CE22F4-8EAC-4E2A-B67F-9090F72D3504}"/>
    <cellStyle name="Normal 17 4" xfId="968" xr:uid="{8407EAA5-6B32-4C2E-9E54-7CBECA2397F8}"/>
    <cellStyle name="Normal 17 4 2" xfId="2098" xr:uid="{C70920E7-8D90-4582-82CD-1ED26B8B623B}"/>
    <cellStyle name="Normal 17 5" xfId="969" xr:uid="{2F30B17E-8FC4-4611-9E47-D19F36182825}"/>
    <cellStyle name="Normal 17 5 2" xfId="2099" xr:uid="{2053AEC3-443B-4B83-9B3A-77AB43F06648}"/>
    <cellStyle name="Normal 17 6" xfId="970" xr:uid="{B7063249-42A1-4222-B8BA-35ACE7114B61}"/>
    <cellStyle name="Normal 17 6 2" xfId="2100" xr:uid="{767FA386-301A-4EF1-9960-C4EE3A09E3C4}"/>
    <cellStyle name="Normal 17 7" xfId="971" xr:uid="{E1D2F369-ED5C-4927-8227-4F940F2C7800}"/>
    <cellStyle name="Normal 17 7 2" xfId="2101" xr:uid="{5CBB3B8B-7C18-49A2-80A4-40158918A60F}"/>
    <cellStyle name="Normal 17 8" xfId="972" xr:uid="{B857B784-B9CE-49B6-93A6-619E1F488EE9}"/>
    <cellStyle name="Normal 17 8 2" xfId="2102" xr:uid="{FF87A200-26F3-4AFC-8471-771E88D1993C}"/>
    <cellStyle name="Normal 17 9" xfId="973" xr:uid="{81E8DFFE-EC8B-4BC0-BCC2-1F5251F05781}"/>
    <cellStyle name="Normal 17 9 2" xfId="2103" xr:uid="{0877B06F-F9F2-4C84-89F9-1C15272D58CA}"/>
    <cellStyle name="Normal 18" xfId="974" xr:uid="{04256D34-C754-4BBB-A1B9-C41922C14E15}"/>
    <cellStyle name="Normal 18 2" xfId="2104" xr:uid="{7179DDF4-E4EF-4BA3-9931-AEF228703B34}"/>
    <cellStyle name="Normal 18 2 2" xfId="3384" xr:uid="{18283019-840B-4C32-9059-D3A2D27D479D}"/>
    <cellStyle name="Normal 18 3" xfId="3092" xr:uid="{881C938B-E934-4922-BFC6-96BE65768086}"/>
    <cellStyle name="Normal 19" xfId="3462" xr:uid="{5B867B0A-AD2D-4579-BCB7-A1D82FAD0D6A}"/>
    <cellStyle name="Normal 2" xfId="55" xr:uid="{BC8E6ED1-EA86-4B49-8D92-C0E88CFBD4B8}"/>
    <cellStyle name="Normal 2 10" xfId="975" xr:uid="{0E0D1852-1019-40B8-8718-61103CFE9EF1}"/>
    <cellStyle name="Normal 2 10 2" xfId="2106" xr:uid="{5C963217-7BE7-4F5E-AB0C-7EBC4718704D}"/>
    <cellStyle name="Normal 2 11" xfId="976" xr:uid="{AC103306-9008-467D-B6A4-93EF97B4CA1C}"/>
    <cellStyle name="Normal 2 11 2" xfId="2107" xr:uid="{D51E91CF-7D4C-4D86-BDC6-C35961DA90B1}"/>
    <cellStyle name="Normal 2 12" xfId="977" xr:uid="{C41FB8F8-BE00-4387-A1C8-ED578EB4DA78}"/>
    <cellStyle name="Normal 2 12 2" xfId="2108" xr:uid="{C83511D3-41CB-4A9D-84AE-1EC527C3E642}"/>
    <cellStyle name="Normal 2 13" xfId="978" xr:uid="{24B75824-EEF7-4122-AD9D-36EDDE93202C}"/>
    <cellStyle name="Normal 2 13 2" xfId="2109" xr:uid="{6F854C89-FB5A-4DD6-803B-D73E84FB6449}"/>
    <cellStyle name="Normal 2 14" xfId="979" xr:uid="{646A5C75-C954-49D0-995C-AFAF69E05804}"/>
    <cellStyle name="Normal 2 14 2" xfId="2110" xr:uid="{9CCA0937-E2E0-4376-884C-6A6462263422}"/>
    <cellStyle name="Normal 2 15" xfId="980" xr:uid="{902ABD21-C489-43B1-9D45-B325F21AEA06}"/>
    <cellStyle name="Normal 2 15 2" xfId="2111" xr:uid="{AC577586-174E-408F-948B-580B3A75A578}"/>
    <cellStyle name="Normal 2 16" xfId="981" xr:uid="{D6F7B1F1-7D2E-4EE8-BDD4-935B51903178}"/>
    <cellStyle name="Normal 2 16 2" xfId="2112" xr:uid="{084684B0-E8A7-4830-9CA7-9EA5965A04C3}"/>
    <cellStyle name="Normal 2 17" xfId="982" xr:uid="{B2BDEB9B-1C64-4A70-8A69-752AE7BA0B8B}"/>
    <cellStyle name="Normal 2 17 2" xfId="2113" xr:uid="{9EBAA77B-58D0-4A7B-BDAA-659097F41323}"/>
    <cellStyle name="Normal 2 18" xfId="2105" xr:uid="{57563E92-DE73-4E5B-862E-E9C0BA75C092}"/>
    <cellStyle name="Normal 2 18 2" xfId="3385" xr:uid="{0E6F9358-B2B3-47CD-96FD-AC2C18662256}"/>
    <cellStyle name="Normal 2 19" xfId="3093" xr:uid="{A04DF854-B811-4649-B9B7-3C729865E996}"/>
    <cellStyle name="Normal 2 2" xfId="4" xr:uid="{8737898C-07C5-4A38-BEAA-66676B8158FE}"/>
    <cellStyle name="Normal 2 2 10" xfId="984" xr:uid="{005C6900-B2F1-4A21-A67C-14AB229761C3}"/>
    <cellStyle name="Normal 2 2 10 2" xfId="2115" xr:uid="{F76EF178-2004-421F-ACCD-E3008BE663EC}"/>
    <cellStyle name="Normal 2 2 10 2 2" xfId="3386" xr:uid="{AF924850-71AD-4F04-8442-CF21ED39C8EE}"/>
    <cellStyle name="Normal 2 2 10 3" xfId="3094" xr:uid="{F81B4940-0341-4846-BA76-494ED193CB76}"/>
    <cellStyle name="Normal 2 2 11" xfId="985" xr:uid="{671EEF31-9284-4A07-98BF-6E6FF7826AD2}"/>
    <cellStyle name="Normal 2 2 11 2" xfId="2116" xr:uid="{25296B95-0A9D-482F-8648-D86FAA62242F}"/>
    <cellStyle name="Normal 2 2 11 2 2" xfId="3387" xr:uid="{81BDBAA5-1B19-408B-9F21-76122027EE75}"/>
    <cellStyle name="Normal 2 2 11 3" xfId="3095" xr:uid="{5DB8B7B0-D0BC-4CF2-B13E-97A48A85E420}"/>
    <cellStyle name="Normal 2 2 12" xfId="986" xr:uid="{677443B9-6ACA-41C9-A686-9E691C659807}"/>
    <cellStyle name="Normal 2 2 12 2" xfId="2117" xr:uid="{FADFB579-9FBA-4F44-B7C2-7E2C0BC391DD}"/>
    <cellStyle name="Normal 2 2 12 2 2" xfId="3388" xr:uid="{4C7A405A-8975-412C-947F-CF465E0DC219}"/>
    <cellStyle name="Normal 2 2 12 3" xfId="3096" xr:uid="{089C772C-D986-4A15-92D6-EC763B6ADDB0}"/>
    <cellStyle name="Normal 2 2 13" xfId="987" xr:uid="{50FEE9B7-C8EA-42CE-8921-160C207E97B1}"/>
    <cellStyle name="Normal 2 2 13 2" xfId="2118" xr:uid="{02AD999C-CC7E-4A37-ACC4-CF94CA848736}"/>
    <cellStyle name="Normal 2 2 13 2 2" xfId="3389" xr:uid="{C2B63C7E-D132-45F1-B2DE-2AD613FE539C}"/>
    <cellStyle name="Normal 2 2 13 3" xfId="3097" xr:uid="{FD872552-78FE-4EDC-A18E-AF7C23E4D2E4}"/>
    <cellStyle name="Normal 2 2 14" xfId="988" xr:uid="{D3DC6546-89F1-4BD6-88E2-9A63C307F038}"/>
    <cellStyle name="Normal 2 2 14 2" xfId="2119" xr:uid="{7742500C-874E-41FF-ABE4-78AEEDADF0FA}"/>
    <cellStyle name="Normal 2 2 15" xfId="2114" xr:uid="{391FA93F-484B-4764-9D03-E6DFF0832B6B}"/>
    <cellStyle name="Normal 2 2 16" xfId="983" xr:uid="{5322CBE9-47DE-4CC0-AC56-323D5148A4E5}"/>
    <cellStyle name="Normal 2 2 2" xfId="989" xr:uid="{A6C62B6F-9495-4975-87FC-9EFC255B396A}"/>
    <cellStyle name="Normal 2 2 2 2" xfId="2120" xr:uid="{A45E8D39-78DA-4F43-9734-7D1D8DBAEB72}"/>
    <cellStyle name="Normal 2 2 2 2 2" xfId="3390" xr:uid="{98E71451-BF30-405D-83B4-8769AB967109}"/>
    <cellStyle name="Normal 2 2 2 3" xfId="3098" xr:uid="{EA4C34B0-D5B4-4E36-B40E-EF9FE403501F}"/>
    <cellStyle name="Normal 2 2 3" xfId="990" xr:uid="{02CF3C94-AD63-4A77-AE7F-976ADB99E417}"/>
    <cellStyle name="Normal 2 2 3 2" xfId="2121" xr:uid="{82B57396-5033-47BE-9C9C-289A65F188E0}"/>
    <cellStyle name="Normal 2 2 3 2 2" xfId="3391" xr:uid="{B1B7C52E-CEE7-4DE7-A7A3-4DD4C77CB8BF}"/>
    <cellStyle name="Normal 2 2 3 3" xfId="3099" xr:uid="{79523AD2-E95E-45C2-ACA6-6AA35190392C}"/>
    <cellStyle name="Normal 2 2 4" xfId="991" xr:uid="{EB5D8B49-37A7-4AE1-BEAA-F2EC8BFE4B87}"/>
    <cellStyle name="Normal 2 2 4 2" xfId="2122" xr:uid="{1D16414D-4C8A-4A0B-B53B-D111D8BC9206}"/>
    <cellStyle name="Normal 2 2 4 2 2" xfId="3392" xr:uid="{728A1435-3C60-43D7-A1AE-4ED630C32D30}"/>
    <cellStyle name="Normal 2 2 4 3" xfId="3100" xr:uid="{7F5F426C-178C-4E58-8E55-3C2201159C15}"/>
    <cellStyle name="Normal 2 2 5" xfId="992" xr:uid="{EABB4BCD-44E0-4EC3-9B25-8F68AEBE4291}"/>
    <cellStyle name="Normal 2 2 5 2" xfId="2123" xr:uid="{390AB079-CD81-4DD4-923E-711E66357FA3}"/>
    <cellStyle name="Normal 2 2 5 2 2" xfId="3393" xr:uid="{05067586-E863-40D7-B54A-545BC86F350D}"/>
    <cellStyle name="Normal 2 2 5 3" xfId="3101" xr:uid="{223828D5-F2C6-44C4-B0A4-89E2A122936D}"/>
    <cellStyle name="Normal 2 2 6" xfId="993" xr:uid="{69856F1E-828A-4D5F-AD6E-1995C2ABCE39}"/>
    <cellStyle name="Normal 2 2 6 2" xfId="2124" xr:uid="{25E68C0B-DB52-4237-857A-89ADF043244F}"/>
    <cellStyle name="Normal 2 2 6 2 2" xfId="3394" xr:uid="{E0C31963-9C6C-4ADB-AA67-81A3E1E8C5B2}"/>
    <cellStyle name="Normal 2 2 6 3" xfId="3102" xr:uid="{726764C7-CBCF-4E1D-8E75-0C5FB37AD3DF}"/>
    <cellStyle name="Normal 2 2 7" xfId="994" xr:uid="{65206577-1DE0-4A40-8165-A09D96294660}"/>
    <cellStyle name="Normal 2 2 7 2" xfId="2125" xr:uid="{645CAA4E-AE2B-4233-8C0A-7A0FF0726AF7}"/>
    <cellStyle name="Normal 2 2 7 2 2" xfId="3395" xr:uid="{B8D5DCF5-9C4A-403A-ABE5-319FFEC830F9}"/>
    <cellStyle name="Normal 2 2 7 3" xfId="3103" xr:uid="{959E2D52-6567-474D-8049-181D63890FD7}"/>
    <cellStyle name="Normal 2 2 8" xfId="995" xr:uid="{4877238F-7BA1-4298-86A3-B26844C459BE}"/>
    <cellStyle name="Normal 2 2 8 2" xfId="2126" xr:uid="{584A6403-969C-4AD5-AE20-50573F404B6F}"/>
    <cellStyle name="Normal 2 2 8 2 2" xfId="3396" xr:uid="{3E18CC45-DD83-40D1-B0FF-B8A58AEFBF98}"/>
    <cellStyle name="Normal 2 2 8 3" xfId="3104" xr:uid="{3E0D8096-612C-45B4-8675-2D62BCB0B810}"/>
    <cellStyle name="Normal 2 2 9" xfId="996" xr:uid="{EECA0226-511F-4D4A-967A-AE1E965DBD91}"/>
    <cellStyle name="Normal 2 2 9 2" xfId="2127" xr:uid="{CB002DF2-9371-4520-8A07-12BACA4D35EF}"/>
    <cellStyle name="Normal 2 2 9 2 2" xfId="3397" xr:uid="{5FBDF89E-6AF6-439C-9808-77616DB52194}"/>
    <cellStyle name="Normal 2 2 9 3" xfId="3105" xr:uid="{B62081AA-F551-4071-A0C2-878C444A3B92}"/>
    <cellStyle name="Normal 2 3" xfId="57" xr:uid="{BB05C714-B1FD-4F47-B9E8-78268FC468E4}"/>
    <cellStyle name="Normal 2 3 10" xfId="997" xr:uid="{615C49D1-F2BB-44B8-876C-14869D70DC18}"/>
    <cellStyle name="Normal 2 3 10 2" xfId="2129" xr:uid="{EFECAFCC-93EB-4D37-9194-ED91BFD0E2E1}"/>
    <cellStyle name="Normal 2 3 10 2 2" xfId="3398" xr:uid="{8B9E9122-E093-41C9-BD53-A16B040A0036}"/>
    <cellStyle name="Normal 2 3 10 3" xfId="3106" xr:uid="{2A20E85A-E3FD-4F68-98EA-2AF2735CE865}"/>
    <cellStyle name="Normal 2 3 11" xfId="998" xr:uid="{67885AFB-AA04-4BBD-B141-86A9B34164C5}"/>
    <cellStyle name="Normal 2 3 11 2" xfId="2130" xr:uid="{1873A9B3-5CD1-4CBD-85FF-6912609008AD}"/>
    <cellStyle name="Normal 2 3 11 2 2" xfId="3399" xr:uid="{CC46BEC8-E4B9-4D7E-8FF7-D68300A104C8}"/>
    <cellStyle name="Normal 2 3 11 3" xfId="3107" xr:uid="{9F57B822-5133-4C6E-8F0D-3A03E59EBF17}"/>
    <cellStyle name="Normal 2 3 12" xfId="999" xr:uid="{F0B84980-4EE6-4A26-A771-E6158566DC11}"/>
    <cellStyle name="Normal 2 3 12 2" xfId="2131" xr:uid="{1C8483A5-B113-4232-B618-06069EF4B27C}"/>
    <cellStyle name="Normal 2 3 12 2 2" xfId="3400" xr:uid="{16D3A87B-542F-43EF-8A28-E74DC05BAF07}"/>
    <cellStyle name="Normal 2 3 12 3" xfId="3108" xr:uid="{F6750893-5130-4E93-9821-A92D5E3FED78}"/>
    <cellStyle name="Normal 2 3 13" xfId="1000" xr:uid="{1571EA7E-4D42-44C8-87B4-781C0E1035DD}"/>
    <cellStyle name="Normal 2 3 13 2" xfId="2132" xr:uid="{D0171066-2F9D-493C-82E2-7A78FB97C9D9}"/>
    <cellStyle name="Normal 2 3 13 2 2" xfId="3401" xr:uid="{0BAC911D-E3A0-4353-B9E4-62F949D2E4E4}"/>
    <cellStyle name="Normal 2 3 13 3" xfId="3109" xr:uid="{F6F7011D-B127-473D-BB2A-F1FE4E5D3338}"/>
    <cellStyle name="Normal 2 3 14" xfId="2128" xr:uid="{2AE91F53-D473-435F-875F-7DA81D99348A}"/>
    <cellStyle name="Normal 2 3 2" xfId="1001" xr:uid="{B9924D52-D4CD-42E1-A1CC-58027146B349}"/>
    <cellStyle name="Normal 2 3 2 2" xfId="2133" xr:uid="{5DFBCD21-BFB5-4D20-AAA2-3DC2772A2B50}"/>
    <cellStyle name="Normal 2 3 2 2 2" xfId="3402" xr:uid="{A114BCE4-B5F9-415B-83E5-C6D304619E9E}"/>
    <cellStyle name="Normal 2 3 2 3" xfId="3110" xr:uid="{DDC532CB-01A5-4AD8-B670-40C59CA608A3}"/>
    <cellStyle name="Normal 2 3 3" xfId="1002" xr:uid="{F5A0B413-A6C2-474C-BBB4-BFC76ADF6EF4}"/>
    <cellStyle name="Normal 2 3 3 2" xfId="2134" xr:uid="{32F97FDE-BC28-462E-98CB-C22425DAFEC8}"/>
    <cellStyle name="Normal 2 3 3 2 2" xfId="3403" xr:uid="{9BF79454-8DF1-46DA-8FF2-88B38D35EB6C}"/>
    <cellStyle name="Normal 2 3 3 3" xfId="3111" xr:uid="{5E724D7A-8624-4B74-9384-4D94EFD4D298}"/>
    <cellStyle name="Normal 2 3 4" xfId="1003" xr:uid="{A6B008B4-BC76-46CD-AD95-F88D361568AE}"/>
    <cellStyle name="Normal 2 3 4 2" xfId="2135" xr:uid="{FAC64DDA-E63F-4B35-B9DE-B37F2C90786D}"/>
    <cellStyle name="Normal 2 3 4 2 2" xfId="3404" xr:uid="{8F6DA943-D820-4CD5-88E0-736EA86950A1}"/>
    <cellStyle name="Normal 2 3 4 3" xfId="3112" xr:uid="{FA0DC134-27D7-432B-84E1-9A5798EB5A45}"/>
    <cellStyle name="Normal 2 3 5" xfId="1004" xr:uid="{1EB5261C-DCC4-4B12-8256-8020AE7589F6}"/>
    <cellStyle name="Normal 2 3 5 2" xfId="2136" xr:uid="{3222C2DC-E7B5-4038-81B0-4C78785A090B}"/>
    <cellStyle name="Normal 2 3 5 2 2" xfId="3405" xr:uid="{2E2A8DCB-3B99-420A-A4E1-C8781BE0143B}"/>
    <cellStyle name="Normal 2 3 5 3" xfId="3113" xr:uid="{C38C6523-EFBD-4A31-B9E3-441AA9811342}"/>
    <cellStyle name="Normal 2 3 6" xfId="1005" xr:uid="{72F891A5-B566-4DA4-9251-38CE9CDA9407}"/>
    <cellStyle name="Normal 2 3 6 2" xfId="2137" xr:uid="{B1F17B0C-71CB-425B-A45F-EFF4CDFDEF3C}"/>
    <cellStyle name="Normal 2 3 6 2 2" xfId="3406" xr:uid="{F1014F34-3F07-4EEF-9857-9B67E599F835}"/>
    <cellStyle name="Normal 2 3 6 3" xfId="3114" xr:uid="{3D31B3D8-BA22-430A-9FB0-E8E119BF2719}"/>
    <cellStyle name="Normal 2 3 7" xfId="1006" xr:uid="{520385F4-5083-447B-8E41-1514A509BBAF}"/>
    <cellStyle name="Normal 2 3 7 2" xfId="2138" xr:uid="{00E8C53F-F6C9-40A1-BFB9-C40F9CF491DD}"/>
    <cellStyle name="Normal 2 3 7 2 2" xfId="3407" xr:uid="{A3B9E3BE-D7D8-45E0-A52A-DFBD3BFB68CE}"/>
    <cellStyle name="Normal 2 3 7 3" xfId="3115" xr:uid="{D2462609-A15D-4EA0-8E05-EF5813CC324A}"/>
    <cellStyle name="Normal 2 3 8" xfId="1007" xr:uid="{5A7C5110-BD3C-448A-BFCE-ECE1D77BA202}"/>
    <cellStyle name="Normal 2 3 8 2" xfId="2139" xr:uid="{F27A6DCC-68AC-474C-A701-2696743898DC}"/>
    <cellStyle name="Normal 2 3 8 2 2" xfId="3408" xr:uid="{F9E7D7B4-C59D-42AF-A040-2A6AE1C10803}"/>
    <cellStyle name="Normal 2 3 8 3" xfId="3116" xr:uid="{4F3C01B7-8D12-4814-82DE-0D9BAADD9EFE}"/>
    <cellStyle name="Normal 2 3 9" xfId="1008" xr:uid="{19AB22BF-176F-4691-915E-D7A9A9A9EEA1}"/>
    <cellStyle name="Normal 2 3 9 2" xfId="2140" xr:uid="{FE3BB239-0F5A-4895-A4A3-AF479069B3F6}"/>
    <cellStyle name="Normal 2 3 9 2 2" xfId="3409" xr:uid="{0552FD36-1687-418C-9564-06F1C257DF65}"/>
    <cellStyle name="Normal 2 3 9 3" xfId="3117" xr:uid="{FB3508F3-9A1A-4C09-A6A7-467A1CB75108}"/>
    <cellStyle name="Normal 2 4" xfId="1009" xr:uid="{8D6850C5-FBC2-42D5-B3E8-50D58E36C2CC}"/>
    <cellStyle name="Normal 2 4 10" xfId="1010" xr:uid="{42B2A9B4-D2F0-4B0F-B60C-73C929CF29DC}"/>
    <cellStyle name="Normal 2 4 10 2" xfId="2142" xr:uid="{987B30FF-E48F-4467-AE93-0D6647EA29AD}"/>
    <cellStyle name="Normal 2 4 10 2 2" xfId="3410" xr:uid="{4F5AC3F1-7FF4-406D-B79E-AB37E744B821}"/>
    <cellStyle name="Normal 2 4 10 3" xfId="3118" xr:uid="{2ECD5836-301F-426F-BDB4-AA7203E5F0B4}"/>
    <cellStyle name="Normal 2 4 11" xfId="1011" xr:uid="{72636C03-2D9B-40EE-868F-ADC2F62B13A8}"/>
    <cellStyle name="Normal 2 4 11 2" xfId="2143" xr:uid="{1B11CB9C-82EF-4A1A-A3CA-9BB087D0CD8C}"/>
    <cellStyle name="Normal 2 4 11 2 2" xfId="3411" xr:uid="{2D382724-4E26-418A-998E-57CE3AD1531C}"/>
    <cellStyle name="Normal 2 4 11 3" xfId="3119" xr:uid="{5BF38448-23FA-4B7E-A9EF-5B1F8923C92E}"/>
    <cellStyle name="Normal 2 4 12" xfId="1012" xr:uid="{214FF8B9-523D-4AA2-8E08-169D21B18A5D}"/>
    <cellStyle name="Normal 2 4 12 2" xfId="2144" xr:uid="{69F3415D-5770-4D56-9587-89EB332E5DC6}"/>
    <cellStyle name="Normal 2 4 12 2 2" xfId="3412" xr:uid="{15CCC83A-E8F6-4F7E-B757-925BF60016DF}"/>
    <cellStyle name="Normal 2 4 12 3" xfId="3120" xr:uid="{6E9C5AED-698A-4158-A2F2-E84B3445FDEF}"/>
    <cellStyle name="Normal 2 4 13" xfId="1013" xr:uid="{44759720-8E95-44FB-A238-27EB4261BA25}"/>
    <cellStyle name="Normal 2 4 13 2" xfId="2145" xr:uid="{E58B628F-C5F0-4900-94C1-2CC04042E4CC}"/>
    <cellStyle name="Normal 2 4 13 2 2" xfId="3413" xr:uid="{F2890058-A9F7-498B-B52C-11D31001C77B}"/>
    <cellStyle name="Normal 2 4 13 3" xfId="3121" xr:uid="{5939289D-DBF7-4EE0-8F92-BB352374387B}"/>
    <cellStyle name="Normal 2 4 14" xfId="2141" xr:uid="{57EF980A-30FF-44D6-91E4-43E9A0A67318}"/>
    <cellStyle name="Normal 2 4 2" xfId="1014" xr:uid="{B20CA37B-CFB3-416B-88D6-F5DEB1ECB654}"/>
    <cellStyle name="Normal 2 4 2 2" xfId="2146" xr:uid="{C98B6C08-933A-469E-BB8D-54A36CF0B26E}"/>
    <cellStyle name="Normal 2 4 2 2 2" xfId="3414" xr:uid="{0C6C4AFF-0507-4721-91CE-2E6535DBB565}"/>
    <cellStyle name="Normal 2 4 2 3" xfId="3122" xr:uid="{C15D5703-A645-4F7D-80AE-99411CFC9DFA}"/>
    <cellStyle name="Normal 2 4 3" xfId="1015" xr:uid="{EA19B74A-8ABF-48A8-99FF-E14E8ED15EAF}"/>
    <cellStyle name="Normal 2 4 3 2" xfId="2147" xr:uid="{5E862656-12B4-4B7C-B9BD-E88221CE99DA}"/>
    <cellStyle name="Normal 2 4 3 2 2" xfId="3415" xr:uid="{72EFCE53-5825-4A22-A11C-59A450FE2AFF}"/>
    <cellStyle name="Normal 2 4 3 3" xfId="3123" xr:uid="{05CBEE71-0F31-46CF-884C-A87ABF401FE0}"/>
    <cellStyle name="Normal 2 4 4" xfId="1016" xr:uid="{17E22EF1-5F3B-4262-8428-90B8FB33B392}"/>
    <cellStyle name="Normal 2 4 4 2" xfId="2148" xr:uid="{789734A6-52CF-4C53-BD67-8931D2D6815A}"/>
    <cellStyle name="Normal 2 4 4 2 2" xfId="3416" xr:uid="{22098859-E9FE-4088-BB31-DA4BC7D74189}"/>
    <cellStyle name="Normal 2 4 4 3" xfId="3124" xr:uid="{577764D3-F112-483B-8232-749CE3F2279E}"/>
    <cellStyle name="Normal 2 4 5" xfId="1017" xr:uid="{566BED79-1E09-4945-8D0F-7F58F212F793}"/>
    <cellStyle name="Normal 2 4 5 2" xfId="2149" xr:uid="{539922AD-01CD-4C1E-A4D8-3FCAEC82DB53}"/>
    <cellStyle name="Normal 2 4 5 2 2" xfId="3417" xr:uid="{456F9EAF-B5B5-495E-AB95-49BE7175D6D0}"/>
    <cellStyle name="Normal 2 4 5 3" xfId="3125" xr:uid="{CBC933EC-BF6C-49B9-AA61-EDA4696475B6}"/>
    <cellStyle name="Normal 2 4 6" xfId="1018" xr:uid="{2B845CD2-A4F7-4027-9DD3-48C00F5FE962}"/>
    <cellStyle name="Normal 2 4 6 2" xfId="2150" xr:uid="{E25BAECC-64DD-4AC7-9321-100AD2252D7C}"/>
    <cellStyle name="Normal 2 4 6 2 2" xfId="3418" xr:uid="{40F29F83-98F2-4AD4-899C-0DF74C1D8986}"/>
    <cellStyle name="Normal 2 4 6 3" xfId="3126" xr:uid="{160605C5-9F7E-4A39-BEAC-565719A49CB5}"/>
    <cellStyle name="Normal 2 4 7" xfId="1019" xr:uid="{5533DE94-CFA0-435C-BA54-DDA5CEED2D86}"/>
    <cellStyle name="Normal 2 4 7 2" xfId="2151" xr:uid="{CCD2356D-D29E-497A-9166-728B2B1BE58F}"/>
    <cellStyle name="Normal 2 4 7 2 2" xfId="3419" xr:uid="{28FDC29C-3CD0-4FBC-8A4E-AEF54A20B11B}"/>
    <cellStyle name="Normal 2 4 7 3" xfId="3127" xr:uid="{FC32EB24-805F-4446-9BCE-43C9CAFDCEEB}"/>
    <cellStyle name="Normal 2 4 8" xfId="1020" xr:uid="{6826F9FC-F2DE-4602-AC9F-B2E5940CD9B1}"/>
    <cellStyle name="Normal 2 4 8 2" xfId="2152" xr:uid="{DC688962-0F6D-4A9B-9BD5-DB43F6153D5A}"/>
    <cellStyle name="Normal 2 4 8 2 2" xfId="3420" xr:uid="{84CF95BF-CEB4-462E-A4C1-438E35F0DB4A}"/>
    <cellStyle name="Normal 2 4 8 3" xfId="3128" xr:uid="{9E393D9A-097B-4B77-98AA-01A69E3CCC73}"/>
    <cellStyle name="Normal 2 4 9" xfId="1021" xr:uid="{46FDAEB9-686D-4574-90B8-697B9611675B}"/>
    <cellStyle name="Normal 2 4 9 2" xfId="2153" xr:uid="{9BFC614B-6134-42BE-A416-7B4132766A1E}"/>
    <cellStyle name="Normal 2 4 9 2 2" xfId="3421" xr:uid="{F25BBEBC-DC3B-42DB-BF3F-6DB487013A0B}"/>
    <cellStyle name="Normal 2 4 9 3" xfId="3129" xr:uid="{36CA83AF-5466-41FD-9926-3C74D238D5AD}"/>
    <cellStyle name="Normal 2 5" xfId="1022" xr:uid="{C318F6DA-CD34-404A-9061-261D03CFFDE5}"/>
    <cellStyle name="Normal 2 5 2" xfId="2154" xr:uid="{F98E53B5-16B8-46CF-A131-E5313E29FE18}"/>
    <cellStyle name="Normal 2 6" xfId="1023" xr:uid="{D419D899-1E34-4ED0-937B-DFE9653A93A3}"/>
    <cellStyle name="Normal 2 6 2" xfId="2155" xr:uid="{A6DA18DD-5471-4EB2-A287-3E14CF173983}"/>
    <cellStyle name="Normal 2 7" xfId="1024" xr:uid="{F13169F6-DDCE-4C33-A4F5-3F63FB7B7F10}"/>
    <cellStyle name="Normal 2 7 2" xfId="2156" xr:uid="{1A67C276-731B-4032-A303-A5AAA935430B}"/>
    <cellStyle name="Normal 2 8" xfId="1025" xr:uid="{327D2D6C-DFF7-4C09-993B-625A6B9D5D63}"/>
    <cellStyle name="Normal 2 8 2" xfId="2157" xr:uid="{F2376DF4-0D4E-4981-9513-39096EBA2901}"/>
    <cellStyle name="Normal 2 9" xfId="1026" xr:uid="{46D92943-01EE-4FCE-835A-09A3AE6F0A94}"/>
    <cellStyle name="Normal 2 9 2" xfId="2158" xr:uid="{1D8589DA-7F4C-40A7-B416-D54BB495E4E6}"/>
    <cellStyle name="Normal 20" xfId="1027" xr:uid="{9AD01B0A-8948-4FBC-8A52-3A4523209C1C}"/>
    <cellStyle name="Normal 21" xfId="1028" xr:uid="{49EAF4B7-451C-4D25-B3AD-E4CFD45D0633}"/>
    <cellStyle name="Normal 21 2" xfId="2159" xr:uid="{399D8CD7-CFA4-42AB-ABBF-32EBF848499D}"/>
    <cellStyle name="Normal 26" xfId="1029" xr:uid="{F94165C9-EA58-44E7-B7F0-199D92887714}"/>
    <cellStyle name="Normal 26 2" xfId="2160" xr:uid="{2F06C2D5-678C-45F1-AE08-B57DE9E430FD}"/>
    <cellStyle name="Normal 3" xfId="58" xr:uid="{5F61EA2B-DA3A-48C3-8B18-86B47F3AA614}"/>
    <cellStyle name="Normal 3 10" xfId="1030" xr:uid="{D1EF1D46-6058-4C6C-B623-8E0F17730F16}"/>
    <cellStyle name="Normal 3 10 2" xfId="2162" xr:uid="{4617D55F-DB77-42B1-A944-C4792E25A582}"/>
    <cellStyle name="Normal 3 11" xfId="1031" xr:uid="{ED88B950-1FC3-4335-B876-E91FF1BB8C68}"/>
    <cellStyle name="Normal 3 11 2" xfId="2163" xr:uid="{7918BBE3-B6FE-4860-8B5F-F04AAA98B4BF}"/>
    <cellStyle name="Normal 3 12" xfId="1032" xr:uid="{7A8DD078-28C5-4238-A3E6-FC39C5172DFD}"/>
    <cellStyle name="Normal 3 12 2" xfId="2164" xr:uid="{B0CC009B-5C77-4BA3-90F4-B2C6720C8685}"/>
    <cellStyle name="Normal 3 13" xfId="1033" xr:uid="{081D43F5-CF42-48C6-A5D6-D871DC2D75B1}"/>
    <cellStyle name="Normal 3 13 2" xfId="2165" xr:uid="{AB201AFA-FD5D-4D44-83BF-E3ABC34B5D6A}"/>
    <cellStyle name="Normal 3 14" xfId="2161" xr:uid="{B97E253A-9A4B-491A-B4B3-D6D1C65E4F8C}"/>
    <cellStyle name="Normal 3 14 2" xfId="3422" xr:uid="{D7620307-6833-476C-A163-925898BF939D}"/>
    <cellStyle name="Normal 3 15" xfId="3130" xr:uid="{34ABAE9E-795D-4DB8-86A4-C1F28A94C998}"/>
    <cellStyle name="Normal 3 2" xfId="59" xr:uid="{5C4209DA-EBF1-4DE2-9FE8-9D267618F52B}"/>
    <cellStyle name="Normal 3 2 10" xfId="1034" xr:uid="{8A08AB87-3D77-41FC-9C54-78C4DCDB22A1}"/>
    <cellStyle name="Normal 3 2 2" xfId="1035" xr:uid="{78F49ACB-D316-4DF6-A620-C1A3F4668D4C}"/>
    <cellStyle name="Normal 3 2 2 2" xfId="2167" xr:uid="{0F675269-6B6A-4643-9112-1FC7D7584505}"/>
    <cellStyle name="Normal 3 2 3" xfId="1036" xr:uid="{566E6CB4-DD0A-4A93-A552-23123987BD7B}"/>
    <cellStyle name="Normal 3 2 3 2" xfId="2168" xr:uid="{A3114974-3BF6-4E23-B2AE-01929B842784}"/>
    <cellStyle name="Normal 3 2 4" xfId="1037" xr:uid="{51FAE6F9-997D-4A00-AA9C-16FA302C50A4}"/>
    <cellStyle name="Normal 3 2 4 2" xfId="2169" xr:uid="{C8C8C768-0BC4-4DD4-9F02-F3FA10831D4E}"/>
    <cellStyle name="Normal 3 2 5" xfId="1038" xr:uid="{6E01F25E-EE62-4420-B757-5417C7F59C26}"/>
    <cellStyle name="Normal 3 2 5 2" xfId="2170" xr:uid="{6284AAFA-804D-4865-B794-03AE798B9D4D}"/>
    <cellStyle name="Normal 3 2 6" xfId="1039" xr:uid="{B75007D6-9504-4CFA-BC1C-59C117630B87}"/>
    <cellStyle name="Normal 3 2 6 2" xfId="2171" xr:uid="{D3F3D83A-73A4-4D43-B3C9-8E0B70627A46}"/>
    <cellStyle name="Normal 3 2 7" xfId="1040" xr:uid="{A7655BAD-55B6-4EC2-B535-775D9024E97D}"/>
    <cellStyle name="Normal 3 2 7 2" xfId="2172" xr:uid="{D818867D-A819-4C02-A040-71FA0D03269A}"/>
    <cellStyle name="Normal 3 2 8" xfId="1041" xr:uid="{1FEE04E4-C762-43D6-B144-77878BB92C09}"/>
    <cellStyle name="Normal 3 2 8 2" xfId="2173" xr:uid="{4A8EC789-4729-4E3E-96BA-AD619F8E40D3}"/>
    <cellStyle name="Normal 3 2 9" xfId="2166" xr:uid="{25AC124D-F06F-45B3-B418-490AC18EEB40}"/>
    <cellStyle name="Normal 3 3" xfId="60" xr:uid="{067564BC-858A-467A-A81B-F7ADDF0C681C}"/>
    <cellStyle name="Normal 3 3 2" xfId="1042" xr:uid="{9D4E8070-99F9-404C-ADC1-7DDA648483D5}"/>
    <cellStyle name="Normal 3 3 2 2" xfId="2175" xr:uid="{8EF0D962-081D-4F58-875F-C3C84142FA44}"/>
    <cellStyle name="Normal 3 3 3" xfId="1043" xr:uid="{6308CA33-E289-4A2A-8D7B-6B58BF611623}"/>
    <cellStyle name="Normal 3 3 3 2" xfId="2176" xr:uid="{53411D89-4B46-419F-96BD-A31DDB98B815}"/>
    <cellStyle name="Normal 3 3 4" xfId="1044" xr:uid="{8442CC0E-5309-416B-A360-2E4DB49C0003}"/>
    <cellStyle name="Normal 3 3 4 2" xfId="2177" xr:uid="{CA91F8CC-D66A-4CED-9F53-69CB59377413}"/>
    <cellStyle name="Normal 3 3 5" xfId="1045" xr:uid="{94CA589C-444D-489D-B9A4-4773926B38EE}"/>
    <cellStyle name="Normal 3 3 5 2" xfId="2178" xr:uid="{E732F312-1F69-4747-920B-2DEF9C3DFBD2}"/>
    <cellStyle name="Normal 3 3 6" xfId="1046" xr:uid="{3B717E6F-07C9-47B8-A0A4-B79AECB4ECF8}"/>
    <cellStyle name="Normal 3 3 6 2" xfId="2179" xr:uid="{4245B906-6F33-4237-8F14-F2A292746494}"/>
    <cellStyle name="Normal 3 3 7" xfId="1047" xr:uid="{4F63A155-BE6F-40C9-A0B8-5CE32F9C4F8C}"/>
    <cellStyle name="Normal 3 3 7 2" xfId="2180" xr:uid="{B59A7F65-75B2-4EDB-8D80-848648B94D15}"/>
    <cellStyle name="Normal 3 3 8" xfId="1048" xr:uid="{7D02C4BA-1201-45D3-8DE1-889E5EAD8653}"/>
    <cellStyle name="Normal 3 3 8 2" xfId="2181" xr:uid="{37C1643D-353A-40C7-9EB9-1DDFEDEEBF01}"/>
    <cellStyle name="Normal 3 3 9" xfId="2174" xr:uid="{7D6E3235-EBC1-48F8-8BBA-F822B34109FE}"/>
    <cellStyle name="Normal 3 4" xfId="1049" xr:uid="{FD330E56-EEFB-45E1-8DF9-4701C8139044}"/>
    <cellStyle name="Normal 3 4 2" xfId="1050" xr:uid="{3DA7E2AA-50A7-4593-BB0C-724F62CF8300}"/>
    <cellStyle name="Normal 3 4 2 2" xfId="2183" xr:uid="{489AFB24-AC58-486A-99AF-B74E6BF44891}"/>
    <cellStyle name="Normal 3 4 3" xfId="1051" xr:uid="{838F699D-BF1E-4BE1-9AB5-26B6769E299C}"/>
    <cellStyle name="Normal 3 4 3 2" xfId="2184" xr:uid="{B0ED3031-B634-4E04-9A25-27A408F19F52}"/>
    <cellStyle name="Normal 3 4 4" xfId="1052" xr:uid="{D814D68E-8E83-4D33-A4F3-CA2589D545B3}"/>
    <cellStyle name="Normal 3 4 4 2" xfId="2185" xr:uid="{35E6D27F-45CD-4D50-A571-C9E9D3423BE0}"/>
    <cellStyle name="Normal 3 4 5" xfId="1053" xr:uid="{FCBB6317-1F9B-4F9E-9FC5-45653937C48E}"/>
    <cellStyle name="Normal 3 4 5 2" xfId="2186" xr:uid="{6257657B-5C1F-4D6A-8F4C-B68A9B318930}"/>
    <cellStyle name="Normal 3 4 6" xfId="1054" xr:uid="{4202B32F-399C-4EBD-82E0-F7F338A54AB1}"/>
    <cellStyle name="Normal 3 4 6 2" xfId="2187" xr:uid="{4EEF97A3-209F-4A4F-B992-6656AC6AA803}"/>
    <cellStyle name="Normal 3 4 7" xfId="1055" xr:uid="{48605C6B-68F9-4E6B-8035-49868849FE06}"/>
    <cellStyle name="Normal 3 4 7 2" xfId="2188" xr:uid="{9639B22A-A2DF-41F2-A4A9-67DAA0959BA2}"/>
    <cellStyle name="Normal 3 4 8" xfId="1056" xr:uid="{4070397B-D81A-45C6-9E4E-F702F70CFD2C}"/>
    <cellStyle name="Normal 3 4 8 2" xfId="2189" xr:uid="{A5F1140C-F096-4D90-AFE7-915F875FACCC}"/>
    <cellStyle name="Normal 3 4 9" xfId="2182" xr:uid="{04BC1D29-736D-4615-A429-427646DD8421}"/>
    <cellStyle name="Normal 3 5" xfId="1057" xr:uid="{A02741E7-7045-4155-8B4D-0805CCC37BD0}"/>
    <cellStyle name="Normal 3 5 2" xfId="1058" xr:uid="{6388E2CA-CF63-4DF5-97BD-EE1AF22135D0}"/>
    <cellStyle name="Normal 3 5 2 2" xfId="2191" xr:uid="{80E3E5D7-DE1B-44A6-A61D-41C7CF068BCD}"/>
    <cellStyle name="Normal 3 5 3" xfId="1059" xr:uid="{20016238-1915-4D19-BF40-6993A6F4EC4B}"/>
    <cellStyle name="Normal 3 5 3 2" xfId="2192" xr:uid="{F103797D-0E80-4A93-B20A-26257F99EABE}"/>
    <cellStyle name="Normal 3 5 4" xfId="1060" xr:uid="{5EED0EF5-DF07-4FB7-8826-EAE5244477D0}"/>
    <cellStyle name="Normal 3 5 4 2" xfId="2193" xr:uid="{2D1F2FF4-A588-4E9F-958E-977F618C81C9}"/>
    <cellStyle name="Normal 3 5 5" xfId="1061" xr:uid="{27A89303-55E6-4237-8CC5-7EF40CDE0BB2}"/>
    <cellStyle name="Normal 3 5 5 2" xfId="2194" xr:uid="{913CF55D-7BBA-44B7-95F4-ED809049CB89}"/>
    <cellStyle name="Normal 3 5 6" xfId="1062" xr:uid="{F755577D-756B-49E3-BDE9-3ED0495C75CA}"/>
    <cellStyle name="Normal 3 5 6 2" xfId="2195" xr:uid="{EC7C2EFE-0E8E-4FC3-9FF1-00F9B993AF43}"/>
    <cellStyle name="Normal 3 5 7" xfId="1063" xr:uid="{8BD7FBA9-E5CF-4239-A38C-73D675C7BCCA}"/>
    <cellStyle name="Normal 3 5 7 2" xfId="2196" xr:uid="{11A17071-9454-4AD1-869F-F3121315CEB1}"/>
    <cellStyle name="Normal 3 5 8" xfId="1064" xr:uid="{AE4F28E7-EF36-41E4-AC2B-5A4D39221528}"/>
    <cellStyle name="Normal 3 5 8 2" xfId="2197" xr:uid="{823D939D-CF34-4737-8ABF-2E05F9498E98}"/>
    <cellStyle name="Normal 3 5 9" xfId="2190" xr:uid="{2AA9BC57-8960-4423-820A-D0C10F180A9E}"/>
    <cellStyle name="Normal 3 6" xfId="1065" xr:uid="{3B358B11-D10E-4695-A7F3-27867248696C}"/>
    <cellStyle name="Normal 3 6 2" xfId="2198" xr:uid="{7417471F-3269-4BAA-ACFF-5EFD6EF773F3}"/>
    <cellStyle name="Normal 3 7" xfId="1066" xr:uid="{15791781-160C-4D36-AD65-29FC93D99347}"/>
    <cellStyle name="Normal 3 7 2" xfId="2199" xr:uid="{A526E530-207D-44CE-9C47-638F13EC937D}"/>
    <cellStyle name="Normal 3 8" xfId="1067" xr:uid="{BA20F4C8-7CBF-480D-B416-22AA4D3735F3}"/>
    <cellStyle name="Normal 3 8 2" xfId="2200" xr:uid="{EC3B77BC-C7BD-4609-8D8A-BAF72189EFF3}"/>
    <cellStyle name="Normal 3 9" xfId="1068" xr:uid="{97C0ADC1-CFD8-429A-905E-71468A88FF65}"/>
    <cellStyle name="Normal 3 9 2" xfId="2201" xr:uid="{2F464DA2-5684-4479-B71A-361D8193B9B5}"/>
    <cellStyle name="Normal 4" xfId="6" xr:uid="{1DC8D8F1-BDAB-40A0-B938-D06F3F2E0603}"/>
    <cellStyle name="Normal 4 10" xfId="1070" xr:uid="{45ACCED5-6A2B-4B1C-86D3-5D6FAAFA71CF}"/>
    <cellStyle name="Normal 4 10 2" xfId="2203" xr:uid="{FEDB6CCD-F4E3-455E-A13D-E8C035DFEEBE}"/>
    <cellStyle name="Normal 4 11" xfId="1071" xr:uid="{437185E1-0CDB-40B0-A03B-D09A0364D166}"/>
    <cellStyle name="Normal 4 11 2" xfId="2204" xr:uid="{F7154554-8E44-4EB4-9403-60682BEBA975}"/>
    <cellStyle name="Normal 4 12" xfId="1072" xr:uid="{DEE5FE71-4795-4787-92D4-B3CF70488998}"/>
    <cellStyle name="Normal 4 12 2" xfId="2205" xr:uid="{23CBC1AD-CEE7-4AA1-BCF6-55D50947D137}"/>
    <cellStyle name="Normal 4 13" xfId="2202" xr:uid="{EF3C9B3E-A27A-4B51-94CF-CC38095EFD16}"/>
    <cellStyle name="Normal 4 14" xfId="1069" xr:uid="{8AC1B90A-7A65-433C-8DE4-218A91E2A6E2}"/>
    <cellStyle name="Normal 4 2" xfId="61" xr:uid="{D1BA6C65-34C7-4B5E-AA3C-EC96BCFE5C79}"/>
    <cellStyle name="Normal 4 2 10" xfId="1073" xr:uid="{BCC7EB91-A693-4501-9B94-6F223CD701DA}"/>
    <cellStyle name="Normal 4 2 2" xfId="1074" xr:uid="{A52BE946-E026-417A-BAEC-F8BAFBAE3105}"/>
    <cellStyle name="Normal 4 2 2 10" xfId="1075" xr:uid="{47304511-D30D-4F10-8CC3-72551D82F036}"/>
    <cellStyle name="Normal 4 2 2 10 2" xfId="2208" xr:uid="{568096EF-CD3A-4DF8-8A32-FE84823EBFA4}"/>
    <cellStyle name="Normal 4 2 2 10 2 2" xfId="3423" xr:uid="{B27D7D5C-01F7-4A6E-A496-35FC4FC9390B}"/>
    <cellStyle name="Normal 4 2 2 10 3" xfId="3131" xr:uid="{FAA8F052-97C4-49DF-A87F-2288B2A3B0C3}"/>
    <cellStyle name="Normal 4 2 2 11" xfId="1076" xr:uid="{1A9F32B3-0D86-402C-B17B-F76A3AE62841}"/>
    <cellStyle name="Normal 4 2 2 11 2" xfId="2209" xr:uid="{8FFB5101-3B06-4220-8223-CA49A9D28505}"/>
    <cellStyle name="Normal 4 2 2 11 2 2" xfId="3424" xr:uid="{7DFF05A9-EB93-4FF9-B00C-3CE73CB12605}"/>
    <cellStyle name="Normal 4 2 2 11 3" xfId="3132" xr:uid="{E18B18E1-165A-49F2-B175-55F464988EC8}"/>
    <cellStyle name="Normal 4 2 2 12" xfId="1077" xr:uid="{5B815AD0-A234-4729-A6A6-6648A65BDA51}"/>
    <cellStyle name="Normal 4 2 2 12 2" xfId="2210" xr:uid="{CFC2126A-B073-4281-BA2C-F53042CF4D85}"/>
    <cellStyle name="Normal 4 2 2 12 2 2" xfId="3425" xr:uid="{495B2E41-3437-470A-B088-F61E12717875}"/>
    <cellStyle name="Normal 4 2 2 12 3" xfId="3133" xr:uid="{32469A02-02C9-400E-A15B-7CA67F7929F7}"/>
    <cellStyle name="Normal 4 2 2 13" xfId="1078" xr:uid="{FAFD4303-AF14-48B9-ADA9-F35B73122B87}"/>
    <cellStyle name="Normal 4 2 2 13 2" xfId="2211" xr:uid="{95A1444A-D138-4EF0-8419-5CA83A100BE6}"/>
    <cellStyle name="Normal 4 2 2 13 2 2" xfId="3426" xr:uid="{F102815F-503C-4EE1-B6F9-A886C8833D16}"/>
    <cellStyle name="Normal 4 2 2 13 3" xfId="3134" xr:uid="{D2EA0E0A-C6A1-4A0B-983D-AEFE017296B3}"/>
    <cellStyle name="Normal 4 2 2 14" xfId="2207" xr:uid="{789506B7-37C5-47AD-8CBA-A6F8A1BF4E08}"/>
    <cellStyle name="Normal 4 2 2 2" xfId="1079" xr:uid="{A8BCA171-B469-445D-8FC9-494536EC5F2B}"/>
    <cellStyle name="Normal 4 2 2 2 10" xfId="1080" xr:uid="{ADD2FDCC-C36D-4158-A265-D283F06F5793}"/>
    <cellStyle name="Normal 4 2 2 2 10 2" xfId="2213" xr:uid="{2187CF8F-C432-4720-B3AF-9C7D4CE54AB6}"/>
    <cellStyle name="Normal 4 2 2 2 11" xfId="1081" xr:uid="{C410BD87-279E-4F31-8590-407B3C5638AB}"/>
    <cellStyle name="Normal 4 2 2 2 11 2" xfId="2214" xr:uid="{0ECCBA7A-F078-4029-A1EF-E33EA328DCBA}"/>
    <cellStyle name="Normal 4 2 2 2 12" xfId="1082" xr:uid="{8DE96BD1-65DE-4C9C-A5E1-B3416FA602CF}"/>
    <cellStyle name="Normal 4 2 2 2 12 2" xfId="2215" xr:uid="{1B6642D2-52D0-4FF8-891E-B6F67D3DF578}"/>
    <cellStyle name="Normal 4 2 2 2 13" xfId="1083" xr:uid="{17066ADA-61F6-453C-8DBC-8F7AD50141BC}"/>
    <cellStyle name="Normal 4 2 2 2 13 2" xfId="2216" xr:uid="{FFB4B414-B5D3-47F2-A716-24DB68600A00}"/>
    <cellStyle name="Normal 4 2 2 2 14" xfId="2212" xr:uid="{201109B7-AF73-41ED-AD0D-F0920132D8AB}"/>
    <cellStyle name="Normal 4 2 2 2 14 2" xfId="3427" xr:uid="{1F2F4F90-0F32-4625-8A67-820E531A47CB}"/>
    <cellStyle name="Normal 4 2 2 2 15" xfId="3135" xr:uid="{6F30CACF-1221-4525-96BE-FF2128E000E6}"/>
    <cellStyle name="Normal 4 2 2 2 2" xfId="1084" xr:uid="{9209210A-5B98-4F8D-9952-92EA24868639}"/>
    <cellStyle name="Normal 4 2 2 2 2 2" xfId="2217" xr:uid="{266D277D-F0AE-4058-A27D-C14F73F0FB0C}"/>
    <cellStyle name="Normal 4 2 2 2 3" xfId="1085" xr:uid="{DDB35744-59CC-402E-A572-83399BC14431}"/>
    <cellStyle name="Normal 4 2 2 2 3 2" xfId="2218" xr:uid="{F0528666-1257-49C3-9F5A-9A50DBC4E8C3}"/>
    <cellStyle name="Normal 4 2 2 2 4" xfId="1086" xr:uid="{4646971D-61AE-4DA9-98BC-4CBB063AAFD0}"/>
    <cellStyle name="Normal 4 2 2 2 4 2" xfId="2219" xr:uid="{0AB533E2-650E-4BFE-B08B-DF0CAA42E252}"/>
    <cellStyle name="Normal 4 2 2 2 5" xfId="1087" xr:uid="{07A29B1D-42B0-4E00-A3FB-3A6E19E0361F}"/>
    <cellStyle name="Normal 4 2 2 2 5 2" xfId="2220" xr:uid="{77072468-113E-4B44-92EA-4645CA9DEEAF}"/>
    <cellStyle name="Normal 4 2 2 2 6" xfId="1088" xr:uid="{B70BA772-93A9-4F70-9FF3-83863F1FBAB7}"/>
    <cellStyle name="Normal 4 2 2 2 6 2" xfId="2221" xr:uid="{F27AA578-9CDD-496A-8F03-653436ECDFA7}"/>
    <cellStyle name="Normal 4 2 2 2 7" xfId="1089" xr:uid="{D24ACB67-E428-4CE3-B59D-AC433470A8F6}"/>
    <cellStyle name="Normal 4 2 2 2 7 2" xfId="2222" xr:uid="{A45FD7A3-45E0-48EA-84A7-BE70BAC18AA7}"/>
    <cellStyle name="Normal 4 2 2 2 8" xfId="1090" xr:uid="{E0E82125-A9C0-4654-94A4-1FC0C8CF3AEA}"/>
    <cellStyle name="Normal 4 2 2 2 8 2" xfId="2223" xr:uid="{4EA884DF-A4B2-4254-8014-EAEDA82DD3F8}"/>
    <cellStyle name="Normal 4 2 2 2 9" xfId="1091" xr:uid="{78009E47-9FB5-4573-9C83-31C7E2E21031}"/>
    <cellStyle name="Normal 4 2 2 2 9 2" xfId="2224" xr:uid="{12EA36F9-58B5-4B7D-94E9-483C38B045EA}"/>
    <cellStyle name="Normal 4 2 2 3" xfId="1092" xr:uid="{C2558C4B-094F-41D1-8E76-551A2EBF995E}"/>
    <cellStyle name="Normal 4 2 2 3 2" xfId="2225" xr:uid="{40D6118B-488E-4794-8979-18DF5C9C9071}"/>
    <cellStyle name="Normal 4 2 2 3 2 2" xfId="3428" xr:uid="{D3D039F9-A8A2-4740-84AB-575A4D5384E5}"/>
    <cellStyle name="Normal 4 2 2 3 3" xfId="3136" xr:uid="{E6A9D87D-91C2-4211-93E1-8280C3D1AF0B}"/>
    <cellStyle name="Normal 4 2 2 4" xfId="1093" xr:uid="{4936867F-0F96-4548-B53B-9E6A84194FE6}"/>
    <cellStyle name="Normal 4 2 2 4 2" xfId="2226" xr:uid="{B15844E1-FDF8-408B-9206-78CC7C7E3A8E}"/>
    <cellStyle name="Normal 4 2 2 4 2 2" xfId="3429" xr:uid="{74916B95-CEC6-4EA7-8C18-44A3060591E6}"/>
    <cellStyle name="Normal 4 2 2 4 3" xfId="3137" xr:uid="{5FB887B5-9F5B-4058-BA43-411C1D632DB8}"/>
    <cellStyle name="Normal 4 2 2 5" xfId="1094" xr:uid="{DCB264D4-335D-451A-839B-BB94C61EDA2B}"/>
    <cellStyle name="Normal 4 2 2 5 2" xfId="2227" xr:uid="{25A5C42F-E72D-4518-8986-1B13590B5002}"/>
    <cellStyle name="Normal 4 2 2 5 2 2" xfId="3430" xr:uid="{0EC8FB00-84A3-41B1-B664-D44F95F0BCA6}"/>
    <cellStyle name="Normal 4 2 2 5 3" xfId="3138" xr:uid="{D9FDE5C7-2FBE-44F9-9E33-261980FE482B}"/>
    <cellStyle name="Normal 4 2 2 6" xfId="1095" xr:uid="{6412E280-4C7E-4DD5-8A76-6C879EF3CEBD}"/>
    <cellStyle name="Normal 4 2 2 6 2" xfId="2228" xr:uid="{64B9D829-A49D-41A4-85EB-7B90E1E43EBA}"/>
    <cellStyle name="Normal 4 2 2 6 2 2" xfId="3431" xr:uid="{E69AE8E1-3A05-4E99-8BE4-7B4EA6A0E1EB}"/>
    <cellStyle name="Normal 4 2 2 6 3" xfId="3139" xr:uid="{206C2D5A-9A83-497A-9426-B4B24914BB5E}"/>
    <cellStyle name="Normal 4 2 2 7" xfId="1096" xr:uid="{C651885D-9C53-462A-B381-AF2BB0738670}"/>
    <cellStyle name="Normal 4 2 2 7 2" xfId="2229" xr:uid="{CABADF21-376E-48F7-8093-9EA369405FDA}"/>
    <cellStyle name="Normal 4 2 2 7 2 2" xfId="3432" xr:uid="{6D679CAD-E691-44B5-84F5-7853569E49B4}"/>
    <cellStyle name="Normal 4 2 2 7 3" xfId="3140" xr:uid="{FCB4BCFA-EFB4-4CDC-AFEE-37645F69A61C}"/>
    <cellStyle name="Normal 4 2 2 8" xfId="1097" xr:uid="{292D8B41-AC02-48B1-A092-7DF75948C7AE}"/>
    <cellStyle name="Normal 4 2 2 8 2" xfId="2230" xr:uid="{FDAF7C1B-B24C-4F9D-BA18-58984AC4F844}"/>
    <cellStyle name="Normal 4 2 2 8 2 2" xfId="3433" xr:uid="{FCAA3C1C-B118-44D1-8188-2C9E42A622D6}"/>
    <cellStyle name="Normal 4 2 2 8 3" xfId="3141" xr:uid="{0ADA7113-428B-4772-953E-2793EF7C0265}"/>
    <cellStyle name="Normal 4 2 2 9" xfId="1098" xr:uid="{6F596417-8B39-4675-996E-ACA7C89ABFC8}"/>
    <cellStyle name="Normal 4 2 2 9 2" xfId="2231" xr:uid="{D1127A1C-B684-4DA9-AFB1-9160DDB25895}"/>
    <cellStyle name="Normal 4 2 2 9 2 2" xfId="3434" xr:uid="{51B32E6C-4C9F-487C-8CEE-AB7DE1622CE3}"/>
    <cellStyle name="Normal 4 2 2 9 3" xfId="3142" xr:uid="{2FBE7905-DE7E-443A-9C41-1F81E9C83628}"/>
    <cellStyle name="Normal 4 2 3" xfId="1099" xr:uid="{09533B30-1029-42A0-B837-51585B9F3147}"/>
    <cellStyle name="Normal 4 2 3 2" xfId="2232" xr:uid="{003451D2-055D-44DC-9135-85B9146CC125}"/>
    <cellStyle name="Normal 4 2 4" xfId="1100" xr:uid="{8A0FA38C-7FEC-4B05-A48B-87D383F6E534}"/>
    <cellStyle name="Normal 4 2 4 2" xfId="2233" xr:uid="{B3FBE428-C02F-4EB2-A99E-281BC476D9CB}"/>
    <cellStyle name="Normal 4 2 5" xfId="1101" xr:uid="{E3E900BA-C6C6-47CA-823B-AA18313CCD44}"/>
    <cellStyle name="Normal 4 2 5 2" xfId="2234" xr:uid="{F2A7FB41-BCE5-4886-9AAF-5D9A3ED3BE56}"/>
    <cellStyle name="Normal 4 2 6" xfId="1102" xr:uid="{DB0D90F5-B921-4C01-A98A-58CF06CA3386}"/>
    <cellStyle name="Normal 4 2 6 2" xfId="2235" xr:uid="{693B9A68-FAD3-4E06-AB22-A059E374DC69}"/>
    <cellStyle name="Normal 4 2 7" xfId="1103" xr:uid="{634F4A34-8F45-4776-A992-0490D726A30B}"/>
    <cellStyle name="Normal 4 2 7 2" xfId="2236" xr:uid="{56FC5A63-CDEE-4B74-8282-1E2ED9DD8C62}"/>
    <cellStyle name="Normal 4 2 8" xfId="1104" xr:uid="{ECEDE8EC-0F73-4EE9-9033-BCA299CA203A}"/>
    <cellStyle name="Normal 4 2 8 2" xfId="2237" xr:uid="{863166CF-20CA-417D-AD30-BB2DBC7ECF4C}"/>
    <cellStyle name="Normal 4 2 9" xfId="2206" xr:uid="{610E03D0-40C6-4F05-8D53-5796763919CB}"/>
    <cellStyle name="Normal 4 3" xfId="1105" xr:uid="{CD7FCD84-96B4-4AB9-92FC-03D3E8E30716}"/>
    <cellStyle name="Normal 4 3 2" xfId="1106" xr:uid="{08D94F89-CF6F-46C9-96AC-AED28EBD96A8}"/>
    <cellStyle name="Normal 4 3 2 2" xfId="2239" xr:uid="{70C23D60-71F7-4DE5-9031-A42001E3106C}"/>
    <cellStyle name="Normal 4 3 3" xfId="1107" xr:uid="{1D93DD28-44CA-4803-837E-3AE6BF73D133}"/>
    <cellStyle name="Normal 4 3 3 2" xfId="2240" xr:uid="{79F44C2B-7D05-49A4-8F78-C79D786E65B5}"/>
    <cellStyle name="Normal 4 3 4" xfId="1108" xr:uid="{D35572DF-6139-46E5-94A4-BB7264BCF6BC}"/>
    <cellStyle name="Normal 4 3 4 2" xfId="2241" xr:uid="{1D0E63DD-5F2A-42BB-AD90-F8502FCADE16}"/>
    <cellStyle name="Normal 4 3 5" xfId="1109" xr:uid="{09EB1685-5013-442C-98FF-FA878C54C88B}"/>
    <cellStyle name="Normal 4 3 5 2" xfId="2242" xr:uid="{F2989285-9CDD-4B47-8515-818B51A83985}"/>
    <cellStyle name="Normal 4 3 6" xfId="1110" xr:uid="{2A89918B-1F2E-4504-BF3B-3D7FF9847ECC}"/>
    <cellStyle name="Normal 4 3 6 2" xfId="2243" xr:uid="{49276698-A0CE-4CB9-B131-E0BEC97F7BF8}"/>
    <cellStyle name="Normal 4 3 7" xfId="1111" xr:uid="{72CC9542-FF85-4966-A44C-A7F92AB83BD2}"/>
    <cellStyle name="Normal 4 3 7 2" xfId="2244" xr:uid="{8A6EC006-3EFA-4C06-8368-0BE146B55FDA}"/>
    <cellStyle name="Normal 4 3 8" xfId="1112" xr:uid="{FE5BBE49-2CF8-4E21-A041-235BD211CB70}"/>
    <cellStyle name="Normal 4 3 8 2" xfId="2245" xr:uid="{E38629B3-3560-46E3-B8B2-9D9362FA4245}"/>
    <cellStyle name="Normal 4 3 9" xfId="2238" xr:uid="{00ADA2D9-74D1-4AEB-91D6-0486DD74632C}"/>
    <cellStyle name="Normal 4 4" xfId="1113" xr:uid="{E08EE92B-1E4B-45B4-A04F-02A7A254F230}"/>
    <cellStyle name="Normal 4 4 2" xfId="1114" xr:uid="{F47E7BFE-C2B0-47F8-B456-7B95676FB8DD}"/>
    <cellStyle name="Normal 4 4 2 2" xfId="2247" xr:uid="{B7D751B9-16DA-4349-BA1F-7BD1E695A281}"/>
    <cellStyle name="Normal 4 4 3" xfId="1115" xr:uid="{45F24C93-1D65-44DB-B4FC-A72CD116E232}"/>
    <cellStyle name="Normal 4 4 3 2" xfId="2248" xr:uid="{9871E0CA-AFB1-41D4-8609-4C18F8292DBE}"/>
    <cellStyle name="Normal 4 4 4" xfId="1116" xr:uid="{E6427DE1-DDF5-4264-9160-E875A79F707E}"/>
    <cellStyle name="Normal 4 4 4 2" xfId="2249" xr:uid="{11F33135-6DCE-422D-A2B0-967A9FD045D2}"/>
    <cellStyle name="Normal 4 4 5" xfId="1117" xr:uid="{09423EEB-AF55-4D80-AA6D-10B86C956BA8}"/>
    <cellStyle name="Normal 4 4 5 2" xfId="2250" xr:uid="{55F2761D-B031-4559-AE69-95AB71B62E4D}"/>
    <cellStyle name="Normal 4 4 6" xfId="1118" xr:uid="{8892BC6A-3291-4340-9654-2ECE7526C5FC}"/>
    <cellStyle name="Normal 4 4 6 2" xfId="2251" xr:uid="{7D99FD4E-74EF-4DF2-BF68-9E7E95094E20}"/>
    <cellStyle name="Normal 4 4 7" xfId="1119" xr:uid="{82F1E404-0AE7-49D2-89F2-970C58853A31}"/>
    <cellStyle name="Normal 4 4 7 2" xfId="2252" xr:uid="{A1889E6E-7C51-4E6C-988C-1F18A1A4E552}"/>
    <cellStyle name="Normal 4 4 8" xfId="1120" xr:uid="{1AC3421D-070A-4157-85DD-524F701F1789}"/>
    <cellStyle name="Normal 4 4 8 2" xfId="2253" xr:uid="{6D46F1F5-6A7B-41D7-9A3B-014E48826896}"/>
    <cellStyle name="Normal 4 4 9" xfId="2246" xr:uid="{46A2D7C2-7FE4-4CDD-83AE-9FE27B42CEE8}"/>
    <cellStyle name="Normal 4 5" xfId="1121" xr:uid="{C7816C56-3174-4F3F-9627-D7D4D0ACC2C1}"/>
    <cellStyle name="Normal 4 5 2" xfId="1122" xr:uid="{AB5A5443-BBC3-4217-A43B-E8A9D368ABF6}"/>
    <cellStyle name="Normal 4 5 2 2" xfId="2255" xr:uid="{52453FAF-783C-4E23-BFCF-AC7FFF2CC765}"/>
    <cellStyle name="Normal 4 5 3" xfId="1123" xr:uid="{ACE4686C-DC6D-4D85-8F57-354C96C34AF1}"/>
    <cellStyle name="Normal 4 5 3 2" xfId="2256" xr:uid="{D95266B9-FD5A-4740-8AD6-2C8C5F12434E}"/>
    <cellStyle name="Normal 4 5 4" xfId="1124" xr:uid="{F5E2B72C-54BD-4CB6-BA78-49E6F08FFBC5}"/>
    <cellStyle name="Normal 4 5 4 2" xfId="2257" xr:uid="{4B7F63FB-CEF2-49FC-ACD1-DC40F4878B17}"/>
    <cellStyle name="Normal 4 5 5" xfId="1125" xr:uid="{CBA23331-7BB1-4C66-8CFE-B811A4ECFEF3}"/>
    <cellStyle name="Normal 4 5 5 2" xfId="2258" xr:uid="{5DB108D2-20C5-49AD-8F5E-A0A237F814DC}"/>
    <cellStyle name="Normal 4 5 6" xfId="1126" xr:uid="{A663F52D-D1C3-4D85-87F1-5E9C99760968}"/>
    <cellStyle name="Normal 4 5 6 2" xfId="2259" xr:uid="{ED4F62BC-4F1C-436F-884F-3B165A2C93D4}"/>
    <cellStyle name="Normal 4 5 7" xfId="1127" xr:uid="{1ADDC5F1-7E16-4292-9BC8-652C16A2C616}"/>
    <cellStyle name="Normal 4 5 7 2" xfId="2260" xr:uid="{F0478DEA-B246-4DE0-8963-BAB065B7BF88}"/>
    <cellStyle name="Normal 4 5 8" xfId="1128" xr:uid="{32EFA6B8-6B1E-4162-B5E5-49AB744B8228}"/>
    <cellStyle name="Normal 4 5 8 2" xfId="2261" xr:uid="{806A0BEE-E23A-4173-9B1B-B68CDC682A0E}"/>
    <cellStyle name="Normal 4 5 9" xfId="2254" xr:uid="{36C90157-5E4F-46E9-97BC-A500408E2B29}"/>
    <cellStyle name="Normal 4 6" xfId="1129" xr:uid="{FADA0162-63B2-4714-AEF6-ECD73B49B6D2}"/>
    <cellStyle name="Normal 4 6 2" xfId="2262" xr:uid="{DE8AB826-7536-4D2A-9C43-633F18C7EBD0}"/>
    <cellStyle name="Normal 4 7" xfId="1130" xr:uid="{EC72F007-919B-4612-B91F-6DA1E64E8FD8}"/>
    <cellStyle name="Normal 4 7 2" xfId="2263" xr:uid="{95EAA007-6862-495D-8B4A-4A1A937611C4}"/>
    <cellStyle name="Normal 4 8" xfId="1131" xr:uid="{A1D76AC9-FAA4-4C3C-BB44-13878E1D5503}"/>
    <cellStyle name="Normal 4 8 2" xfId="2264" xr:uid="{EF2F6F7A-EC9D-46B1-BDD9-7A1EE144E5BF}"/>
    <cellStyle name="Normal 4 9" xfId="1132" xr:uid="{57D05E3D-6D90-4E10-9ACA-8A06FD204351}"/>
    <cellStyle name="Normal 4 9 2" xfId="2265" xr:uid="{A18B14E9-2EAF-42E3-B6A9-CDE140DA658D}"/>
    <cellStyle name="Normal 5" xfId="1133" xr:uid="{4765E793-76FB-4E57-9DAF-5EC6A92AAADE}"/>
    <cellStyle name="Normal 5 10" xfId="1134" xr:uid="{9CC3B91C-68FF-4B07-A71D-A1BB856526ED}"/>
    <cellStyle name="Normal 5 10 2" xfId="2267" xr:uid="{E23DD706-B4E2-45D4-A50B-794507C90A96}"/>
    <cellStyle name="Normal 5 11" xfId="1135" xr:uid="{2F69DC70-46CE-4772-A6C7-0D86033BEEB8}"/>
    <cellStyle name="Normal 5 11 2" xfId="2268" xr:uid="{89C49EA6-A4C5-4A06-9434-EE34024DA7C1}"/>
    <cellStyle name="Normal 5 12" xfId="1136" xr:uid="{839F4630-9509-4F92-9506-5B22876AF030}"/>
    <cellStyle name="Normal 5 12 2" xfId="2269" xr:uid="{CA1DBD99-E719-4D83-A387-12AFA511858A}"/>
    <cellStyle name="Normal 5 13" xfId="1137" xr:uid="{869767FC-C715-4D35-AE3E-0165A8082295}"/>
    <cellStyle name="Normal 5 13 2" xfId="2270" xr:uid="{928BFDEC-931F-4250-AB04-492667C9D1ED}"/>
    <cellStyle name="Normal 5 14" xfId="2266" xr:uid="{69519B1E-EEB4-49AC-B3B0-F7A922E717AF}"/>
    <cellStyle name="Normal 5 14 2" xfId="3435" xr:uid="{5FBDA321-6B5D-4FA3-B873-88A3DF092F07}"/>
    <cellStyle name="Normal 5 15" xfId="3143" xr:uid="{F99A5CC3-B31F-456B-B58A-A66666A706C7}"/>
    <cellStyle name="Normal 5 2" xfId="1138" xr:uid="{117342E5-7CA1-4154-974F-CDD530B26178}"/>
    <cellStyle name="Normal 5 2 10" xfId="2271" xr:uid="{8A8D9CC0-1F14-48D7-A00D-9AA138848311}"/>
    <cellStyle name="Normal 5 2 10 2" xfId="3436" xr:uid="{3E4608F2-90A9-4E76-9183-5CB57ED53D67}"/>
    <cellStyle name="Normal 5 2 11" xfId="3144" xr:uid="{F4D64055-B592-4A19-89A3-9EF2D0A9AAB2}"/>
    <cellStyle name="Normal 5 2 2" xfId="1139" xr:uid="{A771E04F-2996-4BCF-B18A-23180ED8B085}"/>
    <cellStyle name="Normal 5 2 2 10" xfId="1140" xr:uid="{042AB732-93A6-4AFC-8266-528773EE05DE}"/>
    <cellStyle name="Normal 5 2 2 10 2" xfId="2273" xr:uid="{40885D8A-A4F0-490D-8103-938058CECC39}"/>
    <cellStyle name="Normal 5 2 2 10 2 2" xfId="3437" xr:uid="{D877E494-9CB8-41C0-B71C-168678016CAF}"/>
    <cellStyle name="Normal 5 2 2 10 3" xfId="3145" xr:uid="{57E1D5AA-FF49-42F5-A064-ECCD50D7B533}"/>
    <cellStyle name="Normal 5 2 2 11" xfId="1141" xr:uid="{8BC25182-1A71-4657-9A23-9A64905BF34D}"/>
    <cellStyle name="Normal 5 2 2 11 2" xfId="2274" xr:uid="{049234DA-720B-488D-9DAC-100D0B8AD110}"/>
    <cellStyle name="Normal 5 2 2 11 2 2" xfId="3438" xr:uid="{FF4DE80B-8284-4AEA-853E-5718FA217D6B}"/>
    <cellStyle name="Normal 5 2 2 11 3" xfId="3146" xr:uid="{A5A3725D-5748-494A-9015-8130332B97B9}"/>
    <cellStyle name="Normal 5 2 2 12" xfId="1142" xr:uid="{CB53E9DF-5205-444B-9063-68DD84441FE7}"/>
    <cellStyle name="Normal 5 2 2 12 2" xfId="2275" xr:uid="{AA42B598-F612-4FC7-80C4-89820CFE122B}"/>
    <cellStyle name="Normal 5 2 2 12 2 2" xfId="3439" xr:uid="{64A819F4-AAF4-4D32-B006-7A2F6CFF5FC3}"/>
    <cellStyle name="Normal 5 2 2 12 3" xfId="3147" xr:uid="{67F49C0A-A014-4B9D-9990-947B0CD93BBE}"/>
    <cellStyle name="Normal 5 2 2 13" xfId="1143" xr:uid="{9F72AA18-4E95-4387-9235-754150A0C77E}"/>
    <cellStyle name="Normal 5 2 2 13 2" xfId="2276" xr:uid="{34B45D95-37AF-4041-8028-B8A0B69C6E85}"/>
    <cellStyle name="Normal 5 2 2 13 2 2" xfId="3440" xr:uid="{2D66CCBA-1EEF-4AE0-8DFC-EDCCC70FE75B}"/>
    <cellStyle name="Normal 5 2 2 13 3" xfId="3148" xr:uid="{2B347FBD-4694-472F-8FF7-A357F4F4D2DF}"/>
    <cellStyle name="Normal 5 2 2 14" xfId="2272" xr:uid="{47553E5B-E622-48D7-A381-A5CFBE4D9ADC}"/>
    <cellStyle name="Normal 5 2 2 2" xfId="1144" xr:uid="{631E140D-53C9-4679-995A-28B2827D8DF1}"/>
    <cellStyle name="Normal 5 2 2 2 10" xfId="1145" xr:uid="{1B36F3ED-78BD-46DA-A4A4-1AE091B8ADA1}"/>
    <cellStyle name="Normal 5 2 2 2 10 2" xfId="2278" xr:uid="{E86A2644-218B-4CBB-9DA8-1A897897CB6E}"/>
    <cellStyle name="Normal 5 2 2 2 11" xfId="1146" xr:uid="{2EE40BB9-C2DC-47E4-AE3B-7000274D9848}"/>
    <cellStyle name="Normal 5 2 2 2 11 2" xfId="2279" xr:uid="{72B07BC8-B8B4-405E-947C-B51DA0F3514B}"/>
    <cellStyle name="Normal 5 2 2 2 12" xfId="1147" xr:uid="{6FB816BF-B121-4610-AF9A-52DF882DE939}"/>
    <cellStyle name="Normal 5 2 2 2 12 2" xfId="2280" xr:uid="{797B389B-AAB6-470E-BF8E-84F16558A0DC}"/>
    <cellStyle name="Normal 5 2 2 2 13" xfId="1148" xr:uid="{FCAA6414-411B-4441-9DD1-7E87038352EF}"/>
    <cellStyle name="Normal 5 2 2 2 13 2" xfId="2281" xr:uid="{D9D33DE7-1571-4B1E-AAD6-AD917ACF9F33}"/>
    <cellStyle name="Normal 5 2 2 2 14" xfId="2277" xr:uid="{0F3E8440-B502-4FEB-B44E-B989C489CED3}"/>
    <cellStyle name="Normal 5 2 2 2 14 2" xfId="3441" xr:uid="{83915C3F-5F6A-49DE-8DC0-FC2E73147A97}"/>
    <cellStyle name="Normal 5 2 2 2 15" xfId="3149" xr:uid="{1305D3BF-2FA1-420E-81A1-6B7C5AC71344}"/>
    <cellStyle name="Normal 5 2 2 2 2" xfId="1149" xr:uid="{9D8F643F-ED3A-4B26-81FC-017309EEC4BB}"/>
    <cellStyle name="Normal 5 2 2 2 2 2" xfId="2282" xr:uid="{DF895F37-3F5C-4F90-9D12-1B4A8E10ED18}"/>
    <cellStyle name="Normal 5 2 2 2 3" xfId="1150" xr:uid="{8306A5FD-BEE9-4BC8-B4AC-3C7ECC0AFC4F}"/>
    <cellStyle name="Normal 5 2 2 2 3 2" xfId="2283" xr:uid="{9ABC8913-FA44-4323-B9C2-2043B9A1A929}"/>
    <cellStyle name="Normal 5 2 2 2 4" xfId="1151" xr:uid="{DAA6872C-CA8D-4B9E-AC15-7CB7C39AED70}"/>
    <cellStyle name="Normal 5 2 2 2 4 2" xfId="2284" xr:uid="{814B06BA-5148-4AA0-BE9F-6A3F37FD38B6}"/>
    <cellStyle name="Normal 5 2 2 2 5" xfId="1152" xr:uid="{0F865484-BDFF-4536-95C3-A4D795ECE611}"/>
    <cellStyle name="Normal 5 2 2 2 5 2" xfId="2285" xr:uid="{831B33A0-41D9-4DF5-9309-5EC42BD1C741}"/>
    <cellStyle name="Normal 5 2 2 2 6" xfId="1153" xr:uid="{E0D700B9-52DF-46D1-8F6A-C53BCA45ECAB}"/>
    <cellStyle name="Normal 5 2 2 2 6 2" xfId="2286" xr:uid="{338AD263-5D2E-49E3-89E8-B56850A7A5EB}"/>
    <cellStyle name="Normal 5 2 2 2 7" xfId="1154" xr:uid="{BDF6658B-820B-4BF9-B15C-AEBE058C317E}"/>
    <cellStyle name="Normal 5 2 2 2 7 2" xfId="2287" xr:uid="{3E7E73FD-14F4-4EAE-B40B-2749D7411D7E}"/>
    <cellStyle name="Normal 5 2 2 2 8" xfId="1155" xr:uid="{BDF3A0D2-9FF1-4FCF-A1C3-AC0D2260B3B1}"/>
    <cellStyle name="Normal 5 2 2 2 8 2" xfId="2288" xr:uid="{FC25F399-830C-4EA1-8B41-FE8886B0BA1B}"/>
    <cellStyle name="Normal 5 2 2 2 9" xfId="1156" xr:uid="{2DA79FB2-527A-4930-A911-51388183AD4A}"/>
    <cellStyle name="Normal 5 2 2 2 9 2" xfId="2289" xr:uid="{144F8A09-1E7C-4BE4-B7D1-BAED9339EE78}"/>
    <cellStyle name="Normal 5 2 2 3" xfId="1157" xr:uid="{1DBCB35A-222F-4F93-A9AA-016436721977}"/>
    <cellStyle name="Normal 5 2 2 3 2" xfId="2290" xr:uid="{15FBCA9E-C68E-4E10-868C-C4E1C19075B3}"/>
    <cellStyle name="Normal 5 2 2 3 2 2" xfId="3442" xr:uid="{D788948F-F944-4EC5-BE61-64F6B9EAA2C7}"/>
    <cellStyle name="Normal 5 2 2 3 3" xfId="3150" xr:uid="{7DFC1421-472E-4564-A4DB-CCE88BC0234E}"/>
    <cellStyle name="Normal 5 2 2 4" xfId="1158" xr:uid="{A17A15DF-3C26-4098-AF88-53704BEE5455}"/>
    <cellStyle name="Normal 5 2 2 4 2" xfId="2291" xr:uid="{0503AD9F-734B-437C-86C4-DD4D239DBD86}"/>
    <cellStyle name="Normal 5 2 2 4 2 2" xfId="3443" xr:uid="{7C858F24-711D-42BB-A164-9060EF6019B7}"/>
    <cellStyle name="Normal 5 2 2 4 3" xfId="3151" xr:uid="{30A78C54-C08F-4D2C-A32F-EDCEECA1D390}"/>
    <cellStyle name="Normal 5 2 2 5" xfId="1159" xr:uid="{F9B250AF-DC5D-4F5F-84BD-114BAB00DD40}"/>
    <cellStyle name="Normal 5 2 2 5 2" xfId="2292" xr:uid="{BFF21AB3-0B42-4BE2-A8DA-5DD42A851BA0}"/>
    <cellStyle name="Normal 5 2 2 5 2 2" xfId="3444" xr:uid="{117FDE53-D3DD-4A13-849D-D52F8CEE3B2C}"/>
    <cellStyle name="Normal 5 2 2 5 3" xfId="3152" xr:uid="{AE14E7D5-284A-4C70-B21D-1D88D4DEE9F1}"/>
    <cellStyle name="Normal 5 2 2 6" xfId="1160" xr:uid="{D67007BB-38B7-4394-81EA-3271F58ED967}"/>
    <cellStyle name="Normal 5 2 2 6 2" xfId="2293" xr:uid="{EF1AE2E7-1280-45F4-AF10-6C0A2974C6C0}"/>
    <cellStyle name="Normal 5 2 2 6 2 2" xfId="3445" xr:uid="{E9C3CC90-00E5-4122-94F8-22E3933AF53B}"/>
    <cellStyle name="Normal 5 2 2 6 3" xfId="3153" xr:uid="{E2FEC9B5-3C3D-41F8-9F62-3C18B42A44C9}"/>
    <cellStyle name="Normal 5 2 2 7" xfId="1161" xr:uid="{B03685E5-FF90-4FA5-95EE-3ABE4EEFC874}"/>
    <cellStyle name="Normal 5 2 2 7 2" xfId="2294" xr:uid="{C01FED5E-6578-4FDC-AE81-02BBC5AF2BDB}"/>
    <cellStyle name="Normal 5 2 2 7 2 2" xfId="3446" xr:uid="{9D19F9E7-863C-4B9C-B5A7-D7E9AD606402}"/>
    <cellStyle name="Normal 5 2 2 7 3" xfId="3154" xr:uid="{B243FBD4-9829-4223-81D3-1757EA4A0DEF}"/>
    <cellStyle name="Normal 5 2 2 8" xfId="1162" xr:uid="{1CDF8BEC-A7A2-4075-9ACD-D5D290198606}"/>
    <cellStyle name="Normal 5 2 2 8 2" xfId="2295" xr:uid="{63F73E7A-5B44-4E5B-9263-53ADAE3B7B59}"/>
    <cellStyle name="Normal 5 2 2 8 2 2" xfId="3447" xr:uid="{A3BEA6CD-70F8-49DD-B0EA-97D05FB5F15A}"/>
    <cellStyle name="Normal 5 2 2 8 3" xfId="3155" xr:uid="{99DD1FA3-CD55-46DD-8EB0-9A9CA9FD7BAE}"/>
    <cellStyle name="Normal 5 2 2 9" xfId="1163" xr:uid="{C3227287-C5DF-40E9-A20A-D1073C5EBDEC}"/>
    <cellStyle name="Normal 5 2 2 9 2" xfId="2296" xr:uid="{3617ECF0-EF9C-4BF3-9F9E-EFE45EC02319}"/>
    <cellStyle name="Normal 5 2 2 9 2 2" xfId="3448" xr:uid="{4D9BBBC8-9412-4B38-9335-40AB9D73FEA0}"/>
    <cellStyle name="Normal 5 2 2 9 3" xfId="3156" xr:uid="{0D72E430-611C-4762-8E99-C373051971AA}"/>
    <cellStyle name="Normal 5 2 3" xfId="1164" xr:uid="{2D9DAD09-4185-4AF6-A686-82351350B0FB}"/>
    <cellStyle name="Normal 5 2 3 2" xfId="2297" xr:uid="{5E721762-48A3-4A64-B6C1-A80262422B0D}"/>
    <cellStyle name="Normal 5 2 4" xfId="1165" xr:uid="{84925019-3189-4F7D-854D-F203AC26E7A7}"/>
    <cellStyle name="Normal 5 2 4 2" xfId="2298" xr:uid="{9118F1AF-A446-45A7-9044-C0A0D3FEEF4B}"/>
    <cellStyle name="Normal 5 2 5" xfId="1166" xr:uid="{1DE12758-78DB-452C-B8DD-1A415747DCC5}"/>
    <cellStyle name="Normal 5 2 5 2" xfId="2299" xr:uid="{8AEE7576-465B-4B70-B6B3-069AC421F6D1}"/>
    <cellStyle name="Normal 5 2 6" xfId="1167" xr:uid="{9FAF8F82-F4EC-43B8-9B0C-3F7B8BF2A62E}"/>
    <cellStyle name="Normal 5 2 6 2" xfId="2300" xr:uid="{84A3D3C3-DCEE-485F-891C-86CA33638EFF}"/>
    <cellStyle name="Normal 5 2 7" xfId="1168" xr:uid="{FFFBC17F-DEB6-45D2-9509-4F654FB0CE9D}"/>
    <cellStyle name="Normal 5 2 7 2" xfId="2301" xr:uid="{6A758A3D-82FD-4FF6-A546-AE3A1AD057B9}"/>
    <cellStyle name="Normal 5 2 8" xfId="1169" xr:uid="{342AF224-17FB-4E7B-A326-E6B463019887}"/>
    <cellStyle name="Normal 5 2 8 2" xfId="2302" xr:uid="{D1FB2A55-D3F8-4ABE-8021-D0C1DA860F1B}"/>
    <cellStyle name="Normal 5 2 9" xfId="1170" xr:uid="{E1C40085-A73C-4F0B-A56C-5BC3B74960C6}"/>
    <cellStyle name="Normal 5 2 9 2" xfId="2303" xr:uid="{ED315DD0-0809-47AC-81C4-E34BD52A849E}"/>
    <cellStyle name="Normal 5 3" xfId="1171" xr:uid="{CF9F7D5A-112D-4F47-8D9D-4763351424D5}"/>
    <cellStyle name="Normal 5 3 2" xfId="1172" xr:uid="{D820B9A1-DF24-41EE-85A0-2382D59899A6}"/>
    <cellStyle name="Normal 5 3 2 2" xfId="2305" xr:uid="{DE40259E-4F10-4E6F-B771-47B7D5E5F34C}"/>
    <cellStyle name="Normal 5 3 3" xfId="1173" xr:uid="{7211342E-6F6A-4C64-A57B-EEC7A15C7AAD}"/>
    <cellStyle name="Normal 5 3 3 2" xfId="2306" xr:uid="{132F0DAE-6594-4825-A81F-5566ED8BBF4B}"/>
    <cellStyle name="Normal 5 3 4" xfId="1174" xr:uid="{2260285C-3919-49F4-AA89-8735A40CECA7}"/>
    <cellStyle name="Normal 5 3 4 2" xfId="2307" xr:uid="{67FF6872-A32B-4BC4-B54D-AE762F199F8C}"/>
    <cellStyle name="Normal 5 3 5" xfId="1175" xr:uid="{D3BAC4C8-6006-44BE-9D33-B5B448ABE75D}"/>
    <cellStyle name="Normal 5 3 5 2" xfId="2308" xr:uid="{044A4BEB-D4A2-4C02-A9ED-55433F042A22}"/>
    <cellStyle name="Normal 5 3 6" xfId="1176" xr:uid="{FEE44B0D-94D7-4EAA-82A0-83FCE1D618A5}"/>
    <cellStyle name="Normal 5 3 6 2" xfId="2309" xr:uid="{8ACBF791-8711-4BE0-9B5F-C2AE64D8C678}"/>
    <cellStyle name="Normal 5 3 7" xfId="1177" xr:uid="{EE9D09E7-D3D7-485E-9E1E-B81236DBE4D8}"/>
    <cellStyle name="Normal 5 3 7 2" xfId="2310" xr:uid="{233BD3AB-0C52-4613-AE50-D324BE424E3C}"/>
    <cellStyle name="Normal 5 3 8" xfId="1178" xr:uid="{DCE98FAF-E5CD-41B1-8A3F-CD67E65BBC1D}"/>
    <cellStyle name="Normal 5 3 8 2" xfId="2311" xr:uid="{FA7AC17B-1B2E-42A0-8455-2AFA2F279099}"/>
    <cellStyle name="Normal 5 3 9" xfId="2304" xr:uid="{697D6715-BD61-4D0C-B1D5-6E0D6B98FAAF}"/>
    <cellStyle name="Normal 5 4" xfId="1179" xr:uid="{833E1461-A4D4-410D-94FB-FEF9C58B978E}"/>
    <cellStyle name="Normal 5 4 2" xfId="1180" xr:uid="{883292A6-2982-43DD-B752-A2409D2CABD9}"/>
    <cellStyle name="Normal 5 4 2 2" xfId="2313" xr:uid="{71B09EC7-ECCF-4677-A5AF-E2A34B77993E}"/>
    <cellStyle name="Normal 5 4 3" xfId="1181" xr:uid="{5D9F3AF9-9932-408F-8833-D84BC3182FA9}"/>
    <cellStyle name="Normal 5 4 3 2" xfId="2314" xr:uid="{56893BEA-EBAB-4F79-B856-CC3F65FD3678}"/>
    <cellStyle name="Normal 5 4 4" xfId="1182" xr:uid="{9C6E0210-16D6-46EB-A5ED-CD7AFCE05FB1}"/>
    <cellStyle name="Normal 5 4 4 2" xfId="2315" xr:uid="{81BFE512-F991-4466-B1CA-C2AFBD403924}"/>
    <cellStyle name="Normal 5 4 5" xfId="1183" xr:uid="{941DFD4A-0CD6-4992-91B5-B80D7400AA5E}"/>
    <cellStyle name="Normal 5 4 5 2" xfId="2316" xr:uid="{1DAE17CE-4C52-4458-853A-B28075CD45D9}"/>
    <cellStyle name="Normal 5 4 6" xfId="1184" xr:uid="{C291EA22-C482-4089-AC35-FE6B45328382}"/>
    <cellStyle name="Normal 5 4 6 2" xfId="2317" xr:uid="{5941164C-73FC-4427-866F-3171BA0DB8C7}"/>
    <cellStyle name="Normal 5 4 7" xfId="1185" xr:uid="{64F4AE5F-B8E0-4CB7-AEDF-8AAE6D21EDD7}"/>
    <cellStyle name="Normal 5 4 7 2" xfId="2318" xr:uid="{2E0D224A-1173-456B-9749-639CEF0FC9A2}"/>
    <cellStyle name="Normal 5 4 8" xfId="1186" xr:uid="{10ED3847-4E68-4586-A957-E31ECD20BC6D}"/>
    <cellStyle name="Normal 5 4 8 2" xfId="2319" xr:uid="{852668E1-C69D-48EA-AA30-EBF23C174F5C}"/>
    <cellStyle name="Normal 5 4 9" xfId="2312" xr:uid="{A57E3732-EE50-4494-BF7D-BE87D061676D}"/>
    <cellStyle name="Normal 5 5" xfId="1187" xr:uid="{7BB3C900-0CE0-444E-95EF-4CFA404E2403}"/>
    <cellStyle name="Normal 5 5 2" xfId="1188" xr:uid="{97D44FEF-4A1D-41BE-81E3-1C13B8B74A4F}"/>
    <cellStyle name="Normal 5 5 2 2" xfId="2321" xr:uid="{C211AC9A-E4F6-4E4E-B07B-4B02D6FAD2FF}"/>
    <cellStyle name="Normal 5 5 3" xfId="1189" xr:uid="{EA899330-CD5A-4361-A480-9F3E4DEDFA1E}"/>
    <cellStyle name="Normal 5 5 3 2" xfId="2322" xr:uid="{FCB5800F-BEDE-43F7-846E-EA1D042B4C09}"/>
    <cellStyle name="Normal 5 5 4" xfId="1190" xr:uid="{AA7AF19E-2F0C-40FA-A9FB-B6242BEF8B0D}"/>
    <cellStyle name="Normal 5 5 4 2" xfId="2323" xr:uid="{08A53779-C41B-45B7-AB4F-65E2B55E242D}"/>
    <cellStyle name="Normal 5 5 5" xfId="1191" xr:uid="{3CFDBC66-6B0A-4EDF-A064-61AC3D9AA3E6}"/>
    <cellStyle name="Normal 5 5 5 2" xfId="2324" xr:uid="{DCCCAD49-9E62-4FA2-80F6-25D28C3E4479}"/>
    <cellStyle name="Normal 5 5 6" xfId="1192" xr:uid="{07B55F79-1834-483B-95D9-F3BC9E5AD582}"/>
    <cellStyle name="Normal 5 5 6 2" xfId="2325" xr:uid="{CEECCDE1-7833-45F0-B498-B2A137C7EEFA}"/>
    <cellStyle name="Normal 5 5 7" xfId="1193" xr:uid="{685D3CC9-ED57-4D79-A2D1-34C7DCBB18DD}"/>
    <cellStyle name="Normal 5 5 7 2" xfId="2326" xr:uid="{08D40662-FD5C-4436-AFE8-F06F1F9FC91B}"/>
    <cellStyle name="Normal 5 5 8" xfId="1194" xr:uid="{9D52B65F-7EC2-4D22-8EA2-08FA6AB7C7C0}"/>
    <cellStyle name="Normal 5 5 8 2" xfId="2327" xr:uid="{E28020B3-0061-4691-8B82-0298ECCEBC36}"/>
    <cellStyle name="Normal 5 5 9" xfId="2320" xr:uid="{DCA9E3EE-8EFB-48D0-9CFA-A0FF1FA65F94}"/>
    <cellStyle name="Normal 5 6" xfId="1195" xr:uid="{EB6EC88D-3B92-44F4-9373-9D39414704CC}"/>
    <cellStyle name="Normal 5 6 2" xfId="2328" xr:uid="{0986516B-848B-4B9C-967F-54565802A955}"/>
    <cellStyle name="Normal 5 7" xfId="1196" xr:uid="{AA5F1814-045A-42FE-BEAA-D079ED00D2D1}"/>
    <cellStyle name="Normal 5 7 2" xfId="2329" xr:uid="{1F45AC72-630D-4475-8CBF-634E12E505A0}"/>
    <cellStyle name="Normal 5 8" xfId="1197" xr:uid="{A017B8B3-A3FF-4717-93DE-CC842D979D2D}"/>
    <cellStyle name="Normal 5 8 2" xfId="2330" xr:uid="{D1E64D99-7827-4BAD-9E9C-22E1CC0549B6}"/>
    <cellStyle name="Normal 5 9" xfId="1198" xr:uid="{18182354-0F6C-4C25-80E7-BA6265CCC571}"/>
    <cellStyle name="Normal 5 9 2" xfId="2331" xr:uid="{7242453B-FBD3-4526-AD8A-199FFC5C2474}"/>
    <cellStyle name="Normal 6" xfId="1199" xr:uid="{153CA148-5AC1-43E9-A839-D5649EA53EEF}"/>
    <cellStyle name="Normal 6 10" xfId="1200" xr:uid="{244E393C-C8D6-46C3-A68F-58C3F9155FD2}"/>
    <cellStyle name="Normal 6 10 2" xfId="2333" xr:uid="{023A5B59-D133-48BE-92BD-8DE4328F36EB}"/>
    <cellStyle name="Normal 6 11" xfId="1201" xr:uid="{4469FC19-E672-4385-84E1-CCE7FDC5D4B2}"/>
    <cellStyle name="Normal 6 11 2" xfId="2334" xr:uid="{717F964F-4FAC-4BFC-AC38-CE2480BE3270}"/>
    <cellStyle name="Normal 6 12" xfId="1202" xr:uid="{FB3F6DAF-E2B8-4EF9-976E-8DC08D8D2026}"/>
    <cellStyle name="Normal 6 12 2" xfId="2335" xr:uid="{095F26A5-83A5-48FF-936C-7E147088D1EB}"/>
    <cellStyle name="Normal 6 13" xfId="1203" xr:uid="{BDD1901A-E443-451A-85D9-7526306D3CAA}"/>
    <cellStyle name="Normal 6 13 2" xfId="2336" xr:uid="{E93D5B54-0194-47FC-BFFA-8C56BA3CA9B7}"/>
    <cellStyle name="Normal 6 14" xfId="2332" xr:uid="{F25CC8D2-9983-4B33-9AB5-8039E7F07352}"/>
    <cellStyle name="Normal 6 2" xfId="1204" xr:uid="{A3BAADD4-1632-402C-9D7D-7375A7AAE428}"/>
    <cellStyle name="Normal 6 2 2" xfId="1205" xr:uid="{639494A6-C9E1-4DE3-AB19-AB2794C685D1}"/>
    <cellStyle name="Normal 6 2 2 10" xfId="1206" xr:uid="{5F3D8D0A-49F2-4AC5-80ED-73D92640C442}"/>
    <cellStyle name="Normal 6 2 2 10 2" xfId="2339" xr:uid="{CE309050-7660-4D40-B5C1-8EED94D4493D}"/>
    <cellStyle name="Normal 6 2 2 10 2 2" xfId="3449" xr:uid="{945F49BC-B0FE-4212-9849-161A500095FD}"/>
    <cellStyle name="Normal 6 2 2 10 3" xfId="3157" xr:uid="{DB5B538B-20BA-41B6-840A-6C1594887C71}"/>
    <cellStyle name="Normal 6 2 2 11" xfId="1207" xr:uid="{5B27856F-1319-47C2-89D7-0CA35C2DA3CD}"/>
    <cellStyle name="Normal 6 2 2 11 2" xfId="2340" xr:uid="{FB82FCB8-0E1B-4044-94C3-E5A9819CD3DB}"/>
    <cellStyle name="Normal 6 2 2 11 2 2" xfId="3450" xr:uid="{33F9DD69-7AAE-47BF-B7E3-D726EEC9EF44}"/>
    <cellStyle name="Normal 6 2 2 11 3" xfId="3158" xr:uid="{909F9BC5-0F97-4E7D-8BE0-ED4D9F5EA6E1}"/>
    <cellStyle name="Normal 6 2 2 12" xfId="1208" xr:uid="{F5B06C5D-14A6-4647-A45C-1062827CF24C}"/>
    <cellStyle name="Normal 6 2 2 12 2" xfId="2341" xr:uid="{D5AB7F8E-89F9-4F36-8703-545360CA4FBD}"/>
    <cellStyle name="Normal 6 2 2 12 2 2" xfId="3451" xr:uid="{4942F80F-43A2-43FF-BBAD-52D2980F68B5}"/>
    <cellStyle name="Normal 6 2 2 12 3" xfId="3159" xr:uid="{A3CB19B4-D7E1-4E67-B0E7-5F6F1542B23D}"/>
    <cellStyle name="Normal 6 2 2 13" xfId="1209" xr:uid="{443FFBEC-824E-476E-AF6E-FA4CB5E4DD3B}"/>
    <cellStyle name="Normal 6 2 2 13 2" xfId="2342" xr:uid="{33E7DD34-C895-4BCA-8E27-12FACD91F647}"/>
    <cellStyle name="Normal 6 2 2 13 2 2" xfId="3452" xr:uid="{F88D2F22-CE8A-48E3-B35D-903E830A7B05}"/>
    <cellStyle name="Normal 6 2 2 13 3" xfId="3160" xr:uid="{5506820A-A228-4CD8-ADB9-2432760D63FE}"/>
    <cellStyle name="Normal 6 2 2 14" xfId="2338" xr:uid="{E758094E-9921-460F-A858-9117648BB458}"/>
    <cellStyle name="Normal 6 2 2 2" xfId="1210" xr:uid="{9523B887-9557-41F3-B6AC-744E274577BF}"/>
    <cellStyle name="Normal 6 2 2 2 2" xfId="2343" xr:uid="{43E1A9C7-19F2-42CA-BDB1-9D65FC20954C}"/>
    <cellStyle name="Normal 6 2 2 2 2 2" xfId="3453" xr:uid="{7E90EA5F-5A66-4C9A-8714-1B1975324C8D}"/>
    <cellStyle name="Normal 6 2 2 2 3" xfId="3161" xr:uid="{5452EB96-8ADF-4F78-9D9F-F97A5F3A49B7}"/>
    <cellStyle name="Normal 6 2 2 3" xfId="1211" xr:uid="{205A3F14-4774-4031-8876-B65C639C5882}"/>
    <cellStyle name="Normal 6 2 2 3 2" xfId="2344" xr:uid="{3933362C-1DA6-429E-9491-E7265F462A9C}"/>
    <cellStyle name="Normal 6 2 2 3 2 2" xfId="3454" xr:uid="{17F698DA-E593-455B-B89E-8932D8525CB0}"/>
    <cellStyle name="Normal 6 2 2 3 3" xfId="3162" xr:uid="{16A629FE-AF49-42B2-AF0E-CCC1C9C867DD}"/>
    <cellStyle name="Normal 6 2 2 4" xfId="1212" xr:uid="{2B070BA6-5AC8-4BA5-AA80-E0DCC517938E}"/>
    <cellStyle name="Normal 6 2 2 4 2" xfId="2345" xr:uid="{AA4D9992-E621-4E2E-A6D5-02EE26DE1A1D}"/>
    <cellStyle name="Normal 6 2 2 4 2 2" xfId="3455" xr:uid="{684456D1-6528-40F9-AC0A-C79065361FE4}"/>
    <cellStyle name="Normal 6 2 2 4 3" xfId="3163" xr:uid="{14EB2720-2B74-48DB-ACF1-61423EDE3C9C}"/>
    <cellStyle name="Normal 6 2 2 5" xfId="1213" xr:uid="{A6197AA5-E2F6-4F7D-8D5C-CAE5EF3E1948}"/>
    <cellStyle name="Normal 6 2 2 5 2" xfId="2346" xr:uid="{22C6AFD7-4EA5-4C5C-9741-32EB0EA44ECB}"/>
    <cellStyle name="Normal 6 2 2 5 2 2" xfId="3456" xr:uid="{70B6ED35-8482-4D3D-8F6F-DB36A3CD2F77}"/>
    <cellStyle name="Normal 6 2 2 5 3" xfId="3164" xr:uid="{359440BB-CB28-4CAC-B069-251A22DD25CE}"/>
    <cellStyle name="Normal 6 2 2 6" xfId="1214" xr:uid="{4A7B36AD-77CE-4F27-8E03-1A3B41098C99}"/>
    <cellStyle name="Normal 6 2 2 6 2" xfId="2347" xr:uid="{DD8B9EB6-F667-4013-B4D8-FD3A8EDAC965}"/>
    <cellStyle name="Normal 6 2 2 6 2 2" xfId="3457" xr:uid="{0640DC6C-A878-40A3-ACD9-CD788F233DB1}"/>
    <cellStyle name="Normal 6 2 2 6 3" xfId="3165" xr:uid="{58B4A0D0-BE6D-4EB1-A6A6-971ED7522C82}"/>
    <cellStyle name="Normal 6 2 2 7" xfId="1215" xr:uid="{91C94D20-EBC8-407B-8470-1474A880BA9D}"/>
    <cellStyle name="Normal 6 2 2 7 2" xfId="2348" xr:uid="{4A655640-A6BF-469B-867B-899CE57B8B8E}"/>
    <cellStyle name="Normal 6 2 2 7 2 2" xfId="3458" xr:uid="{1AF99912-B105-4E25-9682-096D7EEBB07B}"/>
    <cellStyle name="Normal 6 2 2 7 3" xfId="3166" xr:uid="{00A4C64E-8F37-4586-B99A-4D480AE9A92A}"/>
    <cellStyle name="Normal 6 2 2 8" xfId="1216" xr:uid="{F416D288-F696-4350-93C2-367B848AE5D0}"/>
    <cellStyle name="Normal 6 2 2 8 2" xfId="2349" xr:uid="{28C773EC-40D6-47FB-B8D7-98E3A993F000}"/>
    <cellStyle name="Normal 6 2 2 8 2 2" xfId="3459" xr:uid="{28AD4700-1EFF-4C51-9039-DBECFED005AF}"/>
    <cellStyle name="Normal 6 2 2 8 3" xfId="3167" xr:uid="{1E365D33-A1A3-4B37-944F-4DE0745ADF2E}"/>
    <cellStyle name="Normal 6 2 2 9" xfId="1217" xr:uid="{BDE0E805-13A2-4814-B903-A278C25512A6}"/>
    <cellStyle name="Normal 6 2 2 9 2" xfId="2350" xr:uid="{5DA65A01-0321-42F3-B2A3-AF8714526734}"/>
    <cellStyle name="Normal 6 2 2 9 2 2" xfId="3460" xr:uid="{67FDA7AD-FD96-437E-A053-36ACAF2D012C}"/>
    <cellStyle name="Normal 6 2 2 9 3" xfId="3168" xr:uid="{C2DE88A2-FBD5-440C-BE05-8B72F26BFE76}"/>
    <cellStyle name="Normal 6 2 3" xfId="1218" xr:uid="{6932069F-62B3-47B4-9381-0101DD0BA9A6}"/>
    <cellStyle name="Normal 6 2 3 2" xfId="2351" xr:uid="{F6CB3FC2-935A-4519-926E-366828145EBE}"/>
    <cellStyle name="Normal 6 2 4" xfId="1219" xr:uid="{830774FA-9B75-4D96-AFAB-4B6DDC3E4ADC}"/>
    <cellStyle name="Normal 6 2 4 2" xfId="2352" xr:uid="{83D98EA6-1A9A-401F-94FB-87A9A857EB42}"/>
    <cellStyle name="Normal 6 2 5" xfId="1220" xr:uid="{85473A4D-42B7-4167-A5DE-B7AF9B6C7EA1}"/>
    <cellStyle name="Normal 6 2 5 2" xfId="2353" xr:uid="{85090986-CD3F-4189-914F-DBDA7134C4E8}"/>
    <cellStyle name="Normal 6 2 6" xfId="1221" xr:uid="{2148AB67-E3FA-4618-ABBC-60691E9D3B26}"/>
    <cellStyle name="Normal 6 2 6 2" xfId="2354" xr:uid="{8A529A28-167C-4E15-B7AC-E897B389C5A6}"/>
    <cellStyle name="Normal 6 2 7" xfId="1222" xr:uid="{16C18222-6067-4DAC-B554-509911C6D8A2}"/>
    <cellStyle name="Normal 6 2 7 2" xfId="2355" xr:uid="{5E191955-5DE6-45BB-AB42-86874A588801}"/>
    <cellStyle name="Normal 6 2 8" xfId="1223" xr:uid="{C2242D75-92D4-4C51-B022-1F823C5F7897}"/>
    <cellStyle name="Normal 6 2 8 2" xfId="2356" xr:uid="{94C92C26-354A-491E-8388-CB9647067053}"/>
    <cellStyle name="Normal 6 2 9" xfId="2337" xr:uid="{4D8148E8-AD28-42CC-98E0-9CB11F616120}"/>
    <cellStyle name="Normal 6 3" xfId="1224" xr:uid="{EF6182C0-EBE4-48E9-A219-25006CB6C8AE}"/>
    <cellStyle name="Normal 6 3 2" xfId="1225" xr:uid="{BDB562CD-2246-4025-BAF6-A57DB62998FA}"/>
    <cellStyle name="Normal 6 3 2 2" xfId="2358" xr:uid="{05C2F8D7-374E-4EDE-99CF-22E53B05B0CC}"/>
    <cellStyle name="Normal 6 3 3" xfId="1226" xr:uid="{585785F9-CC5F-4344-BC60-86DB5661865B}"/>
    <cellStyle name="Normal 6 3 3 2" xfId="2359" xr:uid="{C911BB4B-AF71-42BE-AC9F-8F7704FCFC11}"/>
    <cellStyle name="Normal 6 3 4" xfId="1227" xr:uid="{144E7C16-4BF9-4542-A8EB-3D4857D8E055}"/>
    <cellStyle name="Normal 6 3 4 2" xfId="2360" xr:uid="{E1CEB62F-BDEB-42B0-86D4-85359B61F1EA}"/>
    <cellStyle name="Normal 6 3 5" xfId="1228" xr:uid="{26C655AF-A05F-4466-AA24-DA1911EBF004}"/>
    <cellStyle name="Normal 6 3 5 2" xfId="2361" xr:uid="{3135E4E5-7C07-41DB-8E2C-D50EC39F2ED5}"/>
    <cellStyle name="Normal 6 3 6" xfId="1229" xr:uid="{4F76C58D-A29E-466E-BA01-18B030B8D6E4}"/>
    <cellStyle name="Normal 6 3 6 2" xfId="2362" xr:uid="{CF8E082A-F718-4F31-A0B6-A8AFA962F285}"/>
    <cellStyle name="Normal 6 3 7" xfId="1230" xr:uid="{F0C965A3-ECFB-4505-A798-58CE4B4455F0}"/>
    <cellStyle name="Normal 6 3 7 2" xfId="2363" xr:uid="{397B5DD5-9EA4-4A48-8A54-8EB833B1DF20}"/>
    <cellStyle name="Normal 6 3 8" xfId="1231" xr:uid="{57CA4DB6-1B3F-4A03-BA8C-917EE4F836B0}"/>
    <cellStyle name="Normal 6 3 8 2" xfId="2364" xr:uid="{496F591C-46A0-4DEE-BABD-0B473D92E979}"/>
    <cellStyle name="Normal 6 3 9" xfId="2357" xr:uid="{20BAEEDB-1559-4A29-B331-A5DBA7A5FCC0}"/>
    <cellStyle name="Normal 6 4" xfId="1232" xr:uid="{232CCD20-BFDC-4864-8D78-34628138768B}"/>
    <cellStyle name="Normal 6 4 2" xfId="1233" xr:uid="{F803B313-36DC-46EF-8D77-429A0FBDCD56}"/>
    <cellStyle name="Normal 6 4 2 2" xfId="2366" xr:uid="{9CD7176C-328C-4CD5-A422-C55C35528757}"/>
    <cellStyle name="Normal 6 4 3" xfId="1234" xr:uid="{C777ED9B-4480-4E77-8107-4936DC249FE0}"/>
    <cellStyle name="Normal 6 4 3 2" xfId="2367" xr:uid="{1C18D9AD-D5E9-4E93-8B68-BA43AFC94608}"/>
    <cellStyle name="Normal 6 4 4" xfId="1235" xr:uid="{D8FF64CA-ABF8-4961-81EC-B0CEE1232EC3}"/>
    <cellStyle name="Normal 6 4 4 2" xfId="2368" xr:uid="{36C6C61F-1C7D-44E2-A043-33F023631552}"/>
    <cellStyle name="Normal 6 4 5" xfId="1236" xr:uid="{08DA3FFE-3F72-4950-A5FA-9438A75D2F48}"/>
    <cellStyle name="Normal 6 4 5 2" xfId="2369" xr:uid="{89203E0C-F236-4A01-B713-D935770AF877}"/>
    <cellStyle name="Normal 6 4 6" xfId="1237" xr:uid="{1284FBFC-BB97-49DD-A03B-E887DAE9EBE5}"/>
    <cellStyle name="Normal 6 4 6 2" xfId="2370" xr:uid="{0D9A723F-65B8-4911-8637-2E227F5A934F}"/>
    <cellStyle name="Normal 6 4 7" xfId="1238" xr:uid="{37B6917F-BB9E-4083-885C-AEBD74F5B4CD}"/>
    <cellStyle name="Normal 6 4 7 2" xfId="2371" xr:uid="{17D4A1B7-A071-43B3-A310-32022713F53C}"/>
    <cellStyle name="Normal 6 4 8" xfId="1239" xr:uid="{DA352045-3806-42A1-9E8D-02C5286C61F7}"/>
    <cellStyle name="Normal 6 4 8 2" xfId="2372" xr:uid="{A727BBB0-0F83-48E5-8C48-D6779D278E8C}"/>
    <cellStyle name="Normal 6 4 9" xfId="2365" xr:uid="{4897B2B7-0B64-4F91-B47E-ADACC87514DB}"/>
    <cellStyle name="Normal 6 5" xfId="1240" xr:uid="{A90D5B9F-BE03-47D4-87B3-2DA34083EF8D}"/>
    <cellStyle name="Normal 6 5 2" xfId="1241" xr:uid="{3A552879-2E1A-41A6-8054-D48B778F7FA6}"/>
    <cellStyle name="Normal 6 5 2 2" xfId="2374" xr:uid="{A99B3327-EE8E-4A08-99AE-E68A13D1772A}"/>
    <cellStyle name="Normal 6 5 3" xfId="1242" xr:uid="{58DC704D-D10D-4CA4-BEB4-20417CE860F3}"/>
    <cellStyle name="Normal 6 5 3 2" xfId="2375" xr:uid="{D59EEEEE-D483-447D-8C6B-66F302D8A102}"/>
    <cellStyle name="Normal 6 5 4" xfId="1243" xr:uid="{9B458E23-B2F8-4974-9E23-CFE7F32F4488}"/>
    <cellStyle name="Normal 6 5 4 2" xfId="2376" xr:uid="{62DEFE5B-6FE3-4D19-BCD6-95D6B1B03C70}"/>
    <cellStyle name="Normal 6 5 5" xfId="1244" xr:uid="{1C0109F3-DFBA-4C25-9715-B201898FCC7A}"/>
    <cellStyle name="Normal 6 5 5 2" xfId="2377" xr:uid="{F4EF6E68-02E6-4EE5-9CAD-C776ADC5DC49}"/>
    <cellStyle name="Normal 6 5 6" xfId="1245" xr:uid="{0D5B9FF3-DC54-454A-8000-3915967A7A6D}"/>
    <cellStyle name="Normal 6 5 6 2" xfId="2378" xr:uid="{183E3729-FF4C-4946-B146-52FB92E5FC4E}"/>
    <cellStyle name="Normal 6 5 7" xfId="1246" xr:uid="{3A4CE2F7-325D-4361-A699-29D70DA9BF85}"/>
    <cellStyle name="Normal 6 5 7 2" xfId="2379" xr:uid="{540D02F3-FD5C-475C-8CE6-5E5DFF5C62B9}"/>
    <cellStyle name="Normal 6 5 8" xfId="1247" xr:uid="{39E437D8-5A82-4ABE-87E1-6E20C98D4661}"/>
    <cellStyle name="Normal 6 5 8 2" xfId="2380" xr:uid="{1CC913CD-76E1-4F71-A2F1-6575259DA664}"/>
    <cellStyle name="Normal 6 5 9" xfId="2373" xr:uid="{13756EFD-9AF0-45B2-BFE2-21241026D501}"/>
    <cellStyle name="Normal 6 6" xfId="1248" xr:uid="{2972E3D8-B5FD-421C-A126-24EB7ACA8599}"/>
    <cellStyle name="Normal 6 6 2" xfId="2381" xr:uid="{32D449FE-1204-479E-A7F6-E24792AFEAA9}"/>
    <cellStyle name="Normal 6 7" xfId="1249" xr:uid="{7153AA13-6A39-40D9-BE4F-D15B0CE327DF}"/>
    <cellStyle name="Normal 6 7 2" xfId="2382" xr:uid="{ABB1E6DD-EDE6-42FB-8539-381FBE509CFA}"/>
    <cellStyle name="Normal 6 8" xfId="1250" xr:uid="{A2111FE7-4778-4025-8EAC-746EECF0907D}"/>
    <cellStyle name="Normal 6 8 2" xfId="2383" xr:uid="{59AFE7B1-F85D-4584-A404-84A90D0F6475}"/>
    <cellStyle name="Normal 6 9" xfId="1251" xr:uid="{96C0EB72-8BB7-4203-8728-38B5AE46D121}"/>
    <cellStyle name="Normal 6 9 2" xfId="2384" xr:uid="{A2562F31-2C9C-4B8D-9581-21CBCEF76B5A}"/>
    <cellStyle name="Normal 7" xfId="62" xr:uid="{34EA69C8-658A-49C3-ABFA-BD1EC644AAEB}"/>
    <cellStyle name="Normal 7 10" xfId="1252" xr:uid="{7954FC5D-FE69-4D9F-BA2E-5D634991AEE7}"/>
    <cellStyle name="Normal 7 10 2" xfId="2386" xr:uid="{54E75FF3-D9DE-44C3-B8B4-3AE7BBC3CA93}"/>
    <cellStyle name="Normal 7 11" xfId="1253" xr:uid="{6065B315-3876-4ECA-BF1F-0582FE7F42E6}"/>
    <cellStyle name="Normal 7 11 2" xfId="2387" xr:uid="{43AED811-89EE-4FB6-9BA0-42DDC9D085C8}"/>
    <cellStyle name="Normal 7 12" xfId="1254" xr:uid="{D1F46723-F6C5-4E70-A996-86908FA0156A}"/>
    <cellStyle name="Normal 7 12 2" xfId="2388" xr:uid="{85B5BE20-4AFB-4784-BC6D-1E5006081289}"/>
    <cellStyle name="Normal 7 13" xfId="2385" xr:uid="{58702B66-2589-4736-BF8E-5B4AD78A7A19}"/>
    <cellStyle name="Normal 7 2" xfId="63" xr:uid="{20313388-A938-4CFF-8A30-79FC07B261FF}"/>
    <cellStyle name="Normal 7 2 2" xfId="1255" xr:uid="{2471AB71-D25A-458A-9008-DDF68A6EAD7B}"/>
    <cellStyle name="Normal 7 2 2 2" xfId="2390" xr:uid="{F1FF248D-36AC-4773-9F28-54E5BF9E2F4F}"/>
    <cellStyle name="Normal 7 2 3" xfId="1256" xr:uid="{8B4EC04C-9DAB-410C-A81B-1F7FF491B93C}"/>
    <cellStyle name="Normal 7 2 3 2" xfId="2391" xr:uid="{A8445946-1E58-4A6E-B1D9-A7F06DB222F1}"/>
    <cellStyle name="Normal 7 2 4" xfId="1257" xr:uid="{28C886A9-E4DE-43A4-ADE1-98797E1ACB41}"/>
    <cellStyle name="Normal 7 2 4 2" xfId="2392" xr:uid="{96968FC3-C905-4717-99C6-AC686AC4A836}"/>
    <cellStyle name="Normal 7 2 5" xfId="1258" xr:uid="{3D00D2CA-007E-4DDB-BF8D-2FEF479054FA}"/>
    <cellStyle name="Normal 7 2 5 2" xfId="2393" xr:uid="{7ED05B67-CD2D-4AC7-A05D-F9119C4B6EBD}"/>
    <cellStyle name="Normal 7 2 6" xfId="1259" xr:uid="{57BB3F00-3312-4A84-905B-BCF7C534B577}"/>
    <cellStyle name="Normal 7 2 6 2" xfId="2394" xr:uid="{36EAED3A-A03B-418A-B0D1-9879C808FD46}"/>
    <cellStyle name="Normal 7 2 7" xfId="1260" xr:uid="{B7F9C3D6-47D1-4DED-9BE1-58301576BD09}"/>
    <cellStyle name="Normal 7 2 7 2" xfId="2395" xr:uid="{92461907-94DC-4700-A367-CE5545894C4A}"/>
    <cellStyle name="Normal 7 2 8" xfId="1261" xr:uid="{A51504A7-3A33-4D50-85B7-A9BFAF0AA5D6}"/>
    <cellStyle name="Normal 7 2 8 2" xfId="2396" xr:uid="{889696F1-9E53-4B42-B895-96529051A707}"/>
    <cellStyle name="Normal 7 2 9" xfId="2389" xr:uid="{D5957D81-5694-47D0-BAD6-1225DBBB1215}"/>
    <cellStyle name="Normal 7 3" xfId="1262" xr:uid="{F838AC76-9A99-41D0-8A13-F15650299143}"/>
    <cellStyle name="Normal 7 3 2" xfId="1263" xr:uid="{7A466E1B-3192-44D1-B156-130A5D2FE94D}"/>
    <cellStyle name="Normal 7 3 2 2" xfId="2398" xr:uid="{538F7832-20E2-498F-BFC5-72D1EA3F622C}"/>
    <cellStyle name="Normal 7 3 3" xfId="1264" xr:uid="{0D6D8C2C-7FB4-4F75-9C90-0088C2588F7E}"/>
    <cellStyle name="Normal 7 3 3 2" xfId="2399" xr:uid="{4A97311F-4364-4D11-BD90-9C6342F166C8}"/>
    <cellStyle name="Normal 7 3 4" xfId="1265" xr:uid="{8324AAC9-419C-477F-A9BF-91010E9A35C7}"/>
    <cellStyle name="Normal 7 3 4 2" xfId="2400" xr:uid="{77520040-D9B7-4501-8856-E855FAABE01C}"/>
    <cellStyle name="Normal 7 3 5" xfId="1266" xr:uid="{8D65B057-46F4-4A1D-A3C0-C98E39E16B71}"/>
    <cellStyle name="Normal 7 3 5 2" xfId="2401" xr:uid="{9B9D89F7-749B-4E7F-B571-5ED5E3B10308}"/>
    <cellStyle name="Normal 7 3 6" xfId="1267" xr:uid="{2B6D23FE-BDF0-4AC0-BC38-5CB74852E3B1}"/>
    <cellStyle name="Normal 7 3 6 2" xfId="2402" xr:uid="{9A7C99A2-46CC-479F-9F3B-1FB1F696953E}"/>
    <cellStyle name="Normal 7 3 7" xfId="1268" xr:uid="{7FCCF867-AE63-4A24-8A66-8268FA7F0A2A}"/>
    <cellStyle name="Normal 7 3 7 2" xfId="2403" xr:uid="{33E48033-3371-44D9-B131-F1B1448D6B5F}"/>
    <cellStyle name="Normal 7 3 8" xfId="1269" xr:uid="{3FB0F5D3-E3EA-457D-8A18-281EE74D80DC}"/>
    <cellStyle name="Normal 7 3 8 2" xfId="2404" xr:uid="{5E85C124-72DD-477A-A0A3-97734E0D0083}"/>
    <cellStyle name="Normal 7 3 9" xfId="2397" xr:uid="{BCA44F24-243E-4F3E-B529-81FA8C4E97B5}"/>
    <cellStyle name="Normal 7 4" xfId="1270" xr:uid="{8DFCA7AE-F33C-4A48-81D6-5286F0AFD34A}"/>
    <cellStyle name="Normal 7 4 2" xfId="1271" xr:uid="{D18B464B-E65A-4AEA-9FD6-B66DC6B631CE}"/>
    <cellStyle name="Normal 7 4 2 2" xfId="2406" xr:uid="{C8FFA22D-EAA6-4608-8F6B-E30C6B077321}"/>
    <cellStyle name="Normal 7 4 3" xfId="1272" xr:uid="{CF2C8E13-BD49-4742-B190-C8722244D70E}"/>
    <cellStyle name="Normal 7 4 3 2" xfId="2407" xr:uid="{4D1E3AB2-8EED-4235-A71E-4F15D5E87615}"/>
    <cellStyle name="Normal 7 4 4" xfId="1273" xr:uid="{D37FFE08-E7B1-4697-A5AC-325CE4031AE5}"/>
    <cellStyle name="Normal 7 4 4 2" xfId="2408" xr:uid="{BBD8B0FF-CA15-48EB-981C-75469D968368}"/>
    <cellStyle name="Normal 7 4 5" xfId="1274" xr:uid="{BD3D37CF-34C5-42A3-9273-57CA887F9A18}"/>
    <cellStyle name="Normal 7 4 5 2" xfId="2409" xr:uid="{BD4EFFA0-045A-46BD-8356-5388085CC74F}"/>
    <cellStyle name="Normal 7 4 6" xfId="1275" xr:uid="{D658FD32-FE2F-48A2-BA8C-B433E2972418}"/>
    <cellStyle name="Normal 7 4 6 2" xfId="2410" xr:uid="{6CD486C1-A431-4D59-BE5F-40D175494FE4}"/>
    <cellStyle name="Normal 7 4 7" xfId="1276" xr:uid="{2E929088-FE47-4FE6-96B6-BF8B1F3CFFF4}"/>
    <cellStyle name="Normal 7 4 7 2" xfId="2411" xr:uid="{27F42D26-BFED-422E-AA23-801DCB396328}"/>
    <cellStyle name="Normal 7 4 8" xfId="1277" xr:uid="{020EE962-7AB6-4DF4-A11C-8625B5551DB1}"/>
    <cellStyle name="Normal 7 4 8 2" xfId="2412" xr:uid="{476B9D32-A72A-4000-85A3-7B2183A70F7A}"/>
    <cellStyle name="Normal 7 4 9" xfId="2405" xr:uid="{F151D8E6-8872-4110-9DF9-158E7C4FD4E8}"/>
    <cellStyle name="Normal 7 5" xfId="1278" xr:uid="{8846C52D-7096-4F34-877A-C8DC5CA759AF}"/>
    <cellStyle name="Normal 7 5 2" xfId="1279" xr:uid="{D6FED00A-99B9-4AAF-8A69-979944597BE2}"/>
    <cellStyle name="Normal 7 5 2 2" xfId="2414" xr:uid="{66A69D35-0038-4E39-8001-3396010C4D87}"/>
    <cellStyle name="Normal 7 5 3" xfId="1280" xr:uid="{3A661A09-EF5A-4420-AF69-1B18E9B54B76}"/>
    <cellStyle name="Normal 7 5 3 2" xfId="2415" xr:uid="{9492F602-89E7-4F63-83F8-FF2FD017744F}"/>
    <cellStyle name="Normal 7 5 4" xfId="1281" xr:uid="{4C8E2226-0966-4921-8285-77FA724DAC56}"/>
    <cellStyle name="Normal 7 5 4 2" xfId="2416" xr:uid="{80E4E613-5C6D-498A-8D20-62930A566B5C}"/>
    <cellStyle name="Normal 7 5 5" xfId="1282" xr:uid="{4F1DA231-4DCA-49BB-A526-54F40580B247}"/>
    <cellStyle name="Normal 7 5 5 2" xfId="2417" xr:uid="{8C4148E9-5213-4EAD-ADF1-1CB616904A62}"/>
    <cellStyle name="Normal 7 5 6" xfId="1283" xr:uid="{0E5D6F74-6D10-4152-B14C-3508F4DBEC94}"/>
    <cellStyle name="Normal 7 5 6 2" xfId="2418" xr:uid="{617FC637-2B69-43C9-8BAC-A00CF186488B}"/>
    <cellStyle name="Normal 7 5 7" xfId="1284" xr:uid="{9D2B60A0-BA36-45BC-9841-5E601E2DE42A}"/>
    <cellStyle name="Normal 7 5 7 2" xfId="2419" xr:uid="{B37700DA-4269-4C9C-8758-146009BE0C49}"/>
    <cellStyle name="Normal 7 5 8" xfId="1285" xr:uid="{2C5CB134-C51B-4725-87A8-A5277EEFAC99}"/>
    <cellStyle name="Normal 7 5 8 2" xfId="2420" xr:uid="{B6B2AAA7-1EA0-4EC6-BDF7-A46ACE72CAF6}"/>
    <cellStyle name="Normal 7 5 9" xfId="2413" xr:uid="{09E66A1D-72E4-4A8D-8F1A-304234E758EB}"/>
    <cellStyle name="Normal 7 6" xfId="1286" xr:uid="{05D8810B-3825-4290-8B9F-46DBCD81E381}"/>
    <cellStyle name="Normal 7 6 2" xfId="2421" xr:uid="{01543FEE-D03F-4F54-9BAD-7FA5A754AE27}"/>
    <cellStyle name="Normal 7 7" xfId="1287" xr:uid="{2FA177FE-FF5C-47EF-8D5A-72E4BEC0055A}"/>
    <cellStyle name="Normal 7 7 2" xfId="2422" xr:uid="{A8F3EF1D-132C-41AC-91B4-79A4546C3926}"/>
    <cellStyle name="Normal 7 8" xfId="1288" xr:uid="{153A3412-0E75-457B-A51A-3A68EC06A989}"/>
    <cellStyle name="Normal 7 8 2" xfId="2423" xr:uid="{FD4086C7-30B2-42A2-A1D4-ED1707FCB8EE}"/>
    <cellStyle name="Normal 7 9" xfId="1289" xr:uid="{B7775609-E781-42E1-8117-4AC4F3F53BCE}"/>
    <cellStyle name="Normal 7 9 2" xfId="2424" xr:uid="{B3A6E443-9E20-4C93-ADEA-166D8633851B}"/>
    <cellStyle name="Normal 8" xfId="64" xr:uid="{7EA5E9CF-B56F-4D0F-B235-F42824B042E1}"/>
    <cellStyle name="Normal 8 10" xfId="1290" xr:uid="{5F36F6B0-1032-41CB-AF01-07399B6CC4D3}"/>
    <cellStyle name="Normal 8 10 2" xfId="2426" xr:uid="{57D93686-3090-4FE5-8B88-A1249A056D1F}"/>
    <cellStyle name="Normal 8 11" xfId="1291" xr:uid="{364F6014-42CC-4906-B3E5-0952374B7A35}"/>
    <cellStyle name="Normal 8 11 2" xfId="2427" xr:uid="{134C809A-635E-41BC-A10E-511C5E6E39DD}"/>
    <cellStyle name="Normal 8 12" xfId="1292" xr:uid="{79A40D47-75A1-47F2-A7AF-7EA1D5A1E4DE}"/>
    <cellStyle name="Normal 8 12 2" xfId="2428" xr:uid="{97FDCA1B-51B9-4A04-AAF3-B5DD4CC9AABE}"/>
    <cellStyle name="Normal 8 13" xfId="2425" xr:uid="{E50DCB5F-FA7E-42F3-99AB-F2C525ACD52D}"/>
    <cellStyle name="Normal 8 2" xfId="65" xr:uid="{51EDFA6F-7178-428C-8FAD-B010A8EC0507}"/>
    <cellStyle name="Normal 8 2 2" xfId="1293" xr:uid="{7E644068-9FE3-4EC7-8E12-1D6E789ECF9C}"/>
    <cellStyle name="Normal 8 2 2 2" xfId="2430" xr:uid="{7F95EE48-1F7C-46A0-99CE-0AA8562E6718}"/>
    <cellStyle name="Normal 8 2 3" xfId="1294" xr:uid="{3976887D-B1E0-4079-AB16-0D05B1E8FEE7}"/>
    <cellStyle name="Normal 8 2 3 2" xfId="2431" xr:uid="{C4EE1F49-995F-47E1-BC8E-07B2692B73F4}"/>
    <cellStyle name="Normal 8 2 4" xfId="1295" xr:uid="{A23E57F9-F3E2-4AFE-BBE2-66DBFB0A1761}"/>
    <cellStyle name="Normal 8 2 4 2" xfId="2432" xr:uid="{8F4FC571-0D8E-4989-9D2E-BBB89DE02FE1}"/>
    <cellStyle name="Normal 8 2 5" xfId="1296" xr:uid="{CBD44A5F-5201-4564-B14C-82A0D34C3EF6}"/>
    <cellStyle name="Normal 8 2 5 2" xfId="2433" xr:uid="{403994A9-8F3A-4BF2-AD49-EBC1320F4A95}"/>
    <cellStyle name="Normal 8 2 6" xfId="1297" xr:uid="{854D2AC8-AE9D-483C-9310-831CB7D814B0}"/>
    <cellStyle name="Normal 8 2 6 2" xfId="2434" xr:uid="{E02C9027-C731-48EF-8A9D-0A7102F72D4D}"/>
    <cellStyle name="Normal 8 2 7" xfId="1298" xr:uid="{94D75959-D794-46B2-A473-D570E56301F2}"/>
    <cellStyle name="Normal 8 2 7 2" xfId="2435" xr:uid="{A1AB48F3-2882-4388-9A74-EEF69A51AC90}"/>
    <cellStyle name="Normal 8 2 8" xfId="1299" xr:uid="{8024FCF6-B29F-4D0A-86F8-A100A986BD19}"/>
    <cellStyle name="Normal 8 2 8 2" xfId="2436" xr:uid="{9FE4F2B9-BEB8-4A5D-8720-56515507E5C1}"/>
    <cellStyle name="Normal 8 2 9" xfId="2429" xr:uid="{4D86F363-25B2-443E-A265-7560F1A51AAE}"/>
    <cellStyle name="Normal 8 3" xfId="1300" xr:uid="{C7E28848-AC70-407B-BDA0-A2A6290E0E52}"/>
    <cellStyle name="Normal 8 3 2" xfId="1301" xr:uid="{2C93ACFD-6649-4644-8499-C299D82F3F86}"/>
    <cellStyle name="Normal 8 3 2 2" xfId="2438" xr:uid="{FAC5DD34-1824-4496-B91D-366A8DF8AE84}"/>
    <cellStyle name="Normal 8 3 3" xfId="1302" xr:uid="{4DDAEC86-A255-49AD-AFD9-75D0579BF8AB}"/>
    <cellStyle name="Normal 8 3 3 2" xfId="2439" xr:uid="{5B511325-DBE1-44F5-B0E2-F3877815DA4E}"/>
    <cellStyle name="Normal 8 3 4" xfId="1303" xr:uid="{B6DCB028-9CBD-4C0F-A65A-0C2FCB9E5782}"/>
    <cellStyle name="Normal 8 3 4 2" xfId="2440" xr:uid="{C8A801B1-9571-4FDF-92BD-CBA9B539B2E3}"/>
    <cellStyle name="Normal 8 3 5" xfId="1304" xr:uid="{5AC32BCE-BB9D-43D6-B6AC-2F78A445DB52}"/>
    <cellStyle name="Normal 8 3 5 2" xfId="2441" xr:uid="{31601DE6-9569-4EB3-BC15-D499E5828D4A}"/>
    <cellStyle name="Normal 8 3 6" xfId="1305" xr:uid="{B02453B5-8F47-4C95-B117-FEB08841A009}"/>
    <cellStyle name="Normal 8 3 6 2" xfId="2442" xr:uid="{1C821B60-53FD-4084-A75B-40BF901E29BA}"/>
    <cellStyle name="Normal 8 3 7" xfId="1306" xr:uid="{EE88211E-C0FF-4298-AAA5-761E5B2C7932}"/>
    <cellStyle name="Normal 8 3 7 2" xfId="2443" xr:uid="{5A015EF2-F963-45AE-A863-5D063C630C60}"/>
    <cellStyle name="Normal 8 3 8" xfId="1307" xr:uid="{5933DFB5-7879-41D7-A351-CC7019C51628}"/>
    <cellStyle name="Normal 8 3 8 2" xfId="2444" xr:uid="{8A11577D-C407-4E24-A4D2-98F51C188333}"/>
    <cellStyle name="Normal 8 3 9" xfId="2437" xr:uid="{1AE0BE4C-07DF-4B62-BEAA-F7EF8EBED2B1}"/>
    <cellStyle name="Normal 8 4" xfId="1308" xr:uid="{38ACD6BD-811B-418A-AC7F-C56C70BE4384}"/>
    <cellStyle name="Normal 8 4 2" xfId="1309" xr:uid="{277AF626-9ADB-4032-87C4-D42A6188DCC5}"/>
    <cellStyle name="Normal 8 4 2 2" xfId="2446" xr:uid="{69F0B69C-585B-46DD-B7B5-DC6CA8013C2C}"/>
    <cellStyle name="Normal 8 4 3" xfId="1310" xr:uid="{68399F0F-5D9C-46DA-B653-5ED5F498652B}"/>
    <cellStyle name="Normal 8 4 3 2" xfId="2447" xr:uid="{12E422AA-FFC4-4C8E-A54D-53AE3AD568C2}"/>
    <cellStyle name="Normal 8 4 4" xfId="1311" xr:uid="{C3D635CC-F0E0-4E06-8F3B-1EB8C31C3D88}"/>
    <cellStyle name="Normal 8 4 4 2" xfId="2448" xr:uid="{CF86DF3A-A10F-46C8-894F-B4C0C05AC031}"/>
    <cellStyle name="Normal 8 4 5" xfId="1312" xr:uid="{5FF615C7-6BD1-4A5C-8047-07BD7B620CDA}"/>
    <cellStyle name="Normal 8 4 5 2" xfId="2449" xr:uid="{6805BB47-8842-497B-ADD0-38F8983B4C95}"/>
    <cellStyle name="Normal 8 4 6" xfId="1313" xr:uid="{8C0D041B-3398-4344-A191-E472755649C6}"/>
    <cellStyle name="Normal 8 4 6 2" xfId="2450" xr:uid="{D589F406-C91A-4FDF-A058-04C85A6DF68B}"/>
    <cellStyle name="Normal 8 4 7" xfId="1314" xr:uid="{1E3E3E6E-1354-4532-84F2-C55DB0321151}"/>
    <cellStyle name="Normal 8 4 7 2" xfId="2451" xr:uid="{1423A0D1-8F23-427E-8D86-7730CBBADD54}"/>
    <cellStyle name="Normal 8 4 8" xfId="1315" xr:uid="{BB3CAB98-D1B8-4957-A4E1-65C0D994CA93}"/>
    <cellStyle name="Normal 8 4 8 2" xfId="2452" xr:uid="{A0A6263E-3622-49B2-A564-C10F65C4DEB1}"/>
    <cellStyle name="Normal 8 4 9" xfId="2445" xr:uid="{3AFC5454-A854-452E-A4E5-AA95B4EBD293}"/>
    <cellStyle name="Normal 8 5" xfId="1316" xr:uid="{C339DCBE-498B-4F72-917D-519EA870BAE1}"/>
    <cellStyle name="Normal 8 5 2" xfId="1317" xr:uid="{A3F644D4-7A63-435A-B7E2-ABF1D5AA7902}"/>
    <cellStyle name="Normal 8 5 2 2" xfId="2454" xr:uid="{3AE250F4-EF87-4765-8D80-9B7F5F1B94CA}"/>
    <cellStyle name="Normal 8 5 3" xfId="1318" xr:uid="{59582D07-6650-474D-BDDD-23E12D025D9C}"/>
    <cellStyle name="Normal 8 5 3 2" xfId="2455" xr:uid="{0C17B141-722C-4ED3-AE8A-A54138C2E1AA}"/>
    <cellStyle name="Normal 8 5 4" xfId="1319" xr:uid="{F9DF49D9-99E3-4F88-BEC7-54819202586B}"/>
    <cellStyle name="Normal 8 5 4 2" xfId="2456" xr:uid="{26FCE363-7F83-40B8-A403-4E7BDA240231}"/>
    <cellStyle name="Normal 8 5 5" xfId="1320" xr:uid="{AB4830D6-7D55-4889-B1CF-924110D06142}"/>
    <cellStyle name="Normal 8 5 5 2" xfId="2457" xr:uid="{E62D463C-D055-4A7D-B698-95E471121F4D}"/>
    <cellStyle name="Normal 8 5 6" xfId="1321" xr:uid="{8AFB4B52-DA07-4257-8DBA-24416A3B1842}"/>
    <cellStyle name="Normal 8 5 6 2" xfId="2458" xr:uid="{57083124-B2B6-4BC5-9AF0-5826B53E4542}"/>
    <cellStyle name="Normal 8 5 7" xfId="1322" xr:uid="{B9B7F815-C96D-44DC-8722-66B643D64AA5}"/>
    <cellStyle name="Normal 8 5 7 2" xfId="2459" xr:uid="{B93EA618-4A3B-44E1-9726-CEBC38867E80}"/>
    <cellStyle name="Normal 8 5 8" xfId="1323" xr:uid="{CD2F76BB-238E-4276-89EC-677806C66AEA}"/>
    <cellStyle name="Normal 8 5 8 2" xfId="2460" xr:uid="{4D5442CF-1871-4076-AA32-12F4ED4D70D5}"/>
    <cellStyle name="Normal 8 5 9" xfId="2453" xr:uid="{F31A3A84-53BE-444B-99F1-61EF218DF62D}"/>
    <cellStyle name="Normal 8 6" xfId="1324" xr:uid="{F5BD301B-579E-41DC-A094-C3C427B9B207}"/>
    <cellStyle name="Normal 8 6 2" xfId="2461" xr:uid="{676AAAAE-4841-462A-BCC2-29186F64C42B}"/>
    <cellStyle name="Normal 8 7" xfId="1325" xr:uid="{CF826A58-C7EF-4C0E-BFEE-D691D6AD3B70}"/>
    <cellStyle name="Normal 8 7 2" xfId="2462" xr:uid="{DECBDA74-B45B-4348-9E73-583258325CCD}"/>
    <cellStyle name="Normal 8 8" xfId="1326" xr:uid="{40057ABD-22E1-4362-8239-B168682F33D6}"/>
    <cellStyle name="Normal 8 8 2" xfId="2463" xr:uid="{FC24119B-80CD-4460-8A06-BD2ECA943688}"/>
    <cellStyle name="Normal 8 9" xfId="1327" xr:uid="{D2C40867-7D08-46A0-B93A-3C17883ECA19}"/>
    <cellStyle name="Normal 8 9 2" xfId="2464" xr:uid="{84B60152-5800-4D45-9D11-A4656AEA0991}"/>
    <cellStyle name="Normal 9" xfId="1328" xr:uid="{E28F5C50-E212-46E2-94E4-DBA4CBE5BC6F}"/>
    <cellStyle name="Normal 9 2" xfId="1329" xr:uid="{5496865D-7E63-4C43-8FED-547313F87898}"/>
    <cellStyle name="Normal 9 2 2" xfId="2466" xr:uid="{1873037D-23C1-4D45-BCD2-149C78BEBBE8}"/>
    <cellStyle name="Normal 9 3" xfId="1330" xr:uid="{6070586B-EDBC-4B57-96B1-0DCC88C38045}"/>
    <cellStyle name="Normal 9 3 2" xfId="2467" xr:uid="{514886FC-BF00-489D-B431-7F79A51FF74A}"/>
    <cellStyle name="Normal 9 4" xfId="1331" xr:uid="{2564A31A-3544-4542-9953-F1359F93254A}"/>
    <cellStyle name="Normal 9 4 2" xfId="2468" xr:uid="{3EFDEBB0-004F-45FD-B3BD-30118776EC6A}"/>
    <cellStyle name="Normal 9 5" xfId="1332" xr:uid="{972B9B11-AEAC-4A73-8CDC-2CD68667704B}"/>
    <cellStyle name="Normal 9 5 2" xfId="2469" xr:uid="{24CF9944-E8B1-4AFE-A435-BD32A227DE72}"/>
    <cellStyle name="Normal 9 6" xfId="1333" xr:uid="{EC8B28C6-C902-43FF-AD3B-CAE7E20B0D3F}"/>
    <cellStyle name="Normal 9 6 2" xfId="2470" xr:uid="{F65A9800-882F-4B31-971F-2A41A5892336}"/>
    <cellStyle name="Normal 9 7" xfId="1334" xr:uid="{6E19196B-026C-48A6-BDC4-8AED43948A7F}"/>
    <cellStyle name="Normal 9 7 2" xfId="2471" xr:uid="{171D5F3C-EF54-4987-8B0D-61963733B9FD}"/>
    <cellStyle name="Normal 9 8" xfId="1335" xr:uid="{328C1F7A-C42C-49E2-A5A8-CD919D4E001F}"/>
    <cellStyle name="Normal 9 8 2" xfId="2472" xr:uid="{82D1950B-3648-48F7-91AF-D9569B4656B6}"/>
    <cellStyle name="Normal 9 9" xfId="2465" xr:uid="{02F1EE54-2848-49F1-9589-CD637BF74176}"/>
    <cellStyle name="Normal GHG Numbers (0.00)" xfId="1336" xr:uid="{1754E7F0-8512-4887-808C-4C6EBA49106D}"/>
    <cellStyle name="Normal GHG Textfiels Bold" xfId="1337" xr:uid="{DAC7E6CA-BBE5-468A-B6C6-D4C55161BC1C}"/>
    <cellStyle name="Normal GHG-Shade" xfId="1338" xr:uid="{752FECEE-3424-4EB6-A9CF-6DEEF0885F6E}"/>
    <cellStyle name="Normal GHG-Shade 2" xfId="1339" xr:uid="{730326A6-CAC6-48FF-8A85-3FAEAECABBDB}"/>
    <cellStyle name="Normal GHG-Shade 2 2" xfId="2474" xr:uid="{ABA0D707-91E3-4785-87E8-34BEF6AB6385}"/>
    <cellStyle name="Normal GHG-Shade 3" xfId="2473" xr:uid="{31A52A4C-5C37-4E29-808C-90B0EF8795AB}"/>
    <cellStyle name="Normal_SUBRES_B-NTech-BE" xfId="2" xr:uid="{66704E91-28FA-4FE7-9927-A029978FDC92}"/>
    <cellStyle name="Normal_SUBRES_B-NTech-BE 2" xfId="3" xr:uid="{9870D205-A968-4907-977F-24E11E494B95}"/>
    <cellStyle name="Normale_B2020" xfId="66" xr:uid="{0806C33C-06EC-44B6-B004-6877D088ADAD}"/>
    <cellStyle name="Note 2" xfId="67" xr:uid="{85BC08DC-A4BB-44D6-9F0A-9FF957BE82B5}"/>
    <cellStyle name="Note 2 10" xfId="1340" xr:uid="{EE773A33-21EC-4477-91CE-1B20D5DDB96C}"/>
    <cellStyle name="Note 2 10 2" xfId="2476" xr:uid="{6AC99F93-CF8D-41A9-B01B-4727AA720B6B}"/>
    <cellStyle name="Note 2 11" xfId="1341" xr:uid="{5D1B855D-9083-4B35-BEEC-36DBB8A1955B}"/>
    <cellStyle name="Note 2 11 2" xfId="2477" xr:uid="{576FE4E7-B140-448F-8DCD-41AA9B268DE1}"/>
    <cellStyle name="Note 2 12" xfId="1342" xr:uid="{5C471E26-8A0B-4D60-AF14-F4F49E2A2D56}"/>
    <cellStyle name="Note 2 12 2" xfId="2478" xr:uid="{5813FBFF-3AD9-4385-90FF-C871B0A93582}"/>
    <cellStyle name="Note 2 13" xfId="1343" xr:uid="{3DD68097-548C-4873-B8AA-B09060C4F77C}"/>
    <cellStyle name="Note 2 13 2" xfId="2479" xr:uid="{47A4A1ED-1156-40FB-A62D-FD923D3575B9}"/>
    <cellStyle name="Note 2 14" xfId="1344" xr:uid="{5CDF5B6F-570E-4519-B2BD-162C6165043E}"/>
    <cellStyle name="Note 2 14 2" xfId="2480" xr:uid="{26A62E8E-2ABF-43BC-8064-8A3DE5B4C600}"/>
    <cellStyle name="Note 2 15" xfId="1345" xr:uid="{A067D003-7BF8-42E1-B37B-38AD3221F2B4}"/>
    <cellStyle name="Note 2 15 2" xfId="2481" xr:uid="{A12BD162-54D6-4BF7-AEA0-68372B08F3B7}"/>
    <cellStyle name="Note 2 16" xfId="2475" xr:uid="{26BF5E9F-F2E4-4DDB-9533-2AE5565A0AC4}"/>
    <cellStyle name="Note 2 2" xfId="68" xr:uid="{C50CDE5F-56A1-455C-889E-6D2749BC1FC9}"/>
    <cellStyle name="Note 2 2 2" xfId="1346" xr:uid="{C17B7B3B-7BFF-4A80-B224-6493E83190BE}"/>
    <cellStyle name="Note 2 2 2 2" xfId="2482" xr:uid="{C26AFA61-9FF9-456D-B44D-DEEB96216E44}"/>
    <cellStyle name="Note 2 3" xfId="1347" xr:uid="{3906FFD8-C241-4017-922A-C3B849000415}"/>
    <cellStyle name="Note 2 3 2" xfId="2483" xr:uid="{2D8962A2-E17B-4414-A9A8-87179BC5039C}"/>
    <cellStyle name="Note 2 4" xfId="1348" xr:uid="{4F449C98-BCEB-472F-BC07-9500DEA0DE3A}"/>
    <cellStyle name="Note 2 4 2" xfId="2484" xr:uid="{CEFDD3F3-8359-4016-8340-C44A7817AF91}"/>
    <cellStyle name="Note 2 5" xfId="1349" xr:uid="{344F6479-430B-4529-8578-F7DFF4C82D54}"/>
    <cellStyle name="Note 2 5 2" xfId="2485" xr:uid="{489CB535-9EF4-4B99-A2DD-04073DD08A0D}"/>
    <cellStyle name="Note 2 6" xfId="1350" xr:uid="{E767C478-9AD9-4A82-9063-4FAD5D881202}"/>
    <cellStyle name="Note 2 6 2" xfId="2486" xr:uid="{21B1B159-9022-4BAF-BD0D-C7FE852302B0}"/>
    <cellStyle name="Note 2 7" xfId="1351" xr:uid="{D1122636-8D7C-4BFA-924C-EF5B7CE0D493}"/>
    <cellStyle name="Note 2 7 2" xfId="2487" xr:uid="{A33D193A-654E-48CB-9C30-A92E7E83C6FC}"/>
    <cellStyle name="Note 2 8" xfId="1352" xr:uid="{EFEBF8FB-4E40-4BAB-9F6E-976523C013BF}"/>
    <cellStyle name="Note 2 8 2" xfId="2488" xr:uid="{BC9E4BAF-1C06-4939-AB7A-F9A7193F3E0A}"/>
    <cellStyle name="Note 2 9" xfId="1353" xr:uid="{201B4C69-5CA3-484A-9D31-352A704D6D6F}"/>
    <cellStyle name="Note 2 9 2" xfId="2489" xr:uid="{300B8366-2389-40FA-BDDE-B19F1B72C412}"/>
    <cellStyle name="Note 3" xfId="1354" xr:uid="{F4A71DE1-8655-428C-B244-9FDBE8F77250}"/>
    <cellStyle name="Note 3 2" xfId="1355" xr:uid="{A70F373E-D64B-43F5-8FE0-E5550BEE6BB3}"/>
    <cellStyle name="Note 3 2 2" xfId="2490" xr:uid="{93018E01-6DB6-4D59-9C3B-A830E1A4A18B}"/>
    <cellStyle name="Note 4" xfId="1356" xr:uid="{94513248-2432-49E6-9BB5-97271D8E2F26}"/>
    <cellStyle name="Note 4 2" xfId="2491" xr:uid="{9EF0B30B-2457-412C-8185-26E1B0EF4DC7}"/>
    <cellStyle name="Note 5" xfId="1357" xr:uid="{5F7B0547-16D0-4F27-93BA-E895ED69F6C7}"/>
    <cellStyle name="Note 5 2" xfId="2492" xr:uid="{A542F95A-6D9D-48BC-AB45-10E79908E96A}"/>
    <cellStyle name="Note 6" xfId="1358" xr:uid="{AF23952C-81DF-44BE-8FE1-BBC7E9FB6600}"/>
    <cellStyle name="Note 6 2" xfId="2493" xr:uid="{EC14A78F-C419-4733-9B70-529DF1DA3402}"/>
    <cellStyle name="Note 7" xfId="1359" xr:uid="{11236FBC-B11F-4765-AF04-721BAFEB49C5}"/>
    <cellStyle name="Note 7 2" xfId="2494" xr:uid="{958C10C9-AA59-4FC4-A8E3-33B450B43CE3}"/>
    <cellStyle name="Note 8" xfId="1360" xr:uid="{ABD6BDFD-0749-47F6-B510-5046C42541BD}"/>
    <cellStyle name="Note 8 2" xfId="2495" xr:uid="{63A7534C-FE16-4229-8CD0-F8E2B7F3B789}"/>
    <cellStyle name="num_note" xfId="69" xr:uid="{47757EB4-B508-475E-84D2-E15644336691}"/>
    <cellStyle name="Nuovo" xfId="1361" xr:uid="{40E3402E-E136-496B-A210-488017D74568}"/>
    <cellStyle name="Nuovo 2" xfId="2496" xr:uid="{244F27C3-C4F8-4064-8354-9924E161AFB4}"/>
    <cellStyle name="Output 2" xfId="70" xr:uid="{95469FE0-B36B-4698-A25E-FE6B6694600C}"/>
    <cellStyle name="Output 2 10" xfId="1362" xr:uid="{8513D32F-5D6A-42E0-A5E6-5474EED700DF}"/>
    <cellStyle name="Output 2 2" xfId="1363" xr:uid="{BAE47E2D-1E43-4878-8900-5C826B090E44}"/>
    <cellStyle name="Output 2 3" xfId="1364" xr:uid="{D0F44488-3300-41E8-B746-369D347528D1}"/>
    <cellStyle name="Output 2 4" xfId="1365" xr:uid="{4056E1AD-BD32-440F-832C-2EAFA5839864}"/>
    <cellStyle name="Output 2 5" xfId="1366" xr:uid="{0F64915F-672F-4AF7-B22A-6D0EA0F6D3AD}"/>
    <cellStyle name="Output 2 6" xfId="1367" xr:uid="{8382C3FA-0D2C-4162-A271-6214F69521CF}"/>
    <cellStyle name="Output 2 7" xfId="1368" xr:uid="{CFECE21A-A8D1-4505-9937-33F27BFC2A44}"/>
    <cellStyle name="Output 2 8" xfId="1369" xr:uid="{9867CF98-2D5C-4F1B-8845-6B08F927AD1C}"/>
    <cellStyle name="Output 2 9" xfId="1370" xr:uid="{C3D009CD-9549-43FC-B2FC-39E7A894CA1B}"/>
    <cellStyle name="Output 3" xfId="1371" xr:uid="{EA6B0942-B1FC-4F94-9066-12E175078659}"/>
    <cellStyle name="Output 3 2" xfId="1372" xr:uid="{DDE7DA3C-9B45-46E1-BFEF-89FCC3236388}"/>
    <cellStyle name="Percent 10" xfId="1373" xr:uid="{37E88D5F-512C-4F8B-8538-0E0E551DD92E}"/>
    <cellStyle name="Percent 10 2" xfId="1374" xr:uid="{4AF46D6C-78F8-438C-B63B-9C0DBCFB457F}"/>
    <cellStyle name="Percent 10 2 2" xfId="2498" xr:uid="{71DCAB44-EC02-4268-A15F-167FA22DA398}"/>
    <cellStyle name="Percent 10 3" xfId="1375" xr:uid="{0451DCAA-FA13-4C23-9ADD-E5FEE4106144}"/>
    <cellStyle name="Percent 10 3 2" xfId="2499" xr:uid="{12B97C9D-042F-4D85-90C0-DD0893B4DC0E}"/>
    <cellStyle name="Percent 10 4" xfId="1376" xr:uid="{6E95CF71-A422-4F25-970F-B7DB4139ED7C}"/>
    <cellStyle name="Percent 10 4 2" xfId="2500" xr:uid="{EE1D91C8-4F30-444B-B5DE-6D728629A399}"/>
    <cellStyle name="Percent 10 5" xfId="1377" xr:uid="{9ED67C5C-3665-4ACF-9DED-C957F94AB4E1}"/>
    <cellStyle name="Percent 10 5 2" xfId="2501" xr:uid="{0D7C55EF-C4B3-4B1A-A5CA-2A0799131FF7}"/>
    <cellStyle name="Percent 10 6" xfId="1378" xr:uid="{B4C0A6B7-F046-4557-9EC5-0B6A42EEC455}"/>
    <cellStyle name="Percent 10 6 2" xfId="2502" xr:uid="{1F24B841-F11D-4E68-9423-CF0DE3C6E7E6}"/>
    <cellStyle name="Percent 10 7" xfId="1379" xr:uid="{7F2635F2-B8D1-4756-A311-4DC6EC2C314B}"/>
    <cellStyle name="Percent 10 7 2" xfId="2503" xr:uid="{9803EAC6-D001-43C7-8B5D-28AF48FD1FEE}"/>
    <cellStyle name="Percent 10 8" xfId="1380" xr:uid="{CB1217D5-D9EC-4C57-9AEA-8705ECA6BFC5}"/>
    <cellStyle name="Percent 10 8 2" xfId="2504" xr:uid="{1508046B-2BB8-41F1-A1DB-D3D693DD5D41}"/>
    <cellStyle name="Percent 10 9" xfId="2497" xr:uid="{5C7D0B50-7760-4C4D-AFFD-DD45CBF611D4}"/>
    <cellStyle name="Percent 11" xfId="1381" xr:uid="{F840C9D7-DF24-4C12-BF96-E130289C17EC}"/>
    <cellStyle name="Percent 11 2" xfId="1382" xr:uid="{F4CB6A52-11D7-4714-84EE-CADC00C50A4C}"/>
    <cellStyle name="Percent 11 2 2" xfId="2506" xr:uid="{7B1F8019-2B66-41FF-8EF1-BA1482008579}"/>
    <cellStyle name="Percent 11 3" xfId="1383" xr:uid="{4A90045A-86FB-482C-8196-3BA9BFB631F8}"/>
    <cellStyle name="Percent 11 3 2" xfId="2507" xr:uid="{1E3DB2FE-FC4B-4B13-9B3A-7B2B408209E9}"/>
    <cellStyle name="Percent 11 4" xfId="1384" xr:uid="{4844D7C6-5206-4E89-ABFC-756AB4C279DF}"/>
    <cellStyle name="Percent 11 4 2" xfId="2508" xr:uid="{F9B60402-E73A-4E97-B1B2-18F4578A945E}"/>
    <cellStyle name="Percent 11 5" xfId="1385" xr:uid="{BCD7E987-6D41-411B-A749-B330574A1474}"/>
    <cellStyle name="Percent 11 5 2" xfId="2509" xr:uid="{DAFAF4CD-F416-4127-B2AE-357EE0FD2AB3}"/>
    <cellStyle name="Percent 11 6" xfId="1386" xr:uid="{082E245D-6810-45F2-91F9-830831F3E60D}"/>
    <cellStyle name="Percent 11 6 2" xfId="2510" xr:uid="{80AE2552-DF55-4DBC-9ABE-8B721E86BD49}"/>
    <cellStyle name="Percent 11 7" xfId="1387" xr:uid="{4EE16AA7-10F4-44C1-A2AD-76DA2B2BAF04}"/>
    <cellStyle name="Percent 11 7 2" xfId="2511" xr:uid="{FC6CADD3-F595-4546-9A75-AFAA5034AFC7}"/>
    <cellStyle name="Percent 11 8" xfId="1388" xr:uid="{FD2BA29A-3BB9-465A-803B-38E4523DF330}"/>
    <cellStyle name="Percent 11 8 2" xfId="2512" xr:uid="{E3D1C374-D74C-4241-9D92-88147ED766E2}"/>
    <cellStyle name="Percent 11 9" xfId="2505" xr:uid="{897F4E8B-4C7B-44D9-9422-865AA666328D}"/>
    <cellStyle name="Percent 12" xfId="1389" xr:uid="{4FE0CDD9-58C5-44EE-AF29-46EF0CCD0246}"/>
    <cellStyle name="Percent 12 2" xfId="1390" xr:uid="{F0D96F90-A975-4026-A1DB-615EDE7F7909}"/>
    <cellStyle name="Percent 12 2 2" xfId="2514" xr:uid="{2CA4EAB6-0ABE-4523-98EF-CD0946AC4A00}"/>
    <cellStyle name="Percent 12 3" xfId="1391" xr:uid="{CA17C798-CC04-4CDD-AEB7-A28C50B359D7}"/>
    <cellStyle name="Percent 12 3 2" xfId="2515" xr:uid="{DD5561AC-A6B3-424F-9936-001702D6C736}"/>
    <cellStyle name="Percent 12 4" xfId="1392" xr:uid="{CE5CB1F7-02C6-4C93-BAA8-B960D28BB33C}"/>
    <cellStyle name="Percent 12 4 2" xfId="2516" xr:uid="{45A1B191-35B8-46DF-82B7-0BF635B2D733}"/>
    <cellStyle name="Percent 12 5" xfId="1393" xr:uid="{9CBF49E4-07AE-48EC-8540-79B9E14F84A4}"/>
    <cellStyle name="Percent 12 5 2" xfId="2517" xr:uid="{32BD6A7B-1AAC-4BD0-96CB-93D5E6CDD002}"/>
    <cellStyle name="Percent 12 6" xfId="1394" xr:uid="{251779E3-FA42-498A-8922-6EB9B1EDA5DE}"/>
    <cellStyle name="Percent 12 6 2" xfId="2518" xr:uid="{B0E917D7-4984-458D-BD2D-DD8602A9564F}"/>
    <cellStyle name="Percent 12 7" xfId="1395" xr:uid="{3613FDDC-A698-4FD5-B690-A1C018E95056}"/>
    <cellStyle name="Percent 12 7 2" xfId="2519" xr:uid="{112C17AE-C4F4-4822-AD20-D4CF9BABBF85}"/>
    <cellStyle name="Percent 12 8" xfId="1396" xr:uid="{60E06041-E2B2-4991-A3F6-54BDAB0FDC84}"/>
    <cellStyle name="Percent 12 8 2" xfId="2520" xr:uid="{A8C3FAAA-20CE-472D-ABE9-338FC29A3FB2}"/>
    <cellStyle name="Percent 12 9" xfId="2513" xr:uid="{8C3820CA-A82D-4960-8BFC-C83FA7C9AF90}"/>
    <cellStyle name="Percent 13" xfId="1397" xr:uid="{A4AA0DB4-6E6A-4698-9E1F-AC8FAD7B2FB0}"/>
    <cellStyle name="Percent 13 2" xfId="1398" xr:uid="{4B8148EF-27DA-4EC7-BD76-D7DFB06818D8}"/>
    <cellStyle name="Percent 13 2 2" xfId="2522" xr:uid="{8C854D9A-B8EB-4BC0-8C38-9F99F92F3B4C}"/>
    <cellStyle name="Percent 13 3" xfId="1399" xr:uid="{A4165BFA-842C-400B-AA9D-E0C3F6D4AF5E}"/>
    <cellStyle name="Percent 13 3 2" xfId="2523" xr:uid="{1FD3E4B2-024D-4BB0-A825-AA2936B9FE71}"/>
    <cellStyle name="Percent 13 4" xfId="1400" xr:uid="{3891BBD8-2DAD-4F2B-B021-8E6C542B3C50}"/>
    <cellStyle name="Percent 13 4 2" xfId="2524" xr:uid="{4D55DF6A-2A14-4A0D-B834-FF40E0025F9B}"/>
    <cellStyle name="Percent 13 5" xfId="1401" xr:uid="{33D0AD39-CDD7-49E8-A858-07500012E139}"/>
    <cellStyle name="Percent 13 5 2" xfId="2525" xr:uid="{90B06E24-2FC2-4C10-8ECA-74E2987A8E61}"/>
    <cellStyle name="Percent 13 6" xfId="1402" xr:uid="{5C479464-CEBB-4FB0-99FB-DA7A483EA4DC}"/>
    <cellStyle name="Percent 13 6 2" xfId="2526" xr:uid="{696B2FFA-52B5-42A4-B08A-DEB0FCC1AD1C}"/>
    <cellStyle name="Percent 13 7" xfId="1403" xr:uid="{4364D09C-03FB-4558-990F-3FE0E0D41095}"/>
    <cellStyle name="Percent 13 7 2" xfId="2527" xr:uid="{DEF56065-D0D8-4865-B922-A2D3255663C5}"/>
    <cellStyle name="Percent 13 8" xfId="1404" xr:uid="{7F0E55B3-5662-45F2-8EAB-F22F687A4330}"/>
    <cellStyle name="Percent 13 8 2" xfId="2528" xr:uid="{22EC1147-959B-461C-8803-8691C5ACF6F3}"/>
    <cellStyle name="Percent 13 9" xfId="2521" xr:uid="{C1F3A774-C518-42EE-8282-CC5574151977}"/>
    <cellStyle name="Percent 14" xfId="1405" xr:uid="{8D0822E8-5606-4153-A3B9-0DAFC26525BF}"/>
    <cellStyle name="Percent 14 2" xfId="1406" xr:uid="{19B1D1EB-E210-4CB2-991A-3929E7B9FD12}"/>
    <cellStyle name="Percent 14 2 2" xfId="2530" xr:uid="{CABA323B-2E28-4D43-BADF-5C6FD7249CB7}"/>
    <cellStyle name="Percent 14 3" xfId="1407" xr:uid="{88800168-FC05-4B9D-9C54-85E983CA0EFC}"/>
    <cellStyle name="Percent 14 3 2" xfId="2531" xr:uid="{04DFBD43-7DD8-4CF7-BA5C-DEDD8F18E4AE}"/>
    <cellStyle name="Percent 14 4" xfId="1408" xr:uid="{29EF6BF7-83FE-410F-B838-FEAA8E4CAC06}"/>
    <cellStyle name="Percent 14 4 2" xfId="2532" xr:uid="{B2AE7471-5348-4ABA-98D6-C3DA4B67F3C0}"/>
    <cellStyle name="Percent 14 5" xfId="1409" xr:uid="{0C52BC51-FA6C-4A30-9D3F-C121BC963A58}"/>
    <cellStyle name="Percent 14 5 2" xfId="2533" xr:uid="{A1E0A637-A033-40A4-B789-71AEA0F1DC8A}"/>
    <cellStyle name="Percent 14 6" xfId="1410" xr:uid="{1995237D-FC3D-439E-93FD-678785EFE40D}"/>
    <cellStyle name="Percent 14 6 2" xfId="2534" xr:uid="{1E4D3B52-8BB4-49E6-9004-22BCBC6F7ACB}"/>
    <cellStyle name="Percent 14 7" xfId="1411" xr:uid="{93FB3810-ED0B-4FD3-8BE9-9C5DE5C075F4}"/>
    <cellStyle name="Percent 14 7 2" xfId="2535" xr:uid="{44A41817-8708-49CD-A59D-4630908C7D3B}"/>
    <cellStyle name="Percent 14 8" xfId="1412" xr:uid="{1A8CB7C5-A192-46FF-8502-B5D07436524E}"/>
    <cellStyle name="Percent 14 8 2" xfId="2536" xr:uid="{4DF3B9D6-4080-4ECB-9631-DD7F5E5B3921}"/>
    <cellStyle name="Percent 14 9" xfId="2529" xr:uid="{426C4C40-57C4-4243-8092-FB59476E3EC5}"/>
    <cellStyle name="Percent 15" xfId="1413" xr:uid="{60C2C86B-2323-4ED3-9EBF-0D9412F0B5A9}"/>
    <cellStyle name="Percent 15 10" xfId="1414" xr:uid="{997AE238-86E2-478B-B5C5-A1BABB9AEA35}"/>
    <cellStyle name="Percent 15 10 2" xfId="2537" xr:uid="{EABD0C46-5F2B-4960-A1AA-DAA23053B903}"/>
    <cellStyle name="Percent 15 11" xfId="1415" xr:uid="{72749778-9051-4992-B89B-8EB10C3594FB}"/>
    <cellStyle name="Percent 15 11 2" xfId="2538" xr:uid="{C70504CB-96BB-422F-8211-2E1885BA8459}"/>
    <cellStyle name="Percent 15 12" xfId="1416" xr:uid="{609ECB62-2FEE-4DD3-929E-2E6272F4E208}"/>
    <cellStyle name="Percent 15 12 2" xfId="2539" xr:uid="{0819ED3A-C431-4BD9-9F55-2D2C1782021B}"/>
    <cellStyle name="Percent 15 13" xfId="1417" xr:uid="{1D0347D9-5DE0-4774-A95D-C5D60F5567AC}"/>
    <cellStyle name="Percent 15 13 2" xfId="2540" xr:uid="{FD0A3959-CDE2-4208-A799-4AB222C43723}"/>
    <cellStyle name="Percent 15 14" xfId="1418" xr:uid="{52FF1618-8D87-4B56-B06C-9279E145753F}"/>
    <cellStyle name="Percent 15 14 2" xfId="2541" xr:uid="{9C35AD3B-096B-4A74-B11A-AA305E055ECE}"/>
    <cellStyle name="Percent 15 2" xfId="1419" xr:uid="{3F97551D-2F86-4D99-BDD5-D74FBEF668A2}"/>
    <cellStyle name="Percent 15 2 2" xfId="1420" xr:uid="{EA04B12A-9E9B-4AE0-9019-AD9A7068EBC1}"/>
    <cellStyle name="Percent 15 2 3" xfId="1421" xr:uid="{D5807484-C27C-4FBE-BF76-09DFCFFDC69E}"/>
    <cellStyle name="Percent 15 2 4" xfId="1422" xr:uid="{75B821F3-3E01-42D2-9A86-69C2D7CEE354}"/>
    <cellStyle name="Percent 15 2 5" xfId="1423" xr:uid="{4764A61A-F052-47F8-B9EE-829DC4343596}"/>
    <cellStyle name="Percent 15 2 6" xfId="1424" xr:uid="{7B270549-F62F-4F3B-89D3-BCD07BF7CF96}"/>
    <cellStyle name="Percent 15 2 7" xfId="1425" xr:uid="{043A8AD2-2406-4DDF-AE67-3EB628DBD074}"/>
    <cellStyle name="Percent 15 2 8" xfId="2542" xr:uid="{628C86EE-B269-42CD-87A2-E14AEFB7A57C}"/>
    <cellStyle name="Percent 15 3" xfId="1426" xr:uid="{980EBCCF-7F73-4A83-A0CC-9976CBE32623}"/>
    <cellStyle name="Percent 15 4" xfId="1427" xr:uid="{BE4484CC-CCBB-46E5-B3A5-4D2315A8279F}"/>
    <cellStyle name="Percent 15 4 2" xfId="2543" xr:uid="{2EFBD45E-DF74-40DA-86CF-13A6725F1ABA}"/>
    <cellStyle name="Percent 15 5" xfId="1428" xr:uid="{93859C6F-FE89-432C-B9DD-171C081F1055}"/>
    <cellStyle name="Percent 15 6" xfId="1429" xr:uid="{AC73B600-6101-40CF-BDE2-D9668FD31C1B}"/>
    <cellStyle name="Percent 15 7" xfId="1430" xr:uid="{AD8EB70F-A7F4-45CC-A40C-C98B59964211}"/>
    <cellStyle name="Percent 15 8" xfId="1431" xr:uid="{B086C916-555F-4C5F-9420-D9776F42EA39}"/>
    <cellStyle name="Percent 15 9" xfId="1432" xr:uid="{E92244B7-82B8-406F-8E1A-77D9D9258AAC}"/>
    <cellStyle name="Percent 15 9 2" xfId="2544" xr:uid="{2641CF5D-B38D-45BC-A3F4-5BF7E62462D3}"/>
    <cellStyle name="Percent 16 2" xfId="1433" xr:uid="{16308E00-3034-40B3-95F5-CE19B13F9967}"/>
    <cellStyle name="Percent 16 3" xfId="1434" xr:uid="{95B3A575-EFBB-4302-9E15-3AF4C8D1CBB3}"/>
    <cellStyle name="Percent 16 3 10" xfId="1435" xr:uid="{3D37B5B2-4066-4944-A5E3-53517AE0D197}"/>
    <cellStyle name="Percent 16 3 10 2" xfId="2546" xr:uid="{65A96382-45BD-4115-B827-862380B6FC5C}"/>
    <cellStyle name="Percent 16 3 11" xfId="1436" xr:uid="{1617086F-0B0D-41AD-8E1B-3BD92F268F6A}"/>
    <cellStyle name="Percent 16 3 11 2" xfId="2547" xr:uid="{5DEB7462-2EF3-4B03-9A71-BE7D65E010DD}"/>
    <cellStyle name="Percent 16 3 12" xfId="1437" xr:uid="{3B26CFBD-DE55-48DA-AF1A-D326895263E6}"/>
    <cellStyle name="Percent 16 3 12 2" xfId="2548" xr:uid="{D40E98DA-F55E-4410-BDD6-3611BF62A642}"/>
    <cellStyle name="Percent 16 3 13" xfId="1438" xr:uid="{76FF3A41-CDB5-41BC-A3C0-612F9D62D1E9}"/>
    <cellStyle name="Percent 16 3 13 2" xfId="2549" xr:uid="{30639276-EF29-4E8F-A65F-02A23686D4C8}"/>
    <cellStyle name="Percent 16 3 14" xfId="1439" xr:uid="{820B2BD4-E47D-49FE-916F-B45FBA21FDCD}"/>
    <cellStyle name="Percent 16 3 14 2" xfId="2550" xr:uid="{9205CFE7-0DED-4E74-B979-7E5B912699A5}"/>
    <cellStyle name="Percent 16 3 15" xfId="1440" xr:uid="{B6D1C9F2-AC05-4805-A65C-A1806BA85AEE}"/>
    <cellStyle name="Percent 16 3 15 2" xfId="2551" xr:uid="{2BBB4F79-5442-4EEF-B47A-79855DD780B0}"/>
    <cellStyle name="Percent 16 3 16" xfId="1441" xr:uid="{74B6DC4D-2EAB-413A-BF74-D716D6A8BE3A}"/>
    <cellStyle name="Percent 16 3 16 2" xfId="2552" xr:uid="{A32E24E6-3B8C-48C6-8247-36DE5671D7E9}"/>
    <cellStyle name="Percent 16 3 17" xfId="1442" xr:uid="{F1D62AB7-0CFD-4C6D-BF91-BA7E0B49BBC8}"/>
    <cellStyle name="Percent 16 3 17 2" xfId="2553" xr:uid="{9CDCE0A1-A9B7-4E30-8495-B16C3504408D}"/>
    <cellStyle name="Percent 16 3 18" xfId="2545" xr:uid="{DE01B690-6474-4E65-932D-EC5E47C01EE6}"/>
    <cellStyle name="Percent 16 3 2" xfId="1443" xr:uid="{B7D00CA1-7592-4FAB-8E98-3463BC6DFFBE}"/>
    <cellStyle name="Percent 16 3 2 2" xfId="2554" xr:uid="{8EE42F4E-3761-4CB6-9323-8751B2F3FAE3}"/>
    <cellStyle name="Percent 16 3 3" xfId="1444" xr:uid="{13C70EFF-F2D9-442E-B70A-F6657CD86B69}"/>
    <cellStyle name="Percent 16 3 3 2" xfId="2555" xr:uid="{A4407D9B-5513-4632-9C74-77B2736DD44E}"/>
    <cellStyle name="Percent 16 3 4" xfId="1445" xr:uid="{7526D9FF-934A-402C-B0DF-1AC83F478467}"/>
    <cellStyle name="Percent 16 3 4 2" xfId="2556" xr:uid="{61F0F453-FB63-427D-BC70-618974F6F9FD}"/>
    <cellStyle name="Percent 16 3 5" xfId="1446" xr:uid="{F5271776-BD9A-49B3-AD67-38551F25F93B}"/>
    <cellStyle name="Percent 16 3 5 2" xfId="2557" xr:uid="{40EE9129-6BBE-4B0C-B987-44BA5EE57EC3}"/>
    <cellStyle name="Percent 16 3 6" xfId="1447" xr:uid="{FBC3E196-5939-4460-9FF5-A85696BA5C83}"/>
    <cellStyle name="Percent 16 3 6 2" xfId="2558" xr:uid="{C068CFB0-B33E-40D1-9C49-DF585AE87AA4}"/>
    <cellStyle name="Percent 16 3 7" xfId="1448" xr:uid="{C9D65E61-8704-4474-97FD-F67FB60D07AC}"/>
    <cellStyle name="Percent 16 3 7 2" xfId="2559" xr:uid="{B066FC2F-509E-4686-8D68-700FA340E8AC}"/>
    <cellStyle name="Percent 16 3 8" xfId="1449" xr:uid="{3F7D93E6-5F34-4F98-9E27-E68D0B823B5E}"/>
    <cellStyle name="Percent 16 3 8 2" xfId="2560" xr:uid="{142D7A89-15FF-43BC-93E2-6D58981E865D}"/>
    <cellStyle name="Percent 16 3 9" xfId="1450" xr:uid="{33625CCB-4544-4106-8EF5-2842C8EF7EC6}"/>
    <cellStyle name="Percent 16 3 9 2" xfId="2561" xr:uid="{C443CA21-F200-428B-BD10-4DA22C376EB9}"/>
    <cellStyle name="Percent 16 4" xfId="1451" xr:uid="{8B06EBF8-13AA-4A50-9C14-E03B4882A675}"/>
    <cellStyle name="Percent 16 4 10" xfId="1452" xr:uid="{8B8D1E1D-1CD7-4705-A721-7D9362364DBE}"/>
    <cellStyle name="Percent 16 4 10 2" xfId="2563" xr:uid="{589ACB96-7D64-466C-A1B2-28BF6EEE61C3}"/>
    <cellStyle name="Percent 16 4 11" xfId="1453" xr:uid="{0A4D0ED8-DA42-40FB-AC7A-90EF254EAAB8}"/>
    <cellStyle name="Percent 16 4 11 2" xfId="2564" xr:uid="{09B8DB44-6A25-4DAC-A580-97019493E095}"/>
    <cellStyle name="Percent 16 4 12" xfId="1454" xr:uid="{C1519209-E3C9-4C05-A8FD-2C9A6D33F29C}"/>
    <cellStyle name="Percent 16 4 12 2" xfId="2565" xr:uid="{09DD9DF1-8251-45D6-A521-7BE6526FF2E4}"/>
    <cellStyle name="Percent 16 4 13" xfId="1455" xr:uid="{B7F2EB0C-1786-46D6-8C9E-D095216F911D}"/>
    <cellStyle name="Percent 16 4 13 2" xfId="2566" xr:uid="{5E250291-3859-4986-A36E-5C374D5E18E4}"/>
    <cellStyle name="Percent 16 4 14" xfId="1456" xr:uid="{9CF16754-5448-4328-B86D-A341B118A14B}"/>
    <cellStyle name="Percent 16 4 14 2" xfId="2567" xr:uid="{C3752571-EB60-4580-BC1F-1BA58A6F58DC}"/>
    <cellStyle name="Percent 16 4 15" xfId="1457" xr:uid="{3909D59E-646D-44AF-88DA-535EFC811954}"/>
    <cellStyle name="Percent 16 4 15 2" xfId="2568" xr:uid="{5397FB44-D159-47EB-BE68-22C752332D7B}"/>
    <cellStyle name="Percent 16 4 16" xfId="1458" xr:uid="{FD9316F2-213B-424D-BF4C-3329C7B255DD}"/>
    <cellStyle name="Percent 16 4 16 2" xfId="2569" xr:uid="{BD333339-A73A-401F-A91B-B3EB5FFA6C63}"/>
    <cellStyle name="Percent 16 4 17" xfId="1459" xr:uid="{045D8BC7-1065-4C46-8FD3-1723632E3C68}"/>
    <cellStyle name="Percent 16 4 17 2" xfId="2570" xr:uid="{7CCE617E-CE1E-4312-B8EB-3C0E73E8AE5A}"/>
    <cellStyle name="Percent 16 4 18" xfId="2562" xr:uid="{0AE40684-D290-492C-9F17-5CC08F9C67B9}"/>
    <cellStyle name="Percent 16 4 2" xfId="1460" xr:uid="{A799605F-6219-4E8E-B817-53DDB8A26591}"/>
    <cellStyle name="Percent 16 4 2 2" xfId="2571" xr:uid="{9F1F2B5D-30AB-4472-ACE1-6598ACBD9A1E}"/>
    <cellStyle name="Percent 16 4 3" xfId="1461" xr:uid="{FF7108DA-152C-43B3-BF02-A45C44594F9B}"/>
    <cellStyle name="Percent 16 4 3 2" xfId="2572" xr:uid="{1AD02958-CD71-4D6E-99DF-6F27DA7FCC2B}"/>
    <cellStyle name="Percent 16 4 4" xfId="1462" xr:uid="{FEBB6E9D-D950-4512-8443-777E6C2BEE9C}"/>
    <cellStyle name="Percent 16 4 4 2" xfId="2573" xr:uid="{10D98364-4F05-40C8-98A4-1B680E4A2221}"/>
    <cellStyle name="Percent 16 4 5" xfId="1463" xr:uid="{95520DF5-09EF-496E-9A60-A52286A7BB48}"/>
    <cellStyle name="Percent 16 4 5 2" xfId="2574" xr:uid="{3076A56D-8A0E-43FF-B997-C3EFB5CAA1BD}"/>
    <cellStyle name="Percent 16 4 6" xfId="1464" xr:uid="{3AB7FA5E-4F9F-47E3-88DD-3DBDAD5857D2}"/>
    <cellStyle name="Percent 16 4 6 2" xfId="2575" xr:uid="{E7D59A49-FCF0-4722-80D7-33BA5BC5BC30}"/>
    <cellStyle name="Percent 16 4 7" xfId="1465" xr:uid="{C68F58EC-2661-4C9A-9066-3D1DB21179A5}"/>
    <cellStyle name="Percent 16 4 7 2" xfId="2576" xr:uid="{1415D36E-FB6D-48BD-A8FD-A249DE8C1C12}"/>
    <cellStyle name="Percent 16 4 8" xfId="1466" xr:uid="{5E594CE8-9B62-42BD-B68C-BF3FFD25200E}"/>
    <cellStyle name="Percent 16 4 8 2" xfId="2577" xr:uid="{6F82A055-19F6-4E29-B5E6-20A0B0D70230}"/>
    <cellStyle name="Percent 16 4 9" xfId="1467" xr:uid="{25C18FD4-8849-4633-B92A-8209371BA496}"/>
    <cellStyle name="Percent 16 4 9 2" xfId="2578" xr:uid="{193667DA-5DC2-4CA0-BA68-B01E326B6B56}"/>
    <cellStyle name="Percent 16 5" xfId="1468" xr:uid="{7CD0E028-4EB9-459B-9751-4E77DEADE291}"/>
    <cellStyle name="Percent 16 5 10" xfId="1469" xr:uid="{18BE7A27-4DAD-40B8-BB80-5CF2A0B69E7B}"/>
    <cellStyle name="Percent 16 5 10 2" xfId="2580" xr:uid="{666E288D-57FA-4407-A63D-62153EA97D0A}"/>
    <cellStyle name="Percent 16 5 11" xfId="1470" xr:uid="{16B20430-C745-4BE2-9737-A4ECA39BC64E}"/>
    <cellStyle name="Percent 16 5 11 2" xfId="2581" xr:uid="{67E998D1-0B89-44C3-80D0-F28AC222A29B}"/>
    <cellStyle name="Percent 16 5 12" xfId="1471" xr:uid="{C7075A3A-7AB2-41BE-AB8F-B5ADEEC4BBCE}"/>
    <cellStyle name="Percent 16 5 12 2" xfId="2582" xr:uid="{8473844F-C4DE-4FD9-9D1B-A66FB8AB7D85}"/>
    <cellStyle name="Percent 16 5 13" xfId="1472" xr:uid="{D155D234-78B7-4B36-A803-CB22C8DBFEC0}"/>
    <cellStyle name="Percent 16 5 13 2" xfId="2583" xr:uid="{E7C4DE45-E6F0-4842-BBD3-9E87E9C4AF72}"/>
    <cellStyle name="Percent 16 5 14" xfId="1473" xr:uid="{BDC1045D-A689-4273-A3E2-D99A5CE16ACD}"/>
    <cellStyle name="Percent 16 5 14 2" xfId="2584" xr:uid="{770C571D-CB1C-436C-9915-77E6748CB62B}"/>
    <cellStyle name="Percent 16 5 15" xfId="1474" xr:uid="{A6C946F6-47FD-4C40-9EA8-15D3EBB05DED}"/>
    <cellStyle name="Percent 16 5 15 2" xfId="2585" xr:uid="{90506280-76D2-46A5-BB07-4712353A8C18}"/>
    <cellStyle name="Percent 16 5 16" xfId="1475" xr:uid="{A169680C-98A0-4D4A-90FA-57B69468490C}"/>
    <cellStyle name="Percent 16 5 16 2" xfId="2586" xr:uid="{7ABDBF76-936F-4310-BF4E-DD25F5D4BD3B}"/>
    <cellStyle name="Percent 16 5 17" xfId="1476" xr:uid="{A51246BC-1112-4EA1-920E-958D9A81DCC9}"/>
    <cellStyle name="Percent 16 5 17 2" xfId="2587" xr:uid="{7CAAF608-E8C1-47E4-8C01-5E7E96CDCC20}"/>
    <cellStyle name="Percent 16 5 18" xfId="2579" xr:uid="{E03A9393-9D26-4091-B90E-454FC241536C}"/>
    <cellStyle name="Percent 16 5 2" xfId="1477" xr:uid="{7B4D8EF5-6C26-4DA9-8E81-A5AAB09553E5}"/>
    <cellStyle name="Percent 16 5 2 2" xfId="2588" xr:uid="{3AA2BA3C-9C06-4B68-9AC6-5D35541013B6}"/>
    <cellStyle name="Percent 16 5 3" xfId="1478" xr:uid="{94546A37-6A4D-4755-AEEA-13CEC52BB93F}"/>
    <cellStyle name="Percent 16 5 3 2" xfId="2589" xr:uid="{72432EB5-EBB4-49C9-82A0-F5D92AEF5B36}"/>
    <cellStyle name="Percent 16 5 4" xfId="1479" xr:uid="{B9DC5104-D20C-4C15-B891-49A7818BFF5C}"/>
    <cellStyle name="Percent 16 5 4 2" xfId="2590" xr:uid="{8FFA9E8C-6DC5-4C3E-9DFC-AC208BA8B7CA}"/>
    <cellStyle name="Percent 16 5 5" xfId="1480" xr:uid="{5AEF11DE-01B1-42D1-84B4-1D1DA6D48F17}"/>
    <cellStyle name="Percent 16 5 5 2" xfId="2591" xr:uid="{092D09DE-13D6-4B99-BD13-D56C8BE61A59}"/>
    <cellStyle name="Percent 16 5 6" xfId="1481" xr:uid="{47C8000E-F5FD-4D3E-A0F1-A8B52F5776C3}"/>
    <cellStyle name="Percent 16 5 6 2" xfId="2592" xr:uid="{C24BB2D7-7632-4573-A782-A0A9FB2DE63E}"/>
    <cellStyle name="Percent 16 5 7" xfId="1482" xr:uid="{B77D47C4-F976-40BF-A095-6DAAD2224402}"/>
    <cellStyle name="Percent 16 5 7 2" xfId="2593" xr:uid="{BD90ED6E-B04C-48F4-979A-15A84E2FA673}"/>
    <cellStyle name="Percent 16 5 8" xfId="1483" xr:uid="{98C8B196-E5C3-4D49-8173-6FCD03E4AF54}"/>
    <cellStyle name="Percent 16 5 8 2" xfId="2594" xr:uid="{CF437B3B-EE38-40A3-865C-7E4FB205B913}"/>
    <cellStyle name="Percent 16 5 9" xfId="1484" xr:uid="{D715B2B5-3A05-4C09-98EE-3F72CA444B8C}"/>
    <cellStyle name="Percent 16 5 9 2" xfId="2595" xr:uid="{4012EC7A-EDF8-4547-B925-B04D952837B1}"/>
    <cellStyle name="Percent 16 6" xfId="1485" xr:uid="{65CEDE12-0CFD-41BA-AC93-F22C4660CA8C}"/>
    <cellStyle name="Percent 16 6 10" xfId="1486" xr:uid="{CC323976-B515-4E55-82EB-641CD528FEED}"/>
    <cellStyle name="Percent 16 6 10 2" xfId="2597" xr:uid="{9618E49D-B438-47CF-A90F-E845D3EF7AD3}"/>
    <cellStyle name="Percent 16 6 11" xfId="1487" xr:uid="{63ADC6DB-28AB-4395-9749-505DAE2B30FB}"/>
    <cellStyle name="Percent 16 6 11 2" xfId="2598" xr:uid="{DBBD7E01-4EA5-47D8-8231-3989B3F5F0F2}"/>
    <cellStyle name="Percent 16 6 12" xfId="1488" xr:uid="{F6D72D8F-30A8-4748-9204-FC0CB0C46F3D}"/>
    <cellStyle name="Percent 16 6 12 2" xfId="2599" xr:uid="{8A8AE268-FC1B-428E-BE99-079571A60713}"/>
    <cellStyle name="Percent 16 6 13" xfId="1489" xr:uid="{239724BE-CC1A-483F-8DB2-2E300E3753AE}"/>
    <cellStyle name="Percent 16 6 13 2" xfId="2600" xr:uid="{09828904-AAD8-4123-9247-90ECC69BBE76}"/>
    <cellStyle name="Percent 16 6 14" xfId="1490" xr:uid="{47F055C9-D243-4F8B-8042-9A0D827C5FF7}"/>
    <cellStyle name="Percent 16 6 14 2" xfId="2601" xr:uid="{56DBF1DE-2838-4DAF-B6C2-46E8A3E96404}"/>
    <cellStyle name="Percent 16 6 15" xfId="1491" xr:uid="{D2FD8842-78F1-42B5-A2C9-296AA505A146}"/>
    <cellStyle name="Percent 16 6 15 2" xfId="2602" xr:uid="{25B29969-BEC6-49B9-890B-0689E16DCC46}"/>
    <cellStyle name="Percent 16 6 16" xfId="1492" xr:uid="{7C4A7A4C-79C2-4A64-A0F0-4D7F6978224C}"/>
    <cellStyle name="Percent 16 6 16 2" xfId="2603" xr:uid="{E0DACA1F-FD39-4336-96A4-FA2D2148472C}"/>
    <cellStyle name="Percent 16 6 17" xfId="1493" xr:uid="{33AAB620-47E4-4B77-AB46-D25DD03DB078}"/>
    <cellStyle name="Percent 16 6 17 2" xfId="2604" xr:uid="{1C760D82-5C75-4B2B-846D-9AC5DEB4FFFE}"/>
    <cellStyle name="Percent 16 6 18" xfId="2596" xr:uid="{6A64BE3B-5055-4228-8A5E-77E1C705DA43}"/>
    <cellStyle name="Percent 16 6 2" xfId="1494" xr:uid="{EE84534A-262A-4C89-A5BE-B4CBCA21A5A5}"/>
    <cellStyle name="Percent 16 6 2 2" xfId="2605" xr:uid="{80A13A19-9A7A-4C77-9383-BA8AD4708DAD}"/>
    <cellStyle name="Percent 16 6 3" xfId="1495" xr:uid="{9D48AD17-94BB-4044-A1F9-4A2FD1986868}"/>
    <cellStyle name="Percent 16 6 3 2" xfId="2606" xr:uid="{3800C5D7-3BAA-4D8A-99D7-750DAA89CB4A}"/>
    <cellStyle name="Percent 16 6 4" xfId="1496" xr:uid="{F84A1690-D73D-4951-BA3F-F10D5AD56AF8}"/>
    <cellStyle name="Percent 16 6 4 2" xfId="2607" xr:uid="{E52AFBBA-2320-4A1E-80C1-6D4A17C3FC43}"/>
    <cellStyle name="Percent 16 6 5" xfId="1497" xr:uid="{390C8FE2-F38F-4EED-A901-124C514F889A}"/>
    <cellStyle name="Percent 16 6 5 2" xfId="2608" xr:uid="{1884AC9F-9917-4439-B2F9-5BA769C9460D}"/>
    <cellStyle name="Percent 16 6 6" xfId="1498" xr:uid="{54C8EF98-3E36-4224-88B2-7B1B615DC201}"/>
    <cellStyle name="Percent 16 6 6 2" xfId="2609" xr:uid="{E8F16254-E91C-4D10-B5F8-05A333A1EDBD}"/>
    <cellStyle name="Percent 16 6 7" xfId="1499" xr:uid="{D74AD688-D584-4E76-909E-89874A60144F}"/>
    <cellStyle name="Percent 16 6 7 2" xfId="2610" xr:uid="{0E69D571-3899-4444-8E24-70B7496882A0}"/>
    <cellStyle name="Percent 16 6 8" xfId="1500" xr:uid="{170B12F4-D289-41A6-AF1D-22100C5767C3}"/>
    <cellStyle name="Percent 16 6 8 2" xfId="2611" xr:uid="{5702B75D-CA28-473A-A4AE-924393151623}"/>
    <cellStyle name="Percent 16 6 9" xfId="1501" xr:uid="{23E0E5A6-8DBC-4ED6-AA13-16EAB8F086F6}"/>
    <cellStyle name="Percent 16 6 9 2" xfId="2612" xr:uid="{FF2EA3E3-08C9-4DCA-B867-9E2EE3BDE62C}"/>
    <cellStyle name="Percent 16 7" xfId="1502" xr:uid="{A9AB9DC5-88DF-4FE6-9139-1DD146A8F262}"/>
    <cellStyle name="Percent 16 7 10" xfId="1503" xr:uid="{EBA9BDA1-3839-4392-8230-79BEB7155D6F}"/>
    <cellStyle name="Percent 16 7 10 2" xfId="2614" xr:uid="{65BDC045-2BA4-41A3-9B06-B48D2FC21B29}"/>
    <cellStyle name="Percent 16 7 11" xfId="1504" xr:uid="{3BC68254-87C7-4666-899D-B1D1FCBBCDFD}"/>
    <cellStyle name="Percent 16 7 11 2" xfId="2615" xr:uid="{B5FF2295-024D-41E2-AFF2-5ED8733C5634}"/>
    <cellStyle name="Percent 16 7 12" xfId="1505" xr:uid="{E35A7588-2F33-4C21-A55B-620B35BA23CE}"/>
    <cellStyle name="Percent 16 7 12 2" xfId="2616" xr:uid="{5E15D947-C37F-46DA-A800-23FABCEBB577}"/>
    <cellStyle name="Percent 16 7 13" xfId="1506" xr:uid="{D82287E2-B855-4E47-BCA9-252D7FFB9999}"/>
    <cellStyle name="Percent 16 7 13 2" xfId="2617" xr:uid="{F4C3DCE1-AFC3-490E-B956-9F6B3154D1ED}"/>
    <cellStyle name="Percent 16 7 14" xfId="1507" xr:uid="{E6E7EFFE-8E4A-4CA0-BA05-19A8F020F2EB}"/>
    <cellStyle name="Percent 16 7 14 2" xfId="2618" xr:uid="{C705AA11-94D4-404F-8C11-9525FF779E4F}"/>
    <cellStyle name="Percent 16 7 15" xfId="1508" xr:uid="{0EFB5F60-A9A3-4969-81B8-B41B843D7596}"/>
    <cellStyle name="Percent 16 7 15 2" xfId="2619" xr:uid="{B736BE12-9677-4175-8792-95CE842E7EB0}"/>
    <cellStyle name="Percent 16 7 16" xfId="1509" xr:uid="{4D60DE07-E9F1-470E-B8E2-A6F73E7B3C43}"/>
    <cellStyle name="Percent 16 7 16 2" xfId="2620" xr:uid="{8704007F-0338-47A2-819F-4143D2443366}"/>
    <cellStyle name="Percent 16 7 17" xfId="1510" xr:uid="{52757A64-7AAC-4D2D-86E3-8D7774A08E66}"/>
    <cellStyle name="Percent 16 7 17 2" xfId="2621" xr:uid="{74F9CC8D-56D8-401F-BC52-F4DB02B02615}"/>
    <cellStyle name="Percent 16 7 18" xfId="2613" xr:uid="{ADC60130-642E-4B1B-B595-BD6DF8FCC178}"/>
    <cellStyle name="Percent 16 7 2" xfId="1511" xr:uid="{B70DD0A1-3EEA-4710-A686-18323A90ACA9}"/>
    <cellStyle name="Percent 16 7 2 2" xfId="2622" xr:uid="{8622DF9C-19CA-4DED-9E08-701D92EF7269}"/>
    <cellStyle name="Percent 16 7 3" xfId="1512" xr:uid="{7023DCA7-D6A9-47FC-B731-AFEE552DA527}"/>
    <cellStyle name="Percent 16 7 3 2" xfId="2623" xr:uid="{8FB355BF-7A0E-4A73-BC0D-3997A04A5CDE}"/>
    <cellStyle name="Percent 16 7 4" xfId="1513" xr:uid="{84608370-2D4D-4783-8D8A-C4E0960A9B88}"/>
    <cellStyle name="Percent 16 7 4 2" xfId="2624" xr:uid="{66334D6D-2184-4208-A02D-BA4F23B72237}"/>
    <cellStyle name="Percent 16 7 5" xfId="1514" xr:uid="{9C041874-F19F-4248-ADEC-253BDE4B0E27}"/>
    <cellStyle name="Percent 16 7 5 2" xfId="2625" xr:uid="{2EC43D9A-5A6A-4C78-A35F-04BB8CDEA5C1}"/>
    <cellStyle name="Percent 16 7 6" xfId="1515" xr:uid="{2AF93D06-E7FD-448A-AFFE-308D8CFC2F72}"/>
    <cellStyle name="Percent 16 7 6 2" xfId="2626" xr:uid="{57ACECFD-A86D-472E-B97D-12782F1211F5}"/>
    <cellStyle name="Percent 16 7 7" xfId="1516" xr:uid="{73C1C9E8-51C7-471C-BA63-BD94F2B999A0}"/>
    <cellStyle name="Percent 16 7 7 2" xfId="2627" xr:uid="{8C841742-67E9-45A3-B89B-2DA5AE1739B2}"/>
    <cellStyle name="Percent 16 7 8" xfId="1517" xr:uid="{F1DBD292-9D43-400D-B8FE-833BDC0B2DA3}"/>
    <cellStyle name="Percent 16 7 8 2" xfId="2628" xr:uid="{5C6DFF36-B95B-4497-AB65-0CE69FCD6F1F}"/>
    <cellStyle name="Percent 16 7 9" xfId="1518" xr:uid="{C88FBDFA-1D34-4966-A36E-141FC79393E0}"/>
    <cellStyle name="Percent 16 7 9 2" xfId="2629" xr:uid="{AC2594D2-4B3B-4508-82FE-BDA8F12E15C2}"/>
    <cellStyle name="Percent 16 8" xfId="1519" xr:uid="{00739414-CE12-4171-B794-0280140AAC25}"/>
    <cellStyle name="Percent 16 8 10" xfId="1520" xr:uid="{FCF78237-9DD4-466C-B04F-3DA314EF3FB7}"/>
    <cellStyle name="Percent 16 8 10 2" xfId="2631" xr:uid="{E211EA77-50E8-41F5-9A64-ECE79BCDBE06}"/>
    <cellStyle name="Percent 16 8 11" xfId="1521" xr:uid="{67334FCA-5751-4334-95B9-C4F38B5809F5}"/>
    <cellStyle name="Percent 16 8 11 2" xfId="2632" xr:uid="{A3938189-8707-4DD9-855F-B7BC180FE1F1}"/>
    <cellStyle name="Percent 16 8 12" xfId="1522" xr:uid="{079B8EC6-92A2-4F43-8F3D-7AD04CF921D0}"/>
    <cellStyle name="Percent 16 8 12 2" xfId="2633" xr:uid="{2123A1FB-E69B-4958-94F6-8D2CA5AE497C}"/>
    <cellStyle name="Percent 16 8 13" xfId="1523" xr:uid="{2449B52E-31D7-4D00-8C82-3B164C1D78AA}"/>
    <cellStyle name="Percent 16 8 13 2" xfId="2634" xr:uid="{C2A0BC97-714B-49AA-806F-EF45D5F2295E}"/>
    <cellStyle name="Percent 16 8 14" xfId="1524" xr:uid="{F76194A4-BBBF-4F46-805F-44B4D9E4A4AA}"/>
    <cellStyle name="Percent 16 8 14 2" xfId="2635" xr:uid="{1B2B0FED-EFEB-4B36-A747-E2A70199F79E}"/>
    <cellStyle name="Percent 16 8 15" xfId="1525" xr:uid="{3048E367-5C84-48A8-B681-7231A0E4D412}"/>
    <cellStyle name="Percent 16 8 15 2" xfId="2636" xr:uid="{BCB39D5C-5353-45FB-A2C5-A7BEFE6CD25A}"/>
    <cellStyle name="Percent 16 8 16" xfId="1526" xr:uid="{A1AF7F66-0FFF-4773-8F78-FEAC434AF3E2}"/>
    <cellStyle name="Percent 16 8 16 2" xfId="2637" xr:uid="{74A316C9-6F14-4FD0-ABD3-DDA8FD2C922C}"/>
    <cellStyle name="Percent 16 8 17" xfId="1527" xr:uid="{943B6833-EDAE-4EEE-8902-3577AFDFFEF1}"/>
    <cellStyle name="Percent 16 8 17 2" xfId="2638" xr:uid="{7911B6C5-6C44-4D32-810C-5FC1944F3133}"/>
    <cellStyle name="Percent 16 8 18" xfId="2630" xr:uid="{94127A4C-D0EC-441A-B4F7-BBADA776945F}"/>
    <cellStyle name="Percent 16 8 2" xfId="1528" xr:uid="{5461A282-C38D-4423-A6CD-56D36F320FCC}"/>
    <cellStyle name="Percent 16 8 2 2" xfId="2639" xr:uid="{90E455CB-E529-4F05-ADD7-68DF93188712}"/>
    <cellStyle name="Percent 16 8 3" xfId="1529" xr:uid="{C82C1761-B49E-4B44-A2D5-E6A712683688}"/>
    <cellStyle name="Percent 16 8 3 2" xfId="2640" xr:uid="{129FF089-0E52-45DF-8A9B-408A7C3AA0D5}"/>
    <cellStyle name="Percent 16 8 4" xfId="1530" xr:uid="{7D06FD0C-3D3C-4FDF-8011-BEBF7A80B497}"/>
    <cellStyle name="Percent 16 8 4 2" xfId="2641" xr:uid="{E9A032AF-AB41-41E2-B167-FAC97B04C44B}"/>
    <cellStyle name="Percent 16 8 5" xfId="1531" xr:uid="{D81272C1-A2C7-4C0D-A216-245FA44CEBF8}"/>
    <cellStyle name="Percent 16 8 5 2" xfId="2642" xr:uid="{DAD096C7-A174-4FC0-9868-BA3A097269C8}"/>
    <cellStyle name="Percent 16 8 6" xfId="1532" xr:uid="{3092EF33-8C7B-45DC-A43E-05243FF2B8FE}"/>
    <cellStyle name="Percent 16 8 6 2" xfId="2643" xr:uid="{B19DEC96-D86A-4598-9A17-E99998745B99}"/>
    <cellStyle name="Percent 16 8 7" xfId="1533" xr:uid="{02F3C4A0-E2EA-4F67-AE33-25F0701D5481}"/>
    <cellStyle name="Percent 16 8 7 2" xfId="2644" xr:uid="{ED772765-CA6A-4108-ABE0-52DA75C5EEC5}"/>
    <cellStyle name="Percent 16 8 8" xfId="1534" xr:uid="{B1A5BB0E-A146-420F-8CCA-FDD0B59D106B}"/>
    <cellStyle name="Percent 16 8 8 2" xfId="2645" xr:uid="{4A9A51E6-8E84-4B7C-A732-049CFEBA299A}"/>
    <cellStyle name="Percent 16 8 9" xfId="1535" xr:uid="{98B6F68E-C987-4EE2-8D9D-0E179EB85293}"/>
    <cellStyle name="Percent 16 8 9 2" xfId="2646" xr:uid="{E98EE057-AB95-4AA8-A817-1EDCCA4BCCAF}"/>
    <cellStyle name="Percent 16 9" xfId="1536" xr:uid="{5B20DF9E-D358-4ED4-AF4E-ECC42726E453}"/>
    <cellStyle name="Percent 16 9 10" xfId="1537" xr:uid="{45AA4810-7968-4E68-8355-29AAF73EAA6A}"/>
    <cellStyle name="Percent 16 9 10 2" xfId="2648" xr:uid="{9457C7DF-EDD7-43F2-873F-74A099CC633C}"/>
    <cellStyle name="Percent 16 9 11" xfId="1538" xr:uid="{204689BD-50B9-4DD4-820F-0A0E3CBA9371}"/>
    <cellStyle name="Percent 16 9 11 2" xfId="2649" xr:uid="{7DB8FD5D-7374-4931-92E7-571042E0E47A}"/>
    <cellStyle name="Percent 16 9 12" xfId="1539" xr:uid="{C6CAB9BE-E719-4777-8FA6-D0F05F66C471}"/>
    <cellStyle name="Percent 16 9 12 2" xfId="2650" xr:uid="{3BC3F284-1266-46D2-BCF3-3B04FE447C4D}"/>
    <cellStyle name="Percent 16 9 13" xfId="1540" xr:uid="{0057D511-24DE-46FA-8520-E9234BBC749D}"/>
    <cellStyle name="Percent 16 9 13 2" xfId="2651" xr:uid="{1877A373-7401-4FC2-87C3-4624D6F16E81}"/>
    <cellStyle name="Percent 16 9 14" xfId="1541" xr:uid="{67EA116E-EFA6-4243-9EE9-91464124654A}"/>
    <cellStyle name="Percent 16 9 14 2" xfId="2652" xr:uid="{7B737224-EFF4-4B4E-9C6D-A0C175324FA5}"/>
    <cellStyle name="Percent 16 9 15" xfId="1542" xr:uid="{74B5C124-D96B-41E9-965A-203E55E57414}"/>
    <cellStyle name="Percent 16 9 15 2" xfId="2653" xr:uid="{F69F1434-4101-4BA9-A39E-1FABC2FA9CFC}"/>
    <cellStyle name="Percent 16 9 16" xfId="1543" xr:uid="{366B9D45-B06A-436E-BDA2-A30267860744}"/>
    <cellStyle name="Percent 16 9 16 2" xfId="2654" xr:uid="{6725A4D2-3E59-4498-A90A-B3ED55F7E825}"/>
    <cellStyle name="Percent 16 9 17" xfId="1544" xr:uid="{870E9AC1-C950-49FB-8B10-7DA8F68EDD24}"/>
    <cellStyle name="Percent 16 9 17 2" xfId="2655" xr:uid="{E29B63E3-5236-4F11-B7E6-3A363F8C8735}"/>
    <cellStyle name="Percent 16 9 18" xfId="2647" xr:uid="{9E467CD5-FC7F-4EFD-9DBF-477C32E20CA1}"/>
    <cellStyle name="Percent 16 9 2" xfId="1545" xr:uid="{D1173CF8-80D3-417A-AC3B-321989BA88E8}"/>
    <cellStyle name="Percent 16 9 2 2" xfId="2656" xr:uid="{731881FA-3371-4A4E-8A4F-25F6F1C132FD}"/>
    <cellStyle name="Percent 16 9 3" xfId="1546" xr:uid="{526FD5F3-A211-4D06-BC00-537577DB9065}"/>
    <cellStyle name="Percent 16 9 3 2" xfId="2657" xr:uid="{0C1A4B91-7B11-4D6D-A5BE-C33D61C40332}"/>
    <cellStyle name="Percent 16 9 4" xfId="1547" xr:uid="{0CD533E0-F421-4A44-B627-7449F127A2E4}"/>
    <cellStyle name="Percent 16 9 4 2" xfId="2658" xr:uid="{12429578-9B4C-4E78-A64C-CC0FAAF35EFE}"/>
    <cellStyle name="Percent 16 9 5" xfId="1548" xr:uid="{9F6B3308-4A2B-403B-A3C3-E59AAE50B365}"/>
    <cellStyle name="Percent 16 9 5 2" xfId="2659" xr:uid="{1F1A07F7-C2E2-4695-9238-DD69AEBE4DC2}"/>
    <cellStyle name="Percent 16 9 6" xfId="1549" xr:uid="{46613C2D-C935-44B0-800E-4989EFAEA5A6}"/>
    <cellStyle name="Percent 16 9 6 2" xfId="2660" xr:uid="{05764030-2EAD-4AA8-8E72-FDF8450C9AEB}"/>
    <cellStyle name="Percent 16 9 7" xfId="1550" xr:uid="{24C5E1CA-68BB-452D-97CC-FFF098E00F59}"/>
    <cellStyle name="Percent 16 9 7 2" xfId="2661" xr:uid="{66BB7BA8-4896-4041-8913-AE8E76265377}"/>
    <cellStyle name="Percent 16 9 8" xfId="1551" xr:uid="{85F1BBA7-E92F-4687-8ABA-2A5261456DA0}"/>
    <cellStyle name="Percent 16 9 8 2" xfId="2662" xr:uid="{67B58DD5-03FB-4404-81EC-069F556CD1D5}"/>
    <cellStyle name="Percent 16 9 9" xfId="1552" xr:uid="{B89DA336-D014-4B4C-8197-A013C2CB5AE2}"/>
    <cellStyle name="Percent 16 9 9 2" xfId="2663" xr:uid="{A36D22AA-762B-410A-B456-B9A776A04891}"/>
    <cellStyle name="Percent 17" xfId="1553" xr:uid="{CB1084DD-076A-4377-AB1C-42DEF0C49F45}"/>
    <cellStyle name="Percent 17 2" xfId="2664" xr:uid="{A01B02EA-49A8-4DAF-A2E0-52D5A2E0262C}"/>
    <cellStyle name="Percent 2" xfId="71" xr:uid="{311652CB-DDAA-4B81-9340-512698FF08EE}"/>
    <cellStyle name="Percent 2 10" xfId="1554" xr:uid="{B7604305-26CF-4BD1-B3AE-A85703C0A06C}"/>
    <cellStyle name="Percent 2 10 2" xfId="1555" xr:uid="{948C651D-2A18-4552-8FA5-C2AC5AD9A8A5}"/>
    <cellStyle name="Percent 2 10 2 2" xfId="2667" xr:uid="{E3D7A7B9-4ADE-4D4F-9F8C-0D673BA9EDDA}"/>
    <cellStyle name="Percent 2 10 3" xfId="1556" xr:uid="{30FF1C26-A39F-404A-BDDB-AFD2EE77AA67}"/>
    <cellStyle name="Percent 2 10 3 2" xfId="2668" xr:uid="{33B2D7D4-2236-4502-82A6-64550C8F2C3B}"/>
    <cellStyle name="Percent 2 10 4" xfId="1557" xr:uid="{AF9E34EE-E529-46EB-96A1-87EF471A968D}"/>
    <cellStyle name="Percent 2 10 4 2" xfId="2669" xr:uid="{92BE224E-4467-49BD-B7A1-AA02BBA81B89}"/>
    <cellStyle name="Percent 2 10 5" xfId="1558" xr:uid="{8AEDB7B5-F506-4DBB-A03E-48A406A1E520}"/>
    <cellStyle name="Percent 2 10 5 2" xfId="2670" xr:uid="{9C143DBC-B6DA-428E-8136-97D032DE2E44}"/>
    <cellStyle name="Percent 2 10 6" xfId="1559" xr:uid="{0457B2C5-C91D-40AC-8587-60950C37CDEC}"/>
    <cellStyle name="Percent 2 10 6 2" xfId="2671" xr:uid="{5C306D1D-A62A-408E-B8BF-7E824FBDCF9F}"/>
    <cellStyle name="Percent 2 10 7" xfId="1560" xr:uid="{95448269-CD9F-4B04-889D-F72E96965323}"/>
    <cellStyle name="Percent 2 10 7 2" xfId="2672" xr:uid="{F79F1F4A-A09C-4AA9-9609-CC11F8CB02C4}"/>
    <cellStyle name="Percent 2 10 8" xfId="1561" xr:uid="{FCFDDD5A-6903-469D-800A-5AAF80E02409}"/>
    <cellStyle name="Percent 2 10 8 2" xfId="2673" xr:uid="{8E01FA58-A13C-41F3-9D70-06FE0D1298DC}"/>
    <cellStyle name="Percent 2 10 9" xfId="2666" xr:uid="{7A3FE710-A9CB-48B5-B2DC-45F0E8195576}"/>
    <cellStyle name="Percent 2 11" xfId="1562" xr:uid="{70F43613-981B-449C-B8B6-94A927D47B1B}"/>
    <cellStyle name="Percent 2 11 2" xfId="1563" xr:uid="{273949B8-E442-43C1-9015-AFCE8C71059A}"/>
    <cellStyle name="Percent 2 11 2 2" xfId="2675" xr:uid="{F35EC26A-36FC-4B36-A3D8-BED181DEFB50}"/>
    <cellStyle name="Percent 2 11 3" xfId="1564" xr:uid="{7B756C95-9858-4588-A213-A65FC2ADD600}"/>
    <cellStyle name="Percent 2 11 3 2" xfId="2676" xr:uid="{649A411C-860A-4EE7-A75E-E6F45678EAFC}"/>
    <cellStyle name="Percent 2 11 4" xfId="1565" xr:uid="{80DF97C5-A004-4294-9D24-C8468B9BC444}"/>
    <cellStyle name="Percent 2 11 4 2" xfId="2677" xr:uid="{1CFB4442-A8F8-414C-9355-5D306206C446}"/>
    <cellStyle name="Percent 2 11 5" xfId="1566" xr:uid="{AE6D19F9-55F3-4B41-B82F-1D921A83EA5A}"/>
    <cellStyle name="Percent 2 11 5 2" xfId="2678" xr:uid="{89E030D9-6312-44C1-A1A1-D8511DB0AB93}"/>
    <cellStyle name="Percent 2 11 6" xfId="1567" xr:uid="{16A50325-8510-4F71-8F4B-616E8406F49D}"/>
    <cellStyle name="Percent 2 11 6 2" xfId="2679" xr:uid="{2E9C176A-DF0C-4A6E-9567-908FCE631E82}"/>
    <cellStyle name="Percent 2 11 7" xfId="1568" xr:uid="{43680F5F-0091-46D8-9E26-862857696F27}"/>
    <cellStyle name="Percent 2 11 7 2" xfId="2680" xr:uid="{36DA6F49-E3AD-48D7-9460-52F6DA6508D9}"/>
    <cellStyle name="Percent 2 11 8" xfId="1569" xr:uid="{9B91C4A6-5C30-4DBD-8CF7-DC4510003CC6}"/>
    <cellStyle name="Percent 2 11 8 2" xfId="2681" xr:uid="{CCC6B257-4D68-4497-B48A-0CC961EB0821}"/>
    <cellStyle name="Percent 2 11 9" xfId="2674" xr:uid="{CC0C437E-3E6A-4FC0-983E-AA5411AB2D23}"/>
    <cellStyle name="Percent 2 12" xfId="1570" xr:uid="{F801268B-D895-4355-8E6F-5523BD165DB3}"/>
    <cellStyle name="Percent 2 12 2" xfId="2682" xr:uid="{532A2097-49B6-4F10-90C2-89A9435F73D1}"/>
    <cellStyle name="Percent 2 13" xfId="1571" xr:uid="{EB9D0DE6-636B-4F15-8935-AF73C205F29F}"/>
    <cellStyle name="Percent 2 13 2" xfId="2683" xr:uid="{444DAE57-B800-40EA-88A3-54A4009E1C4A}"/>
    <cellStyle name="Percent 2 14" xfId="1572" xr:uid="{C1A79850-7521-4393-9602-21457930A8E3}"/>
    <cellStyle name="Percent 2 14 2" xfId="2684" xr:uid="{78F26112-4793-4394-91A2-EB94D23BD71C}"/>
    <cellStyle name="Percent 2 15" xfId="1573" xr:uid="{30383B4B-C001-4860-8897-CCC392F74B00}"/>
    <cellStyle name="Percent 2 15 2" xfId="2685" xr:uid="{94EB5810-162B-46DC-B8FD-CAD3F6D020A3}"/>
    <cellStyle name="Percent 2 16" xfId="1574" xr:uid="{E4C3FF90-9CDD-466D-AFC5-207C529DEC7F}"/>
    <cellStyle name="Percent 2 16 2" xfId="2686" xr:uid="{A7CAE1E6-2F85-4E22-B105-7D884B5C5521}"/>
    <cellStyle name="Percent 2 17" xfId="1575" xr:uid="{F0B2B836-E498-4D3A-A7D5-05ABC8AB4D61}"/>
    <cellStyle name="Percent 2 17 2" xfId="2687" xr:uid="{EA6A2D51-E7F6-4C01-AA6D-C3DA16E7881E}"/>
    <cellStyle name="Percent 2 18" xfId="1576" xr:uid="{E2CAA2C7-2342-4300-BAB3-9E70A506AD7C}"/>
    <cellStyle name="Percent 2 18 2" xfId="2688" xr:uid="{492AEDD8-618B-4DF6-9F0F-F9D5FEFBF4D6}"/>
    <cellStyle name="Percent 2 19" xfId="2665" xr:uid="{F6ACCE2F-C47E-4E95-A755-636D75EA9C07}"/>
    <cellStyle name="Percent 2 2" xfId="72" xr:uid="{F87864C6-20E1-4186-9563-50B89AAF461F}"/>
    <cellStyle name="Percent 2 2 2" xfId="1577" xr:uid="{17500948-F2BE-4B04-BAB6-5A3E97F78EC2}"/>
    <cellStyle name="Percent 2 2 2 2" xfId="2690" xr:uid="{870FDF90-8D5F-4317-ADB2-100347B2E63F}"/>
    <cellStyle name="Percent 2 2 3" xfId="1578" xr:uid="{0AB23400-B1CD-4F7E-8B70-F803FE9864DE}"/>
    <cellStyle name="Percent 2 2 3 2" xfId="2691" xr:uid="{CED66BB4-A54F-4784-8D91-AAF5F33601BA}"/>
    <cellStyle name="Percent 2 2 4" xfId="1579" xr:uid="{589CA392-0B3B-4C92-AE75-7ACFC2BD85CF}"/>
    <cellStyle name="Percent 2 2 4 2" xfId="2692" xr:uid="{28C9222E-BED0-4619-8FEF-BCD8FF1C66F1}"/>
    <cellStyle name="Percent 2 2 5" xfId="1580" xr:uid="{2E311175-89B2-4D1C-A9B5-A6D2A1BCC5AB}"/>
    <cellStyle name="Percent 2 2 5 2" xfId="2693" xr:uid="{7D39FF49-53EB-4200-8719-5C4942EA6F84}"/>
    <cellStyle name="Percent 2 2 6" xfId="1581" xr:uid="{43489A00-F951-4794-ABF1-FB12F32EE2A9}"/>
    <cellStyle name="Percent 2 2 6 2" xfId="2694" xr:uid="{E5652255-A5FD-494A-BF24-AF4F5449ECB4}"/>
    <cellStyle name="Percent 2 2 7" xfId="1582" xr:uid="{5E94EF97-1612-4D5B-BB32-C6CCFB97F3BE}"/>
    <cellStyle name="Percent 2 2 7 2" xfId="2695" xr:uid="{9D699D8F-1E17-482B-8BBA-212CD1BB9DF6}"/>
    <cellStyle name="Percent 2 2 8" xfId="1583" xr:uid="{ED379358-B9B3-4057-B9AA-66F2A12C3E8B}"/>
    <cellStyle name="Percent 2 2 8 2" xfId="2696" xr:uid="{438D7E36-6BD4-479C-8618-A77E85994713}"/>
    <cellStyle name="Percent 2 2 9" xfId="2689" xr:uid="{CD54A3C8-EDE8-42EE-830A-475BB1E40BF7}"/>
    <cellStyle name="Percent 2 3" xfId="1584" xr:uid="{05998670-70D8-4CA1-BE82-608BB719B3F4}"/>
    <cellStyle name="Percent 2 3 2" xfId="1585" xr:uid="{A301AACF-4985-457A-96BE-0E095C15FD4F}"/>
    <cellStyle name="Percent 2 3 2 2" xfId="2698" xr:uid="{FC31E0E6-633F-4048-8F2A-3BA50833C763}"/>
    <cellStyle name="Percent 2 3 3" xfId="1586" xr:uid="{A4025902-B532-420F-A257-3F038071939C}"/>
    <cellStyle name="Percent 2 3 3 2" xfId="2699" xr:uid="{8B21EEEB-4F46-4251-82AE-79963B0CA3A3}"/>
    <cellStyle name="Percent 2 3 4" xfId="1587" xr:uid="{9783DCCA-CDBF-4907-A5A0-6D506180583E}"/>
    <cellStyle name="Percent 2 3 4 2" xfId="2700" xr:uid="{1399371C-90E1-4382-ABEF-F56C62625D6C}"/>
    <cellStyle name="Percent 2 3 5" xfId="1588" xr:uid="{DE4A9314-87C0-464F-965D-132AC4A2A493}"/>
    <cellStyle name="Percent 2 3 5 2" xfId="2701" xr:uid="{91B5C554-E293-457A-8840-E9D984993590}"/>
    <cellStyle name="Percent 2 3 6" xfId="1589" xr:uid="{F7C08CBE-7DE9-453B-8A1F-DF2565DDDB92}"/>
    <cellStyle name="Percent 2 3 6 2" xfId="2702" xr:uid="{1D1581D7-DB38-46CB-8F1E-3C7825BA494F}"/>
    <cellStyle name="Percent 2 3 7" xfId="1590" xr:uid="{F69CFFA3-FACD-48FB-A674-63E08506325E}"/>
    <cellStyle name="Percent 2 3 7 2" xfId="2703" xr:uid="{E4F7AEC8-5103-467A-9475-89647736B23D}"/>
    <cellStyle name="Percent 2 3 8" xfId="1591" xr:uid="{A4435AD4-5043-4DA1-9759-6B5165D865C8}"/>
    <cellStyle name="Percent 2 3 8 2" xfId="2704" xr:uid="{5BAEC054-E094-4695-AF50-02232F55AC92}"/>
    <cellStyle name="Percent 2 3 9" xfId="2697" xr:uid="{5BC4FD64-FE26-4F84-A762-A1E8CC76ED27}"/>
    <cellStyle name="Percent 2 4" xfId="1592" xr:uid="{801F4032-32EA-4C36-80F4-D2332B7832FA}"/>
    <cellStyle name="Percent 2 4 2" xfId="1593" xr:uid="{097AC921-3470-42EE-B446-2D413D9F87B4}"/>
    <cellStyle name="Percent 2 4 2 2" xfId="2706" xr:uid="{DEE9D888-DE16-4B4F-B215-84A32CCD7BBB}"/>
    <cellStyle name="Percent 2 4 3" xfId="1594" xr:uid="{2A9F7706-4854-4539-82A7-5A39AB97C61E}"/>
    <cellStyle name="Percent 2 4 3 2" xfId="2707" xr:uid="{62FF80B1-855A-48AD-BB7D-AD240764B5BB}"/>
    <cellStyle name="Percent 2 4 4" xfId="1595" xr:uid="{911A9C99-BDAA-4EF4-851B-1E80B974A612}"/>
    <cellStyle name="Percent 2 4 4 2" xfId="2708" xr:uid="{304C0F84-1A60-45B6-A30D-F4E5775573C0}"/>
    <cellStyle name="Percent 2 4 5" xfId="1596" xr:uid="{EF76EE40-94F7-4C24-9963-1DD278F62016}"/>
    <cellStyle name="Percent 2 4 5 2" xfId="2709" xr:uid="{6E2CCA99-9744-4CC0-BB69-2658A31CEE23}"/>
    <cellStyle name="Percent 2 4 6" xfId="1597" xr:uid="{AC4571D6-0E3B-4A05-B14F-C3030C4BF945}"/>
    <cellStyle name="Percent 2 4 6 2" xfId="2710" xr:uid="{7A498230-4893-40AA-85B3-934AD24A0804}"/>
    <cellStyle name="Percent 2 4 7" xfId="1598" xr:uid="{E227AE75-3D22-4774-9FE4-BD647724DE90}"/>
    <cellStyle name="Percent 2 4 7 2" xfId="2711" xr:uid="{4E3CEDB1-0352-4F13-9861-542BD1241514}"/>
    <cellStyle name="Percent 2 4 8" xfId="1599" xr:uid="{7AC0361B-431E-4A9F-9EF4-A86C54FC3A00}"/>
    <cellStyle name="Percent 2 4 8 2" xfId="2712" xr:uid="{2E9EC6C5-A411-4005-BB49-F7F9B13179BB}"/>
    <cellStyle name="Percent 2 4 9" xfId="2705" xr:uid="{F7341867-6BC3-467B-BF27-10E3C099FD9D}"/>
    <cellStyle name="Percent 2 5" xfId="1600" xr:uid="{839F1592-7182-4B6B-BA68-AAEAAFE0E235}"/>
    <cellStyle name="Percent 2 5 2" xfId="1601" xr:uid="{0A304F9F-44E0-4EAB-B260-55FA1B196883}"/>
    <cellStyle name="Percent 2 5 2 2" xfId="2714" xr:uid="{8E62B4C4-ECF2-4ED4-A818-02C0683D2F91}"/>
    <cellStyle name="Percent 2 5 3" xfId="1602" xr:uid="{2E628ED3-CFBF-4F95-AD6D-CE92FDADFF7D}"/>
    <cellStyle name="Percent 2 5 3 2" xfId="2715" xr:uid="{0BD6F9A8-7A81-4422-9445-7F6400292E12}"/>
    <cellStyle name="Percent 2 5 4" xfId="1603" xr:uid="{5E42EEF8-C210-4F73-8BCB-37BE5626AB72}"/>
    <cellStyle name="Percent 2 5 4 2" xfId="2716" xr:uid="{70CB51B0-7896-479D-9B5B-8E5B519C328D}"/>
    <cellStyle name="Percent 2 5 5" xfId="1604" xr:uid="{AAB4BA58-D789-455D-A9F6-5AC6ECB6EF39}"/>
    <cellStyle name="Percent 2 5 5 2" xfId="2717" xr:uid="{ECE7257D-325D-45BE-9A23-B415A9DD60F9}"/>
    <cellStyle name="Percent 2 5 6" xfId="1605" xr:uid="{D3CC375C-F303-418C-AA28-183B9F0B85FA}"/>
    <cellStyle name="Percent 2 5 6 2" xfId="2718" xr:uid="{99060CCD-49F7-4D9F-BD28-653627537465}"/>
    <cellStyle name="Percent 2 5 7" xfId="1606" xr:uid="{165CEE14-0217-4213-B1EF-05264A04B667}"/>
    <cellStyle name="Percent 2 5 7 2" xfId="2719" xr:uid="{7AA57E95-8400-4C37-86CB-4B4266AC44FE}"/>
    <cellStyle name="Percent 2 5 8" xfId="1607" xr:uid="{CDC50C3D-3E31-4EED-98F7-DB95086BB533}"/>
    <cellStyle name="Percent 2 5 8 2" xfId="2720" xr:uid="{2BA0DBB0-72BD-4992-BAD2-C6072F34E79A}"/>
    <cellStyle name="Percent 2 5 9" xfId="2713" xr:uid="{6E7C81F9-A4B5-429C-AC2F-E6FED0A4A5A5}"/>
    <cellStyle name="Percent 2 6" xfId="1608" xr:uid="{667C6341-189F-4938-9002-136AAF2C8713}"/>
    <cellStyle name="Percent 2 6 2" xfId="1609" xr:uid="{03CA34CA-49F3-4A9B-96E2-5AC9D06D8972}"/>
    <cellStyle name="Percent 2 6 2 2" xfId="2722" xr:uid="{A0D9667B-57A6-4639-B40F-848AC2BD3F4C}"/>
    <cellStyle name="Percent 2 6 3" xfId="1610" xr:uid="{A7AD26FE-8900-4944-8B70-54566E373D62}"/>
    <cellStyle name="Percent 2 6 3 2" xfId="2723" xr:uid="{240E9092-BBB6-4312-BF41-F61EDB0A5364}"/>
    <cellStyle name="Percent 2 6 4" xfId="1611" xr:uid="{8455F611-25B1-49D1-80DD-71BDB5180E31}"/>
    <cellStyle name="Percent 2 6 4 2" xfId="2724" xr:uid="{761E4D62-B5BE-493D-910F-93DCA490699D}"/>
    <cellStyle name="Percent 2 6 5" xfId="1612" xr:uid="{2BAD54BB-9B41-4188-93C8-BA665A6DB880}"/>
    <cellStyle name="Percent 2 6 5 2" xfId="2725" xr:uid="{42659C99-4324-4C8F-9810-4A6858D1EDA0}"/>
    <cellStyle name="Percent 2 6 6" xfId="1613" xr:uid="{0115093C-F3EF-4C2D-B0C3-ADDB1DDEAFA3}"/>
    <cellStyle name="Percent 2 6 6 2" xfId="2726" xr:uid="{E633DF9F-B6F1-4C18-8D24-C074DD5B5F49}"/>
    <cellStyle name="Percent 2 6 7" xfId="1614" xr:uid="{631274AB-7E90-49EC-8080-1F742C0D991D}"/>
    <cellStyle name="Percent 2 6 7 2" xfId="2727" xr:uid="{43FC5562-53D0-4ED2-AB9A-7A851484D3BB}"/>
    <cellStyle name="Percent 2 6 8" xfId="1615" xr:uid="{BDF1FC6A-78AD-4BC5-B758-CA82BC545DC2}"/>
    <cellStyle name="Percent 2 6 8 2" xfId="2728" xr:uid="{61A4774B-E8BF-49B3-8229-CFF403F7CE04}"/>
    <cellStyle name="Percent 2 6 9" xfId="2721" xr:uid="{74DDC8AD-6751-481F-81C4-44043648D6F9}"/>
    <cellStyle name="Percent 2 7" xfId="1616" xr:uid="{8504F2FF-D5D1-41C9-A1E0-36FFB407E9CF}"/>
    <cellStyle name="Percent 2 7 2" xfId="1617" xr:uid="{A9A489F4-7993-434B-A643-6260C1317BF7}"/>
    <cellStyle name="Percent 2 7 2 2" xfId="2730" xr:uid="{A5F96DC2-EF89-401C-B05A-E10EC7993264}"/>
    <cellStyle name="Percent 2 7 3" xfId="1618" xr:uid="{D20A71AF-9CB0-4594-8230-82992EC54A02}"/>
    <cellStyle name="Percent 2 7 3 2" xfId="2731" xr:uid="{6EB49FF8-638B-4BFC-9395-6D53EE519E1D}"/>
    <cellStyle name="Percent 2 7 4" xfId="1619" xr:uid="{EA411E3B-09DA-4307-A98C-9F8E5D059B06}"/>
    <cellStyle name="Percent 2 7 4 2" xfId="2732" xr:uid="{0B55DAC0-1D1D-48BA-9EF4-43F6299903D2}"/>
    <cellStyle name="Percent 2 7 5" xfId="1620" xr:uid="{FE84C478-6816-4F9B-967F-52CA8D27ADB4}"/>
    <cellStyle name="Percent 2 7 5 2" xfId="2733" xr:uid="{BDEE27AE-293C-4847-BCBB-E5BE7428CAE7}"/>
    <cellStyle name="Percent 2 7 6" xfId="1621" xr:uid="{BE962118-8B2E-499D-995F-B139C0077EC4}"/>
    <cellStyle name="Percent 2 7 6 2" xfId="2734" xr:uid="{D01853B8-952F-4337-9ECC-AFF9810932E7}"/>
    <cellStyle name="Percent 2 7 7" xfId="1622" xr:uid="{76DE3E35-0B9F-49A2-A1E6-378E219A4E14}"/>
    <cellStyle name="Percent 2 7 7 2" xfId="2735" xr:uid="{77E6E14C-F0DD-4F66-80EE-47E3D7320597}"/>
    <cellStyle name="Percent 2 7 8" xfId="1623" xr:uid="{CE553AD5-C72A-4A48-835D-7899556B03CD}"/>
    <cellStyle name="Percent 2 7 8 2" xfId="2736" xr:uid="{3FEFC824-0B44-44E2-8E7C-1A019E4E40B7}"/>
    <cellStyle name="Percent 2 7 9" xfId="2729" xr:uid="{D04E77F7-A768-4024-A3BE-91E4FB1F2DEC}"/>
    <cellStyle name="Percent 2 8" xfId="1624" xr:uid="{20DFEB2D-3AA6-4C68-A323-5797134AAAE5}"/>
    <cellStyle name="Percent 2 8 2" xfId="1625" xr:uid="{1AC315B0-25B8-4AC0-AAE9-795E6BD63F3D}"/>
    <cellStyle name="Percent 2 8 2 2" xfId="2738" xr:uid="{206FE350-CCC9-41F1-B9C8-9D0432C12040}"/>
    <cellStyle name="Percent 2 8 3" xfId="1626" xr:uid="{6465E723-1EE6-473F-89F5-823DED9744C4}"/>
    <cellStyle name="Percent 2 8 3 2" xfId="2739" xr:uid="{C3FBE350-9199-4880-A5B0-0124150C7BA2}"/>
    <cellStyle name="Percent 2 8 4" xfId="1627" xr:uid="{D0A6C4D8-BA70-4591-8B4E-586D1111F39B}"/>
    <cellStyle name="Percent 2 8 4 2" xfId="2740" xr:uid="{7D2839EB-2B68-4598-9E35-DC33402B63FE}"/>
    <cellStyle name="Percent 2 8 5" xfId="1628" xr:uid="{7B2FBCAA-7A19-4174-862E-AA57EEF4F145}"/>
    <cellStyle name="Percent 2 8 5 2" xfId="2741" xr:uid="{0A6BB678-A11F-49C3-8A53-8CDB25AAF2FA}"/>
    <cellStyle name="Percent 2 8 6" xfId="1629" xr:uid="{7B1F1119-17A9-411A-90A2-414C15DFEA2F}"/>
    <cellStyle name="Percent 2 8 6 2" xfId="2742" xr:uid="{4795AD7F-2230-4DBF-B771-A3FC9C1BCCF5}"/>
    <cellStyle name="Percent 2 8 7" xfId="1630" xr:uid="{9DD30627-C28B-4067-8F42-A1F21CA299A7}"/>
    <cellStyle name="Percent 2 8 7 2" xfId="2743" xr:uid="{87F683C4-609E-46E2-84E9-68D9F867F51A}"/>
    <cellStyle name="Percent 2 8 8" xfId="1631" xr:uid="{42DD0316-D89D-4449-8B93-42D404C51488}"/>
    <cellStyle name="Percent 2 8 8 2" xfId="2744" xr:uid="{3B92AFCD-6373-4DAE-80A1-762F49F0DBF6}"/>
    <cellStyle name="Percent 2 8 9" xfId="2737" xr:uid="{8898E907-71AC-4238-A5AD-8A87250FE442}"/>
    <cellStyle name="Percent 2 9" xfId="1632" xr:uid="{272A6647-2823-4E55-AEAD-AF6FF06702C8}"/>
    <cellStyle name="Percent 2 9 2" xfId="1633" xr:uid="{B9BEF490-C8A7-4BDD-969B-3BAF738CCD95}"/>
    <cellStyle name="Percent 2 9 2 2" xfId="2746" xr:uid="{ECFC0ABF-F704-4F2F-BACC-884C1B98C32E}"/>
    <cellStyle name="Percent 2 9 3" xfId="1634" xr:uid="{03E69B08-DE8B-4433-AB7B-738C5E8823F4}"/>
    <cellStyle name="Percent 2 9 3 2" xfId="2747" xr:uid="{97253175-A0AD-4864-8924-A2BCFB6FB9DA}"/>
    <cellStyle name="Percent 2 9 4" xfId="1635" xr:uid="{CA4986F6-D260-4A90-BD77-499E4F104CCD}"/>
    <cellStyle name="Percent 2 9 4 2" xfId="2748" xr:uid="{7874A394-D33E-4A6B-923A-93A37512FA22}"/>
    <cellStyle name="Percent 2 9 5" xfId="1636" xr:uid="{E9359CCC-2C56-4868-B0E3-6CC9F9C9EBD7}"/>
    <cellStyle name="Percent 2 9 5 2" xfId="2749" xr:uid="{6334C8A2-E31A-48CE-AD9D-115339B868D5}"/>
    <cellStyle name="Percent 2 9 6" xfId="1637" xr:uid="{D02DC259-C421-43FE-AC62-70F4E11D42FD}"/>
    <cellStyle name="Percent 2 9 6 2" xfId="2750" xr:uid="{FF148623-3523-42CF-B3A8-142259B71268}"/>
    <cellStyle name="Percent 2 9 7" xfId="1638" xr:uid="{503DEDAB-3947-490D-B010-36C9E4EB6505}"/>
    <cellStyle name="Percent 2 9 7 2" xfId="2751" xr:uid="{E82C296F-2A2E-4950-BDDB-A38BEF2A32F8}"/>
    <cellStyle name="Percent 2 9 8" xfId="1639" xr:uid="{70784C26-582F-4D83-97A2-B8C1F60E1BE0}"/>
    <cellStyle name="Percent 2 9 8 2" xfId="2752" xr:uid="{2EAABEBC-AEE8-47B5-BEF2-D3066B73BC43}"/>
    <cellStyle name="Percent 2 9 9" xfId="2745" xr:uid="{9883E480-1CC6-4C3D-BC86-99339587BBDF}"/>
    <cellStyle name="Percent 3" xfId="1640" xr:uid="{D73A8ECB-AFD9-428E-A806-C399BE65974E}"/>
    <cellStyle name="Percent 3 10" xfId="3169" xr:uid="{F8E28F8D-9288-45E2-92AC-B7800BDC64A3}"/>
    <cellStyle name="Percent 3 2" xfId="73" xr:uid="{9D6ABB0D-095E-44C7-BD02-1EC5DEA68698}"/>
    <cellStyle name="Percent 3 2 2" xfId="2754" xr:uid="{582EA1BE-1BE0-4479-A041-4A94C8C6EC56}"/>
    <cellStyle name="Percent 3 2 3" xfId="1641" xr:uid="{889D523A-78F0-4A88-8064-9A262B9D5595}"/>
    <cellStyle name="Percent 3 3" xfId="1642" xr:uid="{E8EEFAE7-1A8A-42E7-83D4-676F1BC78025}"/>
    <cellStyle name="Percent 3 3 2" xfId="2755" xr:uid="{40E3F2E0-04EB-4857-B15C-19C8A7E5A79E}"/>
    <cellStyle name="Percent 3 4" xfId="1643" xr:uid="{D9FCE264-EC55-4165-9F60-21AB9574B951}"/>
    <cellStyle name="Percent 3 4 2" xfId="2756" xr:uid="{B6CE0106-426D-4466-9C30-17AB1B76617D}"/>
    <cellStyle name="Percent 3 5" xfId="1644" xr:uid="{D28FFE3B-40BF-4711-B2C0-B61A84C01AAA}"/>
    <cellStyle name="Percent 3 5 2" xfId="2757" xr:uid="{7CBDB56B-84ED-4904-917A-46E63FAF4502}"/>
    <cellStyle name="Percent 3 6" xfId="1645" xr:uid="{C82641D9-F886-40A7-B173-64EA63801D98}"/>
    <cellStyle name="Percent 3 6 2" xfId="2758" xr:uid="{6DF14BF1-D5C1-492A-9E64-EE243AFC07F6}"/>
    <cellStyle name="Percent 3 7" xfId="1646" xr:uid="{DBC62A61-AC8D-4CDC-87CF-137EC7E9FF15}"/>
    <cellStyle name="Percent 3 7 2" xfId="2759" xr:uid="{CD9E32CD-EA0F-491C-85CF-3A618A0214F4}"/>
    <cellStyle name="Percent 3 8" xfId="1647" xr:uid="{451E5BE9-E55B-43FB-86DD-EA9D78EB58AE}"/>
    <cellStyle name="Percent 3 8 2" xfId="2760" xr:uid="{03FF78BA-92D5-4950-A1C3-70691DD4D5D5}"/>
    <cellStyle name="Percent 3 9" xfId="2753" xr:uid="{DE2CEA74-FB44-4A83-8BCF-EB81734D42B7}"/>
    <cellStyle name="Percent 3 9 2" xfId="3461" xr:uid="{D07D62C3-F74C-40C7-BFEA-2F26AC3FE22F}"/>
    <cellStyle name="Percent 4" xfId="74" xr:uid="{0A107B27-0956-43D8-A5A2-7A90DBC318BA}"/>
    <cellStyle name="Percent 4 10" xfId="1648" xr:uid="{1EA58649-8FCF-46E1-AC3F-70672AFF600A}"/>
    <cellStyle name="Percent 4 10 2" xfId="2762" xr:uid="{E3DEB2F3-E049-4CB3-84BF-31509CD2740D}"/>
    <cellStyle name="Percent 4 11" xfId="1649" xr:uid="{5768A839-AC4E-4B0D-B656-A55BEBF41634}"/>
    <cellStyle name="Percent 4 11 2" xfId="2763" xr:uid="{A0847E0D-C1CB-445B-A356-90A0DDA588B6}"/>
    <cellStyle name="Percent 4 12" xfId="1650" xr:uid="{72BE6C41-ADD7-4E32-B7D5-E7E01251E82D}"/>
    <cellStyle name="Percent 4 12 2" xfId="2764" xr:uid="{B7DF6243-C168-4ED7-85D0-7619DAA12242}"/>
    <cellStyle name="Percent 4 13" xfId="1651" xr:uid="{58F28476-DA96-4B0B-A489-85A3CCCB7B9E}"/>
    <cellStyle name="Percent 4 13 2" xfId="2765" xr:uid="{E1A1BB6A-5A49-47A4-B5DB-1211E56002CB}"/>
    <cellStyle name="Percent 4 14" xfId="2761" xr:uid="{2F59A9FA-6310-4DAB-8708-C312C54718CF}"/>
    <cellStyle name="Percent 4 2" xfId="75" xr:uid="{C5A778DF-DB4A-4F8C-BA64-803A2F062A27}"/>
    <cellStyle name="Percent 4 2 2" xfId="1652" xr:uid="{CDD62B8E-8C6B-49B8-9041-C209E418B7D4}"/>
    <cellStyle name="Percent 4 2 2 2" xfId="2767" xr:uid="{13C68C0E-0E0C-4910-A609-E62AF64164C4}"/>
    <cellStyle name="Percent 4 2 3" xfId="1653" xr:uid="{C9439F72-4386-416D-AC46-25C628C6A4B3}"/>
    <cellStyle name="Percent 4 2 3 2" xfId="2768" xr:uid="{62CA5909-EB8E-4BC9-87F5-2FC193771682}"/>
    <cellStyle name="Percent 4 2 4" xfId="1654" xr:uid="{C93DB839-A918-41E0-A345-6FA599E9E968}"/>
    <cellStyle name="Percent 4 2 4 2" xfId="2769" xr:uid="{C2FE101E-7A38-4140-9343-180129B2C772}"/>
    <cellStyle name="Percent 4 2 5" xfId="1655" xr:uid="{69367671-B52E-4DAB-A11E-91C0EEA98853}"/>
    <cellStyle name="Percent 4 2 5 2" xfId="2770" xr:uid="{4329C36B-2BDB-4C35-A5AE-2F0B38A5370F}"/>
    <cellStyle name="Percent 4 2 6" xfId="1656" xr:uid="{CD86192B-E801-4186-BBD6-03F785C39B0D}"/>
    <cellStyle name="Percent 4 2 6 2" xfId="2771" xr:uid="{23F5C960-7D9B-4E41-B2E8-EDA6764BADB8}"/>
    <cellStyle name="Percent 4 2 7" xfId="1657" xr:uid="{7E57D689-9FE3-41FE-8758-BFB8A1444B0A}"/>
    <cellStyle name="Percent 4 2 7 2" xfId="2772" xr:uid="{C8F8210E-BFC1-4DC2-B785-01B7540A2C63}"/>
    <cellStyle name="Percent 4 2 8" xfId="1658" xr:uid="{C2F82275-6794-4A4E-99D2-1B53521B5434}"/>
    <cellStyle name="Percent 4 2 8 2" xfId="2773" xr:uid="{C34CB37B-9FDC-498A-B598-6F662E008EEE}"/>
    <cellStyle name="Percent 4 2 9" xfId="2766" xr:uid="{7F18A17B-A08C-4ECB-AEAF-0BDC454159C6}"/>
    <cellStyle name="Percent 4 3" xfId="1659" xr:uid="{AB428E81-ABC5-426F-A4AC-868B11FBEE6D}"/>
    <cellStyle name="Percent 4 3 2" xfId="1660" xr:uid="{810680B3-C365-4188-85E5-C5683E8666B5}"/>
    <cellStyle name="Percent 4 3 2 2" xfId="2775" xr:uid="{A4B9542A-2526-45E0-8765-2E5A92759A8E}"/>
    <cellStyle name="Percent 4 3 3" xfId="1661" xr:uid="{D066D933-812F-4566-87EC-FD06ADBB4C9C}"/>
    <cellStyle name="Percent 4 3 3 2" xfId="2776" xr:uid="{CB455847-E36B-4DC8-A252-AEC9CF9A075E}"/>
    <cellStyle name="Percent 4 3 4" xfId="1662" xr:uid="{ACF5FB2A-96C0-459B-BF16-E45689B53F9C}"/>
    <cellStyle name="Percent 4 3 4 2" xfId="2777" xr:uid="{26466C4E-DDB6-4476-BA35-777A3403D627}"/>
    <cellStyle name="Percent 4 3 5" xfId="1663" xr:uid="{4A7F97DF-2D1F-4F6A-A968-BF081F007B48}"/>
    <cellStyle name="Percent 4 3 5 2" xfId="2778" xr:uid="{0C55E03C-13B2-4A3D-963F-7AC6B5F748EE}"/>
    <cellStyle name="Percent 4 3 6" xfId="1664" xr:uid="{634CB0E3-AB07-4359-9D32-3110DBA548C7}"/>
    <cellStyle name="Percent 4 3 6 2" xfId="2779" xr:uid="{5C2E196E-07AF-48BD-A025-462FB66F464B}"/>
    <cellStyle name="Percent 4 3 7" xfId="1665" xr:uid="{47115FB2-C389-474B-8E9E-51F6697DFBB4}"/>
    <cellStyle name="Percent 4 3 7 2" xfId="2780" xr:uid="{DF141613-F79E-4347-B79D-26E8906A2FA0}"/>
    <cellStyle name="Percent 4 3 8" xfId="1666" xr:uid="{A9572858-7DA9-405B-A175-15296E224729}"/>
    <cellStyle name="Percent 4 3 8 2" xfId="2781" xr:uid="{F81569A4-F65A-4C8B-97CB-7AE48B87789F}"/>
    <cellStyle name="Percent 4 3 9" xfId="2774" xr:uid="{7A9997A0-9EF6-4194-939B-B63441B1B01D}"/>
    <cellStyle name="Percent 4 4" xfId="1667" xr:uid="{60CFCF11-7F47-44C6-896A-2C010E5194F7}"/>
    <cellStyle name="Percent 4 4 2" xfId="1668" xr:uid="{8EC02C98-1792-47E4-8E1C-930CFCADC3DE}"/>
    <cellStyle name="Percent 4 4 2 2" xfId="2783" xr:uid="{2CBF7D3F-67A9-47B8-A633-003311178CA6}"/>
    <cellStyle name="Percent 4 4 3" xfId="1669" xr:uid="{90BF1870-BD58-4151-AB82-2EE45982CAB6}"/>
    <cellStyle name="Percent 4 4 3 2" xfId="2784" xr:uid="{087ED57B-9EBD-4097-83FB-BF6D4337731E}"/>
    <cellStyle name="Percent 4 4 4" xfId="1670" xr:uid="{AB891FE9-DC4A-4257-82AC-467B80D389D3}"/>
    <cellStyle name="Percent 4 4 4 2" xfId="2785" xr:uid="{9037B35F-E878-42A6-88FE-3A6E4159B966}"/>
    <cellStyle name="Percent 4 4 5" xfId="1671" xr:uid="{B1CF8FA6-D0A9-457D-9CFC-BB7AA5EF9405}"/>
    <cellStyle name="Percent 4 4 5 2" xfId="2786" xr:uid="{E5486DE5-96BD-4285-A97F-4FE1C244167B}"/>
    <cellStyle name="Percent 4 4 6" xfId="1672" xr:uid="{8901484C-8E9C-4F27-9553-85D4E63FC3F9}"/>
    <cellStyle name="Percent 4 4 6 2" xfId="2787" xr:uid="{69B780D7-BF5A-4371-A46B-73D26298F818}"/>
    <cellStyle name="Percent 4 4 7" xfId="1673" xr:uid="{231DDC39-A86A-4C4E-8804-AD7DDB061E6A}"/>
    <cellStyle name="Percent 4 4 7 2" xfId="2788" xr:uid="{4CF27A76-B203-47B4-B6FF-45AAF4193752}"/>
    <cellStyle name="Percent 4 4 8" xfId="1674" xr:uid="{D8449484-C572-4B03-B7E2-01C59E6AB0BF}"/>
    <cellStyle name="Percent 4 4 8 2" xfId="2789" xr:uid="{1B54DCF2-F1BA-4587-874E-C1C982913F6F}"/>
    <cellStyle name="Percent 4 4 9" xfId="2782" xr:uid="{D413B160-0942-4081-B189-592EE726067D}"/>
    <cellStyle name="Percent 4 5" xfId="1675" xr:uid="{45F50D2A-2423-40C0-96D0-00FA1B7F91FD}"/>
    <cellStyle name="Percent 4 5 2" xfId="1676" xr:uid="{A390A655-E3EE-4E05-9DF9-E1BF598BFB5E}"/>
    <cellStyle name="Percent 4 5 2 2" xfId="2791" xr:uid="{A4F548BB-A2AD-4C23-A5B8-9042E6A35859}"/>
    <cellStyle name="Percent 4 5 3" xfId="1677" xr:uid="{6E088740-C167-4B42-ADAA-0053AE409A77}"/>
    <cellStyle name="Percent 4 5 3 2" xfId="2792" xr:uid="{5F5ACBC9-24AA-409B-8871-ABE51EB6AEA9}"/>
    <cellStyle name="Percent 4 5 4" xfId="1678" xr:uid="{355F4084-2A80-47C0-B9D6-1FAE11AE3601}"/>
    <cellStyle name="Percent 4 5 4 2" xfId="2793" xr:uid="{D93392A2-16E3-4304-9006-EBEC65AD1A7D}"/>
    <cellStyle name="Percent 4 5 5" xfId="1679" xr:uid="{F52F8183-F087-4EAC-BFA7-DB02B1875A06}"/>
    <cellStyle name="Percent 4 5 5 2" xfId="2794" xr:uid="{5BC91786-6037-4A58-8D51-787250691B42}"/>
    <cellStyle name="Percent 4 5 6" xfId="1680" xr:uid="{7B52F76B-53AB-4548-B462-2B1E402554C4}"/>
    <cellStyle name="Percent 4 5 6 2" xfId="2795" xr:uid="{1375D8AC-430C-482F-AD75-3D7CF0B10D6F}"/>
    <cellStyle name="Percent 4 5 7" xfId="1681" xr:uid="{BFDB096F-4C74-4F2F-AC8B-2E7FC4DFDE0E}"/>
    <cellStyle name="Percent 4 5 7 2" xfId="2796" xr:uid="{6B331C45-691E-4889-A6C1-267A5520D766}"/>
    <cellStyle name="Percent 4 5 8" xfId="1682" xr:uid="{E648B975-1A6C-4EE1-B75D-8A8A0187E289}"/>
    <cellStyle name="Percent 4 5 8 2" xfId="2797" xr:uid="{D2A4F420-843E-4B48-9088-4FBAC9294C01}"/>
    <cellStyle name="Percent 4 5 9" xfId="2790" xr:uid="{9D252569-6B56-4E6D-9582-391FA41B8E1B}"/>
    <cellStyle name="Percent 4 6" xfId="1683" xr:uid="{BC11FD36-97B7-4B17-BBA9-86291CAD1FED}"/>
    <cellStyle name="Percent 4 6 2" xfId="1684" xr:uid="{26BA4968-A38D-486A-9538-3D4E9791B581}"/>
    <cellStyle name="Percent 4 6 2 2" xfId="2799" xr:uid="{826E8868-5642-468A-A692-9AE2644F8EBB}"/>
    <cellStyle name="Percent 4 6 3" xfId="1685" xr:uid="{3CAECD0D-395B-4A9D-8D4F-C49BA64A195D}"/>
    <cellStyle name="Percent 4 6 3 2" xfId="2800" xr:uid="{A14677C0-3571-480B-96FB-B5F97F91AEAA}"/>
    <cellStyle name="Percent 4 6 4" xfId="1686" xr:uid="{FF4728D1-D4B4-4CA2-8B4F-6B55AC78C4E2}"/>
    <cellStyle name="Percent 4 6 4 2" xfId="2801" xr:uid="{7C659EF4-256A-421E-B6A0-AD17ACEAEC95}"/>
    <cellStyle name="Percent 4 6 5" xfId="1687" xr:uid="{4AEBB73D-B059-46A9-9903-68B013A27561}"/>
    <cellStyle name="Percent 4 6 5 2" xfId="2802" xr:uid="{929ABAEA-7925-4486-8192-CA01E584625F}"/>
    <cellStyle name="Percent 4 6 6" xfId="1688" xr:uid="{EFA7EEFC-69AE-47D9-82B0-E88F82550539}"/>
    <cellStyle name="Percent 4 6 6 2" xfId="2803" xr:uid="{2B0EE1E7-3379-475E-A9B0-D5FB15B47A08}"/>
    <cellStyle name="Percent 4 6 7" xfId="1689" xr:uid="{95773C15-55E8-495C-B841-A68829C5D0C5}"/>
    <cellStyle name="Percent 4 6 7 2" xfId="2804" xr:uid="{710DAFD9-D7C0-4232-84F3-15393DCCF8C0}"/>
    <cellStyle name="Percent 4 6 8" xfId="1690" xr:uid="{C408BD79-176D-4B23-96B5-AF7F506C83D8}"/>
    <cellStyle name="Percent 4 6 8 2" xfId="2805" xr:uid="{85C7A47A-62CC-46CC-8BFA-50CA4B61C1FD}"/>
    <cellStyle name="Percent 4 6 9" xfId="2798" xr:uid="{B27CD5BD-DDE4-4F95-A400-3615F64DE13C}"/>
    <cellStyle name="Percent 4 7" xfId="1691" xr:uid="{FDBBE97E-C89F-4602-8D43-4CF8D82C8C50}"/>
    <cellStyle name="Percent 4 7 2" xfId="2806" xr:uid="{B176FC89-90CD-431F-95CB-4F45E4E1B90B}"/>
    <cellStyle name="Percent 4 8" xfId="1692" xr:uid="{9E1B1BCD-03F4-4FEE-BC23-74B3C14C1717}"/>
    <cellStyle name="Percent 4 8 2" xfId="2807" xr:uid="{C146E2E3-E277-401A-8BA6-D4187CBAE559}"/>
    <cellStyle name="Percent 4 9" xfId="1693" xr:uid="{81D3C7BC-7519-42CC-BAA7-4FA4E05C2049}"/>
    <cellStyle name="Percent 4 9 2" xfId="2808" xr:uid="{C49554D8-E32B-4A6C-AC07-E82678212673}"/>
    <cellStyle name="Percent 5" xfId="5" xr:uid="{E5173E30-BF63-41C8-A8F9-1DA5F1733024}"/>
    <cellStyle name="Percent 5 10" xfId="1694" xr:uid="{B033E8AB-8734-4EBA-A5BF-6AD4E88F7530}"/>
    <cellStyle name="Percent 5 2" xfId="1695" xr:uid="{53C3E6C0-74C2-4BE5-BBE5-6C1812FE7C0E}"/>
    <cellStyle name="Percent 5 2 2" xfId="2810" xr:uid="{39C50668-01BC-42C8-8047-7180D505CC27}"/>
    <cellStyle name="Percent 5 3" xfId="1696" xr:uid="{F557E1BA-24B7-40F4-9C15-63C9A5A0273F}"/>
    <cellStyle name="Percent 5 3 2" xfId="2811" xr:uid="{C9FCF7FD-6E1E-42DD-AE89-D3A85BE39C84}"/>
    <cellStyle name="Percent 5 4" xfId="1697" xr:uid="{0CB56954-5E34-4205-BF0A-EC3AD0F1D551}"/>
    <cellStyle name="Percent 5 4 2" xfId="2812" xr:uid="{A354A230-1354-4EF5-98AE-B69C818A1D3A}"/>
    <cellStyle name="Percent 5 5" xfId="1698" xr:uid="{D0B362B7-3113-49C0-A681-89D49403DAAF}"/>
    <cellStyle name="Percent 5 5 2" xfId="2813" xr:uid="{DA6818E1-8C6D-431A-A7C2-C105AAC09B42}"/>
    <cellStyle name="Percent 5 6" xfId="1699" xr:uid="{3E959CB2-24B5-4E68-8A45-20512E8636AC}"/>
    <cellStyle name="Percent 5 6 2" xfId="2814" xr:uid="{794612A5-B12B-4E28-86AC-C00AF86BC53F}"/>
    <cellStyle name="Percent 5 7" xfId="1700" xr:uid="{8875FE02-B3F1-403F-B92F-20063170D9D0}"/>
    <cellStyle name="Percent 5 7 2" xfId="2815" xr:uid="{F5D84A51-D2F4-4D04-8B04-B91923EE901A}"/>
    <cellStyle name="Percent 5 8" xfId="1701" xr:uid="{15DFCB6E-21A2-41AC-A071-E610F8118B66}"/>
    <cellStyle name="Percent 5 8 2" xfId="2816" xr:uid="{0B89C9FC-6AF9-449D-86AB-C873A85D758C}"/>
    <cellStyle name="Percent 5 9" xfId="2809" xr:uid="{9154A283-FC4A-4CAF-A5BB-246613DE8C14}"/>
    <cellStyle name="Percent 6" xfId="1702" xr:uid="{5BEBBDE3-BDAC-4E5C-9511-CC3E9FBDD86E}"/>
    <cellStyle name="Percent 6 2" xfId="1703" xr:uid="{47C404BD-6D61-42DC-A07E-CA91CB85FBF7}"/>
    <cellStyle name="Percent 6 2 2" xfId="2818" xr:uid="{C1F4DF05-B9F5-42B8-B88C-FA86F00D21C5}"/>
    <cellStyle name="Percent 6 3" xfId="1704" xr:uid="{0B3536F4-1587-424C-8E8D-973D89DA1AD5}"/>
    <cellStyle name="Percent 6 3 2" xfId="2819" xr:uid="{DE476508-AA83-4084-8A09-4D3AA64D7CC7}"/>
    <cellStyle name="Percent 6 4" xfId="1705" xr:uid="{E8D693C2-76BA-46CF-B468-D1CC319855C6}"/>
    <cellStyle name="Percent 6 4 2" xfId="2820" xr:uid="{33644C14-AC71-480A-9E93-CA034077C5E1}"/>
    <cellStyle name="Percent 6 5" xfId="1706" xr:uid="{4548F752-55AF-47DF-B605-F63B28CD6D42}"/>
    <cellStyle name="Percent 6 5 2" xfId="2821" xr:uid="{2D125F73-A70B-4C88-A38C-9E2023A10E0E}"/>
    <cellStyle name="Percent 6 6" xfId="1707" xr:uid="{1783F885-BBC0-4988-BCE8-8BF1CC7C3B4A}"/>
    <cellStyle name="Percent 6 6 2" xfId="2822" xr:uid="{49D3FC8A-5082-4FD5-B999-7FB33249BD36}"/>
    <cellStyle name="Percent 6 7" xfId="1708" xr:uid="{657FB4BB-8875-426F-B6C0-B909DBC4BE37}"/>
    <cellStyle name="Percent 6 7 2" xfId="2823" xr:uid="{71A3360B-0C6E-4547-95D7-737DA8CCF65E}"/>
    <cellStyle name="Percent 6 8" xfId="1709" xr:uid="{A0F5BB3F-8CD7-4458-8D76-E4C598B9F476}"/>
    <cellStyle name="Percent 6 8 2" xfId="2824" xr:uid="{07DA45CA-4199-4243-A2B2-BF380C952902}"/>
    <cellStyle name="Percent 6 9" xfId="2817" xr:uid="{AD7A269D-568D-4832-890F-84616C2E24CF}"/>
    <cellStyle name="Percent 7" xfId="1710" xr:uid="{1F8BEA80-72EB-4387-855D-CAFAA675EBF4}"/>
    <cellStyle name="Percent 7 2" xfId="1711" xr:uid="{14B2A209-6823-489C-B3DD-CA998259811A}"/>
    <cellStyle name="Percent 7 2 2" xfId="2826" xr:uid="{3110A03E-A73F-4851-81F9-C86ADDBEB805}"/>
    <cellStyle name="Percent 7 3" xfId="1712" xr:uid="{5E376B88-4E53-4AD0-924F-1294F68D60C5}"/>
    <cellStyle name="Percent 7 3 2" xfId="2827" xr:uid="{CDE84A1A-4644-4B0C-8208-1F2FC216236E}"/>
    <cellStyle name="Percent 7 4" xfId="1713" xr:uid="{EEFFBEEA-73A2-4366-834F-537802E6C163}"/>
    <cellStyle name="Percent 7 4 2" xfId="2828" xr:uid="{E6E3AB69-0548-4BDA-9CAC-9346F1A6A406}"/>
    <cellStyle name="Percent 7 5" xfId="1714" xr:uid="{53F8686C-0220-4ED1-B60A-DD151170A5E8}"/>
    <cellStyle name="Percent 7 5 2" xfId="2829" xr:uid="{B6DD90E1-AD85-46B0-A4C8-92694EE7B51A}"/>
    <cellStyle name="Percent 7 6" xfId="1715" xr:uid="{02D6B662-F161-4D9B-9653-8FED7EC94492}"/>
    <cellStyle name="Percent 7 6 2" xfId="2830" xr:uid="{09FD4864-7901-4803-934E-253269A8895E}"/>
    <cellStyle name="Percent 7 7" xfId="1716" xr:uid="{C727CAF2-5D54-414A-BB6C-40DDB12F9396}"/>
    <cellStyle name="Percent 7 7 2" xfId="2831" xr:uid="{4F3B5F97-7794-457D-A784-3B0B3D1C8DF6}"/>
    <cellStyle name="Percent 7 8" xfId="1717" xr:uid="{84FC4229-FC53-4541-A108-BD83014EA03B}"/>
    <cellStyle name="Percent 7 8 2" xfId="2832" xr:uid="{FA251378-9A46-4F4F-A5DC-9B0B01AD9DA3}"/>
    <cellStyle name="Percent 7 9" xfId="2825" xr:uid="{04F0DDE5-1DDB-418E-BC69-800B10D4EAD4}"/>
    <cellStyle name="Percent 8" xfId="1718" xr:uid="{C5615A9B-F999-4827-9F74-FFB65A8D43DC}"/>
    <cellStyle name="Percent 8 2" xfId="1719" xr:uid="{9A123393-8907-4049-AF85-973120B25E65}"/>
    <cellStyle name="Percent 8 2 2" xfId="2834" xr:uid="{67099415-C951-4F93-B14C-83A4454F2CFF}"/>
    <cellStyle name="Percent 8 3" xfId="1720" xr:uid="{268A75F2-510D-4826-8E60-15CC0BC28FD9}"/>
    <cellStyle name="Percent 8 3 2" xfId="2835" xr:uid="{04686985-9A61-4E16-AB5E-70DD8378D88D}"/>
    <cellStyle name="Percent 8 4" xfId="1721" xr:uid="{D397BA09-1758-4EEC-B219-CE9D318B4134}"/>
    <cellStyle name="Percent 8 4 2" xfId="2836" xr:uid="{A0F40341-691A-48C8-AB2C-E38800794509}"/>
    <cellStyle name="Percent 8 5" xfId="1722" xr:uid="{40354AFD-FD44-40D1-8D62-0253FBC2BA65}"/>
    <cellStyle name="Percent 8 5 2" xfId="2837" xr:uid="{0CE0E8F5-E79B-4266-B90C-A9878E6B6C80}"/>
    <cellStyle name="Percent 8 6" xfId="1723" xr:uid="{68D80F4C-B47C-44F0-A38B-D9584DE18B15}"/>
    <cellStyle name="Percent 8 6 2" xfId="2838" xr:uid="{73A92F4E-88FA-4817-A56B-6C61195E77A8}"/>
    <cellStyle name="Percent 8 7" xfId="1724" xr:uid="{856972B0-28A7-43F5-8383-EC28BF80FD7D}"/>
    <cellStyle name="Percent 8 7 2" xfId="2839" xr:uid="{F3D80C32-6187-4E5C-A720-30B8DE13C9ED}"/>
    <cellStyle name="Percent 8 8" xfId="1725" xr:uid="{93C4E6FD-39CD-4793-8811-7AFC93344AA7}"/>
    <cellStyle name="Percent 8 8 2" xfId="2840" xr:uid="{17760C29-AD72-4824-9164-085346AF8454}"/>
    <cellStyle name="Percent 8 9" xfId="2833" xr:uid="{FC5C96C2-2F14-4C3F-9CCC-DFB9497E0EBC}"/>
    <cellStyle name="Percent 9" xfId="1726" xr:uid="{9C4406E9-26D7-4709-BFF1-333463EBE0A6}"/>
    <cellStyle name="Percent 9 2" xfId="1727" xr:uid="{129ECAD3-E5C1-4A3E-A444-26419B73D61F}"/>
    <cellStyle name="Percent 9 2 2" xfId="2842" xr:uid="{233AA064-E3E1-4F99-B62D-CE32BE58D534}"/>
    <cellStyle name="Percent 9 3" xfId="1728" xr:uid="{C39ED3C6-23D8-428A-94A7-C3912FD3FF02}"/>
    <cellStyle name="Percent 9 3 2" xfId="2843" xr:uid="{3024C645-E0B0-4497-BA9C-A7BF26FB5610}"/>
    <cellStyle name="Percent 9 4" xfId="1729" xr:uid="{D02CC4ED-BC1A-48E4-8CD4-310534E4B224}"/>
    <cellStyle name="Percent 9 4 2" xfId="2844" xr:uid="{9C4C62C8-F581-4EAC-978F-93A768D58D5E}"/>
    <cellStyle name="Percent 9 5" xfId="1730" xr:uid="{E75B8865-83A6-430F-AD7E-6EDB41AF2452}"/>
    <cellStyle name="Percent 9 5 2" xfId="2845" xr:uid="{1D2DF09C-5CFF-4FC7-B264-FFFA1C1562C6}"/>
    <cellStyle name="Percent 9 6" xfId="1731" xr:uid="{64264F28-423F-4474-B263-EC14DABB8B01}"/>
    <cellStyle name="Percent 9 6 2" xfId="2846" xr:uid="{15090AE1-186F-462E-AF46-65025EE1279B}"/>
    <cellStyle name="Percent 9 7" xfId="1732" xr:uid="{399B2F36-673D-4151-9B0D-268F45DCB96F}"/>
    <cellStyle name="Percent 9 7 2" xfId="2847" xr:uid="{E328C3AA-8D15-4BFE-97F1-5BA6BF770CCA}"/>
    <cellStyle name="Percent 9 8" xfId="1733" xr:uid="{40FE59B6-ED6A-45FA-A994-6B2C21F78622}"/>
    <cellStyle name="Percent 9 8 2" xfId="2848" xr:uid="{A70E8E9D-ADE0-4E65-804F-CF6F61F15D16}"/>
    <cellStyle name="Percent 9 9" xfId="2841" xr:uid="{E6428925-DCE7-4216-A048-550CEC9D9226}"/>
    <cellStyle name="Pilkku_Layo9704" xfId="77" xr:uid="{F9764B93-D981-41CD-BE0C-F47F9C24F759}"/>
    <cellStyle name="Pyör. luku_Layo9704" xfId="78" xr:uid="{0E89516B-6F8A-4C0A-BCA2-331C1E6C0001}"/>
    <cellStyle name="Pyör. valuutta_Layo9704" xfId="79" xr:uid="{048DDCEC-C28F-4D18-97F2-3426AEC4958D}"/>
    <cellStyle name="source" xfId="80" xr:uid="{E1149492-176C-4939-8130-B567C9A7A5D1}"/>
    <cellStyle name="Standard_Sce_D_Extraction" xfId="1734" xr:uid="{A5859797-C84B-4E36-AA82-62E26D391E75}"/>
    <cellStyle name="Style 21" xfId="81" xr:uid="{D9A1E559-0509-4896-B513-BA2949429717}"/>
    <cellStyle name="Style 21 2" xfId="82" xr:uid="{354FE7DE-E1DE-46B8-9AB2-6EEA389E7326}"/>
    <cellStyle name="Style 22" xfId="83" xr:uid="{D2A60580-1339-4890-9A30-95BE749BC5CA}"/>
    <cellStyle name="Style 23" xfId="84" xr:uid="{F613DA3E-7572-46D3-9A58-75E033F8CAF8}"/>
    <cellStyle name="Style 24" xfId="85" xr:uid="{F5636D49-924C-4450-B49E-8F6B69912801}"/>
    <cellStyle name="Style 25" xfId="86" xr:uid="{9C3EA2AA-39F4-45AA-89E4-06E7ED62F997}"/>
    <cellStyle name="Style 25 2" xfId="87" xr:uid="{79A66C60-AAFD-4006-81C3-1CA89C8CB025}"/>
    <cellStyle name="Style 26" xfId="88" xr:uid="{1824D111-54C0-46CD-B447-948E252D5149}"/>
    <cellStyle name="Style 29" xfId="1735" xr:uid="{F2639FEB-BCCF-41B4-8431-1AB4269097D3}"/>
    <cellStyle name="Style 29 2" xfId="1736" xr:uid="{A6C167A0-32B3-4C29-AD7F-A82621A62CA0}"/>
    <cellStyle name="Style 29 2 2" xfId="2850" xr:uid="{608D588A-E696-42D7-9677-7F9580C340F8}"/>
    <cellStyle name="Style 29 3" xfId="2849" xr:uid="{D910E521-FC73-42A9-8E86-4DC55FA3DAAC}"/>
    <cellStyle name="Style 35" xfId="1737" xr:uid="{DD2ABAAE-1B9D-42CC-9B29-F19F49B3F1D6}"/>
    <cellStyle name="Style 35 2" xfId="1738" xr:uid="{8DCEDDF7-792D-491D-B136-E939000AB1CD}"/>
    <cellStyle name="Style 36" xfId="1739" xr:uid="{61C06782-0003-4C8C-9870-D50F7BD1037C}"/>
    <cellStyle name="Style 36 2" xfId="1740" xr:uid="{C56D65BD-D291-4439-8E45-56CA4B312472}"/>
    <cellStyle name="tableau | cellule | normal | decimal 1" xfId="89" xr:uid="{DE1DD54A-8A9D-43C4-8288-6850B8D9CF59}"/>
    <cellStyle name="tableau | cellule | normal | pourcentage | decimal 1" xfId="90" xr:uid="{55D95D44-66BD-4D26-B831-4B7DAEB97B04}"/>
    <cellStyle name="tableau | cellule | total | decimal 1" xfId="91" xr:uid="{3B78B885-E51B-4D42-9F97-C37B46F88F03}"/>
    <cellStyle name="tableau | coin superieur gauche" xfId="92" xr:uid="{23258B05-9C8A-48A4-90E7-70C11B246AB0}"/>
    <cellStyle name="tableau | coin superieur gauche 2" xfId="2851" xr:uid="{95D17142-5EFC-401F-837C-BCC8AABEC502}"/>
    <cellStyle name="tableau | entete-colonne | series" xfId="93" xr:uid="{63BCC601-67D1-4F77-A151-6CFB82C90655}"/>
    <cellStyle name="tableau | entete-colonne | series 2" xfId="2852" xr:uid="{6A7B750E-A391-40A5-9806-64972D924836}"/>
    <cellStyle name="tableau | entete-ligne | normal" xfId="94" xr:uid="{4D2DA362-CE60-4913-BDE8-495CCDD27290}"/>
    <cellStyle name="tableau | entete-ligne | normal 2" xfId="2853" xr:uid="{A6691BE7-D5F9-4343-862B-94CEC1CCD601}"/>
    <cellStyle name="tableau | entete-ligne | total" xfId="95" xr:uid="{8115FBB5-99D3-4C87-978A-2ECFEA678D36}"/>
    <cellStyle name="tableau | ligne-titre | niveau1" xfId="96" xr:uid="{1B550C4A-7CAF-4F01-89A9-BB7A6C800F31}"/>
    <cellStyle name="tableau | ligne-titre | niveau1 2" xfId="2854" xr:uid="{4D631A18-395C-4897-9D9A-BCEC19586B54}"/>
    <cellStyle name="tableau | ligne-titre | niveau2" xfId="97" xr:uid="{72F80736-8DC0-407C-972B-A1BC6A23C4CF}"/>
    <cellStyle name="tableau | ligne-titre | niveau2 2" xfId="2855" xr:uid="{C7F1C19F-2F28-4FAB-A533-77B5C9967A4C}"/>
    <cellStyle name="Title 2" xfId="98" xr:uid="{BCEDE03B-A162-46F9-867E-F866DA7B0423}"/>
    <cellStyle name="Title 2 10" xfId="1741" xr:uid="{78AC6D0D-80A9-4CEB-A4C6-297F1D7B4E34}"/>
    <cellStyle name="Title 2 2" xfId="1742" xr:uid="{1DA31EB3-18ED-4A2C-99A2-D60431927B59}"/>
    <cellStyle name="Title 2 3" xfId="1743" xr:uid="{AC7EA53B-E090-4A10-BD9A-218BEE781A0F}"/>
    <cellStyle name="Title 2 4" xfId="1744" xr:uid="{28816652-E894-4C75-9E00-0B26DE1EEC17}"/>
    <cellStyle name="Title 2 5" xfId="1745" xr:uid="{77933F00-5D1F-4646-979E-6F44AC397E6F}"/>
    <cellStyle name="Title 2 6" xfId="1746" xr:uid="{76EA19F8-F4F7-4692-ABFE-38D0C3A43C45}"/>
    <cellStyle name="Title 2 7" xfId="1747" xr:uid="{6C035184-69BE-45A6-BBA1-4A228C04DC1E}"/>
    <cellStyle name="Title 2 8" xfId="1748" xr:uid="{08C08439-0E44-439C-BD1B-4456ED0149AE}"/>
    <cellStyle name="Title 2 9" xfId="1749" xr:uid="{3645D2F0-8F05-4F48-9098-FEEFB83501E4}"/>
    <cellStyle name="Title 3" xfId="1750" xr:uid="{5AE7D1F7-A281-4572-B7CF-91A24328CE5A}"/>
    <cellStyle name="Title 3 2" xfId="1751" xr:uid="{86327CD0-0D64-48A0-BBAB-A29B4B717DFE}"/>
    <cellStyle name="Total 2" xfId="99" xr:uid="{725D0B84-25B9-4E44-AF2E-F372D3C4A942}"/>
    <cellStyle name="Total 2 10" xfId="1752" xr:uid="{3B26AB72-D4C3-490F-AACD-B4B1A4B17E62}"/>
    <cellStyle name="Total 2 2" xfId="1753" xr:uid="{A50C09AB-90B3-4C04-9C74-360B40B3BAA4}"/>
    <cellStyle name="Total 2 3" xfId="1754" xr:uid="{3673E0D2-C07B-4642-96EF-A21E620FEE67}"/>
    <cellStyle name="Total 2 4" xfId="1755" xr:uid="{1E1F0542-4FDC-4B77-A903-E77D3BD29440}"/>
    <cellStyle name="Total 2 5" xfId="1756" xr:uid="{9F59551B-2533-422D-AE98-9949F744A351}"/>
    <cellStyle name="Total 2 6" xfId="1757" xr:uid="{2CAA8DF2-0E0D-4B2D-9182-1F42CFCB182A}"/>
    <cellStyle name="Total 2 7" xfId="1758" xr:uid="{67702E69-3F40-4704-9911-205A96DE504C}"/>
    <cellStyle name="Total 2 8" xfId="1759" xr:uid="{D3EAA8C9-1E59-4E74-B35A-A1C7DCF24A15}"/>
    <cellStyle name="Total 2 9" xfId="1760" xr:uid="{487180E6-8DC7-4842-80DF-44F437A4EF43}"/>
    <cellStyle name="Total 3" xfId="1761" xr:uid="{141C4234-1077-4D4B-B4A9-0F2D02DD67E1}"/>
    <cellStyle name="Total 3 2" xfId="1762" xr:uid="{BC2058CE-60DD-482C-A1C3-DE4C99628069}"/>
    <cellStyle name="Valuutta_Layo9704" xfId="100" xr:uid="{48180B02-ED3F-4052-8768-B4A3F9DF2E38}"/>
    <cellStyle name="Warning Text 2" xfId="101" xr:uid="{A5B79363-A646-4143-8D37-9E3CF46B691B}"/>
    <cellStyle name="Warning Text 2 10" xfId="1763" xr:uid="{CC2F48F7-6250-4899-B156-A4A77B8C739D}"/>
    <cellStyle name="Warning Text 2 2" xfId="1764" xr:uid="{219A5B14-50A3-4585-A206-DD123EDACA19}"/>
    <cellStyle name="Warning Text 2 3" xfId="1765" xr:uid="{5818BC92-2A29-4587-8F0B-A306F6330AAC}"/>
    <cellStyle name="Warning Text 2 4" xfId="1766" xr:uid="{C0992536-8673-4DBA-A7D6-9493ABAA7B17}"/>
    <cellStyle name="Warning Text 2 5" xfId="1767" xr:uid="{4CD85D7D-485D-4B86-B15C-3C71E0285FA8}"/>
    <cellStyle name="Warning Text 2 6" xfId="1768" xr:uid="{E3DFA420-14E2-458C-9A85-D9187D7169DF}"/>
    <cellStyle name="Warning Text 2 7" xfId="1769" xr:uid="{9F2C8721-2C9E-4816-8D58-416167E169CF}"/>
    <cellStyle name="Warning Text 2 8" xfId="1770" xr:uid="{8845AE91-3D57-45FD-AEE1-E7304CBA3CF3}"/>
    <cellStyle name="Warning Text 2 9" xfId="1771" xr:uid="{71DB166F-665B-4264-A30E-315236658505}"/>
    <cellStyle name="Warning Text 3" xfId="1772" xr:uid="{91515D39-3869-4086-AD20-FFD6AD62C200}"/>
    <cellStyle name="Обычный_CRF2002 (1)" xfId="1773" xr:uid="{B6C47F2D-52D5-4BE8-971F-4852004BC4AE}"/>
    <cellStyle name="已访问的超链接" xfId="102" xr:uid="{9C264142-F743-4D75-AE2C-542D786E3F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FAF6-8E5B-4254-A8E3-7FC2A4A0271D}">
  <dimension ref="A1:AB89"/>
  <sheetViews>
    <sheetView tabSelected="1" topLeftCell="E4" zoomScale="85" zoomScaleNormal="85" workbookViewId="0">
      <selection activeCell="I18" sqref="I18"/>
    </sheetView>
  </sheetViews>
  <sheetFormatPr defaultRowHeight="14.4"/>
  <cols>
    <col min="1" max="1" width="13.88671875" bestFit="1" customWidth="1"/>
    <col min="2" max="2" width="25.77734375" bestFit="1" customWidth="1"/>
    <col min="6" max="6" width="12.109375" bestFit="1" customWidth="1"/>
    <col min="7" max="7" width="17.6640625" bestFit="1" customWidth="1"/>
    <col min="8" max="8" width="45.5546875" bestFit="1" customWidth="1"/>
    <col min="9" max="9" width="12.88671875" bestFit="1" customWidth="1"/>
    <col min="10" max="10" width="10.6640625" customWidth="1"/>
    <col min="12" max="12" width="11" bestFit="1" customWidth="1"/>
    <col min="17" max="17" width="41.77734375" bestFit="1" customWidth="1"/>
    <col min="18" max="18" width="9.44140625" customWidth="1"/>
    <col min="19" max="19" width="12.88671875" customWidth="1"/>
  </cols>
  <sheetData>
    <row r="1" spans="1:28">
      <c r="A1" s="85" t="s">
        <v>111</v>
      </c>
      <c r="B1" s="85">
        <v>1.37</v>
      </c>
    </row>
    <row r="2" spans="1:28">
      <c r="A2" s="85" t="s">
        <v>112</v>
      </c>
      <c r="B2" s="85" t="s">
        <v>113</v>
      </c>
    </row>
    <row r="7" spans="1:28">
      <c r="F7" s="1" t="s">
        <v>0</v>
      </c>
      <c r="G7" s="2"/>
      <c r="H7" s="2"/>
      <c r="I7" s="2"/>
      <c r="J7" s="2"/>
      <c r="K7" s="2"/>
      <c r="L7" s="2"/>
      <c r="M7" s="2"/>
      <c r="S7" s="66" t="s">
        <v>114</v>
      </c>
    </row>
    <row r="8" spans="1:28" ht="26.4">
      <c r="F8" s="3" t="s">
        <v>1</v>
      </c>
      <c r="G8" s="4" t="s">
        <v>2</v>
      </c>
      <c r="H8" s="4" t="s">
        <v>3</v>
      </c>
      <c r="I8" s="4" t="s">
        <v>4</v>
      </c>
      <c r="J8" s="4" t="s">
        <v>5</v>
      </c>
      <c r="K8" s="4" t="s">
        <v>6</v>
      </c>
      <c r="L8" s="4" t="s">
        <v>7</v>
      </c>
      <c r="M8" s="5" t="s">
        <v>8</v>
      </c>
      <c r="P8" s="56" t="s">
        <v>2</v>
      </c>
      <c r="Q8" s="56" t="s">
        <v>3</v>
      </c>
      <c r="R8" s="56" t="s">
        <v>29</v>
      </c>
      <c r="S8" s="56" t="s">
        <v>30</v>
      </c>
      <c r="T8" s="57" t="s">
        <v>91</v>
      </c>
      <c r="U8" s="58" t="s">
        <v>69</v>
      </c>
    </row>
    <row r="9" spans="1:28" ht="15" thickBot="1">
      <c r="F9" s="34"/>
      <c r="G9" s="34" t="s">
        <v>10</v>
      </c>
      <c r="H9" s="34" t="s">
        <v>11</v>
      </c>
      <c r="I9" s="22" t="s">
        <v>12</v>
      </c>
      <c r="J9" s="22" t="s">
        <v>13</v>
      </c>
      <c r="K9" s="22" t="s">
        <v>13</v>
      </c>
      <c r="L9" s="22" t="s">
        <v>14</v>
      </c>
      <c r="M9" s="22" t="s">
        <v>15</v>
      </c>
      <c r="P9" s="59" t="s">
        <v>36</v>
      </c>
      <c r="Q9" s="60"/>
      <c r="R9" s="60"/>
      <c r="S9" s="61"/>
      <c r="T9" s="61" t="s">
        <v>117</v>
      </c>
      <c r="U9" s="61"/>
    </row>
    <row r="10" spans="1:28">
      <c r="F10" s="34" t="s">
        <v>36</v>
      </c>
      <c r="G10" s="34" t="s">
        <v>16</v>
      </c>
      <c r="H10" s="34" t="s">
        <v>17</v>
      </c>
      <c r="I10" s="22" t="s">
        <v>12</v>
      </c>
      <c r="J10" s="22"/>
      <c r="K10" s="22"/>
      <c r="L10" s="22" t="s">
        <v>18</v>
      </c>
      <c r="M10" s="22" t="s">
        <v>19</v>
      </c>
      <c r="P10" s="63" t="s">
        <v>92</v>
      </c>
      <c r="Q10" s="44" t="s">
        <v>93</v>
      </c>
      <c r="R10" s="64" t="s">
        <v>94</v>
      </c>
      <c r="S10" s="62" t="s">
        <v>84</v>
      </c>
      <c r="T10" s="65">
        <v>1.6440000000000001</v>
      </c>
      <c r="U10" s="65">
        <v>1</v>
      </c>
    </row>
    <row r="11" spans="1:28">
      <c r="F11" s="34" t="s">
        <v>36</v>
      </c>
      <c r="G11" s="34" t="s">
        <v>20</v>
      </c>
      <c r="H11" s="34" t="s">
        <v>21</v>
      </c>
      <c r="I11" s="22" t="s">
        <v>12</v>
      </c>
      <c r="J11" s="22"/>
      <c r="K11" s="22"/>
      <c r="L11" s="22" t="s">
        <v>22</v>
      </c>
      <c r="M11" s="22" t="s">
        <v>19</v>
      </c>
    </row>
    <row r="12" spans="1:28">
      <c r="F12" s="34" t="s">
        <v>36</v>
      </c>
      <c r="G12" s="34" t="s">
        <v>23</v>
      </c>
      <c r="H12" s="34" t="s">
        <v>24</v>
      </c>
      <c r="I12" s="22" t="s">
        <v>12</v>
      </c>
      <c r="J12" s="22"/>
      <c r="K12" s="22"/>
      <c r="L12" s="22" t="s">
        <v>22</v>
      </c>
      <c r="M12" s="22" t="s">
        <v>19</v>
      </c>
      <c r="Z12" s="6"/>
      <c r="AB12" s="6"/>
    </row>
    <row r="13" spans="1:28">
      <c r="F13" s="34" t="s">
        <v>9</v>
      </c>
      <c r="G13" s="34" t="s">
        <v>123</v>
      </c>
      <c r="H13" s="34" t="s">
        <v>25</v>
      </c>
      <c r="I13" s="22" t="s">
        <v>12</v>
      </c>
      <c r="J13" s="22"/>
      <c r="K13" s="22"/>
      <c r="L13" s="22" t="s">
        <v>26</v>
      </c>
      <c r="M13" s="22"/>
    </row>
    <row r="14" spans="1:28">
      <c r="F14" s="34" t="s">
        <v>36</v>
      </c>
      <c r="G14" s="34" t="s">
        <v>27</v>
      </c>
      <c r="H14" s="34" t="s">
        <v>28</v>
      </c>
      <c r="I14" s="22" t="s">
        <v>12</v>
      </c>
      <c r="J14" s="22"/>
      <c r="K14" s="22"/>
      <c r="L14" s="22"/>
      <c r="M14" s="22"/>
    </row>
    <row r="15" spans="1:28">
      <c r="F15" s="34" t="s">
        <v>9</v>
      </c>
      <c r="G15" s="34" t="s">
        <v>92</v>
      </c>
      <c r="H15" s="34" t="s">
        <v>93</v>
      </c>
      <c r="I15" s="22" t="s">
        <v>121</v>
      </c>
      <c r="J15" s="22"/>
      <c r="K15" s="22"/>
      <c r="L15" s="22"/>
      <c r="M15" s="22"/>
    </row>
    <row r="17" spans="6:28">
      <c r="I17" s="1" t="s">
        <v>114</v>
      </c>
      <c r="J17" s="7"/>
      <c r="K17" s="7"/>
    </row>
    <row r="18" spans="6:28">
      <c r="F18" s="8" t="s">
        <v>2</v>
      </c>
      <c r="G18" s="8" t="s">
        <v>3</v>
      </c>
      <c r="H18" s="8" t="s">
        <v>29</v>
      </c>
      <c r="I18" s="8" t="s">
        <v>30</v>
      </c>
      <c r="J18" s="8" t="s">
        <v>31</v>
      </c>
      <c r="K18" s="8" t="s">
        <v>32</v>
      </c>
      <c r="L18" s="8" t="s">
        <v>33</v>
      </c>
      <c r="M18" s="8" t="s">
        <v>34</v>
      </c>
      <c r="N18" s="8" t="s">
        <v>35</v>
      </c>
    </row>
    <row r="19" spans="6:28" ht="15" thickBot="1">
      <c r="F19" s="9" t="s">
        <v>36</v>
      </c>
      <c r="G19" s="10"/>
      <c r="H19" s="10"/>
      <c r="I19" s="11"/>
      <c r="J19" s="11"/>
      <c r="K19" s="11"/>
      <c r="L19" s="11" t="s">
        <v>116</v>
      </c>
      <c r="M19" s="11" t="s">
        <v>116</v>
      </c>
      <c r="N19" s="11"/>
    </row>
    <row r="20" spans="6:28">
      <c r="F20" s="44" t="s">
        <v>10</v>
      </c>
      <c r="G20" s="44" t="s">
        <v>11</v>
      </c>
      <c r="H20" s="20" t="s">
        <v>87</v>
      </c>
      <c r="I20" s="20"/>
      <c r="J20" s="22">
        <v>2.5</v>
      </c>
      <c r="K20" s="22"/>
      <c r="L20" s="22"/>
      <c r="M20" s="22"/>
      <c r="N20" s="22"/>
    </row>
    <row r="21" spans="6:28">
      <c r="F21" s="44"/>
      <c r="G21" s="44"/>
      <c r="H21" s="20" t="s">
        <v>37</v>
      </c>
      <c r="I21" s="20"/>
      <c r="J21" s="22">
        <v>1.1000000000000001E-3</v>
      </c>
      <c r="K21" s="22"/>
      <c r="L21" s="22"/>
      <c r="M21" s="22"/>
      <c r="N21" s="22"/>
    </row>
    <row r="22" spans="6:28">
      <c r="F22" s="44"/>
      <c r="G22" s="44"/>
      <c r="H22" s="20" t="s">
        <v>89</v>
      </c>
      <c r="I22" s="20"/>
      <c r="J22" s="22">
        <f>0.579*0.00252</f>
        <v>1.45908E-3</v>
      </c>
      <c r="K22" s="22"/>
      <c r="L22" s="22"/>
      <c r="M22" s="22"/>
      <c r="N22" s="22"/>
    </row>
    <row r="23" spans="6:28">
      <c r="F23" s="44"/>
      <c r="G23" s="44"/>
      <c r="H23" s="20"/>
      <c r="I23" s="20" t="s">
        <v>14</v>
      </c>
      <c r="J23" s="22"/>
      <c r="K23" s="22">
        <v>1</v>
      </c>
      <c r="L23" s="22">
        <v>3.9803308700000005E-2</v>
      </c>
      <c r="M23" s="22">
        <v>2.4112000000000001E-3</v>
      </c>
      <c r="N23" s="22">
        <v>50</v>
      </c>
    </row>
    <row r="24" spans="6:28">
      <c r="F24" s="44" t="s">
        <v>36</v>
      </c>
      <c r="G24" s="44"/>
      <c r="H24" s="20"/>
      <c r="I24" s="20" t="s">
        <v>39</v>
      </c>
      <c r="J24" s="22"/>
      <c r="K24" s="22">
        <v>1.5</v>
      </c>
      <c r="L24" s="22"/>
      <c r="M24" s="22"/>
      <c r="N24" s="22"/>
    </row>
    <row r="25" spans="6:28">
      <c r="F25" s="44" t="s">
        <v>36</v>
      </c>
      <c r="G25" s="44"/>
      <c r="H25" s="20"/>
      <c r="I25" s="20" t="s">
        <v>40</v>
      </c>
      <c r="J25" s="22"/>
      <c r="K25" s="22">
        <v>0.1158</v>
      </c>
      <c r="L25" s="22"/>
      <c r="M25" s="22"/>
      <c r="N25" s="22"/>
    </row>
    <row r="28" spans="6:28">
      <c r="J28" s="1" t="s">
        <v>120</v>
      </c>
      <c r="K28" s="7"/>
      <c r="L28" s="7"/>
    </row>
    <row r="29" spans="6:28" ht="39.6">
      <c r="G29" s="8" t="s">
        <v>2</v>
      </c>
      <c r="H29" s="8" t="s">
        <v>3</v>
      </c>
      <c r="I29" s="8" t="s">
        <v>29</v>
      </c>
      <c r="J29" s="8" t="s">
        <v>30</v>
      </c>
      <c r="K29" s="8" t="s">
        <v>31</v>
      </c>
      <c r="L29" s="8" t="s">
        <v>32</v>
      </c>
      <c r="M29" s="12" t="s">
        <v>41</v>
      </c>
      <c r="N29" s="13" t="s">
        <v>42</v>
      </c>
      <c r="O29" s="14" t="s">
        <v>43</v>
      </c>
      <c r="P29" s="14" t="s">
        <v>44</v>
      </c>
      <c r="Q29" s="14" t="s">
        <v>45</v>
      </c>
      <c r="R29" s="14" t="s">
        <v>46</v>
      </c>
      <c r="S29" s="14" t="s">
        <v>47</v>
      </c>
      <c r="T29" s="12" t="s">
        <v>33</v>
      </c>
      <c r="U29" s="12" t="s">
        <v>34</v>
      </c>
      <c r="V29" s="12" t="s">
        <v>35</v>
      </c>
      <c r="W29" s="12" t="s">
        <v>48</v>
      </c>
      <c r="X29" s="12" t="s">
        <v>49</v>
      </c>
      <c r="Y29" s="12" t="s">
        <v>50</v>
      </c>
      <c r="Z29" s="12" t="s">
        <v>51</v>
      </c>
    </row>
    <row r="30" spans="6:28" ht="15" thickBot="1">
      <c r="G30" s="9" t="s">
        <v>36</v>
      </c>
      <c r="H30" s="10"/>
      <c r="I30" s="10"/>
      <c r="J30" s="11"/>
      <c r="K30" s="11"/>
      <c r="L30" s="11"/>
      <c r="M30" s="11"/>
      <c r="N30" s="11"/>
      <c r="O30" s="15" t="s">
        <v>116</v>
      </c>
      <c r="P30" s="15"/>
      <c r="Q30" s="15"/>
      <c r="R30" s="15"/>
      <c r="S30" s="15"/>
      <c r="T30" s="16" t="s">
        <v>116</v>
      </c>
      <c r="U30" s="16" t="s">
        <v>116</v>
      </c>
      <c r="V30" s="16"/>
      <c r="W30" s="16" t="s">
        <v>52</v>
      </c>
      <c r="X30" s="16" t="s">
        <v>52</v>
      </c>
      <c r="Y30" s="16" t="s">
        <v>52</v>
      </c>
      <c r="Z30" s="16" t="s">
        <v>52</v>
      </c>
    </row>
    <row r="31" spans="6:28">
      <c r="G31" s="17" t="str">
        <f>G10</f>
        <v>BRF1_TRANSESTER</v>
      </c>
      <c r="H31" s="18" t="s">
        <v>53</v>
      </c>
      <c r="I31" s="19" t="s">
        <v>14</v>
      </c>
      <c r="J31" s="20"/>
      <c r="K31" s="21">
        <v>1.0298666666666667</v>
      </c>
      <c r="L31" s="22"/>
      <c r="M31" s="23"/>
      <c r="N31" s="23"/>
      <c r="O31" s="24"/>
      <c r="P31" s="24"/>
      <c r="Q31" s="23"/>
      <c r="R31" s="23"/>
      <c r="S31" s="24"/>
      <c r="T31" s="24"/>
      <c r="U31" s="24"/>
      <c r="V31" s="23"/>
      <c r="X31" s="23"/>
      <c r="Y31" s="23"/>
      <c r="Z31" s="23"/>
      <c r="AB31" s="23"/>
    </row>
    <row r="32" spans="6:28">
      <c r="G32" s="17"/>
      <c r="H32" s="25"/>
      <c r="I32" s="19" t="s">
        <v>37</v>
      </c>
      <c r="J32" s="20"/>
      <c r="K32" s="26">
        <f>0.000079*3.6</f>
        <v>2.8439999999999997E-4</v>
      </c>
      <c r="L32" s="22"/>
      <c r="M32" s="23"/>
      <c r="N32" s="23"/>
      <c r="O32" s="23"/>
      <c r="P32" s="23"/>
      <c r="Q32" s="23"/>
      <c r="R32" s="23"/>
      <c r="S32" s="23"/>
      <c r="T32" s="23"/>
      <c r="U32" s="23"/>
      <c r="V32" s="23"/>
      <c r="X32" s="23"/>
      <c r="Y32" s="23"/>
      <c r="Z32" s="23"/>
      <c r="AB32" s="23"/>
    </row>
    <row r="33" spans="6:28">
      <c r="G33" s="17"/>
      <c r="H33" s="25"/>
      <c r="I33" s="19" t="s">
        <v>89</v>
      </c>
      <c r="J33" s="20"/>
      <c r="K33" s="27">
        <f>0.64*0.00252</f>
        <v>1.6128000000000002E-3</v>
      </c>
      <c r="L33" s="22"/>
      <c r="M33" s="23"/>
      <c r="N33" s="23"/>
      <c r="O33" s="23"/>
      <c r="P33" s="23"/>
      <c r="Q33" s="23"/>
      <c r="R33" s="23"/>
      <c r="S33" s="23"/>
      <c r="T33" s="23"/>
      <c r="U33" s="23"/>
      <c r="V33" s="23"/>
      <c r="X33" s="23"/>
      <c r="Y33" s="23"/>
      <c r="Z33" s="23"/>
      <c r="AB33" s="23"/>
    </row>
    <row r="34" spans="6:28">
      <c r="G34" s="34" t="s">
        <v>36</v>
      </c>
      <c r="H34" s="25"/>
      <c r="I34" s="28" t="s">
        <v>54</v>
      </c>
      <c r="J34" s="19"/>
      <c r="K34" s="29">
        <v>36</v>
      </c>
      <c r="L34" s="29"/>
      <c r="M34" s="30"/>
      <c r="N34" s="30"/>
      <c r="O34" s="23"/>
      <c r="P34" s="23"/>
      <c r="Q34" s="23"/>
      <c r="R34" s="23"/>
      <c r="S34" s="23"/>
      <c r="T34" s="23"/>
      <c r="U34" s="23"/>
      <c r="V34" s="23"/>
      <c r="X34" s="23"/>
      <c r="Y34" s="23"/>
      <c r="Z34" s="23"/>
      <c r="AB34" s="23"/>
    </row>
    <row r="35" spans="6:28">
      <c r="G35" s="34" t="s">
        <v>36</v>
      </c>
      <c r="H35" s="25"/>
      <c r="I35" s="28" t="s">
        <v>55</v>
      </c>
      <c r="J35" s="19"/>
      <c r="K35" s="29">
        <v>0.11899999999999999</v>
      </c>
      <c r="L35" s="29"/>
      <c r="M35" s="30"/>
      <c r="N35" s="30"/>
      <c r="O35" s="23"/>
      <c r="P35" s="23"/>
      <c r="Q35" s="23"/>
      <c r="R35" s="23"/>
      <c r="S35" s="23"/>
      <c r="T35" s="23"/>
      <c r="U35" s="23"/>
      <c r="V35" s="23"/>
      <c r="X35" s="23"/>
      <c r="Y35" s="23"/>
      <c r="Z35" s="23"/>
      <c r="AB35" s="23"/>
    </row>
    <row r="36" spans="6:28">
      <c r="G36" s="17"/>
      <c r="H36" s="25"/>
      <c r="I36" s="28"/>
      <c r="J36" s="19" t="s">
        <v>18</v>
      </c>
      <c r="K36" s="29"/>
      <c r="L36" s="29"/>
      <c r="M36" s="21"/>
      <c r="N36" s="21">
        <v>5.6660000000000002E-2</v>
      </c>
      <c r="O36" s="31">
        <v>7.6080666666666671E-2</v>
      </c>
      <c r="P36" s="31">
        <v>7.2198999999999999E-2</v>
      </c>
      <c r="Q36" s="31">
        <v>6.9093666666666664E-2</v>
      </c>
      <c r="R36" s="31">
        <v>6.6764666666666667E-2</v>
      </c>
      <c r="S36" s="31">
        <v>6.5988333333333329E-2</v>
      </c>
      <c r="T36" s="32">
        <v>2.2986727666666668E-2</v>
      </c>
      <c r="U36" s="32">
        <v>4.0186666666666669E-3</v>
      </c>
      <c r="V36" s="23">
        <v>20</v>
      </c>
      <c r="X36" s="23"/>
      <c r="Y36" s="30"/>
      <c r="Z36" s="30"/>
      <c r="AB36" s="30">
        <v>1058.27</v>
      </c>
    </row>
    <row r="37" spans="6:28">
      <c r="G37" s="34" t="s">
        <v>36</v>
      </c>
      <c r="H37" s="25"/>
      <c r="I37" s="28"/>
      <c r="J37" s="19" t="s">
        <v>56</v>
      </c>
      <c r="K37" s="29"/>
      <c r="L37" s="33">
        <v>0.115</v>
      </c>
      <c r="M37" s="30"/>
      <c r="N37" s="30"/>
      <c r="O37" s="23"/>
      <c r="P37" s="23"/>
      <c r="Q37" s="23"/>
      <c r="R37" s="23"/>
      <c r="S37" s="23"/>
      <c r="T37" s="23"/>
      <c r="U37" s="23"/>
      <c r="V37" s="23"/>
      <c r="X37" s="23"/>
      <c r="Y37" s="29"/>
      <c r="Z37" s="23"/>
      <c r="AB37" s="23"/>
    </row>
    <row r="38" spans="6:28">
      <c r="G38" s="34" t="s">
        <v>36</v>
      </c>
      <c r="H38" s="25"/>
      <c r="I38" s="28"/>
      <c r="J38" s="19" t="s">
        <v>57</v>
      </c>
      <c r="K38" s="29"/>
      <c r="L38" s="33">
        <v>4.7000000000000002E-3</v>
      </c>
      <c r="M38" s="21"/>
      <c r="N38" s="21"/>
      <c r="O38" s="23"/>
      <c r="P38" s="23"/>
      <c r="Q38" s="23"/>
      <c r="R38" s="23"/>
      <c r="S38" s="23"/>
      <c r="T38" s="23"/>
      <c r="U38" s="23"/>
      <c r="V38" s="23"/>
      <c r="X38" s="23"/>
      <c r="Y38" s="23"/>
      <c r="Z38" s="23"/>
      <c r="AB38" s="23"/>
    </row>
    <row r="39" spans="6:28">
      <c r="F39" s="6"/>
      <c r="G39" s="34" t="s">
        <v>36</v>
      </c>
      <c r="H39" s="25"/>
      <c r="I39" s="28"/>
      <c r="J39" s="19" t="s">
        <v>40</v>
      </c>
      <c r="K39" s="29"/>
      <c r="L39" s="33">
        <v>0.128</v>
      </c>
      <c r="M39" s="21"/>
      <c r="N39" s="21"/>
      <c r="O39" s="23"/>
      <c r="P39" s="23"/>
      <c r="Q39" s="23"/>
      <c r="R39" s="23"/>
      <c r="S39" s="23"/>
      <c r="T39" s="23"/>
      <c r="U39" s="23"/>
      <c r="V39" s="23"/>
      <c r="X39" s="23"/>
      <c r="Y39" s="23"/>
      <c r="Z39" s="23"/>
      <c r="AB39" s="23"/>
    </row>
    <row r="42" spans="6:28">
      <c r="J42" s="1" t="s">
        <v>119</v>
      </c>
      <c r="K42" s="7"/>
      <c r="L42" s="7"/>
    </row>
    <row r="43" spans="6:28" ht="39.6">
      <c r="G43" s="8" t="s">
        <v>2</v>
      </c>
      <c r="H43" s="8" t="s">
        <v>3</v>
      </c>
      <c r="I43" s="8" t="s">
        <v>29</v>
      </c>
      <c r="J43" s="8" t="s">
        <v>30</v>
      </c>
      <c r="K43" s="8" t="s">
        <v>31</v>
      </c>
      <c r="L43" s="8" t="s">
        <v>32</v>
      </c>
      <c r="M43" s="12" t="s">
        <v>58</v>
      </c>
      <c r="N43" s="13" t="s">
        <v>59</v>
      </c>
      <c r="O43" s="14" t="s">
        <v>43</v>
      </c>
      <c r="P43" s="14" t="s">
        <v>44</v>
      </c>
      <c r="Q43" s="14" t="s">
        <v>45</v>
      </c>
      <c r="R43" s="14" t="s">
        <v>46</v>
      </c>
      <c r="S43" s="14" t="s">
        <v>47</v>
      </c>
      <c r="T43" s="12" t="s">
        <v>33</v>
      </c>
      <c r="U43" s="12" t="s">
        <v>34</v>
      </c>
      <c r="V43" s="12" t="s">
        <v>35</v>
      </c>
      <c r="W43" s="12" t="s">
        <v>48</v>
      </c>
      <c r="X43" s="12" t="s">
        <v>50</v>
      </c>
      <c r="Y43" s="12" t="s">
        <v>51</v>
      </c>
    </row>
    <row r="44" spans="6:28" ht="15" thickBot="1">
      <c r="G44" s="9" t="s">
        <v>36</v>
      </c>
      <c r="H44" s="10"/>
      <c r="I44" s="10"/>
      <c r="J44" s="11"/>
      <c r="K44" s="11"/>
      <c r="L44" s="11"/>
      <c r="M44" s="11"/>
      <c r="N44" s="11"/>
      <c r="O44" s="15" t="s">
        <v>116</v>
      </c>
      <c r="P44" s="15"/>
      <c r="Q44" s="15"/>
      <c r="R44" s="15"/>
      <c r="S44" s="15"/>
      <c r="T44" s="16" t="s">
        <v>116</v>
      </c>
      <c r="U44" s="16" t="s">
        <v>116</v>
      </c>
      <c r="V44" s="16"/>
      <c r="W44" s="16" t="s">
        <v>52</v>
      </c>
      <c r="X44" s="16" t="s">
        <v>52</v>
      </c>
      <c r="Y44" s="16" t="s">
        <v>52</v>
      </c>
    </row>
    <row r="45" spans="6:28">
      <c r="G45" s="17" t="s">
        <v>20</v>
      </c>
      <c r="H45" s="18" t="s">
        <v>60</v>
      </c>
      <c r="I45" s="19" t="s">
        <v>87</v>
      </c>
      <c r="J45" s="20"/>
      <c r="K45" s="26">
        <v>2.9113924050632911</v>
      </c>
      <c r="L45" s="22"/>
      <c r="M45" s="23"/>
      <c r="N45" s="23"/>
      <c r="O45" s="29"/>
      <c r="P45" s="29"/>
      <c r="Q45" s="29"/>
      <c r="R45" s="29"/>
      <c r="S45" s="29"/>
      <c r="T45" s="29"/>
      <c r="U45" s="29"/>
      <c r="V45" s="23"/>
      <c r="X45" s="23"/>
      <c r="Y45" s="23"/>
      <c r="AA45" s="23"/>
    </row>
    <row r="46" spans="6:28">
      <c r="G46" s="17"/>
      <c r="H46" s="25"/>
      <c r="I46" s="19" t="s">
        <v>37</v>
      </c>
      <c r="J46" s="20"/>
      <c r="K46" s="27">
        <f>0.00348*3.6</f>
        <v>1.2528000000000001E-2</v>
      </c>
      <c r="L46" s="22"/>
      <c r="M46" s="23"/>
      <c r="N46" s="23"/>
      <c r="O46" s="23"/>
      <c r="P46" s="23"/>
      <c r="Q46" s="23"/>
      <c r="R46" s="23"/>
      <c r="S46" s="23"/>
      <c r="T46" s="23"/>
      <c r="U46" s="23"/>
      <c r="V46" s="23"/>
      <c r="X46" s="23"/>
      <c r="Y46" s="23"/>
      <c r="AA46" s="23"/>
    </row>
    <row r="47" spans="6:28">
      <c r="G47" s="17"/>
      <c r="H47" s="25"/>
      <c r="I47" s="35" t="s">
        <v>38</v>
      </c>
      <c r="J47" s="20"/>
      <c r="K47" s="22">
        <f>7*0.00252</f>
        <v>1.7639999999999999E-2</v>
      </c>
      <c r="L47" s="22"/>
      <c r="M47" s="23"/>
      <c r="N47" s="23"/>
      <c r="O47" s="23"/>
      <c r="P47" s="23"/>
      <c r="Q47" s="23"/>
      <c r="R47" s="23"/>
      <c r="S47" s="23"/>
      <c r="T47" s="23"/>
      <c r="U47" s="23"/>
      <c r="V47" s="23"/>
      <c r="X47" s="23"/>
      <c r="Y47" s="23"/>
      <c r="AA47" s="23"/>
    </row>
    <row r="48" spans="6:28">
      <c r="G48" s="34" t="s">
        <v>36</v>
      </c>
      <c r="H48" s="25"/>
      <c r="I48" s="28" t="s">
        <v>54</v>
      </c>
      <c r="J48" s="19"/>
      <c r="K48" s="29">
        <v>6</v>
      </c>
      <c r="L48" s="29"/>
      <c r="M48" s="30"/>
      <c r="N48" s="30"/>
      <c r="O48" s="23"/>
      <c r="P48" s="23"/>
      <c r="Q48" s="23"/>
      <c r="R48" s="23"/>
      <c r="S48" s="23"/>
      <c r="T48" s="23"/>
      <c r="U48" s="23"/>
      <c r="V48" s="23"/>
      <c r="X48" s="23"/>
      <c r="Y48" s="23"/>
      <c r="AA48" s="23"/>
    </row>
    <row r="49" spans="7:27">
      <c r="G49" s="34" t="s">
        <v>36</v>
      </c>
      <c r="H49" s="25"/>
      <c r="I49" s="28" t="s">
        <v>61</v>
      </c>
      <c r="J49" s="19"/>
      <c r="K49" s="29">
        <v>8.2000000000000003E-2</v>
      </c>
      <c r="L49" s="29"/>
      <c r="M49" s="30"/>
      <c r="N49" s="30"/>
      <c r="O49" s="23"/>
      <c r="P49" s="23"/>
      <c r="Q49" s="23"/>
      <c r="R49" s="23"/>
      <c r="S49" s="23"/>
      <c r="T49" s="23"/>
      <c r="U49" s="23"/>
      <c r="V49" s="23"/>
      <c r="X49" s="23"/>
      <c r="Y49" s="23"/>
      <c r="AA49" s="23"/>
    </row>
    <row r="50" spans="7:27">
      <c r="G50" s="17"/>
      <c r="H50" s="25"/>
      <c r="I50" s="28"/>
      <c r="J50" s="19" t="s">
        <v>22</v>
      </c>
      <c r="K50" s="29"/>
      <c r="L50" s="29"/>
      <c r="M50" s="21"/>
      <c r="N50" s="21">
        <v>0.65900000000000003</v>
      </c>
      <c r="O50" s="31">
        <v>0.83050787341772159</v>
      </c>
      <c r="P50" s="31">
        <v>0.75828979746835445</v>
      </c>
      <c r="Q50" s="31">
        <v>0.68607172151898732</v>
      </c>
      <c r="R50" s="31">
        <v>0.62288090506329108</v>
      </c>
      <c r="S50" s="31">
        <v>0.57774460759493673</v>
      </c>
      <c r="T50" s="32">
        <v>0.16762205791139242</v>
      </c>
      <c r="U50" s="32">
        <v>1.3353164556962028E-2</v>
      </c>
      <c r="V50" s="23">
        <v>20</v>
      </c>
      <c r="X50" s="30"/>
      <c r="Y50" s="30"/>
      <c r="AA50" s="30">
        <v>200</v>
      </c>
    </row>
    <row r="51" spans="7:27">
      <c r="G51" s="34" t="s">
        <v>36</v>
      </c>
      <c r="H51" s="25"/>
      <c r="I51" s="28"/>
      <c r="J51" s="19" t="s">
        <v>62</v>
      </c>
      <c r="K51" s="29"/>
      <c r="L51" s="29">
        <v>1.2</v>
      </c>
      <c r="M51" s="30"/>
      <c r="N51" s="30"/>
      <c r="O51" s="23"/>
      <c r="P51" s="23"/>
      <c r="Q51" s="23"/>
      <c r="R51" s="23"/>
      <c r="S51" s="23"/>
      <c r="T51" s="23"/>
      <c r="U51" s="23"/>
      <c r="V51" s="23"/>
      <c r="X51" s="23"/>
      <c r="Y51" s="23"/>
      <c r="AA51" s="23"/>
    </row>
    <row r="52" spans="7:27">
      <c r="G52" s="34" t="s">
        <v>36</v>
      </c>
      <c r="H52" s="25"/>
      <c r="I52" s="28"/>
      <c r="J52" s="19" t="s">
        <v>40</v>
      </c>
      <c r="K52" s="29"/>
      <c r="L52" s="29">
        <v>1.4000000000000001</v>
      </c>
      <c r="M52" s="30"/>
      <c r="N52" s="30"/>
      <c r="O52" s="23"/>
      <c r="P52" s="23"/>
      <c r="Q52" s="23"/>
      <c r="R52" s="23"/>
      <c r="S52" s="23"/>
      <c r="T52" s="23"/>
      <c r="U52" s="23"/>
      <c r="V52" s="23"/>
      <c r="X52" s="23"/>
      <c r="Y52" s="23"/>
      <c r="AA52" s="23"/>
    </row>
    <row r="53" spans="7:27">
      <c r="G53" s="17" t="s">
        <v>23</v>
      </c>
      <c r="H53" s="18" t="s">
        <v>63</v>
      </c>
      <c r="I53" s="28" t="s">
        <v>87</v>
      </c>
      <c r="J53" s="19"/>
      <c r="K53" s="36">
        <v>12.658227848101266</v>
      </c>
      <c r="L53" s="29"/>
      <c r="M53" s="21"/>
      <c r="N53" s="21"/>
      <c r="O53" s="29"/>
      <c r="P53" s="29"/>
      <c r="Q53" s="29"/>
      <c r="R53" s="29"/>
      <c r="S53" s="29"/>
      <c r="T53" s="29"/>
      <c r="U53" s="29"/>
      <c r="V53" s="23"/>
      <c r="X53" s="23"/>
      <c r="Y53" s="23"/>
      <c r="AA53" s="23"/>
    </row>
    <row r="54" spans="7:27">
      <c r="G54" s="17"/>
      <c r="H54" s="25"/>
      <c r="I54" s="19" t="s">
        <v>37</v>
      </c>
      <c r="J54" s="19"/>
      <c r="K54" s="37">
        <f>0.00348*3.6</f>
        <v>1.2528000000000001E-2</v>
      </c>
      <c r="L54" s="29"/>
      <c r="M54" s="21"/>
      <c r="N54" s="21"/>
      <c r="O54" s="23"/>
      <c r="P54" s="23"/>
      <c r="Q54" s="23"/>
      <c r="R54" s="23"/>
      <c r="S54" s="23"/>
      <c r="T54" s="23"/>
      <c r="U54" s="23"/>
      <c r="V54" s="23"/>
      <c r="X54" s="23"/>
      <c r="Y54" s="23"/>
      <c r="AA54" s="23"/>
    </row>
    <row r="55" spans="7:27">
      <c r="G55" s="17"/>
      <c r="H55" s="25"/>
      <c r="I55" s="28" t="s">
        <v>89</v>
      </c>
      <c r="J55" s="19"/>
      <c r="K55" s="29">
        <f>7*0.00252</f>
        <v>1.7639999999999999E-2</v>
      </c>
      <c r="L55" s="29"/>
      <c r="M55" s="21"/>
      <c r="N55" s="21"/>
      <c r="O55" s="23"/>
      <c r="P55" s="23"/>
      <c r="Q55" s="23"/>
      <c r="R55" s="23"/>
      <c r="S55" s="23"/>
      <c r="T55" s="23"/>
      <c r="U55" s="23"/>
      <c r="V55" s="23"/>
      <c r="X55" s="23"/>
      <c r="Y55" s="23"/>
      <c r="AA55" s="23"/>
    </row>
    <row r="56" spans="7:27">
      <c r="G56" s="34" t="s">
        <v>36</v>
      </c>
      <c r="H56" s="25"/>
      <c r="I56" s="28" t="s">
        <v>54</v>
      </c>
      <c r="J56" s="19"/>
      <c r="K56" s="29">
        <v>6</v>
      </c>
      <c r="L56" s="29"/>
      <c r="M56" s="21"/>
      <c r="N56" s="21"/>
      <c r="O56" s="23"/>
      <c r="P56" s="23"/>
      <c r="Q56" s="23"/>
      <c r="R56" s="23"/>
      <c r="S56" s="23"/>
      <c r="T56" s="23"/>
      <c r="U56" s="23"/>
      <c r="V56" s="23"/>
      <c r="X56" s="23"/>
      <c r="Y56" s="23"/>
      <c r="AA56" s="23"/>
    </row>
    <row r="57" spans="7:27">
      <c r="G57" s="34" t="s">
        <v>36</v>
      </c>
      <c r="H57" s="25"/>
      <c r="I57" s="28" t="s">
        <v>64</v>
      </c>
      <c r="J57" s="19"/>
      <c r="K57" s="29">
        <f>0.0000345*1000</f>
        <v>3.4499999999999996E-2</v>
      </c>
      <c r="L57" s="29"/>
      <c r="M57" s="21"/>
      <c r="N57" s="21"/>
      <c r="O57" s="23"/>
      <c r="P57" s="23"/>
      <c r="Q57" s="23"/>
      <c r="R57" s="23"/>
      <c r="S57" s="23"/>
      <c r="T57" s="23"/>
      <c r="U57" s="23"/>
      <c r="V57" s="23"/>
      <c r="X57" s="23"/>
      <c r="Y57" s="23"/>
      <c r="AA57" s="23"/>
    </row>
    <row r="58" spans="7:27">
      <c r="G58" s="34" t="s">
        <v>36</v>
      </c>
      <c r="H58" s="25"/>
      <c r="I58" s="28" t="s">
        <v>65</v>
      </c>
      <c r="J58" s="19"/>
      <c r="K58" s="29">
        <v>0.15375</v>
      </c>
      <c r="L58" s="29"/>
      <c r="M58" s="21"/>
      <c r="N58" s="21"/>
      <c r="O58" s="23"/>
      <c r="P58" s="23"/>
      <c r="Q58" s="23"/>
      <c r="R58" s="23"/>
      <c r="S58" s="23"/>
      <c r="T58" s="23"/>
      <c r="U58" s="23"/>
      <c r="V58" s="23"/>
      <c r="X58" s="23"/>
      <c r="Y58" s="23"/>
      <c r="AA58" s="23"/>
    </row>
    <row r="59" spans="7:27">
      <c r="G59" s="17"/>
      <c r="H59" s="25"/>
      <c r="I59" s="28"/>
      <c r="J59" s="19" t="s">
        <v>22</v>
      </c>
      <c r="K59" s="29"/>
      <c r="L59" s="29"/>
      <c r="M59" s="21"/>
      <c r="N59" s="21">
        <v>0.24</v>
      </c>
      <c r="O59" s="32">
        <v>0.30185782278481021</v>
      </c>
      <c r="P59" s="32">
        <v>0.27560931645569625</v>
      </c>
      <c r="Q59" s="32">
        <v>0.24936081012658234</v>
      </c>
      <c r="R59" s="32">
        <v>0.22639336708860763</v>
      </c>
      <c r="S59" s="32">
        <v>0.20998805063291145</v>
      </c>
      <c r="T59" s="38">
        <v>6.5773249113924057E-2</v>
      </c>
      <c r="U59" s="38">
        <v>1.3353164556962028E-2</v>
      </c>
      <c r="V59" s="23">
        <v>20</v>
      </c>
      <c r="X59" s="21"/>
      <c r="Y59" s="21"/>
      <c r="AA59" s="21">
        <v>170</v>
      </c>
    </row>
    <row r="60" spans="7:27">
      <c r="G60" s="34" t="s">
        <v>36</v>
      </c>
      <c r="H60" s="25"/>
      <c r="I60" s="28"/>
      <c r="J60" s="19" t="s">
        <v>66</v>
      </c>
      <c r="K60" s="29"/>
      <c r="L60" s="36">
        <v>0.82278481012658233</v>
      </c>
      <c r="M60" s="21"/>
      <c r="N60" s="21"/>
      <c r="O60" s="23"/>
      <c r="P60" s="23"/>
      <c r="Q60" s="23"/>
      <c r="R60" s="23"/>
      <c r="S60" s="23"/>
      <c r="T60" s="23"/>
      <c r="U60" s="23"/>
      <c r="V60" s="23"/>
      <c r="X60" s="23"/>
      <c r="Y60" s="23"/>
      <c r="AA60" s="23"/>
    </row>
    <row r="61" spans="7:27">
      <c r="G61" s="34" t="s">
        <v>36</v>
      </c>
      <c r="H61" s="25"/>
      <c r="I61" s="28"/>
      <c r="J61" s="19" t="s">
        <v>67</v>
      </c>
      <c r="K61" s="29"/>
      <c r="L61" s="29">
        <v>0.22</v>
      </c>
      <c r="M61" s="21"/>
      <c r="N61" s="21"/>
      <c r="O61" s="23"/>
      <c r="P61" s="23"/>
      <c r="Q61" s="23"/>
      <c r="R61" s="23"/>
      <c r="S61" s="23"/>
      <c r="T61" s="23"/>
      <c r="U61" s="23"/>
      <c r="V61" s="23"/>
      <c r="X61" s="23"/>
      <c r="Y61" s="23"/>
      <c r="AA61" s="23"/>
    </row>
    <row r="62" spans="7:27">
      <c r="G62" s="34" t="s">
        <v>36</v>
      </c>
      <c r="H62" s="25"/>
      <c r="I62" s="28"/>
      <c r="J62" s="19" t="s">
        <v>40</v>
      </c>
      <c r="K62" s="29"/>
      <c r="L62" s="29">
        <v>1.4000000000000001</v>
      </c>
      <c r="M62" s="21"/>
      <c r="N62" s="21"/>
      <c r="O62" s="23"/>
      <c r="P62" s="23"/>
      <c r="Q62" s="23"/>
      <c r="R62" s="23"/>
      <c r="S62" s="23"/>
      <c r="T62" s="23"/>
      <c r="U62" s="23"/>
      <c r="V62" s="23"/>
      <c r="X62" s="23"/>
      <c r="Y62" s="23"/>
      <c r="AA62" s="23"/>
    </row>
    <row r="65" spans="7:24">
      <c r="J65" s="39" t="s">
        <v>118</v>
      </c>
      <c r="K65" s="7"/>
      <c r="L65" s="7"/>
      <c r="M65" s="7"/>
      <c r="N65" s="7"/>
    </row>
    <row r="66" spans="7:24">
      <c r="G66" s="40" t="s">
        <v>2</v>
      </c>
      <c r="H66" s="40" t="s">
        <v>3</v>
      </c>
      <c r="I66" s="40" t="s">
        <v>29</v>
      </c>
      <c r="J66" s="40" t="s">
        <v>30</v>
      </c>
      <c r="K66" s="40" t="s">
        <v>69</v>
      </c>
      <c r="L66" s="40" t="s">
        <v>31</v>
      </c>
      <c r="M66" s="40" t="s">
        <v>32</v>
      </c>
    </row>
    <row r="67" spans="7:24">
      <c r="G67" s="41" t="s">
        <v>36</v>
      </c>
      <c r="H67" s="42"/>
      <c r="I67" s="42"/>
      <c r="J67" s="43"/>
      <c r="K67" s="43"/>
      <c r="L67" s="43"/>
      <c r="M67" s="43"/>
    </row>
    <row r="68" spans="7:24">
      <c r="G68" s="44" t="s">
        <v>27</v>
      </c>
      <c r="H68" s="44" t="s">
        <v>70</v>
      </c>
      <c r="I68" s="19" t="s">
        <v>22</v>
      </c>
      <c r="J68" s="45"/>
      <c r="K68" s="29"/>
      <c r="L68" s="36">
        <v>0.441</v>
      </c>
      <c r="M68" s="36"/>
    </row>
    <row r="69" spans="7:24">
      <c r="G69" s="34" t="s">
        <v>36</v>
      </c>
      <c r="H69" s="46"/>
      <c r="I69" s="28" t="s">
        <v>71</v>
      </c>
      <c r="J69" s="28"/>
      <c r="K69" s="29"/>
      <c r="L69" s="29">
        <v>0.55700000000000005</v>
      </c>
      <c r="M69" s="29"/>
    </row>
    <row r="70" spans="7:24" ht="18" customHeight="1">
      <c r="G70" s="34" t="s">
        <v>36</v>
      </c>
      <c r="H70" s="48"/>
      <c r="I70" s="35" t="s">
        <v>72</v>
      </c>
      <c r="J70" s="28"/>
      <c r="K70" s="29"/>
      <c r="L70" s="29">
        <f>0.0000001*10^6</f>
        <v>9.9999999999999992E-2</v>
      </c>
      <c r="M70" s="29"/>
    </row>
    <row r="71" spans="7:24">
      <c r="G71" s="47"/>
      <c r="H71" s="48"/>
      <c r="I71" s="35" t="s">
        <v>37</v>
      </c>
      <c r="J71" s="28"/>
      <c r="K71" s="29"/>
      <c r="L71" s="29">
        <f>0.00006*3.6</f>
        <v>2.1600000000000002E-4</v>
      </c>
      <c r="M71" s="29"/>
    </row>
    <row r="72" spans="7:24">
      <c r="G72" s="47"/>
      <c r="H72" s="48"/>
      <c r="I72" s="35" t="s">
        <v>89</v>
      </c>
      <c r="J72" s="28"/>
      <c r="K72" s="29"/>
      <c r="L72" s="29">
        <f>0.963*0.00252</f>
        <v>2.42676E-3</v>
      </c>
      <c r="M72" s="29"/>
    </row>
    <row r="73" spans="7:24">
      <c r="G73" s="34" t="s">
        <v>36</v>
      </c>
      <c r="H73" s="48"/>
      <c r="I73" s="35" t="s">
        <v>54</v>
      </c>
      <c r="J73" s="28"/>
      <c r="K73" s="29"/>
      <c r="L73" s="29">
        <v>21.2</v>
      </c>
      <c r="M73" s="29"/>
    </row>
    <row r="74" spans="7:24">
      <c r="G74" s="49"/>
      <c r="H74" s="49"/>
      <c r="I74" s="50"/>
      <c r="J74" s="28" t="s">
        <v>73</v>
      </c>
      <c r="K74" s="29"/>
      <c r="L74" s="29"/>
      <c r="M74" s="29"/>
    </row>
    <row r="75" spans="7:24">
      <c r="G75" s="34" t="s">
        <v>36</v>
      </c>
      <c r="H75" s="49"/>
      <c r="I75" s="50"/>
      <c r="J75" s="28" t="s">
        <v>40</v>
      </c>
      <c r="K75" s="29"/>
      <c r="L75" s="29"/>
      <c r="M75" s="29">
        <v>0.19259999999999999</v>
      </c>
    </row>
    <row r="78" spans="7:24">
      <c r="K78" s="51" t="s">
        <v>114</v>
      </c>
    </row>
    <row r="79" spans="7:24" ht="26.4">
      <c r="G79" s="52" t="s">
        <v>2</v>
      </c>
      <c r="H79" s="52" t="s">
        <v>3</v>
      </c>
      <c r="I79" s="52" t="s">
        <v>29</v>
      </c>
      <c r="J79" s="52" t="s">
        <v>74</v>
      </c>
      <c r="K79" s="52" t="s">
        <v>30</v>
      </c>
      <c r="L79" s="52" t="s">
        <v>75</v>
      </c>
      <c r="M79" s="52" t="s">
        <v>76</v>
      </c>
      <c r="N79" s="52" t="s">
        <v>77</v>
      </c>
      <c r="O79" s="52" t="s">
        <v>78</v>
      </c>
      <c r="P79" s="52" t="s">
        <v>79</v>
      </c>
      <c r="Q79" s="52" t="s">
        <v>80</v>
      </c>
      <c r="R79" s="52" t="s">
        <v>81</v>
      </c>
      <c r="S79" s="53" t="s">
        <v>44</v>
      </c>
      <c r="T79" s="53" t="s">
        <v>45</v>
      </c>
      <c r="U79" s="53" t="s">
        <v>46</v>
      </c>
      <c r="V79" s="53" t="s">
        <v>47</v>
      </c>
      <c r="W79" s="52" t="s">
        <v>33</v>
      </c>
      <c r="X79" s="52" t="s">
        <v>34</v>
      </c>
    </row>
    <row r="80" spans="7:24" ht="15" thickBot="1">
      <c r="G80" s="11" t="s">
        <v>36</v>
      </c>
      <c r="H80" s="11"/>
      <c r="I80" s="11"/>
      <c r="J80" s="11"/>
      <c r="K80" s="11" t="s">
        <v>82</v>
      </c>
      <c r="L80" s="11"/>
      <c r="M80" s="11"/>
      <c r="N80" s="11"/>
      <c r="O80" s="11"/>
      <c r="P80" s="11"/>
      <c r="Q80" s="11"/>
      <c r="R80" s="11" t="s">
        <v>83</v>
      </c>
      <c r="S80" s="11" t="s">
        <v>116</v>
      </c>
      <c r="T80" s="11"/>
      <c r="U80" s="11"/>
      <c r="V80" s="11"/>
      <c r="W80" s="11" t="s">
        <v>116</v>
      </c>
      <c r="X80" s="11" t="s">
        <v>116</v>
      </c>
    </row>
    <row r="81" spans="7:24">
      <c r="G81" s="19" t="s">
        <v>123</v>
      </c>
      <c r="H81" s="19" t="s">
        <v>124</v>
      </c>
      <c r="I81" s="19" t="s">
        <v>14</v>
      </c>
      <c r="J81" s="19"/>
      <c r="K81" s="19"/>
      <c r="L81" s="37"/>
      <c r="M81" s="37">
        <v>1.1587485515643106</v>
      </c>
      <c r="N81" s="37"/>
      <c r="O81" s="37"/>
      <c r="P81" s="37">
        <v>2015</v>
      </c>
      <c r="Q81" s="37"/>
      <c r="R81" s="37">
        <v>20</v>
      </c>
      <c r="S81" s="37"/>
      <c r="T81" s="37"/>
      <c r="U81" s="37"/>
      <c r="V81" s="37"/>
      <c r="W81" s="37"/>
      <c r="X81" s="37"/>
    </row>
    <row r="82" spans="7:24">
      <c r="G82" s="19"/>
      <c r="H82" s="19"/>
      <c r="I82" s="19" t="s">
        <v>37</v>
      </c>
      <c r="J82" s="19"/>
      <c r="K82" s="28"/>
      <c r="L82" s="37"/>
      <c r="M82" s="37">
        <f>0.0000622*3.6</f>
        <v>2.2391999999999998E-4</v>
      </c>
      <c r="N82" s="37"/>
      <c r="O82" s="37"/>
      <c r="P82" s="37"/>
      <c r="Q82" s="37"/>
      <c r="R82" s="37"/>
      <c r="S82" s="37"/>
      <c r="T82" s="37"/>
      <c r="U82" s="37"/>
      <c r="V82" s="37"/>
      <c r="W82" s="37"/>
      <c r="X82" s="37"/>
    </row>
    <row r="83" spans="7:24">
      <c r="G83" s="19"/>
      <c r="H83" s="19"/>
      <c r="I83" s="19" t="s">
        <v>89</v>
      </c>
      <c r="J83" s="19"/>
      <c r="K83" s="28"/>
      <c r="L83" s="37"/>
      <c r="M83" s="37">
        <f>0.02*0.00252</f>
        <v>5.0400000000000005E-5</v>
      </c>
      <c r="N83" s="37"/>
      <c r="O83" s="37"/>
      <c r="P83" s="37"/>
      <c r="Q83" s="37"/>
      <c r="R83" s="37"/>
      <c r="S83" s="37"/>
      <c r="T83" s="37"/>
      <c r="U83" s="37"/>
      <c r="V83" s="37"/>
      <c r="W83" s="37"/>
      <c r="X83" s="37"/>
    </row>
    <row r="84" spans="7:24">
      <c r="G84" s="19"/>
      <c r="H84" s="19"/>
      <c r="I84" s="19" t="s">
        <v>90</v>
      </c>
      <c r="J84" s="19"/>
      <c r="K84" s="28"/>
      <c r="L84" s="37"/>
      <c r="M84" s="37">
        <v>5.9716347350087084E-3</v>
      </c>
      <c r="N84" s="37"/>
      <c r="O84" s="37"/>
      <c r="P84" s="37"/>
      <c r="Q84" s="37"/>
      <c r="R84" s="29"/>
      <c r="S84" s="29"/>
      <c r="T84" s="29"/>
      <c r="U84" s="29"/>
      <c r="V84" s="29"/>
      <c r="W84" s="29"/>
      <c r="X84" s="29"/>
    </row>
    <row r="85" spans="7:24">
      <c r="G85" s="19"/>
      <c r="H85" s="19"/>
      <c r="I85" s="19" t="s">
        <v>84</v>
      </c>
      <c r="J85" s="19"/>
      <c r="K85" s="28"/>
      <c r="L85" s="37"/>
      <c r="M85" s="37">
        <f>0.0422*0.12</f>
        <v>5.0639999999999999E-3</v>
      </c>
      <c r="N85" s="37"/>
      <c r="O85" s="37"/>
      <c r="P85" s="37"/>
      <c r="Q85" s="37"/>
      <c r="R85" s="29"/>
      <c r="S85" s="29"/>
      <c r="T85" s="29"/>
      <c r="U85" s="29"/>
      <c r="V85" s="29"/>
      <c r="W85" s="29"/>
      <c r="X85" s="29"/>
    </row>
    <row r="86" spans="7:24">
      <c r="G86" s="19" t="s">
        <v>36</v>
      </c>
      <c r="H86" s="28"/>
      <c r="I86" s="19" t="s">
        <v>85</v>
      </c>
      <c r="J86" s="54"/>
      <c r="K86" s="28"/>
      <c r="L86" s="37"/>
      <c r="M86" s="37">
        <v>2.4000000000000001E-4</v>
      </c>
      <c r="N86" s="37"/>
      <c r="O86" s="37"/>
      <c r="P86" s="37"/>
      <c r="Q86" s="37"/>
      <c r="R86" s="29"/>
      <c r="S86" s="29"/>
      <c r="T86" s="29"/>
      <c r="U86" s="29"/>
      <c r="V86" s="29"/>
      <c r="W86" s="29"/>
      <c r="X86" s="29"/>
    </row>
    <row r="87" spans="7:24">
      <c r="G87" s="19"/>
      <c r="H87" s="19"/>
      <c r="I87" s="19"/>
      <c r="J87" s="19"/>
      <c r="K87" s="28" t="s">
        <v>122</v>
      </c>
      <c r="L87" s="37"/>
      <c r="M87" s="37"/>
      <c r="N87" s="37"/>
      <c r="O87" s="37"/>
      <c r="P87" s="37"/>
      <c r="Q87" s="37"/>
      <c r="R87" s="29"/>
      <c r="S87" s="55">
        <v>0.3511144434598869</v>
      </c>
      <c r="T87" s="55">
        <v>0.33706986572149139</v>
      </c>
      <c r="U87" s="55">
        <v>0.28440269920250838</v>
      </c>
      <c r="V87" s="55">
        <v>0.25280239929111853</v>
      </c>
      <c r="W87" s="37">
        <v>7.3379762388385256E-2</v>
      </c>
      <c r="X87" s="55">
        <v>3.28702883239043E-3</v>
      </c>
    </row>
    <row r="88" spans="7:24">
      <c r="G88" s="19" t="s">
        <v>36</v>
      </c>
      <c r="H88" s="19"/>
      <c r="I88" s="19"/>
      <c r="J88" s="19"/>
      <c r="K88" s="28" t="s">
        <v>86</v>
      </c>
      <c r="L88" s="37"/>
      <c r="M88" s="37"/>
      <c r="N88" s="37">
        <v>5.7999999999999996E-2</v>
      </c>
      <c r="O88" s="37"/>
      <c r="P88" s="37"/>
      <c r="Q88" s="37"/>
      <c r="R88" s="29"/>
      <c r="S88" s="29"/>
      <c r="T88" s="29"/>
      <c r="U88" s="29"/>
      <c r="V88" s="29"/>
      <c r="W88" s="29"/>
      <c r="X88" s="29"/>
    </row>
    <row r="89" spans="7:24">
      <c r="G89" s="19" t="s">
        <v>36</v>
      </c>
      <c r="H89" s="19"/>
      <c r="I89" s="19"/>
      <c r="J89" s="19"/>
      <c r="K89" s="28" t="s">
        <v>40</v>
      </c>
      <c r="L89" s="37"/>
      <c r="M89" s="37"/>
      <c r="N89" s="37">
        <v>4.0000000000000001E-3</v>
      </c>
      <c r="O89" s="37"/>
      <c r="P89" s="37"/>
      <c r="Q89" s="37"/>
      <c r="R89" s="29"/>
      <c r="S89" s="29"/>
      <c r="T89" s="29"/>
      <c r="U89" s="29"/>
      <c r="V89" s="29"/>
      <c r="W89" s="29"/>
      <c r="X89" s="29"/>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D45F-632E-4750-A029-AAA8B1831333}">
  <dimension ref="A1:N64"/>
  <sheetViews>
    <sheetView workbookViewId="0">
      <selection activeCell="L20" sqref="L20"/>
    </sheetView>
  </sheetViews>
  <sheetFormatPr defaultRowHeight="14.4"/>
  <cols>
    <col min="1" max="1" width="13.5546875" bestFit="1" customWidth="1"/>
    <col min="2" max="2" width="26.109375" bestFit="1" customWidth="1"/>
    <col min="4" max="4" width="18.44140625" bestFit="1" customWidth="1"/>
    <col min="5" max="6" width="57.109375" bestFit="1" customWidth="1"/>
  </cols>
  <sheetData>
    <row r="1" spans="1:14">
      <c r="A1" s="85" t="s">
        <v>111</v>
      </c>
      <c r="B1" s="85">
        <v>1.37</v>
      </c>
    </row>
    <row r="2" spans="1:14">
      <c r="A2" s="85" t="s">
        <v>112</v>
      </c>
      <c r="B2" s="85" t="s">
        <v>113</v>
      </c>
    </row>
    <row r="3" spans="1:14">
      <c r="D3" s="1" t="s">
        <v>0</v>
      </c>
      <c r="E3" s="2"/>
      <c r="F3" s="2"/>
      <c r="G3" s="2"/>
      <c r="H3" s="2"/>
      <c r="I3" s="2"/>
      <c r="J3" s="2"/>
      <c r="K3" s="2"/>
    </row>
    <row r="4" spans="1:14">
      <c r="D4" s="3" t="s">
        <v>1</v>
      </c>
      <c r="E4" s="4" t="s">
        <v>2</v>
      </c>
      <c r="F4" s="4" t="s">
        <v>3</v>
      </c>
      <c r="G4" s="4" t="s">
        <v>4</v>
      </c>
      <c r="H4" s="4" t="s">
        <v>5</v>
      </c>
      <c r="I4" s="4" t="s">
        <v>6</v>
      </c>
      <c r="J4" s="4" t="s">
        <v>7</v>
      </c>
      <c r="K4" s="5" t="s">
        <v>8</v>
      </c>
    </row>
    <row r="5" spans="1:14">
      <c r="D5" s="34" t="s">
        <v>9</v>
      </c>
      <c r="E5" s="34" t="s">
        <v>95</v>
      </c>
      <c r="F5" s="34" t="s">
        <v>96</v>
      </c>
      <c r="G5" s="34" t="s">
        <v>12</v>
      </c>
      <c r="H5" s="34" t="s">
        <v>13</v>
      </c>
      <c r="I5" s="34" t="s">
        <v>13</v>
      </c>
      <c r="J5" s="34" t="s">
        <v>22</v>
      </c>
      <c r="K5" s="34" t="s">
        <v>13</v>
      </c>
    </row>
    <row r="6" spans="1:14">
      <c r="D6" s="34" t="s">
        <v>9</v>
      </c>
      <c r="E6" s="34" t="s">
        <v>97</v>
      </c>
      <c r="F6" s="34" t="s">
        <v>98</v>
      </c>
      <c r="G6" s="34" t="s">
        <v>12</v>
      </c>
      <c r="H6" s="34"/>
      <c r="I6" s="34"/>
      <c r="J6" s="34" t="s">
        <v>99</v>
      </c>
      <c r="K6" s="34"/>
    </row>
    <row r="7" spans="1:14">
      <c r="D7" s="34" t="s">
        <v>36</v>
      </c>
      <c r="E7" s="34" t="s">
        <v>100</v>
      </c>
      <c r="F7" s="34" t="s">
        <v>101</v>
      </c>
      <c r="G7" s="34" t="s">
        <v>12</v>
      </c>
      <c r="H7" s="34" t="s">
        <v>13</v>
      </c>
      <c r="I7" s="34" t="s">
        <v>13</v>
      </c>
      <c r="J7" s="34" t="s">
        <v>22</v>
      </c>
      <c r="K7" s="34"/>
    </row>
    <row r="8" spans="1:14">
      <c r="D8" s="34" t="s">
        <v>36</v>
      </c>
      <c r="E8" s="34" t="s">
        <v>102</v>
      </c>
      <c r="F8" s="34" t="s">
        <v>103</v>
      </c>
      <c r="G8" s="34" t="s">
        <v>12</v>
      </c>
      <c r="H8" s="34"/>
      <c r="I8" s="34"/>
      <c r="J8" s="34" t="s">
        <v>99</v>
      </c>
      <c r="K8" s="34"/>
    </row>
    <row r="9" spans="1:14">
      <c r="D9" s="2"/>
      <c r="E9" s="2"/>
      <c r="F9" s="2"/>
      <c r="G9" s="2"/>
      <c r="H9" s="2"/>
      <c r="I9" s="2"/>
      <c r="J9" s="2"/>
      <c r="K9" s="2"/>
    </row>
    <row r="11" spans="1:14">
      <c r="G11" s="34" t="s">
        <v>125</v>
      </c>
    </row>
    <row r="14" spans="1:14">
      <c r="G14" s="1" t="s">
        <v>114</v>
      </c>
    </row>
    <row r="15" spans="1:14" ht="23.4" thickBot="1">
      <c r="D15" s="52" t="s">
        <v>2</v>
      </c>
      <c r="E15" s="52" t="s">
        <v>3</v>
      </c>
      <c r="F15" s="52" t="s">
        <v>29</v>
      </c>
      <c r="G15" s="52" t="s">
        <v>30</v>
      </c>
      <c r="H15" s="12" t="s">
        <v>76</v>
      </c>
      <c r="I15" s="12" t="s">
        <v>77</v>
      </c>
      <c r="J15" s="52" t="s">
        <v>79</v>
      </c>
      <c r="K15" s="12" t="s">
        <v>81</v>
      </c>
      <c r="L15" s="67" t="s">
        <v>104</v>
      </c>
      <c r="M15" s="12" t="s">
        <v>33</v>
      </c>
      <c r="N15" s="68" t="s">
        <v>34</v>
      </c>
    </row>
    <row r="16" spans="1:14" ht="15" thickBot="1">
      <c r="D16" s="69" t="s">
        <v>36</v>
      </c>
      <c r="E16" s="70"/>
      <c r="F16" s="70"/>
      <c r="G16" s="70"/>
      <c r="H16" s="71"/>
      <c r="I16" s="72"/>
      <c r="J16" s="72"/>
      <c r="K16" s="72" t="s">
        <v>83</v>
      </c>
      <c r="L16" s="73" t="s">
        <v>116</v>
      </c>
      <c r="M16" s="74" t="s">
        <v>116</v>
      </c>
      <c r="N16" s="74" t="s">
        <v>116</v>
      </c>
    </row>
    <row r="17" spans="4:14">
      <c r="D17" s="44" t="s">
        <v>95</v>
      </c>
      <c r="E17" s="44" t="str">
        <f>F5</f>
        <v>Ethanol production from lignocellulosic biomass.2GenBiofuel.</v>
      </c>
      <c r="F17" s="19" t="s">
        <v>87</v>
      </c>
      <c r="G17" s="19"/>
      <c r="H17" s="75">
        <v>4.3</v>
      </c>
      <c r="I17" s="19"/>
      <c r="J17" s="19">
        <v>2020</v>
      </c>
      <c r="K17" s="37">
        <v>20</v>
      </c>
      <c r="L17" s="37"/>
      <c r="M17" s="37"/>
      <c r="N17" s="37"/>
    </row>
    <row r="18" spans="4:14">
      <c r="D18" s="34" t="s">
        <v>36</v>
      </c>
      <c r="E18" s="44"/>
      <c r="F18" s="19" t="s">
        <v>54</v>
      </c>
      <c r="G18" s="19"/>
      <c r="H18" s="19">
        <v>0.35799999999999998</v>
      </c>
      <c r="I18" s="19"/>
      <c r="J18" s="19"/>
      <c r="K18" s="37"/>
      <c r="L18" s="37"/>
      <c r="M18" s="37"/>
      <c r="N18" s="37"/>
    </row>
    <row r="19" spans="4:14">
      <c r="D19" s="34" t="s">
        <v>36</v>
      </c>
      <c r="E19" s="44"/>
      <c r="F19" s="19" t="s">
        <v>106</v>
      </c>
      <c r="G19" s="19"/>
      <c r="H19" s="19">
        <v>0.42</v>
      </c>
      <c r="I19" s="19"/>
      <c r="J19" s="19"/>
      <c r="K19" s="37"/>
      <c r="L19" s="37"/>
      <c r="M19" s="37"/>
      <c r="N19" s="37"/>
    </row>
    <row r="20" spans="4:14">
      <c r="D20" s="44"/>
      <c r="E20" s="44"/>
      <c r="F20" s="19"/>
      <c r="G20" s="19" t="s">
        <v>22</v>
      </c>
      <c r="H20" s="19"/>
      <c r="I20" s="19">
        <v>1</v>
      </c>
      <c r="J20" s="19"/>
      <c r="K20" s="37"/>
      <c r="L20" s="76">
        <v>3.8497000000000003</v>
      </c>
      <c r="M20" s="76">
        <v>0.2773610319391635</v>
      </c>
      <c r="N20" s="76">
        <v>1.5627376425855512E-2</v>
      </c>
    </row>
    <row r="21" spans="4:14">
      <c r="D21" s="44"/>
      <c r="E21" s="44"/>
      <c r="F21" s="19"/>
      <c r="G21" s="54" t="s">
        <v>88</v>
      </c>
      <c r="H21" s="19"/>
      <c r="I21" s="64">
        <f>0.0005*3.6</f>
        <v>1.8000000000000002E-3</v>
      </c>
      <c r="J21" s="19"/>
      <c r="K21" s="37"/>
      <c r="L21" s="37"/>
      <c r="M21" s="37"/>
      <c r="N21" s="37"/>
    </row>
    <row r="22" spans="4:14">
      <c r="D22" s="34" t="s">
        <v>36</v>
      </c>
      <c r="E22" s="63"/>
      <c r="F22" s="19"/>
      <c r="G22" s="28" t="s">
        <v>108</v>
      </c>
      <c r="H22" s="19"/>
      <c r="I22" s="28">
        <v>0.95</v>
      </c>
      <c r="J22" s="19"/>
      <c r="K22" s="37"/>
      <c r="L22" s="37"/>
      <c r="M22" s="37"/>
      <c r="N22" s="37"/>
    </row>
    <row r="23" spans="4:14">
      <c r="D23" s="69" t="s">
        <v>36</v>
      </c>
      <c r="E23" s="69"/>
      <c r="F23" s="69"/>
      <c r="G23" s="69"/>
      <c r="H23" s="69"/>
      <c r="I23" s="69"/>
      <c r="J23" s="69"/>
      <c r="K23" s="69"/>
      <c r="L23" s="69"/>
      <c r="M23" s="69"/>
      <c r="N23" s="69"/>
    </row>
    <row r="24" spans="4:14">
      <c r="D24" s="44" t="s">
        <v>97</v>
      </c>
      <c r="E24" s="44" t="str">
        <f>F6</f>
        <v>FT-diesel production from lignocellulosic biomass.2GenBiofuel.</v>
      </c>
      <c r="F24" s="19" t="s">
        <v>87</v>
      </c>
      <c r="G24" s="28"/>
      <c r="H24" s="77">
        <v>5</v>
      </c>
      <c r="I24" s="19"/>
      <c r="J24" s="19">
        <v>2020</v>
      </c>
      <c r="K24" s="37">
        <v>20</v>
      </c>
      <c r="L24" s="29"/>
      <c r="M24" s="29"/>
      <c r="N24" s="29"/>
    </row>
    <row r="25" spans="4:14">
      <c r="D25" s="63"/>
      <c r="E25" s="63"/>
      <c r="F25" s="19" t="s">
        <v>109</v>
      </c>
      <c r="G25" s="28"/>
      <c r="H25" s="19">
        <v>9.3000000000000005E-4</v>
      </c>
      <c r="I25" s="28"/>
      <c r="J25" s="28"/>
      <c r="K25" s="29"/>
      <c r="L25" s="29"/>
      <c r="M25" s="29"/>
      <c r="N25" s="29"/>
    </row>
    <row r="26" spans="4:14">
      <c r="D26" s="63"/>
      <c r="E26" s="63"/>
      <c r="F26" s="19"/>
      <c r="G26" s="28" t="s">
        <v>99</v>
      </c>
      <c r="H26" s="28"/>
      <c r="I26" s="28">
        <v>1</v>
      </c>
      <c r="J26" s="28"/>
      <c r="K26" s="29"/>
      <c r="L26" s="76">
        <v>10.891500000000001</v>
      </c>
      <c r="M26" s="76">
        <v>0.75640756602401138</v>
      </c>
      <c r="N26" s="76">
        <v>2.1706721593650752E-2</v>
      </c>
    </row>
    <row r="27" spans="4:14">
      <c r="D27" s="63"/>
      <c r="E27" s="63"/>
      <c r="F27" s="19"/>
      <c r="G27" s="54" t="s">
        <v>88</v>
      </c>
      <c r="H27" s="28"/>
      <c r="I27" s="78">
        <f>I21</f>
        <v>1.8000000000000002E-3</v>
      </c>
      <c r="J27" s="28"/>
      <c r="K27" s="29"/>
      <c r="L27" s="29"/>
      <c r="M27" s="29"/>
      <c r="N27" s="29"/>
    </row>
    <row r="28" spans="4:14">
      <c r="D28" s="34" t="s">
        <v>36</v>
      </c>
      <c r="E28" s="63"/>
      <c r="F28" s="19"/>
      <c r="G28" s="28" t="s">
        <v>110</v>
      </c>
      <c r="H28" s="28"/>
      <c r="I28" s="19">
        <f>0.2596*44*10^6*10^6/10^15</f>
        <v>1.1422399999999999E-2</v>
      </c>
      <c r="J28" s="28"/>
      <c r="K28" s="29"/>
      <c r="L28" s="29"/>
      <c r="M28" s="29"/>
      <c r="N28" s="29"/>
    </row>
    <row r="31" spans="4:14">
      <c r="G31" s="1" t="s">
        <v>115</v>
      </c>
    </row>
    <row r="32" spans="4:14" ht="23.4" thickBot="1">
      <c r="D32" s="52" t="s">
        <v>2</v>
      </c>
      <c r="E32" s="52" t="s">
        <v>3</v>
      </c>
      <c r="F32" s="52" t="s">
        <v>29</v>
      </c>
      <c r="G32" s="52" t="s">
        <v>30</v>
      </c>
      <c r="H32" s="12" t="s">
        <v>76</v>
      </c>
      <c r="I32" s="12" t="s">
        <v>77</v>
      </c>
      <c r="J32" s="52" t="s">
        <v>79</v>
      </c>
      <c r="K32" s="12" t="s">
        <v>81</v>
      </c>
      <c r="L32" s="67" t="s">
        <v>104</v>
      </c>
      <c r="M32" s="12" t="s">
        <v>33</v>
      </c>
      <c r="N32" s="68" t="s">
        <v>34</v>
      </c>
    </row>
    <row r="33" spans="4:14" ht="15" thickBot="1">
      <c r="D33" s="69" t="s">
        <v>36</v>
      </c>
      <c r="E33" s="70"/>
      <c r="F33" s="70"/>
      <c r="G33" s="70"/>
      <c r="H33" s="71"/>
      <c r="I33" s="72"/>
      <c r="J33" s="72"/>
      <c r="K33" s="72" t="s">
        <v>83</v>
      </c>
      <c r="L33" s="73" t="s">
        <v>116</v>
      </c>
      <c r="M33" s="74" t="s">
        <v>116</v>
      </c>
      <c r="N33" s="74" t="s">
        <v>116</v>
      </c>
    </row>
    <row r="34" spans="4:14">
      <c r="D34" s="79" t="str">
        <f>E7</f>
        <v>BRF2_ETHLGC_CCS</v>
      </c>
      <c r="E34" s="79" t="str">
        <f>F7</f>
        <v>Ethanol production from lign. biomass. CCS 2GenBiofuel.</v>
      </c>
      <c r="F34" s="19" t="s">
        <v>105</v>
      </c>
      <c r="G34" s="19"/>
      <c r="H34" s="75">
        <v>4.3</v>
      </c>
      <c r="I34" s="19"/>
      <c r="J34" s="80">
        <v>2030</v>
      </c>
      <c r="K34" s="37">
        <v>20</v>
      </c>
      <c r="L34" s="37"/>
      <c r="M34" s="37"/>
      <c r="N34" s="37"/>
    </row>
    <row r="35" spans="4:14">
      <c r="D35" s="44"/>
      <c r="E35" s="44"/>
      <c r="F35" s="19" t="s">
        <v>54</v>
      </c>
      <c r="G35" s="19"/>
      <c r="H35" s="19">
        <v>0.35799999999999998</v>
      </c>
      <c r="I35" s="19"/>
      <c r="J35" s="19"/>
      <c r="K35" s="37"/>
      <c r="L35" s="37"/>
      <c r="M35" s="37"/>
      <c r="N35" s="37"/>
    </row>
    <row r="36" spans="4:14">
      <c r="D36" s="44"/>
      <c r="E36" s="44"/>
      <c r="F36" s="19" t="s">
        <v>106</v>
      </c>
      <c r="G36" s="19"/>
      <c r="H36" s="19">
        <v>0.42</v>
      </c>
      <c r="I36" s="19"/>
      <c r="J36" s="19"/>
      <c r="K36" s="37"/>
      <c r="L36" s="37"/>
      <c r="M36" s="37"/>
      <c r="N36" s="37"/>
    </row>
    <row r="37" spans="4:14">
      <c r="D37" s="44"/>
      <c r="E37" s="44"/>
      <c r="F37" s="19"/>
      <c r="G37" s="19" t="s">
        <v>22</v>
      </c>
      <c r="H37" s="19"/>
      <c r="I37" s="19">
        <v>1</v>
      </c>
      <c r="J37" s="19"/>
      <c r="K37" s="37"/>
      <c r="L37" s="81">
        <f>(L20*1.05)*1.37</f>
        <v>5.5377934500000014</v>
      </c>
      <c r="M37" s="76">
        <v>0.2773610319391635</v>
      </c>
      <c r="N37" s="76">
        <v>1.5627376425855512E-2</v>
      </c>
    </row>
    <row r="38" spans="4:14">
      <c r="D38" s="44"/>
      <c r="E38" s="44"/>
      <c r="F38" s="19"/>
      <c r="G38" s="54" t="s">
        <v>107</v>
      </c>
      <c r="H38" s="19"/>
      <c r="I38" s="64">
        <f>0.0005*3.6</f>
        <v>1.8000000000000002E-3</v>
      </c>
      <c r="J38" s="19"/>
      <c r="K38" s="37"/>
      <c r="L38" s="37"/>
      <c r="M38" s="37"/>
      <c r="N38" s="37"/>
    </row>
    <row r="39" spans="4:14">
      <c r="D39" s="69" t="s">
        <v>36</v>
      </c>
      <c r="E39" s="69"/>
      <c r="F39" s="69"/>
      <c r="G39" s="69"/>
      <c r="H39" s="69"/>
      <c r="I39" s="69"/>
      <c r="J39" s="69"/>
      <c r="K39" s="69"/>
      <c r="L39" s="69"/>
      <c r="M39" s="69"/>
      <c r="N39" s="69"/>
    </row>
    <row r="40" spans="4:14">
      <c r="D40" s="79" t="str">
        <f>E8</f>
        <v>BRF2_BTLFTDSL_CCS</v>
      </c>
      <c r="E40" s="79" t="str">
        <f>F8</f>
        <v>FT-diesel production from lign biomass. CCS 2GenBiofuel.</v>
      </c>
      <c r="F40" s="19" t="s">
        <v>105</v>
      </c>
      <c r="G40" s="28"/>
      <c r="H40" s="77">
        <v>5</v>
      </c>
      <c r="I40" s="19"/>
      <c r="J40" s="80">
        <v>2030</v>
      </c>
      <c r="K40" s="37">
        <v>20</v>
      </c>
      <c r="L40" s="29"/>
      <c r="M40" s="29"/>
      <c r="N40" s="29"/>
    </row>
    <row r="41" spans="4:14">
      <c r="D41" s="63"/>
      <c r="E41" s="63"/>
      <c r="F41" s="19" t="s">
        <v>109</v>
      </c>
      <c r="G41" s="28"/>
      <c r="H41" s="19">
        <v>9.3000000000000005E-4</v>
      </c>
      <c r="I41" s="28"/>
      <c r="J41" s="28"/>
      <c r="K41" s="29"/>
      <c r="L41" s="29"/>
      <c r="M41" s="29"/>
      <c r="N41" s="29"/>
    </row>
    <row r="42" spans="4:14">
      <c r="D42" s="63"/>
      <c r="E42" s="63"/>
      <c r="F42" s="19"/>
      <c r="G42" s="28" t="s">
        <v>99</v>
      </c>
      <c r="H42" s="28"/>
      <c r="I42" s="28">
        <v>1</v>
      </c>
      <c r="J42" s="28"/>
      <c r="K42" s="29"/>
      <c r="L42" s="81">
        <f>(L26*1.05)*1.37</f>
        <v>15.667422750000002</v>
      </c>
      <c r="M42" s="76">
        <v>0.75640756602401138</v>
      </c>
      <c r="N42" s="76">
        <v>2.1706721593650752E-2</v>
      </c>
    </row>
    <row r="43" spans="4:14">
      <c r="D43" s="63"/>
      <c r="E43" s="63"/>
      <c r="F43" s="19"/>
      <c r="G43" s="54" t="s">
        <v>88</v>
      </c>
      <c r="H43" s="28"/>
      <c r="I43" s="78">
        <f>I38</f>
        <v>1.8000000000000002E-3</v>
      </c>
      <c r="J43" s="28"/>
      <c r="K43" s="29"/>
      <c r="L43" s="29"/>
      <c r="M43" s="29"/>
      <c r="N43" s="29"/>
    </row>
    <row r="44" spans="4:14">
      <c r="D44" s="34" t="s">
        <v>36</v>
      </c>
      <c r="E44" s="63"/>
      <c r="F44" s="19"/>
      <c r="G44" s="28" t="s">
        <v>110</v>
      </c>
      <c r="H44" s="28"/>
      <c r="I44" s="19">
        <f>0.2596*44*10^6*10^6/10^15</f>
        <v>1.1422399999999999E-2</v>
      </c>
      <c r="J44" s="28"/>
      <c r="K44" s="29"/>
      <c r="L44" s="29"/>
      <c r="M44" s="29"/>
      <c r="N44" s="29"/>
    </row>
    <row r="46" spans="4:14">
      <c r="E46" s="82"/>
      <c r="F46" s="82"/>
      <c r="G46" s="82"/>
      <c r="H46" s="82"/>
      <c r="I46" s="82"/>
      <c r="J46" s="82"/>
      <c r="K46" s="82"/>
      <c r="L46" s="82"/>
      <c r="M46" s="82"/>
    </row>
    <row r="47" spans="4:14">
      <c r="F47" s="82"/>
      <c r="G47" s="82"/>
      <c r="L47" s="83"/>
      <c r="M47" s="83"/>
    </row>
    <row r="59" spans="5:13">
      <c r="E59" s="82"/>
      <c r="F59" s="82"/>
      <c r="G59" s="82"/>
      <c r="L59" s="83"/>
      <c r="M59" s="83"/>
    </row>
    <row r="60" spans="5:13">
      <c r="E60" s="82"/>
      <c r="F60" s="82"/>
      <c r="G60" s="82"/>
      <c r="H60" s="84"/>
      <c r="J60" s="84"/>
      <c r="K60" s="84"/>
      <c r="M60" s="83"/>
    </row>
    <row r="61" spans="5:13">
      <c r="E61" s="82"/>
      <c r="F61" s="82"/>
      <c r="G61" s="82"/>
      <c r="H61" s="82"/>
      <c r="J61" s="82"/>
      <c r="K61" s="82"/>
      <c r="L61" s="82"/>
      <c r="M61" s="82"/>
    </row>
    <row r="62" spans="5:13">
      <c r="F62" s="82"/>
      <c r="G62" s="82"/>
      <c r="L62" s="83"/>
      <c r="M62" s="83"/>
    </row>
    <row r="63" spans="5:13">
      <c r="E63" s="82"/>
      <c r="F63" s="82"/>
      <c r="G63" s="82"/>
      <c r="L63" s="83"/>
      <c r="M63" s="83"/>
    </row>
    <row r="64" spans="5:13">
      <c r="E64" s="82"/>
      <c r="F64" s="82"/>
      <c r="G64" s="82"/>
      <c r="H64" s="84"/>
      <c r="I64" s="84"/>
      <c r="J64" s="84"/>
      <c r="K64" s="84"/>
      <c r="M64" s="8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02E1-8D92-421E-811F-776B735CB6B0}">
  <dimension ref="G4:N22"/>
  <sheetViews>
    <sheetView topLeftCell="D7" workbookViewId="0">
      <selection activeCell="X8" sqref="X8"/>
    </sheetView>
  </sheetViews>
  <sheetFormatPr defaultRowHeight="14.4"/>
  <cols>
    <col min="8" max="8" width="10.44140625" bestFit="1" customWidth="1"/>
    <col min="9" max="9" width="22" bestFit="1" customWidth="1"/>
    <col min="11" max="11" width="13.109375" bestFit="1" customWidth="1"/>
    <col min="12" max="12" width="17.21875" bestFit="1" customWidth="1"/>
  </cols>
  <sheetData>
    <row r="4" spans="7:14">
      <c r="G4" s="102" t="s">
        <v>0</v>
      </c>
      <c r="H4" s="98"/>
      <c r="I4" s="98"/>
      <c r="J4" s="98"/>
      <c r="K4" s="98"/>
      <c r="L4" s="98"/>
      <c r="M4" s="98"/>
      <c r="N4" s="98"/>
    </row>
    <row r="5" spans="7:14">
      <c r="G5" s="97" t="s">
        <v>1</v>
      </c>
      <c r="H5" s="100" t="s">
        <v>2</v>
      </c>
      <c r="I5" s="100" t="s">
        <v>3</v>
      </c>
      <c r="J5" s="100" t="s">
        <v>4</v>
      </c>
      <c r="K5" s="100" t="s">
        <v>5</v>
      </c>
      <c r="L5" s="100" t="s">
        <v>6</v>
      </c>
      <c r="M5" s="100" t="s">
        <v>7</v>
      </c>
      <c r="N5" s="101" t="s">
        <v>8</v>
      </c>
    </row>
    <row r="6" spans="7:14" ht="23.4" customHeight="1">
      <c r="G6" t="s">
        <v>9</v>
      </c>
      <c r="H6" s="99" t="s">
        <v>127</v>
      </c>
      <c r="I6" s="99" t="s">
        <v>128</v>
      </c>
      <c r="J6" t="s">
        <v>137</v>
      </c>
      <c r="N6" t="s">
        <v>15</v>
      </c>
    </row>
    <row r="7" spans="7:14">
      <c r="G7" t="s">
        <v>9</v>
      </c>
      <c r="H7" s="99" t="s">
        <v>130</v>
      </c>
      <c r="I7" s="99" t="s">
        <v>131</v>
      </c>
      <c r="J7" t="s">
        <v>137</v>
      </c>
      <c r="N7" t="s">
        <v>15</v>
      </c>
    </row>
    <row r="8" spans="7:14">
      <c r="G8" t="s">
        <v>9</v>
      </c>
      <c r="H8" s="99" t="s">
        <v>132</v>
      </c>
      <c r="I8" s="99" t="s">
        <v>133</v>
      </c>
      <c r="J8" t="s">
        <v>137</v>
      </c>
      <c r="N8" t="s">
        <v>15</v>
      </c>
    </row>
    <row r="13" spans="7:14">
      <c r="H13" s="86"/>
      <c r="I13" s="86"/>
      <c r="J13" s="86"/>
      <c r="K13" s="86"/>
      <c r="L13" s="89" t="s">
        <v>68</v>
      </c>
      <c r="M13" s="88"/>
      <c r="N13" s="88"/>
    </row>
    <row r="14" spans="7:14" ht="27" thickBot="1">
      <c r="H14" s="87" t="s">
        <v>2</v>
      </c>
      <c r="I14" s="87" t="s">
        <v>3</v>
      </c>
      <c r="J14" s="90" t="s">
        <v>126</v>
      </c>
      <c r="K14" s="87" t="s">
        <v>29</v>
      </c>
      <c r="L14" s="87" t="s">
        <v>30</v>
      </c>
      <c r="M14" s="87" t="s">
        <v>75</v>
      </c>
    </row>
    <row r="15" spans="7:14" ht="15" thickBot="1">
      <c r="H15" s="70" t="s">
        <v>36</v>
      </c>
      <c r="I15" s="70"/>
      <c r="J15" s="70"/>
      <c r="K15" s="70"/>
      <c r="L15" s="70"/>
      <c r="M15" s="70" t="s">
        <v>136</v>
      </c>
    </row>
    <row r="16" spans="7:14">
      <c r="H16" s="94" t="s">
        <v>127</v>
      </c>
      <c r="I16" s="94" t="s">
        <v>128</v>
      </c>
      <c r="J16" s="95"/>
      <c r="K16" s="95" t="s">
        <v>22</v>
      </c>
      <c r="L16" s="95" t="s">
        <v>129</v>
      </c>
      <c r="M16" s="91">
        <v>2.5402843601895736E-2</v>
      </c>
    </row>
    <row r="17" spans="8:13">
      <c r="H17" s="94" t="s">
        <v>130</v>
      </c>
      <c r="I17" s="92" t="s">
        <v>131</v>
      </c>
      <c r="J17" s="95"/>
      <c r="K17" s="93" t="s">
        <v>122</v>
      </c>
      <c r="L17" s="95"/>
      <c r="M17" s="96">
        <v>4.1706161137440759E-2</v>
      </c>
    </row>
    <row r="18" spans="8:13">
      <c r="H18" s="94"/>
      <c r="I18" s="94"/>
      <c r="J18" s="95"/>
      <c r="K18" s="95" t="s">
        <v>99</v>
      </c>
      <c r="L18" s="95"/>
      <c r="M18" s="96">
        <v>4.1706161137440759E-2</v>
      </c>
    </row>
    <row r="19" spans="8:13">
      <c r="H19" s="94"/>
      <c r="I19" s="94"/>
      <c r="J19" s="95"/>
      <c r="K19" s="95"/>
      <c r="L19" s="95" t="s">
        <v>134</v>
      </c>
      <c r="M19" s="96"/>
    </row>
    <row r="20" spans="8:13">
      <c r="H20" s="94" t="s">
        <v>132</v>
      </c>
      <c r="I20" s="94" t="s">
        <v>133</v>
      </c>
      <c r="J20" s="95"/>
      <c r="K20" s="95" t="s">
        <v>122</v>
      </c>
      <c r="L20" s="95"/>
      <c r="M20" s="96">
        <v>4.1706161137440759E-2</v>
      </c>
    </row>
    <row r="21" spans="8:13">
      <c r="H21" s="94"/>
      <c r="I21" s="94"/>
      <c r="J21" s="95"/>
      <c r="K21" s="95" t="s">
        <v>99</v>
      </c>
      <c r="L21" s="95"/>
      <c r="M21" s="96">
        <v>4.1706161137440759E-2</v>
      </c>
    </row>
    <row r="22" spans="8:13">
      <c r="H22" s="94"/>
      <c r="I22" s="94"/>
      <c r="J22" s="95"/>
      <c r="K22" s="95"/>
      <c r="L22" s="95" t="s">
        <v>135</v>
      </c>
      <c r="M22" s="9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SUP_BioGen1</vt:lpstr>
      <vt:lpstr>SUP_BioGen2</vt:lpstr>
      <vt:lpstr>SUP_Conversion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Mobir</dc:creator>
  <cp:lastModifiedBy>Mahmoud Mobir</cp:lastModifiedBy>
  <dcterms:created xsi:type="dcterms:W3CDTF">2022-01-17T14:34:50Z</dcterms:created>
  <dcterms:modified xsi:type="dcterms:W3CDTF">2022-01-17T20:17:08Z</dcterms:modified>
</cp:coreProperties>
</file>