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19F49696-5543-471E-B83B-BFA905A4466C}" xr6:coauthVersionLast="47" xr6:coauthVersionMax="47" xr10:uidLastSave="{00000000-0000-0000-0000-000000000000}"/>
  <bookViews>
    <workbookView xWindow="396" yWindow="3384" windowWidth="25476" windowHeight="11688" xr2:uid="{D7A8135B-8EF1-4730-8204-54F3CFCE917E}"/>
  </bookViews>
  <sheets>
    <sheet name="SUP_DA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" i="1" l="1"/>
  <c r="H13" i="1" s="1"/>
  <c r="I13" i="1" s="1"/>
  <c r="G12" i="1"/>
  <c r="H12" i="1" s="1"/>
  <c r="I12" i="1" s="1"/>
  <c r="G9" i="1"/>
  <c r="H9" i="1" s="1"/>
  <c r="I9" i="1" s="1"/>
  <c r="G8" i="1"/>
  <c r="H8" i="1" s="1"/>
  <c r="I8" i="1" s="1"/>
  <c r="W11" i="1"/>
  <c r="X11" i="1" s="1"/>
  <c r="Y11" i="1" s="1"/>
  <c r="U11" i="1"/>
  <c r="T11" i="1"/>
  <c r="S11" i="1"/>
  <c r="R11" i="1"/>
  <c r="N11" i="1"/>
  <c r="O11" i="1" s="1"/>
  <c r="P11" i="1" s="1"/>
  <c r="Q11" i="1" s="1"/>
  <c r="W7" i="1"/>
  <c r="X7" i="1" s="1"/>
  <c r="Y7" i="1" s="1"/>
  <c r="U7" i="1"/>
  <c r="T7" i="1"/>
  <c r="S7" i="1"/>
  <c r="R7" i="1"/>
  <c r="N7" i="1"/>
  <c r="O7" i="1" s="1"/>
  <c r="P7" i="1" s="1"/>
  <c r="Q7" i="1" s="1"/>
  <c r="H2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23" authorId="0" shapeId="0" xr:uid="{8DC831CD-AFBA-4A81-8393-3B8CD11FD836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23" authorId="0" shapeId="0" xr:uid="{96FF2865-D9A1-4F07-AFB6-699475795565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0" shapeId="0" xr:uid="{E2DE753E-4A5D-44A1-8584-066D5E77523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<sst xmlns="http://schemas.openxmlformats.org/spreadsheetml/2006/main" count="92" uniqueCount="65">
  <si>
    <t>TechName</t>
  </si>
  <si>
    <t>*TechDesc</t>
  </si>
  <si>
    <t>Comm-IN</t>
  </si>
  <si>
    <t>Comm-OUT</t>
  </si>
  <si>
    <t>Input</t>
  </si>
  <si>
    <t>Input~2020</t>
  </si>
  <si>
    <t>Input~2030</t>
  </si>
  <si>
    <t>Input~2050</t>
  </si>
  <si>
    <t>Output</t>
  </si>
  <si>
    <t>Output~2030</t>
  </si>
  <si>
    <t>Output~2050</t>
  </si>
  <si>
    <t>AF</t>
  </si>
  <si>
    <t>INVCOST</t>
  </si>
  <si>
    <t>INVCOST~2020</t>
  </si>
  <si>
    <t>INVCOST~2030</t>
  </si>
  <si>
    <t>INVCOST~2050</t>
  </si>
  <si>
    <t>FIXOM</t>
  </si>
  <si>
    <t>FIXOM~2020</t>
  </si>
  <si>
    <t>FIXOM~2030</t>
  </si>
  <si>
    <t>FIXOM~2050</t>
  </si>
  <si>
    <t>VAROM</t>
  </si>
  <si>
    <t>VAROM~2020</t>
  </si>
  <si>
    <t>VAROM~2030</t>
  </si>
  <si>
    <t>VAROM~2050</t>
  </si>
  <si>
    <t>LIFE</t>
  </si>
  <si>
    <t>Start</t>
  </si>
  <si>
    <t>Cap2Act</t>
  </si>
  <si>
    <t>*Technology Name</t>
  </si>
  <si>
    <t>Technology Description</t>
  </si>
  <si>
    <t>Input Commodity</t>
  </si>
  <si>
    <t>Output Commodity</t>
  </si>
  <si>
    <t>Years</t>
  </si>
  <si>
    <t>SNK_DAC</t>
  </si>
  <si>
    <t>Direct Air Capture - Chemical Absorption</t>
  </si>
  <si>
    <t>SNK_DAC_GAS</t>
  </si>
  <si>
    <t>Direct Air Capture - Chemical Absorption - Gas</t>
  </si>
  <si>
    <t>GASNAT</t>
  </si>
  <si>
    <t>ELC</t>
  </si>
  <si>
    <t>HET</t>
  </si>
  <si>
    <t>TOTCO2Net</t>
  </si>
  <si>
    <t>CO2Captured</t>
  </si>
  <si>
    <t>TechDesc</t>
  </si>
  <si>
    <t>Tact</t>
  </si>
  <si>
    <t>Tcap</t>
  </si>
  <si>
    <t>Tslvl</t>
  </si>
  <si>
    <t>PrimaryCG</t>
  </si>
  <si>
    <t>Vintage</t>
  </si>
  <si>
    <t>Activity Unit</t>
  </si>
  <si>
    <t>Capacity Unit</t>
  </si>
  <si>
    <t>Timeslice Operational Level</t>
  </si>
  <si>
    <t>Operational Commodity Group</t>
  </si>
  <si>
    <t>Vintage Tracking</t>
  </si>
  <si>
    <t>kton</t>
  </si>
  <si>
    <t>kton-y</t>
  </si>
  <si>
    <t>DAYNITE</t>
  </si>
  <si>
    <t>~FI_Process</t>
  </si>
  <si>
    <t>Sets</t>
  </si>
  <si>
    <t>\I: Process Set Membership</t>
  </si>
  <si>
    <t>Technology Name</t>
  </si>
  <si>
    <t>PRE</t>
  </si>
  <si>
    <t>~FI_T: USD10</t>
  </si>
  <si>
    <t>k$/(ton/yr); $/kW</t>
  </si>
  <si>
    <t>$/ton;$/kWh</t>
  </si>
  <si>
    <t>kt, Tbtu</t>
  </si>
  <si>
    <t>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</si>
</sst>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indexed="12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 wrapText="1"/>
    </xf>
    <xf numFmtId="0" fontId="4" fillId="0" borderId="0" xfId="1" applyFont="1" applyAlignment="1">
      <alignment horizontal="left" vertical="center" wrapText="1"/>
    </xf>
    <xf numFmtId="164" fontId="1" fillId="2" borderId="1" xfId="0" applyNumberFormat="1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 wrapText="1"/>
    </xf>
    <xf numFmtId="164" fontId="0" fillId="0" borderId="0" xfId="0" applyNumberFormat="1"/>
    <xf numFmtId="164" fontId="4" fillId="0" borderId="0" xfId="1" applyNumberFormat="1" applyFont="1" applyAlignment="1">
      <alignment horizontal="left" vertical="center" wrapText="1"/>
    </xf>
    <xf numFmtId="0" fontId="7" fillId="0" borderId="0" xfId="0" applyFont="1"/>
  </cellXfs>
  <cellStyles count="2">
    <cellStyle name="Normal" xfId="0" builtinId="0"/>
    <cellStyle name="Normal 10 2 4" xfId="1" xr:uid="{E06CFC9C-768E-4C0D-95FC-C4044B7EA44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89EB1-03C8-41DF-9F76-ED40607CBFAA}">
  <dimension ref="B4:AB26"/>
  <sheetViews>
    <sheetView tabSelected="1" topLeftCell="Q1" workbookViewId="0">
      <selection activeCell="Z8" sqref="Z8"/>
    </sheetView>
  </sheetViews>
  <sheetFormatPr defaultRowHeight="14.4" x14ac:dyDescent="0.3"/>
  <cols>
    <col min="2" max="2" width="12.88671875" bestFit="1" customWidth="1"/>
    <col min="3" max="4" width="39.109375" bestFit="1" customWidth="1"/>
    <col min="5" max="5" width="10.88671875" bestFit="1" customWidth="1"/>
    <col min="6" max="6" width="7" bestFit="1" customWidth="1"/>
    <col min="7" max="7" width="10.5546875" bestFit="1" customWidth="1"/>
    <col min="8" max="8" width="11.88671875" bestFit="1" customWidth="1"/>
    <col min="9" max="9" width="10.5546875" bestFit="1" customWidth="1"/>
    <col min="10" max="10" width="7" bestFit="1" customWidth="1"/>
    <col min="11" max="12" width="12" bestFit="1" customWidth="1"/>
    <col min="13" max="13" width="4" bestFit="1" customWidth="1"/>
    <col min="14" max="14" width="8.5546875" bestFit="1" customWidth="1"/>
    <col min="15" max="17" width="13.6640625" bestFit="1" customWidth="1"/>
    <col min="18" max="18" width="8.5546875" bestFit="1" customWidth="1"/>
    <col min="19" max="21" width="11.6640625" bestFit="1" customWidth="1"/>
    <col min="22" max="22" width="8.6640625" bestFit="1" customWidth="1"/>
    <col min="23" max="25" width="12.6640625" bestFit="1" customWidth="1"/>
    <col min="26" max="26" width="5.109375" bestFit="1" customWidth="1"/>
    <col min="27" max="27" width="5" bestFit="1" customWidth="1"/>
    <col min="28" max="28" width="8" bestFit="1" customWidth="1"/>
  </cols>
  <sheetData>
    <row r="4" spans="2:28" ht="28.8" x14ac:dyDescent="0.3">
      <c r="E4" s="3" t="s">
        <v>60</v>
      </c>
    </row>
    <row r="5" spans="2:28" ht="15" thickBot="1" x14ac:dyDescent="0.35">
      <c r="B5" s="1" t="s">
        <v>0</v>
      </c>
      <c r="C5" s="1" t="s">
        <v>1</v>
      </c>
      <c r="D5" s="1" t="s">
        <v>2</v>
      </c>
      <c r="E5" s="1" t="s">
        <v>3</v>
      </c>
      <c r="F5" s="1" t="s">
        <v>4</v>
      </c>
      <c r="G5" s="1" t="s">
        <v>5</v>
      </c>
      <c r="H5" s="1" t="s">
        <v>6</v>
      </c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 t="s">
        <v>12</v>
      </c>
      <c r="O5" s="1" t="s">
        <v>13</v>
      </c>
      <c r="P5" s="1" t="s">
        <v>14</v>
      </c>
      <c r="Q5" s="1" t="s">
        <v>15</v>
      </c>
      <c r="R5" s="1" t="s">
        <v>16</v>
      </c>
      <c r="S5" s="1" t="s">
        <v>17</v>
      </c>
      <c r="T5" s="1" t="s">
        <v>18</v>
      </c>
      <c r="U5" s="1" t="s">
        <v>19</v>
      </c>
      <c r="V5" s="1" t="s">
        <v>20</v>
      </c>
      <c r="W5" s="1" t="s">
        <v>21</v>
      </c>
      <c r="X5" s="1" t="s">
        <v>22</v>
      </c>
      <c r="Y5" s="1" t="s">
        <v>23</v>
      </c>
      <c r="Z5" s="1" t="s">
        <v>24</v>
      </c>
      <c r="AA5" s="1" t="s">
        <v>25</v>
      </c>
      <c r="AB5" s="1" t="s">
        <v>26</v>
      </c>
    </row>
    <row r="6" spans="2:28" ht="27.6" x14ac:dyDescent="0.3">
      <c r="B6" s="2" t="s">
        <v>27</v>
      </c>
      <c r="C6" s="2" t="s">
        <v>28</v>
      </c>
      <c r="D6" s="2" t="s">
        <v>29</v>
      </c>
      <c r="E6" s="2" t="s">
        <v>30</v>
      </c>
      <c r="F6" s="2" t="s">
        <v>63</v>
      </c>
      <c r="G6" s="2" t="s">
        <v>63</v>
      </c>
      <c r="H6" s="2" t="s">
        <v>63</v>
      </c>
      <c r="I6" s="2" t="s">
        <v>63</v>
      </c>
      <c r="J6" s="2" t="s">
        <v>64</v>
      </c>
      <c r="K6" s="2"/>
      <c r="L6" s="2"/>
      <c r="M6" s="2"/>
      <c r="N6" s="2" t="s">
        <v>61</v>
      </c>
      <c r="O6" s="2" t="s">
        <v>61</v>
      </c>
      <c r="P6" s="2" t="s">
        <v>61</v>
      </c>
      <c r="Q6" s="2" t="s">
        <v>61</v>
      </c>
      <c r="R6" s="2" t="s">
        <v>61</v>
      </c>
      <c r="S6" s="2" t="s">
        <v>61</v>
      </c>
      <c r="T6" s="2" t="s">
        <v>61</v>
      </c>
      <c r="U6" s="2" t="s">
        <v>61</v>
      </c>
      <c r="V6" s="2" t="s">
        <v>62</v>
      </c>
      <c r="W6" s="2" t="s">
        <v>62</v>
      </c>
      <c r="X6" s="2" t="s">
        <v>62</v>
      </c>
      <c r="Y6" s="2" t="s">
        <v>62</v>
      </c>
      <c r="Z6" s="2" t="s">
        <v>31</v>
      </c>
      <c r="AA6" s="2"/>
      <c r="AB6" s="2"/>
    </row>
    <row r="7" spans="2:28" x14ac:dyDescent="0.3">
      <c r="B7" t="s">
        <v>32</v>
      </c>
      <c r="C7" t="s">
        <v>33</v>
      </c>
      <c r="D7" t="s">
        <v>39</v>
      </c>
      <c r="F7">
        <v>1</v>
      </c>
      <c r="G7">
        <v>1</v>
      </c>
      <c r="H7">
        <v>1</v>
      </c>
      <c r="I7">
        <v>1</v>
      </c>
      <c r="M7">
        <v>0.9</v>
      </c>
      <c r="N7">
        <f>(2900/1000)*1.327</f>
        <v>3.8482999999999996</v>
      </c>
      <c r="O7">
        <f>(N7*0.8)*1.327</f>
        <v>4.0853552799999999</v>
      </c>
      <c r="P7">
        <f>(O7*0.8)*1.327</f>
        <v>4.337013165248</v>
      </c>
      <c r="Q7">
        <f>(P7*0.8)*1.327</f>
        <v>4.6041731762272775</v>
      </c>
      <c r="R7">
        <f>(90/1000)*1.327</f>
        <v>0.11942999999999999</v>
      </c>
      <c r="S7">
        <f>(90/1000)*1.327</f>
        <v>0.11942999999999999</v>
      </c>
      <c r="T7">
        <f>(90/1000)*1.327</f>
        <v>0.11942999999999999</v>
      </c>
      <c r="U7">
        <f>(90/1000)*1.327</f>
        <v>0.11942999999999999</v>
      </c>
      <c r="V7">
        <v>0.13270000000000001</v>
      </c>
      <c r="W7">
        <f>(V7*0.8)*1.327</f>
        <v>0.14087432000000003</v>
      </c>
      <c r="X7">
        <f>(W7*0.8)*1.327</f>
        <v>0.14955217811200003</v>
      </c>
      <c r="Y7">
        <f>(X7*0.8)*1.327</f>
        <v>0.15876459228369921</v>
      </c>
      <c r="Z7">
        <v>25</v>
      </c>
      <c r="AA7">
        <v>2025</v>
      </c>
      <c r="AB7">
        <v>1</v>
      </c>
    </row>
    <row r="8" spans="2:28" x14ac:dyDescent="0.3">
      <c r="D8" t="s">
        <v>37</v>
      </c>
      <c r="F8">
        <v>2.3695000000000001E-3</v>
      </c>
      <c r="G8">
        <f t="shared" ref="G8:I9" si="0">(F8*0.8)*0.9478</f>
        <v>1.7966496800000001E-3</v>
      </c>
      <c r="H8">
        <f t="shared" si="0"/>
        <v>1.3622916533632E-3</v>
      </c>
      <c r="I8">
        <f t="shared" si="0"/>
        <v>1.0329440232461128E-3</v>
      </c>
    </row>
    <row r="9" spans="2:28" x14ac:dyDescent="0.3">
      <c r="D9" t="s">
        <v>38</v>
      </c>
      <c r="F9">
        <v>1.08997E-2</v>
      </c>
      <c r="G9">
        <f t="shared" si="0"/>
        <v>8.2645885279999994E-3</v>
      </c>
      <c r="H9">
        <f t="shared" si="0"/>
        <v>6.2665416054707192E-3</v>
      </c>
      <c r="I9">
        <f t="shared" si="0"/>
        <v>4.7515425069321188E-3</v>
      </c>
    </row>
    <row r="10" spans="2:28" x14ac:dyDescent="0.3">
      <c r="E10" t="s">
        <v>40</v>
      </c>
      <c r="J10">
        <v>1</v>
      </c>
    </row>
    <row r="11" spans="2:28" x14ac:dyDescent="0.3">
      <c r="B11" t="s">
        <v>34</v>
      </c>
      <c r="C11" t="s">
        <v>35</v>
      </c>
      <c r="D11" t="s">
        <v>39</v>
      </c>
      <c r="F11">
        <v>1</v>
      </c>
      <c r="G11">
        <v>1</v>
      </c>
      <c r="H11">
        <v>1</v>
      </c>
      <c r="I11">
        <v>1</v>
      </c>
      <c r="M11">
        <v>0.9</v>
      </c>
      <c r="N11">
        <f>(2900/1000)*1.327</f>
        <v>3.8482999999999996</v>
      </c>
      <c r="O11">
        <f>(N11*0.8)*1.327</f>
        <v>4.0853552799999999</v>
      </c>
      <c r="P11">
        <f>(O11*0.8)*1.327</f>
        <v>4.337013165248</v>
      </c>
      <c r="Q11">
        <f>(P11*0.8)*1.327</f>
        <v>4.6041731762272775</v>
      </c>
      <c r="R11">
        <f>(90/1000)*1.327</f>
        <v>0.11942999999999999</v>
      </c>
      <c r="S11">
        <f>(90/1000)*1.327</f>
        <v>0.11942999999999999</v>
      </c>
      <c r="T11">
        <f>(90/1000)*1.327</f>
        <v>0.11942999999999999</v>
      </c>
      <c r="U11">
        <f>(90/1000)*1.327</f>
        <v>0.11942999999999999</v>
      </c>
      <c r="V11">
        <v>0.13270000000000001</v>
      </c>
      <c r="W11">
        <f>(V11*0.8)*1.327</f>
        <v>0.14087432000000003</v>
      </c>
      <c r="X11">
        <f>(W11*0.8)*1.327</f>
        <v>0.14955217811200003</v>
      </c>
      <c r="Y11">
        <f>(X11*0.8)*1.327</f>
        <v>0.15876459228369921</v>
      </c>
      <c r="Z11">
        <v>25</v>
      </c>
      <c r="AA11">
        <v>2100</v>
      </c>
      <c r="AB11">
        <v>1</v>
      </c>
    </row>
    <row r="12" spans="2:28" x14ac:dyDescent="0.3">
      <c r="D12" t="s">
        <v>37</v>
      </c>
      <c r="F12">
        <v>2.3695000000000001E-3</v>
      </c>
      <c r="G12">
        <f t="shared" ref="G12:I13" si="1">(F12*0.8)*0.9478</f>
        <v>1.7966496800000001E-3</v>
      </c>
      <c r="H12">
        <f t="shared" si="1"/>
        <v>1.3622916533632E-3</v>
      </c>
      <c r="I12">
        <f t="shared" si="1"/>
        <v>1.0329440232461128E-3</v>
      </c>
    </row>
    <row r="13" spans="2:28" x14ac:dyDescent="0.3">
      <c r="D13" t="s">
        <v>36</v>
      </c>
      <c r="F13">
        <v>1.08997E-2</v>
      </c>
      <c r="G13">
        <f t="shared" si="1"/>
        <v>8.2645885279999994E-3</v>
      </c>
      <c r="H13">
        <f t="shared" si="1"/>
        <v>6.2665416054707192E-3</v>
      </c>
      <c r="I13">
        <f t="shared" si="1"/>
        <v>4.7515425069321188E-3</v>
      </c>
    </row>
    <row r="14" spans="2:28" x14ac:dyDescent="0.3">
      <c r="E14" t="s">
        <v>40</v>
      </c>
      <c r="J14">
        <v>1</v>
      </c>
    </row>
    <row r="20" spans="2:12" x14ac:dyDescent="0.3">
      <c r="L20" s="8"/>
    </row>
    <row r="22" spans="2:12" x14ac:dyDescent="0.3">
      <c r="B22" s="7" t="s">
        <v>55</v>
      </c>
      <c r="C22" s="6"/>
      <c r="D22" s="6"/>
      <c r="E22" s="6"/>
      <c r="F22" s="6"/>
      <c r="G22" s="6"/>
      <c r="H22" s="6"/>
      <c r="I22" s="6"/>
    </row>
    <row r="23" spans="2:12" ht="15" thickBot="1" x14ac:dyDescent="0.35">
      <c r="B23" s="4" t="s">
        <v>56</v>
      </c>
      <c r="C23" s="4" t="s">
        <v>0</v>
      </c>
      <c r="D23" s="4" t="s">
        <v>41</v>
      </c>
      <c r="E23" s="4" t="s">
        <v>42</v>
      </c>
      <c r="F23" s="4" t="s">
        <v>43</v>
      </c>
      <c r="G23" s="4" t="s">
        <v>44</v>
      </c>
      <c r="H23" s="4" t="s">
        <v>45</v>
      </c>
      <c r="I23" s="4" t="s">
        <v>46</v>
      </c>
    </row>
    <row r="24" spans="2:12" ht="41.4" x14ac:dyDescent="0.3">
      <c r="B24" s="5" t="s">
        <v>57</v>
      </c>
      <c r="C24" s="5" t="s">
        <v>58</v>
      </c>
      <c r="D24" s="5" t="s">
        <v>28</v>
      </c>
      <c r="E24" s="5" t="s">
        <v>47</v>
      </c>
      <c r="F24" s="5" t="s">
        <v>48</v>
      </c>
      <c r="G24" s="5" t="s">
        <v>49</v>
      </c>
      <c r="H24" s="5" t="s">
        <v>50</v>
      </c>
      <c r="I24" s="5" t="s">
        <v>51</v>
      </c>
    </row>
    <row r="25" spans="2:12" x14ac:dyDescent="0.3">
      <c r="B25" s="6" t="s">
        <v>59</v>
      </c>
      <c r="C25" s="6" t="s">
        <v>32</v>
      </c>
      <c r="D25" s="6" t="s">
        <v>33</v>
      </c>
      <c r="E25" s="6" t="s">
        <v>52</v>
      </c>
      <c r="F25" s="6" t="s">
        <v>53</v>
      </c>
      <c r="G25" s="6" t="s">
        <v>54</v>
      </c>
      <c r="H25" s="6" t="s">
        <v>40</v>
      </c>
      <c r="I25" s="6"/>
    </row>
    <row r="26" spans="2:12" x14ac:dyDescent="0.3">
      <c r="B26" s="6" t="s">
        <v>59</v>
      </c>
      <c r="C26" s="6" t="s">
        <v>34</v>
      </c>
      <c r="D26" s="6" t="s">
        <v>35</v>
      </c>
      <c r="E26" s="6" t="s">
        <v>52</v>
      </c>
      <c r="F26" s="6" t="s">
        <v>53</v>
      </c>
      <c r="G26" s="6" t="s">
        <v>54</v>
      </c>
      <c r="H26" s="6" t="str">
        <f>H25</f>
        <v>CO2Captured</v>
      </c>
      <c r="I26" s="6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SUP_DAC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Mobir</dc:creator>
  <cp:lastModifiedBy>Mahmoud Mobir</cp:lastModifiedBy>
  <dcterms:created xsi:type="dcterms:W3CDTF">2021-12-13T14:01:49Z</dcterms:created>
  <dcterms:modified xsi:type="dcterms:W3CDTF">2021-12-15T19:14:03Z</dcterms:modified>
</cp:coreProperties>
</file>