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FE7B0BD2-99CC-417F-A66C-8C54DAF6DDF4}" xr6:coauthVersionLast="47" xr6:coauthVersionMax="47" xr10:uidLastSave="{00000000-0000-0000-0000-000000000000}"/>
  <bookViews>
    <workbookView xWindow="-3672" yWindow="-17388" windowWidth="30936" windowHeight="16896" activeTab="7" xr2:uid="{00000000-000D-0000-FFFF-FFFF00000000}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9" l="1"/>
  <c r="B14" i="19"/>
  <c r="L15" i="19"/>
  <c r="G15" i="19"/>
  <c r="L11" i="19"/>
  <c r="F12" i="19" l="1"/>
  <c r="G11" i="19" l="1"/>
  <c r="B32" i="26" l="1"/>
  <c r="B31" i="26"/>
  <c r="B44" i="26" s="1"/>
  <c r="B30" i="26"/>
  <c r="B43" i="26" s="1"/>
  <c r="B29" i="26"/>
  <c r="B28" i="26"/>
  <c r="B42" i="26" s="1"/>
  <c r="B27" i="26"/>
  <c r="B41" i="26" s="1"/>
  <c r="B26" i="26"/>
  <c r="B40" i="26" s="1"/>
  <c r="B25" i="26"/>
  <c r="B39" i="26" s="1"/>
  <c r="B24" i="26"/>
  <c r="B38" i="26" s="1"/>
  <c r="B23" i="26"/>
  <c r="B37" i="26" s="1"/>
  <c r="AC19" i="26"/>
  <c r="AC18" i="26"/>
  <c r="AC17" i="26"/>
  <c r="AC16" i="26"/>
  <c r="Q16" i="26"/>
  <c r="AC15" i="26"/>
  <c r="Q15" i="26"/>
  <c r="N15" i="26"/>
  <c r="I15" i="26" s="1"/>
  <c r="J15" i="26"/>
  <c r="H15" i="26"/>
  <c r="AC14" i="26"/>
  <c r="Q14" i="26"/>
  <c r="I14" i="26"/>
  <c r="AC13" i="26"/>
  <c r="Q13" i="26"/>
  <c r="I13" i="26"/>
  <c r="AC12" i="26"/>
  <c r="Q12" i="26"/>
  <c r="I12" i="26"/>
  <c r="AC11" i="26"/>
  <c r="Q11" i="26"/>
  <c r="I11" i="26"/>
  <c r="AC10" i="26"/>
  <c r="Q10" i="26"/>
  <c r="I10" i="26"/>
  <c r="AC9" i="26"/>
  <c r="Q9" i="26"/>
  <c r="I9" i="26"/>
  <c r="AC8" i="26"/>
  <c r="Q8" i="26"/>
  <c r="I8" i="26"/>
  <c r="AC7" i="26"/>
  <c r="Q7" i="26"/>
  <c r="I7" i="26"/>
  <c r="AC6" i="26"/>
  <c r="Q6" i="26"/>
  <c r="I6" i="26"/>
  <c r="AC5" i="26"/>
  <c r="Q5" i="26"/>
  <c r="I5" i="26"/>
  <c r="AC4" i="26"/>
  <c r="Q4" i="26"/>
  <c r="I4" i="26"/>
  <c r="K4" i="23" l="1"/>
  <c r="T4" i="23"/>
  <c r="S4" i="23"/>
  <c r="R4" i="23"/>
  <c r="Q4" i="23"/>
  <c r="P4" i="23"/>
  <c r="O4" i="23"/>
  <c r="N4" i="23"/>
  <c r="M4" i="23"/>
  <c r="L4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5" i="23"/>
  <c r="L3" i="23"/>
  <c r="P6" i="23" s="1"/>
  <c r="AC19" i="21"/>
  <c r="AC5" i="21"/>
  <c r="AC6" i="21"/>
  <c r="AC7" i="21"/>
  <c r="AC8" i="21"/>
  <c r="AC9" i="21"/>
  <c r="AC10" i="21"/>
  <c r="AC11" i="21"/>
  <c r="AC12" i="21"/>
  <c r="AC13" i="21"/>
  <c r="AC14" i="21"/>
  <c r="AC15" i="21"/>
  <c r="AC16" i="21"/>
  <c r="AC17" i="21"/>
  <c r="AC18" i="21"/>
  <c r="AC4" i="21"/>
  <c r="B23" i="21"/>
  <c r="B24" i="21"/>
  <c r="B25" i="21"/>
  <c r="B26" i="21"/>
  <c r="B27" i="21"/>
  <c r="B28" i="21"/>
  <c r="B29" i="21"/>
  <c r="B30" i="21"/>
  <c r="B31" i="21"/>
  <c r="B32" i="21"/>
  <c r="I4" i="21"/>
  <c r="I5" i="21"/>
  <c r="I6" i="21"/>
  <c r="I7" i="21"/>
  <c r="I8" i="21"/>
  <c r="I9" i="21"/>
  <c r="I10" i="21"/>
  <c r="I11" i="21"/>
  <c r="I12" i="21"/>
  <c r="I13" i="21"/>
  <c r="I14" i="21"/>
  <c r="H15" i="21"/>
  <c r="J15" i="21"/>
  <c r="Q5" i="21"/>
  <c r="Q6" i="21"/>
  <c r="Q7" i="21"/>
  <c r="Q8" i="21"/>
  <c r="Q9" i="21"/>
  <c r="Q10" i="21"/>
  <c r="Q11" i="21"/>
  <c r="Q12" i="21"/>
  <c r="Q13" i="21"/>
  <c r="Q14" i="21"/>
  <c r="Q15" i="21"/>
  <c r="Q16" i="21"/>
  <c r="Q4" i="21"/>
  <c r="N15" i="21"/>
  <c r="I15" i="21" s="1"/>
  <c r="D10" i="20"/>
  <c r="B10" i="20"/>
  <c r="E8" i="20"/>
  <c r="E7" i="20"/>
  <c r="E6" i="20"/>
  <c r="E5" i="20"/>
  <c r="B8" i="20"/>
  <c r="B7" i="20"/>
  <c r="B6" i="20"/>
  <c r="B5" i="20"/>
  <c r="AD18" i="21" l="1"/>
  <c r="T35" i="23"/>
  <c r="O34" i="23"/>
  <c r="Q29" i="23"/>
  <c r="M27" i="23"/>
  <c r="Q25" i="23"/>
  <c r="M23" i="23"/>
  <c r="Q21" i="23"/>
  <c r="M19" i="23"/>
  <c r="Q17" i="23"/>
  <c r="M15" i="23"/>
  <c r="Q13" i="23"/>
  <c r="M11" i="23"/>
  <c r="Q9" i="23"/>
  <c r="M7" i="23"/>
  <c r="R5" i="23"/>
  <c r="S36" i="23"/>
  <c r="M35" i="23"/>
  <c r="N34" i="23"/>
  <c r="T31" i="23"/>
  <c r="O30" i="23"/>
  <c r="AD6" i="21"/>
  <c r="O5" i="23"/>
  <c r="Q33" i="23"/>
  <c r="R32" i="23"/>
  <c r="L31" i="23"/>
  <c r="L5" i="23"/>
  <c r="P33" i="23"/>
  <c r="AD10" i="21"/>
  <c r="P5" i="23"/>
  <c r="R36" i="23"/>
  <c r="L35" i="23"/>
  <c r="S32" i="23"/>
  <c r="M31" i="23"/>
  <c r="N30" i="23"/>
  <c r="S28" i="23"/>
  <c r="O26" i="23"/>
  <c r="S24" i="23"/>
  <c r="O22" i="23"/>
  <c r="S20" i="23"/>
  <c r="O18" i="23"/>
  <c r="S16" i="23"/>
  <c r="O14" i="23"/>
  <c r="S12" i="23"/>
  <c r="O10" i="23"/>
  <c r="S8" i="23"/>
  <c r="O6" i="23"/>
  <c r="AD19" i="21"/>
  <c r="AD11" i="21"/>
  <c r="P29" i="23"/>
  <c r="R28" i="23"/>
  <c r="T27" i="23"/>
  <c r="L27" i="23"/>
  <c r="N26" i="23"/>
  <c r="P25" i="23"/>
  <c r="R24" i="23"/>
  <c r="T23" i="23"/>
  <c r="L23" i="23"/>
  <c r="N22" i="23"/>
  <c r="P21" i="23"/>
  <c r="R20" i="23"/>
  <c r="T19" i="23"/>
  <c r="L19" i="23"/>
  <c r="N18" i="23"/>
  <c r="P17" i="23"/>
  <c r="R16" i="23"/>
  <c r="T15" i="23"/>
  <c r="L15" i="23"/>
  <c r="N14" i="23"/>
  <c r="P13" i="23"/>
  <c r="R12" i="23"/>
  <c r="T11" i="23"/>
  <c r="L11" i="23"/>
  <c r="N10" i="23"/>
  <c r="P9" i="23"/>
  <c r="R8" i="23"/>
  <c r="T7" i="23"/>
  <c r="L7" i="23"/>
  <c r="N6" i="23"/>
  <c r="AH32" i="26"/>
  <c r="Z32" i="26"/>
  <c r="R32" i="26"/>
  <c r="J32" i="26"/>
  <c r="AG32" i="26"/>
  <c r="Y32" i="26"/>
  <c r="Q32" i="26"/>
  <c r="I32" i="26"/>
  <c r="AF32" i="26"/>
  <c r="X32" i="26"/>
  <c r="P32" i="26"/>
  <c r="H32" i="26"/>
  <c r="AE32" i="26"/>
  <c r="W32" i="26"/>
  <c r="O32" i="26"/>
  <c r="G32" i="26"/>
  <c r="AD32" i="26"/>
  <c r="V32" i="26"/>
  <c r="N32" i="26"/>
  <c r="F32" i="26"/>
  <c r="AC32" i="26"/>
  <c r="U32" i="26"/>
  <c r="M32" i="26"/>
  <c r="E32" i="26"/>
  <c r="AB32" i="26"/>
  <c r="T32" i="26"/>
  <c r="L32" i="26"/>
  <c r="D32" i="26"/>
  <c r="AA32" i="26"/>
  <c r="S32" i="26"/>
  <c r="K32" i="26"/>
  <c r="C32" i="26"/>
  <c r="B38" i="21"/>
  <c r="AH24" i="26"/>
  <c r="Z24" i="26"/>
  <c r="R24" i="26"/>
  <c r="J24" i="26"/>
  <c r="AG24" i="26"/>
  <c r="Y24" i="26"/>
  <c r="Q24" i="26"/>
  <c r="I24" i="26"/>
  <c r="AF24" i="26"/>
  <c r="X24" i="26"/>
  <c r="P24" i="26"/>
  <c r="H24" i="26"/>
  <c r="AE24" i="26"/>
  <c r="W24" i="26"/>
  <c r="O24" i="26"/>
  <c r="G24" i="26"/>
  <c r="AD24" i="26"/>
  <c r="V24" i="26"/>
  <c r="N24" i="26"/>
  <c r="F24" i="26"/>
  <c r="AC24" i="26"/>
  <c r="U24" i="26"/>
  <c r="M24" i="26"/>
  <c r="E24" i="26"/>
  <c r="AB24" i="26"/>
  <c r="T24" i="26"/>
  <c r="L24" i="26"/>
  <c r="D24" i="26"/>
  <c r="AA24" i="26"/>
  <c r="S24" i="26"/>
  <c r="K24" i="26"/>
  <c r="C24" i="26"/>
  <c r="N5" i="23"/>
  <c r="Q36" i="23"/>
  <c r="S35" i="23"/>
  <c r="M34" i="23"/>
  <c r="O33" i="23"/>
  <c r="Q32" i="23"/>
  <c r="S31" i="23"/>
  <c r="M30" i="23"/>
  <c r="O29" i="23"/>
  <c r="Q28" i="23"/>
  <c r="S27" i="23"/>
  <c r="M26" i="23"/>
  <c r="O25" i="23"/>
  <c r="Q24" i="23"/>
  <c r="S23" i="23"/>
  <c r="M22" i="23"/>
  <c r="O21" i="23"/>
  <c r="Q20" i="23"/>
  <c r="S19" i="23"/>
  <c r="M18" i="23"/>
  <c r="O17" i="23"/>
  <c r="Q16" i="23"/>
  <c r="S15" i="23"/>
  <c r="M14" i="23"/>
  <c r="O13" i="23"/>
  <c r="Q12" i="23"/>
  <c r="S11" i="23"/>
  <c r="M10" i="23"/>
  <c r="O9" i="23"/>
  <c r="Q8" i="23"/>
  <c r="S7" i="23"/>
  <c r="M6" i="23"/>
  <c r="AD17" i="21"/>
  <c r="AD9" i="21"/>
  <c r="H31" i="21"/>
  <c r="AA31" i="26"/>
  <c r="AH31" i="26"/>
  <c r="AG31" i="26"/>
  <c r="AF31" i="26"/>
  <c r="AE31" i="26"/>
  <c r="AD31" i="26"/>
  <c r="AC31" i="26"/>
  <c r="AB31" i="26"/>
  <c r="AG23" i="21"/>
  <c r="AA23" i="26"/>
  <c r="S23" i="26"/>
  <c r="K23" i="26"/>
  <c r="C23" i="26"/>
  <c r="AH23" i="26"/>
  <c r="Z23" i="26"/>
  <c r="R23" i="26"/>
  <c r="J23" i="26"/>
  <c r="AG23" i="26"/>
  <c r="Y23" i="26"/>
  <c r="Q23" i="26"/>
  <c r="I23" i="26"/>
  <c r="AF23" i="26"/>
  <c r="X23" i="26"/>
  <c r="P23" i="26"/>
  <c r="H23" i="26"/>
  <c r="AE23" i="26"/>
  <c r="W23" i="26"/>
  <c r="O23" i="26"/>
  <c r="G23" i="26"/>
  <c r="AD23" i="26"/>
  <c r="V23" i="26"/>
  <c r="N23" i="26"/>
  <c r="F23" i="26"/>
  <c r="AC23" i="26"/>
  <c r="U23" i="26"/>
  <c r="M23" i="26"/>
  <c r="E23" i="26"/>
  <c r="AB23" i="26"/>
  <c r="T23" i="26"/>
  <c r="L23" i="26"/>
  <c r="D23" i="26"/>
  <c r="M5" i="23"/>
  <c r="P36" i="23"/>
  <c r="R35" i="23"/>
  <c r="T34" i="23"/>
  <c r="L34" i="23"/>
  <c r="N33" i="23"/>
  <c r="P32" i="23"/>
  <c r="R31" i="23"/>
  <c r="T30" i="23"/>
  <c r="L30" i="23"/>
  <c r="N29" i="23"/>
  <c r="P28" i="23"/>
  <c r="R27" i="23"/>
  <c r="T26" i="23"/>
  <c r="L26" i="23"/>
  <c r="N25" i="23"/>
  <c r="P24" i="23"/>
  <c r="R23" i="23"/>
  <c r="T22" i="23"/>
  <c r="L22" i="23"/>
  <c r="N21" i="23"/>
  <c r="P20" i="23"/>
  <c r="R19" i="23"/>
  <c r="T18" i="23"/>
  <c r="L18" i="23"/>
  <c r="N17" i="23"/>
  <c r="P16" i="23"/>
  <c r="R15" i="23"/>
  <c r="T14" i="23"/>
  <c r="L14" i="23"/>
  <c r="N13" i="23"/>
  <c r="P12" i="23"/>
  <c r="R11" i="23"/>
  <c r="T10" i="23"/>
  <c r="L10" i="23"/>
  <c r="N9" i="23"/>
  <c r="P8" i="23"/>
  <c r="R7" i="23"/>
  <c r="T6" i="23"/>
  <c r="L6" i="23"/>
  <c r="AD16" i="21"/>
  <c r="AD8" i="21"/>
  <c r="B43" i="21"/>
  <c r="AB30" i="26"/>
  <c r="T30" i="26"/>
  <c r="L30" i="26"/>
  <c r="D30" i="26"/>
  <c r="AA30" i="26"/>
  <c r="S30" i="26"/>
  <c r="K30" i="26"/>
  <c r="C30" i="26"/>
  <c r="AH30" i="26"/>
  <c r="Z30" i="26"/>
  <c r="R30" i="26"/>
  <c r="J30" i="26"/>
  <c r="AG30" i="26"/>
  <c r="Y30" i="26"/>
  <c r="Q30" i="26"/>
  <c r="I30" i="26"/>
  <c r="AF30" i="26"/>
  <c r="X30" i="26"/>
  <c r="P30" i="26"/>
  <c r="H30" i="26"/>
  <c r="AE30" i="26"/>
  <c r="W30" i="26"/>
  <c r="O30" i="26"/>
  <c r="G30" i="26"/>
  <c r="AD30" i="26"/>
  <c r="V30" i="26"/>
  <c r="N30" i="26"/>
  <c r="F30" i="26"/>
  <c r="AC30" i="26"/>
  <c r="U30" i="26"/>
  <c r="M30" i="26"/>
  <c r="E30" i="26"/>
  <c r="T5" i="23"/>
  <c r="O36" i="23"/>
  <c r="Q35" i="23"/>
  <c r="S34" i="23"/>
  <c r="M33" i="23"/>
  <c r="O32" i="23"/>
  <c r="Q31" i="23"/>
  <c r="S30" i="23"/>
  <c r="M29" i="23"/>
  <c r="O28" i="23"/>
  <c r="Q27" i="23"/>
  <c r="S26" i="23"/>
  <c r="M25" i="23"/>
  <c r="O24" i="23"/>
  <c r="Q23" i="23"/>
  <c r="S22" i="23"/>
  <c r="M21" i="23"/>
  <c r="O20" i="23"/>
  <c r="Q19" i="23"/>
  <c r="S18" i="23"/>
  <c r="M17" i="23"/>
  <c r="O16" i="23"/>
  <c r="Q15" i="23"/>
  <c r="S14" i="23"/>
  <c r="M13" i="23"/>
  <c r="O12" i="23"/>
  <c r="Q11" i="23"/>
  <c r="S10" i="23"/>
  <c r="M9" i="23"/>
  <c r="O8" i="23"/>
  <c r="Q7" i="23"/>
  <c r="S6" i="23"/>
  <c r="AD15" i="21"/>
  <c r="AD7" i="21"/>
  <c r="AF25" i="21"/>
  <c r="AG25" i="26"/>
  <c r="Y25" i="26"/>
  <c r="Y31" i="26" s="1"/>
  <c r="Q25" i="26"/>
  <c r="Q31" i="26" s="1"/>
  <c r="I25" i="26"/>
  <c r="I31" i="26" s="1"/>
  <c r="AF25" i="26"/>
  <c r="X25" i="26"/>
  <c r="X31" i="26" s="1"/>
  <c r="P25" i="26"/>
  <c r="P31" i="26" s="1"/>
  <c r="H25" i="26"/>
  <c r="H31" i="26" s="1"/>
  <c r="AE25" i="26"/>
  <c r="W25" i="26"/>
  <c r="W31" i="26" s="1"/>
  <c r="O25" i="26"/>
  <c r="O31" i="26" s="1"/>
  <c r="G25" i="26"/>
  <c r="G31" i="26" s="1"/>
  <c r="AD25" i="26"/>
  <c r="V25" i="26"/>
  <c r="V31" i="26" s="1"/>
  <c r="N25" i="26"/>
  <c r="N31" i="26" s="1"/>
  <c r="F25" i="26"/>
  <c r="F31" i="26" s="1"/>
  <c r="AC25" i="26"/>
  <c r="U25" i="26"/>
  <c r="U31" i="26" s="1"/>
  <c r="M25" i="26"/>
  <c r="M31" i="26" s="1"/>
  <c r="E25" i="26"/>
  <c r="E31" i="26" s="1"/>
  <c r="AB25" i="26"/>
  <c r="T25" i="26"/>
  <c r="T31" i="26" s="1"/>
  <c r="L25" i="26"/>
  <c r="L31" i="26" s="1"/>
  <c r="D25" i="26"/>
  <c r="D31" i="26" s="1"/>
  <c r="AA25" i="26"/>
  <c r="S25" i="26"/>
  <c r="S31" i="26" s="1"/>
  <c r="K25" i="26"/>
  <c r="K31" i="26" s="1"/>
  <c r="C25" i="26"/>
  <c r="C31" i="26" s="1"/>
  <c r="AH25" i="26"/>
  <c r="Z25" i="26"/>
  <c r="Z31" i="26" s="1"/>
  <c r="R25" i="26"/>
  <c r="R31" i="26" s="1"/>
  <c r="J25" i="26"/>
  <c r="J31" i="26" s="1"/>
  <c r="AC29" i="26"/>
  <c r="U29" i="26"/>
  <c r="M29" i="26"/>
  <c r="E29" i="26"/>
  <c r="AB29" i="26"/>
  <c r="T29" i="26"/>
  <c r="L29" i="26"/>
  <c r="D29" i="26"/>
  <c r="AA29" i="26"/>
  <c r="S29" i="26"/>
  <c r="K29" i="26"/>
  <c r="C29" i="26"/>
  <c r="AH29" i="26"/>
  <c r="Z29" i="26"/>
  <c r="R29" i="26"/>
  <c r="J29" i="26"/>
  <c r="AG29" i="26"/>
  <c r="Y29" i="26"/>
  <c r="Q29" i="26"/>
  <c r="I29" i="26"/>
  <c r="AF29" i="26"/>
  <c r="X29" i="26"/>
  <c r="P29" i="26"/>
  <c r="H29" i="26"/>
  <c r="AE29" i="26"/>
  <c r="W29" i="26"/>
  <c r="O29" i="26"/>
  <c r="G29" i="26"/>
  <c r="AD29" i="26"/>
  <c r="V29" i="26"/>
  <c r="N29" i="26"/>
  <c r="F29" i="26"/>
  <c r="S5" i="23"/>
  <c r="N36" i="23"/>
  <c r="P35" i="23"/>
  <c r="R34" i="23"/>
  <c r="T33" i="23"/>
  <c r="L33" i="23"/>
  <c r="N32" i="23"/>
  <c r="P31" i="23"/>
  <c r="R30" i="23"/>
  <c r="T29" i="23"/>
  <c r="L29" i="23"/>
  <c r="N28" i="23"/>
  <c r="P27" i="23"/>
  <c r="R26" i="23"/>
  <c r="T25" i="23"/>
  <c r="L25" i="23"/>
  <c r="N24" i="23"/>
  <c r="P23" i="23"/>
  <c r="R22" i="23"/>
  <c r="T21" i="23"/>
  <c r="L21" i="23"/>
  <c r="N20" i="23"/>
  <c r="P19" i="23"/>
  <c r="R18" i="23"/>
  <c r="T17" i="23"/>
  <c r="L17" i="23"/>
  <c r="N16" i="23"/>
  <c r="P15" i="23"/>
  <c r="R14" i="23"/>
  <c r="T13" i="23"/>
  <c r="L13" i="23"/>
  <c r="N12" i="23"/>
  <c r="P11" i="23"/>
  <c r="R10" i="23"/>
  <c r="T9" i="23"/>
  <c r="L9" i="23"/>
  <c r="N8" i="23"/>
  <c r="P7" i="23"/>
  <c r="R6" i="23"/>
  <c r="AD14" i="21"/>
  <c r="B42" i="21"/>
  <c r="AD28" i="26"/>
  <c r="V28" i="26"/>
  <c r="N28" i="26"/>
  <c r="F28" i="26"/>
  <c r="AC28" i="26"/>
  <c r="U28" i="26"/>
  <c r="M28" i="26"/>
  <c r="E28" i="26"/>
  <c r="AB28" i="26"/>
  <c r="T28" i="26"/>
  <c r="L28" i="26"/>
  <c r="D28" i="26"/>
  <c r="AA28" i="26"/>
  <c r="S28" i="26"/>
  <c r="K28" i="26"/>
  <c r="C28" i="26"/>
  <c r="AH28" i="26"/>
  <c r="Z28" i="26"/>
  <c r="R28" i="26"/>
  <c r="J28" i="26"/>
  <c r="AG28" i="26"/>
  <c r="Y28" i="26"/>
  <c r="Q28" i="26"/>
  <c r="I28" i="26"/>
  <c r="AF28" i="26"/>
  <c r="X28" i="26"/>
  <c r="P28" i="26"/>
  <c r="H28" i="26"/>
  <c r="AE28" i="26"/>
  <c r="W28" i="26"/>
  <c r="O28" i="26"/>
  <c r="G28" i="26"/>
  <c r="M36" i="23"/>
  <c r="O35" i="23"/>
  <c r="Q34" i="23"/>
  <c r="S33" i="23"/>
  <c r="M32" i="23"/>
  <c r="O31" i="23"/>
  <c r="Q30" i="23"/>
  <c r="S29" i="23"/>
  <c r="M28" i="23"/>
  <c r="O27" i="23"/>
  <c r="Q26" i="23"/>
  <c r="S25" i="23"/>
  <c r="M24" i="23"/>
  <c r="O23" i="23"/>
  <c r="Q22" i="23"/>
  <c r="S21" i="23"/>
  <c r="M20" i="23"/>
  <c r="O19" i="23"/>
  <c r="Q18" i="23"/>
  <c r="S17" i="23"/>
  <c r="M16" i="23"/>
  <c r="O15" i="23"/>
  <c r="Q14" i="23"/>
  <c r="S13" i="23"/>
  <c r="M12" i="23"/>
  <c r="O11" i="23"/>
  <c r="Q10" i="23"/>
  <c r="S9" i="23"/>
  <c r="M8" i="23"/>
  <c r="O7" i="23"/>
  <c r="Q6" i="23"/>
  <c r="AD16" i="26"/>
  <c r="AD6" i="26"/>
  <c r="AD19" i="26"/>
  <c r="AD14" i="26"/>
  <c r="AD12" i="26"/>
  <c r="AD10" i="26"/>
  <c r="AD8" i="26"/>
  <c r="AD4" i="26"/>
  <c r="AD15" i="26"/>
  <c r="AD18" i="26"/>
  <c r="AD17" i="26"/>
  <c r="AD13" i="26"/>
  <c r="AD11" i="26"/>
  <c r="AD9" i="26"/>
  <c r="AD7" i="26"/>
  <c r="AD5" i="26"/>
  <c r="AD13" i="21"/>
  <c r="AD5" i="21"/>
  <c r="B40" i="21"/>
  <c r="AF26" i="26"/>
  <c r="X26" i="26"/>
  <c r="P26" i="26"/>
  <c r="H26" i="26"/>
  <c r="AE26" i="26"/>
  <c r="W26" i="26"/>
  <c r="O26" i="26"/>
  <c r="G26" i="26"/>
  <c r="AD26" i="26"/>
  <c r="V26" i="26"/>
  <c r="N26" i="26"/>
  <c r="F26" i="26"/>
  <c r="AC26" i="26"/>
  <c r="U26" i="26"/>
  <c r="M26" i="26"/>
  <c r="E26" i="26"/>
  <c r="AB26" i="26"/>
  <c r="T26" i="26"/>
  <c r="L26" i="26"/>
  <c r="D26" i="26"/>
  <c r="AA26" i="26"/>
  <c r="S26" i="26"/>
  <c r="K26" i="26"/>
  <c r="C26" i="26"/>
  <c r="AH26" i="26"/>
  <c r="Z26" i="26"/>
  <c r="R26" i="26"/>
  <c r="J26" i="26"/>
  <c r="AG26" i="26"/>
  <c r="Y26" i="26"/>
  <c r="Q26" i="26"/>
  <c r="I26" i="26"/>
  <c r="B41" i="21"/>
  <c r="AE27" i="26"/>
  <c r="W27" i="26"/>
  <c r="O27" i="26"/>
  <c r="G27" i="26"/>
  <c r="AD27" i="26"/>
  <c r="V27" i="26"/>
  <c r="N27" i="26"/>
  <c r="F27" i="26"/>
  <c r="AC27" i="26"/>
  <c r="U27" i="26"/>
  <c r="M27" i="26"/>
  <c r="E27" i="26"/>
  <c r="AB27" i="26"/>
  <c r="T27" i="26"/>
  <c r="L27" i="26"/>
  <c r="D27" i="26"/>
  <c r="AA27" i="26"/>
  <c r="S27" i="26"/>
  <c r="K27" i="26"/>
  <c r="C27" i="26"/>
  <c r="AH27" i="26"/>
  <c r="Z27" i="26"/>
  <c r="R27" i="26"/>
  <c r="J27" i="26"/>
  <c r="AG27" i="26"/>
  <c r="Y27" i="26"/>
  <c r="Q27" i="26"/>
  <c r="I27" i="26"/>
  <c r="AF27" i="26"/>
  <c r="X27" i="26"/>
  <c r="P27" i="26"/>
  <c r="H27" i="26"/>
  <c r="Q5" i="23"/>
  <c r="T36" i="23"/>
  <c r="L36" i="23"/>
  <c r="N35" i="23"/>
  <c r="P34" i="23"/>
  <c r="R33" i="23"/>
  <c r="T32" i="23"/>
  <c r="L32" i="23"/>
  <c r="N31" i="23"/>
  <c r="P30" i="23"/>
  <c r="R29" i="23"/>
  <c r="T28" i="23"/>
  <c r="L28" i="23"/>
  <c r="N27" i="23"/>
  <c r="P26" i="23"/>
  <c r="R25" i="23"/>
  <c r="T24" i="23"/>
  <c r="L24" i="23"/>
  <c r="N23" i="23"/>
  <c r="P22" i="23"/>
  <c r="R21" i="23"/>
  <c r="T20" i="23"/>
  <c r="L20" i="23"/>
  <c r="N19" i="23"/>
  <c r="P18" i="23"/>
  <c r="R17" i="23"/>
  <c r="T16" i="23"/>
  <c r="L16" i="23"/>
  <c r="N15" i="23"/>
  <c r="P14" i="23"/>
  <c r="R13" i="23"/>
  <c r="T12" i="23"/>
  <c r="L12" i="23"/>
  <c r="N11" i="23"/>
  <c r="P10" i="23"/>
  <c r="R9" i="23"/>
  <c r="T8" i="23"/>
  <c r="L8" i="23"/>
  <c r="N7" i="23"/>
  <c r="AD4" i="21"/>
  <c r="AD12" i="21"/>
  <c r="B44" i="21"/>
  <c r="C43" i="21"/>
  <c r="B39" i="21"/>
  <c r="B37" i="21"/>
  <c r="K30" i="21"/>
  <c r="AH29" i="21"/>
  <c r="I26" i="21"/>
  <c r="M32" i="21"/>
  <c r="K25" i="21"/>
  <c r="C31" i="21"/>
  <c r="AE28" i="21"/>
  <c r="I27" i="21"/>
  <c r="L29" i="21"/>
  <c r="G31" i="21"/>
  <c r="O23" i="21"/>
  <c r="L25" i="21"/>
  <c r="J26" i="21"/>
  <c r="AB25" i="21"/>
  <c r="V32" i="21"/>
  <c r="G24" i="21"/>
  <c r="R26" i="21"/>
  <c r="F32" i="21"/>
  <c r="Q30" i="21"/>
  <c r="K29" i="21"/>
  <c r="Q26" i="21"/>
  <c r="AH26" i="21"/>
  <c r="E24" i="21"/>
  <c r="C30" i="21"/>
  <c r="E32" i="21"/>
  <c r="J30" i="21"/>
  <c r="D29" i="21"/>
  <c r="D25" i="21"/>
  <c r="AD30" i="21"/>
  <c r="X31" i="21"/>
  <c r="X27" i="21"/>
  <c r="AE30" i="21"/>
  <c r="AG26" i="21"/>
  <c r="AC32" i="21"/>
  <c r="P31" i="21"/>
  <c r="AB29" i="21"/>
  <c r="P27" i="21"/>
  <c r="P23" i="21"/>
  <c r="AG31" i="21"/>
  <c r="AD25" i="21"/>
  <c r="AA29" i="21"/>
  <c r="H27" i="21"/>
  <c r="AA25" i="21"/>
  <c r="H23" i="21"/>
  <c r="R30" i="21"/>
  <c r="I30" i="21"/>
  <c r="G32" i="21"/>
  <c r="U32" i="21"/>
  <c r="Z30" i="21"/>
  <c r="T29" i="21"/>
  <c r="Z26" i="21"/>
  <c r="T25" i="21"/>
  <c r="C23" i="21"/>
  <c r="X23" i="21"/>
  <c r="AF31" i="21"/>
  <c r="AF23" i="21"/>
  <c r="N32" i="21"/>
  <c r="Y30" i="21"/>
  <c r="S29" i="21"/>
  <c r="Y26" i="21"/>
  <c r="S25" i="21"/>
  <c r="AE25" i="21"/>
  <c r="N24" i="21"/>
  <c r="C29" i="21"/>
  <c r="AB32" i="21"/>
  <c r="T32" i="21"/>
  <c r="L32" i="21"/>
  <c r="D32" i="21"/>
  <c r="V31" i="21"/>
  <c r="N31" i="21"/>
  <c r="F31" i="21"/>
  <c r="X30" i="21"/>
  <c r="P30" i="21"/>
  <c r="H30" i="21"/>
  <c r="Z29" i="21"/>
  <c r="R29" i="21"/>
  <c r="J29" i="21"/>
  <c r="AB28" i="21"/>
  <c r="T28" i="21"/>
  <c r="L28" i="21"/>
  <c r="D28" i="21"/>
  <c r="V27" i="21"/>
  <c r="N27" i="21"/>
  <c r="F27" i="21"/>
  <c r="X26" i="21"/>
  <c r="P26" i="21"/>
  <c r="H26" i="21"/>
  <c r="Z25" i="21"/>
  <c r="R25" i="21"/>
  <c r="J25" i="21"/>
  <c r="AB24" i="21"/>
  <c r="T24" i="21"/>
  <c r="L24" i="21"/>
  <c r="D24" i="21"/>
  <c r="V23" i="21"/>
  <c r="N23" i="21"/>
  <c r="F23" i="21"/>
  <c r="AD24" i="21"/>
  <c r="AG25" i="21"/>
  <c r="AE27" i="21"/>
  <c r="AH28" i="21"/>
  <c r="AF30" i="21"/>
  <c r="AD32" i="21"/>
  <c r="N28" i="21"/>
  <c r="V24" i="21"/>
  <c r="U28" i="21"/>
  <c r="U24" i="21"/>
  <c r="AH23" i="21"/>
  <c r="C28" i="21"/>
  <c r="AA32" i="21"/>
  <c r="S32" i="21"/>
  <c r="K32" i="21"/>
  <c r="AC31" i="21"/>
  <c r="U31" i="21"/>
  <c r="M31" i="21"/>
  <c r="E31" i="21"/>
  <c r="W30" i="21"/>
  <c r="O30" i="21"/>
  <c r="G30" i="21"/>
  <c r="Y29" i="21"/>
  <c r="Q29" i="21"/>
  <c r="I29" i="21"/>
  <c r="AA28" i="21"/>
  <c r="S28" i="21"/>
  <c r="K28" i="21"/>
  <c r="AC27" i="21"/>
  <c r="U27" i="21"/>
  <c r="M27" i="21"/>
  <c r="E27" i="21"/>
  <c r="W26" i="21"/>
  <c r="O26" i="21"/>
  <c r="G26" i="21"/>
  <c r="Y25" i="21"/>
  <c r="Q25" i="21"/>
  <c r="I25" i="21"/>
  <c r="AA24" i="21"/>
  <c r="S24" i="21"/>
  <c r="K24" i="21"/>
  <c r="AC23" i="21"/>
  <c r="U23" i="21"/>
  <c r="M23" i="21"/>
  <c r="E23" i="21"/>
  <c r="AE24" i="21"/>
  <c r="AH25" i="21"/>
  <c r="AF27" i="21"/>
  <c r="AD29" i="21"/>
  <c r="AG30" i="21"/>
  <c r="AE32" i="21"/>
  <c r="F24" i="21"/>
  <c r="W31" i="21"/>
  <c r="E28" i="21"/>
  <c r="O27" i="21"/>
  <c r="G27" i="21"/>
  <c r="M24" i="21"/>
  <c r="AH31" i="21"/>
  <c r="C27" i="21"/>
  <c r="Z32" i="21"/>
  <c r="R32" i="21"/>
  <c r="J32" i="21"/>
  <c r="AB31" i="21"/>
  <c r="T31" i="21"/>
  <c r="L31" i="21"/>
  <c r="D31" i="21"/>
  <c r="V30" i="21"/>
  <c r="N30" i="21"/>
  <c r="F30" i="21"/>
  <c r="X29" i="21"/>
  <c r="P29" i="21"/>
  <c r="H29" i="21"/>
  <c r="Z28" i="21"/>
  <c r="R28" i="21"/>
  <c r="J28" i="21"/>
  <c r="AB27" i="21"/>
  <c r="T27" i="21"/>
  <c r="L27" i="21"/>
  <c r="D27" i="21"/>
  <c r="V26" i="21"/>
  <c r="N26" i="21"/>
  <c r="F26" i="21"/>
  <c r="X25" i="21"/>
  <c r="P25" i="21"/>
  <c r="H25" i="21"/>
  <c r="Z24" i="21"/>
  <c r="R24" i="21"/>
  <c r="J24" i="21"/>
  <c r="AB23" i="21"/>
  <c r="T23" i="21"/>
  <c r="L23" i="21"/>
  <c r="D23" i="21"/>
  <c r="AF24" i="21"/>
  <c r="AD26" i="21"/>
  <c r="AG27" i="21"/>
  <c r="AE29" i="21"/>
  <c r="AH30" i="21"/>
  <c r="AF32" i="21"/>
  <c r="O31" i="21"/>
  <c r="AC28" i="21"/>
  <c r="AC24" i="21"/>
  <c r="W23" i="21"/>
  <c r="G23" i="21"/>
  <c r="AG28" i="21"/>
  <c r="C26" i="21"/>
  <c r="Y32" i="21"/>
  <c r="Q32" i="21"/>
  <c r="I32" i="21"/>
  <c r="AA31" i="21"/>
  <c r="S31" i="21"/>
  <c r="K31" i="21"/>
  <c r="AC30" i="21"/>
  <c r="U30" i="21"/>
  <c r="M30" i="21"/>
  <c r="E30" i="21"/>
  <c r="W29" i="21"/>
  <c r="O29" i="21"/>
  <c r="G29" i="21"/>
  <c r="Y28" i="21"/>
  <c r="Q28" i="21"/>
  <c r="I28" i="21"/>
  <c r="AA27" i="21"/>
  <c r="S27" i="21"/>
  <c r="K27" i="21"/>
  <c r="AC26" i="21"/>
  <c r="U26" i="21"/>
  <c r="M26" i="21"/>
  <c r="E26" i="21"/>
  <c r="W25" i="21"/>
  <c r="O25" i="21"/>
  <c r="G25" i="21"/>
  <c r="Y24" i="21"/>
  <c r="Q24" i="21"/>
  <c r="I24" i="21"/>
  <c r="AA23" i="21"/>
  <c r="S23" i="21"/>
  <c r="K23" i="21"/>
  <c r="AD23" i="21"/>
  <c r="AG24" i="21"/>
  <c r="AE26" i="21"/>
  <c r="AH27" i="21"/>
  <c r="AF29" i="21"/>
  <c r="AD31" i="21"/>
  <c r="AG32" i="21"/>
  <c r="V28" i="21"/>
  <c r="F28" i="21"/>
  <c r="M28" i="21"/>
  <c r="W27" i="21"/>
  <c r="AD27" i="21"/>
  <c r="C25" i="21"/>
  <c r="X32" i="21"/>
  <c r="P32" i="21"/>
  <c r="H32" i="21"/>
  <c r="Z31" i="21"/>
  <c r="R31" i="21"/>
  <c r="J31" i="21"/>
  <c r="AB30" i="21"/>
  <c r="T30" i="21"/>
  <c r="L30" i="21"/>
  <c r="D30" i="21"/>
  <c r="V29" i="21"/>
  <c r="N29" i="21"/>
  <c r="F29" i="21"/>
  <c r="X28" i="21"/>
  <c r="P28" i="21"/>
  <c r="H28" i="21"/>
  <c r="Z27" i="21"/>
  <c r="R27" i="21"/>
  <c r="J27" i="21"/>
  <c r="AB26" i="21"/>
  <c r="T26" i="21"/>
  <c r="L26" i="21"/>
  <c r="D26" i="21"/>
  <c r="V25" i="21"/>
  <c r="N25" i="21"/>
  <c r="F25" i="21"/>
  <c r="X24" i="21"/>
  <c r="P24" i="21"/>
  <c r="H24" i="21"/>
  <c r="Z23" i="21"/>
  <c r="R23" i="21"/>
  <c r="J23" i="21"/>
  <c r="AE23" i="21"/>
  <c r="AH24" i="21"/>
  <c r="AF26" i="21"/>
  <c r="AD28" i="21"/>
  <c r="AG29" i="21"/>
  <c r="AE31" i="21"/>
  <c r="AH32" i="21"/>
  <c r="AF28" i="21"/>
  <c r="C32" i="21"/>
  <c r="C24" i="21"/>
  <c r="W32" i="21"/>
  <c r="O32" i="21"/>
  <c r="Y31" i="21"/>
  <c r="Q31" i="21"/>
  <c r="I31" i="21"/>
  <c r="AA30" i="21"/>
  <c r="S30" i="21"/>
  <c r="AC29" i="21"/>
  <c r="U29" i="21"/>
  <c r="M29" i="21"/>
  <c r="E29" i="21"/>
  <c r="W28" i="21"/>
  <c r="O28" i="21"/>
  <c r="G28" i="21"/>
  <c r="Y27" i="21"/>
  <c r="Q27" i="21"/>
  <c r="AA26" i="21"/>
  <c r="S26" i="21"/>
  <c r="K26" i="21"/>
  <c r="AC25" i="21"/>
  <c r="U25" i="21"/>
  <c r="M25" i="21"/>
  <c r="E25" i="21"/>
  <c r="W24" i="21"/>
  <c r="O24" i="21"/>
  <c r="Y23" i="21"/>
  <c r="Q23" i="21"/>
  <c r="I23" i="21"/>
  <c r="C40" i="21" l="1"/>
  <c r="C41" i="21"/>
  <c r="C38" i="21"/>
  <c r="AH42" i="26"/>
  <c r="Z42" i="26"/>
  <c r="R42" i="26"/>
  <c r="J42" i="26"/>
  <c r="AG42" i="26"/>
  <c r="Y42" i="26"/>
  <c r="Q42" i="26"/>
  <c r="I42" i="26"/>
  <c r="AF42" i="26"/>
  <c r="X42" i="26"/>
  <c r="P42" i="26"/>
  <c r="H42" i="26"/>
  <c r="AE42" i="26"/>
  <c r="W42" i="26"/>
  <c r="O42" i="26"/>
  <c r="G42" i="26"/>
  <c r="AD42" i="26"/>
  <c r="V42" i="26"/>
  <c r="N42" i="26"/>
  <c r="F42" i="26"/>
  <c r="AC42" i="26"/>
  <c r="U42" i="26"/>
  <c r="M42" i="26"/>
  <c r="E42" i="26"/>
  <c r="AB42" i="26"/>
  <c r="T42" i="26"/>
  <c r="L42" i="26"/>
  <c r="D42" i="26"/>
  <c r="AA42" i="26"/>
  <c r="S42" i="26"/>
  <c r="K42" i="26"/>
  <c r="C42" i="26"/>
  <c r="AG42" i="21"/>
  <c r="Y42" i="21"/>
  <c r="Q42" i="21"/>
  <c r="I42" i="21"/>
  <c r="AF42" i="21"/>
  <c r="X42" i="21"/>
  <c r="P42" i="21"/>
  <c r="H42" i="21"/>
  <c r="AE42" i="21"/>
  <c r="W42" i="21"/>
  <c r="O42" i="21"/>
  <c r="G42" i="21"/>
  <c r="AD42" i="21"/>
  <c r="V42" i="21"/>
  <c r="N42" i="21"/>
  <c r="F42" i="21"/>
  <c r="AC42" i="21"/>
  <c r="U42" i="21"/>
  <c r="M42" i="21"/>
  <c r="E42" i="21"/>
  <c r="AB42" i="21"/>
  <c r="T42" i="21"/>
  <c r="L42" i="21"/>
  <c r="D42" i="21"/>
  <c r="AA42" i="21"/>
  <c r="S42" i="21"/>
  <c r="K42" i="21"/>
  <c r="AH42" i="21"/>
  <c r="Z42" i="21"/>
  <c r="R42" i="21"/>
  <c r="J42" i="21"/>
  <c r="D44" i="26"/>
  <c r="L44" i="26"/>
  <c r="T44" i="26"/>
  <c r="AB44" i="26"/>
  <c r="AG44" i="26"/>
  <c r="E44" i="26"/>
  <c r="M44" i="26"/>
  <c r="U44" i="26"/>
  <c r="AC44" i="26"/>
  <c r="V44" i="26"/>
  <c r="C44" i="26"/>
  <c r="F44" i="26"/>
  <c r="N44" i="26"/>
  <c r="AD44" i="26"/>
  <c r="G44" i="26"/>
  <c r="O44" i="26"/>
  <c r="W44" i="26"/>
  <c r="AE44" i="26"/>
  <c r="Q44" i="26"/>
  <c r="H44" i="26"/>
  <c r="P44" i="26"/>
  <c r="X44" i="26"/>
  <c r="AF44" i="26"/>
  <c r="I44" i="26"/>
  <c r="Y44" i="26"/>
  <c r="J44" i="26"/>
  <c r="R44" i="26"/>
  <c r="Z44" i="26"/>
  <c r="AH44" i="26"/>
  <c r="K44" i="26"/>
  <c r="S44" i="26"/>
  <c r="AA44" i="26"/>
  <c r="AH38" i="26"/>
  <c r="Z38" i="26"/>
  <c r="R38" i="26"/>
  <c r="J38" i="26"/>
  <c r="AG38" i="26"/>
  <c r="Y38" i="26"/>
  <c r="Q38" i="26"/>
  <c r="I38" i="26"/>
  <c r="AF38" i="26"/>
  <c r="X38" i="26"/>
  <c r="P38" i="26"/>
  <c r="H38" i="26"/>
  <c r="AE38" i="26"/>
  <c r="W38" i="26"/>
  <c r="O38" i="26"/>
  <c r="G38" i="26"/>
  <c r="AD38" i="26"/>
  <c r="V38" i="26"/>
  <c r="N38" i="26"/>
  <c r="F38" i="26"/>
  <c r="AC38" i="26"/>
  <c r="U38" i="26"/>
  <c r="M38" i="26"/>
  <c r="E38" i="26"/>
  <c r="AB38" i="26"/>
  <c r="T38" i="26"/>
  <c r="L38" i="26"/>
  <c r="D38" i="26"/>
  <c r="AA38" i="26"/>
  <c r="S38" i="26"/>
  <c r="K38" i="26"/>
  <c r="C38" i="26"/>
  <c r="AC38" i="21"/>
  <c r="U38" i="21"/>
  <c r="M38" i="21"/>
  <c r="E38" i="21"/>
  <c r="AB38" i="21"/>
  <c r="T38" i="21"/>
  <c r="L38" i="21"/>
  <c r="D38" i="21"/>
  <c r="AA38" i="21"/>
  <c r="S38" i="21"/>
  <c r="K38" i="21"/>
  <c r="AH38" i="21"/>
  <c r="Z38" i="21"/>
  <c r="R38" i="21"/>
  <c r="J38" i="21"/>
  <c r="AG38" i="21"/>
  <c r="Y38" i="21"/>
  <c r="Q38" i="21"/>
  <c r="I38" i="21"/>
  <c r="AF38" i="21"/>
  <c r="X38" i="21"/>
  <c r="P38" i="21"/>
  <c r="H38" i="21"/>
  <c r="AE38" i="21"/>
  <c r="W38" i="21"/>
  <c r="O38" i="21"/>
  <c r="G38" i="21"/>
  <c r="AD38" i="21"/>
  <c r="V38" i="21"/>
  <c r="N38" i="21"/>
  <c r="F38" i="21"/>
  <c r="AH43" i="26"/>
  <c r="Z43" i="26"/>
  <c r="R43" i="26"/>
  <c r="J43" i="26"/>
  <c r="AG43" i="26"/>
  <c r="Y43" i="26"/>
  <c r="Q43" i="26"/>
  <c r="I43" i="26"/>
  <c r="AF43" i="26"/>
  <c r="X43" i="26"/>
  <c r="P43" i="26"/>
  <c r="H43" i="26"/>
  <c r="AE43" i="26"/>
  <c r="W43" i="26"/>
  <c r="O43" i="26"/>
  <c r="G43" i="26"/>
  <c r="AD43" i="26"/>
  <c r="V43" i="26"/>
  <c r="N43" i="26"/>
  <c r="F43" i="26"/>
  <c r="AC43" i="26"/>
  <c r="U43" i="26"/>
  <c r="M43" i="26"/>
  <c r="E43" i="26"/>
  <c r="AB43" i="26"/>
  <c r="T43" i="26"/>
  <c r="L43" i="26"/>
  <c r="D43" i="26"/>
  <c r="AA43" i="26"/>
  <c r="S43" i="26"/>
  <c r="K43" i="26"/>
  <c r="C43" i="26"/>
  <c r="AH43" i="21"/>
  <c r="Z43" i="21"/>
  <c r="R43" i="21"/>
  <c r="J43" i="21"/>
  <c r="AG43" i="21"/>
  <c r="Y43" i="21"/>
  <c r="Q43" i="21"/>
  <c r="I43" i="21"/>
  <c r="AF43" i="21"/>
  <c r="X43" i="21"/>
  <c r="P43" i="21"/>
  <c r="H43" i="21"/>
  <c r="AE43" i="21"/>
  <c r="W43" i="21"/>
  <c r="O43" i="21"/>
  <c r="G43" i="21"/>
  <c r="AD43" i="21"/>
  <c r="V43" i="21"/>
  <c r="N43" i="21"/>
  <c r="F43" i="21"/>
  <c r="AC43" i="21"/>
  <c r="U43" i="21"/>
  <c r="M43" i="21"/>
  <c r="E43" i="21"/>
  <c r="AB43" i="21"/>
  <c r="T43" i="21"/>
  <c r="L43" i="21"/>
  <c r="D43" i="21"/>
  <c r="AA43" i="21"/>
  <c r="S43" i="21"/>
  <c r="K43" i="21"/>
  <c r="AH39" i="26"/>
  <c r="Z39" i="26"/>
  <c r="R39" i="26"/>
  <c r="J39" i="26"/>
  <c r="AG39" i="26"/>
  <c r="Y39" i="26"/>
  <c r="Q39" i="26"/>
  <c r="I39" i="26"/>
  <c r="AF39" i="26"/>
  <c r="X39" i="26"/>
  <c r="P39" i="26"/>
  <c r="H39" i="26"/>
  <c r="AE39" i="26"/>
  <c r="W39" i="26"/>
  <c r="O39" i="26"/>
  <c r="G39" i="26"/>
  <c r="AD39" i="26"/>
  <c r="V39" i="26"/>
  <c r="N39" i="26"/>
  <c r="F39" i="26"/>
  <c r="AC39" i="26"/>
  <c r="U39" i="26"/>
  <c r="M39" i="26"/>
  <c r="E39" i="26"/>
  <c r="AB39" i="26"/>
  <c r="T39" i="26"/>
  <c r="L39" i="26"/>
  <c r="D39" i="26"/>
  <c r="AA39" i="26"/>
  <c r="S39" i="26"/>
  <c r="K39" i="26"/>
  <c r="C39" i="26"/>
  <c r="AD39" i="21"/>
  <c r="V39" i="21"/>
  <c r="N39" i="21"/>
  <c r="F39" i="21"/>
  <c r="AC39" i="21"/>
  <c r="U39" i="21"/>
  <c r="M39" i="21"/>
  <c r="E39" i="21"/>
  <c r="AB39" i="21"/>
  <c r="T39" i="21"/>
  <c r="L39" i="21"/>
  <c r="D39" i="21"/>
  <c r="AA39" i="21"/>
  <c r="S39" i="21"/>
  <c r="K39" i="21"/>
  <c r="AH39" i="21"/>
  <c r="Z39" i="21"/>
  <c r="R39" i="21"/>
  <c r="J39" i="21"/>
  <c r="AG39" i="21"/>
  <c r="Y39" i="21"/>
  <c r="Q39" i="21"/>
  <c r="I39" i="21"/>
  <c r="AF39" i="21"/>
  <c r="X39" i="21"/>
  <c r="P39" i="21"/>
  <c r="H39" i="21"/>
  <c r="AE39" i="21"/>
  <c r="W39" i="21"/>
  <c r="O39" i="21"/>
  <c r="G39" i="21"/>
  <c r="AH41" i="26"/>
  <c r="Z41" i="26"/>
  <c r="R41" i="26"/>
  <c r="J41" i="26"/>
  <c r="AG41" i="26"/>
  <c r="Y41" i="26"/>
  <c r="Q41" i="26"/>
  <c r="I41" i="26"/>
  <c r="AF41" i="26"/>
  <c r="X41" i="26"/>
  <c r="P41" i="26"/>
  <c r="H41" i="26"/>
  <c r="AE41" i="26"/>
  <c r="W41" i="26"/>
  <c r="O41" i="26"/>
  <c r="G41" i="26"/>
  <c r="AD41" i="26"/>
  <c r="V41" i="26"/>
  <c r="N41" i="26"/>
  <c r="F41" i="26"/>
  <c r="AC41" i="26"/>
  <c r="U41" i="26"/>
  <c r="M41" i="26"/>
  <c r="E41" i="26"/>
  <c r="AB41" i="26"/>
  <c r="T41" i="26"/>
  <c r="L41" i="26"/>
  <c r="D41" i="26"/>
  <c r="AA41" i="26"/>
  <c r="S41" i="26"/>
  <c r="K41" i="26"/>
  <c r="C41" i="26"/>
  <c r="AF41" i="21"/>
  <c r="X41" i="21"/>
  <c r="P41" i="21"/>
  <c r="H41" i="21"/>
  <c r="AE41" i="21"/>
  <c r="W41" i="21"/>
  <c r="O41" i="21"/>
  <c r="G41" i="21"/>
  <c r="AD41" i="21"/>
  <c r="V41" i="21"/>
  <c r="N41" i="21"/>
  <c r="F41" i="21"/>
  <c r="AC41" i="21"/>
  <c r="U41" i="21"/>
  <c r="M41" i="21"/>
  <c r="E41" i="21"/>
  <c r="AB41" i="21"/>
  <c r="T41" i="21"/>
  <c r="L41" i="21"/>
  <c r="D41" i="21"/>
  <c r="AA41" i="21"/>
  <c r="S41" i="21"/>
  <c r="K41" i="21"/>
  <c r="AH41" i="21"/>
  <c r="Z41" i="21"/>
  <c r="R41" i="21"/>
  <c r="J41" i="21"/>
  <c r="AG41" i="21"/>
  <c r="Y41" i="21"/>
  <c r="Q41" i="21"/>
  <c r="I41" i="21"/>
  <c r="AH40" i="26"/>
  <c r="Z40" i="26"/>
  <c r="R40" i="26"/>
  <c r="J40" i="26"/>
  <c r="AG40" i="26"/>
  <c r="Y40" i="26"/>
  <c r="Q40" i="26"/>
  <c r="I40" i="26"/>
  <c r="AF40" i="26"/>
  <c r="X40" i="26"/>
  <c r="P40" i="26"/>
  <c r="H40" i="26"/>
  <c r="AE40" i="26"/>
  <c r="W40" i="26"/>
  <c r="O40" i="26"/>
  <c r="G40" i="26"/>
  <c r="AD40" i="26"/>
  <c r="V40" i="26"/>
  <c r="N40" i="26"/>
  <c r="F40" i="26"/>
  <c r="AC40" i="26"/>
  <c r="U40" i="26"/>
  <c r="M40" i="26"/>
  <c r="E40" i="26"/>
  <c r="AB40" i="26"/>
  <c r="T40" i="26"/>
  <c r="L40" i="26"/>
  <c r="D40" i="26"/>
  <c r="AA40" i="26"/>
  <c r="S40" i="26"/>
  <c r="K40" i="26"/>
  <c r="C40" i="26"/>
  <c r="AE40" i="21"/>
  <c r="W40" i="21"/>
  <c r="O40" i="21"/>
  <c r="G40" i="21"/>
  <c r="AD40" i="21"/>
  <c r="V40" i="21"/>
  <c r="N40" i="21"/>
  <c r="F40" i="21"/>
  <c r="AC40" i="21"/>
  <c r="U40" i="21"/>
  <c r="M40" i="21"/>
  <c r="E40" i="21"/>
  <c r="AB40" i="21"/>
  <c r="T40" i="21"/>
  <c r="L40" i="21"/>
  <c r="D40" i="21"/>
  <c r="AA40" i="21"/>
  <c r="S40" i="21"/>
  <c r="K40" i="21"/>
  <c r="AH40" i="21"/>
  <c r="Z40" i="21"/>
  <c r="R40" i="21"/>
  <c r="J40" i="21"/>
  <c r="AG40" i="21"/>
  <c r="Y40" i="21"/>
  <c r="Q40" i="21"/>
  <c r="I40" i="21"/>
  <c r="AF40" i="21"/>
  <c r="X40" i="21"/>
  <c r="P40" i="21"/>
  <c r="H40" i="21"/>
  <c r="AH37" i="26"/>
  <c r="Z37" i="26"/>
  <c r="R37" i="26"/>
  <c r="J37" i="26"/>
  <c r="AG37" i="26"/>
  <c r="Y37" i="26"/>
  <c r="Q37" i="26"/>
  <c r="I37" i="26"/>
  <c r="AF37" i="26"/>
  <c r="X37" i="26"/>
  <c r="P37" i="26"/>
  <c r="H37" i="26"/>
  <c r="AE37" i="26"/>
  <c r="W37" i="26"/>
  <c r="O37" i="26"/>
  <c r="G37" i="26"/>
  <c r="AD37" i="26"/>
  <c r="V37" i="26"/>
  <c r="N37" i="26"/>
  <c r="F37" i="26"/>
  <c r="AC37" i="26"/>
  <c r="U37" i="26"/>
  <c r="M37" i="26"/>
  <c r="E37" i="26"/>
  <c r="AB37" i="26"/>
  <c r="T37" i="26"/>
  <c r="L37" i="26"/>
  <c r="D37" i="26"/>
  <c r="AA37" i="26"/>
  <c r="S37" i="26"/>
  <c r="K37" i="26"/>
  <c r="C37" i="26"/>
  <c r="AB37" i="21"/>
  <c r="T37" i="21"/>
  <c r="L37" i="21"/>
  <c r="D37" i="21"/>
  <c r="AA37" i="21"/>
  <c r="S37" i="21"/>
  <c r="K37" i="21"/>
  <c r="AH37" i="21"/>
  <c r="Z37" i="21"/>
  <c r="R37" i="21"/>
  <c r="J37" i="21"/>
  <c r="AG37" i="21"/>
  <c r="Y37" i="21"/>
  <c r="Q37" i="21"/>
  <c r="I37" i="21"/>
  <c r="AF37" i="21"/>
  <c r="X37" i="21"/>
  <c r="P37" i="21"/>
  <c r="H37" i="21"/>
  <c r="AE37" i="21"/>
  <c r="W37" i="21"/>
  <c r="O37" i="21"/>
  <c r="G37" i="21"/>
  <c r="AD37" i="21"/>
  <c r="V37" i="21"/>
  <c r="N37" i="21"/>
  <c r="F37" i="21"/>
  <c r="AC37" i="21"/>
  <c r="U37" i="21"/>
  <c r="M37" i="21"/>
  <c r="E37" i="21"/>
  <c r="C42" i="21"/>
  <c r="C37" i="21"/>
  <c r="C39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Q13" authorId="0" shapeId="0" xr:uid="{DC9F959E-9710-4BE2-8DA8-2AFEFBA16CF3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<sst xmlns="http://schemas.openxmlformats.org/spreadsheetml/2006/main" count="486" uniqueCount="159">
  <si>
    <t>TechName</t>
  </si>
  <si>
    <t>Comm-IN</t>
  </si>
  <si>
    <t>Comm-OUT</t>
  </si>
  <si>
    <t>ELCCOA</t>
  </si>
  <si>
    <t>~FI_Process</t>
  </si>
  <si>
    <t>Sets</t>
  </si>
  <si>
    <t>TechDesc</t>
  </si>
  <si>
    <t>Tslvl</t>
  </si>
  <si>
    <t>Tact</t>
  </si>
  <si>
    <t>Tcap</t>
  </si>
  <si>
    <t>PrimaryCG</t>
  </si>
  <si>
    <t>Vintage</t>
  </si>
  <si>
    <t>ELE</t>
  </si>
  <si>
    <t>DAYNITE</t>
  </si>
  <si>
    <t>GW</t>
  </si>
  <si>
    <t>YES</t>
  </si>
  <si>
    <t>SEASON</t>
  </si>
  <si>
    <t>LIFE</t>
  </si>
  <si>
    <t>VAROM</t>
  </si>
  <si>
    <t>AFA</t>
  </si>
  <si>
    <t>ELCOIL</t>
  </si>
  <si>
    <t>New: Coal IGCC</t>
  </si>
  <si>
    <t>ELIFE</t>
  </si>
  <si>
    <t>FIXOM</t>
  </si>
  <si>
    <t>New: Pulverized coal</t>
  </si>
  <si>
    <t>New: Coal IGCC - CCS</t>
  </si>
  <si>
    <t>New: Gas CC Adv - CCS</t>
  </si>
  <si>
    <t>New: Gas CC Adv</t>
  </si>
  <si>
    <t>New: Gas CC</t>
  </si>
  <si>
    <t>New: Gas CT Adv</t>
  </si>
  <si>
    <t>New: Gas CT</t>
  </si>
  <si>
    <t>New: Biomass</t>
  </si>
  <si>
    <t>New: Biomass - CCS</t>
  </si>
  <si>
    <t>New: Oil CC Adv</t>
  </si>
  <si>
    <t>ELCGAS</t>
  </si>
  <si>
    <t>ELC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</si>
  <si>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</si>
  <si>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</si>
  <si>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</si>
  <si>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</si>
  <si>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</si>
  <si>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</si>
  <si>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</si>
  <si>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</si>
  <si>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EN_Biomass</t>
  </si>
  <si>
    <t>EN_ZBiomass</t>
  </si>
  <si>
    <t>EN_OilCCAdv</t>
  </si>
  <si>
    <t>ELCBIO</t>
  </si>
  <si>
    <t>TBTU</t>
  </si>
  <si>
    <t>Advanced Nuclear</t>
  </si>
  <si>
    <t>EN_NuclearAdv</t>
  </si>
  <si>
    <t>ELCNUC</t>
  </si>
  <si>
    <t>Depleted Oil Fields - CO2 Storage</t>
  </si>
  <si>
    <t>PRE</t>
  </si>
  <si>
    <t>Depleted Gas Fields - CO2 Storage</t>
  </si>
  <si>
    <t>Coal layers - CO2 Storage</t>
  </si>
  <si>
    <t>Aquifers - CO2 Storage</t>
  </si>
  <si>
    <t>StoCO2-DOF</t>
  </si>
  <si>
    <t>StoCO2-DGF</t>
  </si>
  <si>
    <t>StoCO2-CBM</t>
  </si>
  <si>
    <t>StoCO2-AQF</t>
  </si>
  <si>
    <t>kt</t>
  </si>
  <si>
    <t>kt-Yr</t>
  </si>
  <si>
    <t>ACT_CUM</t>
  </si>
  <si>
    <t>~FI_T: ACT_BND~USD04</t>
  </si>
  <si>
    <t>*</t>
  </si>
  <si>
    <t>Pipeline-CO2</t>
  </si>
  <si>
    <t>CO2 pipeline</t>
  </si>
  <si>
    <t>CO2ForStorage</t>
  </si>
  <si>
    <t>CO2Captured</t>
  </si>
  <si>
    <t>EFF</t>
  </si>
  <si>
    <t>STGTSS</t>
  </si>
  <si>
    <t>~FI_T: USD15</t>
  </si>
  <si>
    <t>Comm-OUT-A</t>
  </si>
  <si>
    <t>CommGrp</t>
  </si>
  <si>
    <t>S_EFF</t>
  </si>
  <si>
    <t>Cap2Act</t>
  </si>
  <si>
    <t>NCAP_AFC~DAYNITE</t>
  </si>
  <si>
    <t>INVCOST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</si>
  <si>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</si>
  <si>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</si>
  <si>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</si>
  <si>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</si>
  <si>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</si>
  <si>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</si>
  <si>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</si>
  <si>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</si>
  <si>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</si>
  <si>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</si>
  <si>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~FI_T: EFF~USD11~2010</t>
  </si>
  <si>
    <t>EN_GeoThermal</t>
  </si>
  <si>
    <t>ELCGEO</t>
  </si>
  <si>
    <t>New: geothermal (placeholder)</t>
  </si>
  <si>
    <t>E_Nuc_Accounting</t>
  </si>
  <si>
    <t>Dummy tech to control exog and endog nuclear</t>
  </si>
  <si>
    <t>DumGrid</t>
  </si>
  <si>
    <t>Overnight cost by technology and online year - AEO2019 Reference case</t>
  </si>
  <si>
    <t>2018 $/KW</t>
  </si>
  <si>
    <t>Online Year</t>
  </si>
  <si>
    <t>Coal with 30% CCS</t>
  </si>
  <si>
    <t>Coal with 90% CCS</t>
  </si>
  <si>
    <t>Internal Combustion</t>
  </si>
  <si>
    <t>Comb. Turb</t>
  </si>
  <si>
    <t>Adv. CT</t>
  </si>
  <si>
    <t>Comb. Cyc</t>
  </si>
  <si>
    <t>Adv CC</t>
  </si>
  <si>
    <t>Adv CC w/seq</t>
  </si>
  <si>
    <t>Fuel Cell</t>
  </si>
  <si>
    <t>Nuclear</t>
  </si>
  <si>
    <t>Biomass</t>
  </si>
  <si>
    <t>Geothermal</t>
  </si>
  <si>
    <t>Landfill Gas</t>
  </si>
  <si>
    <t>Hydro</t>
  </si>
  <si>
    <t>Battery Storage</t>
  </si>
  <si>
    <t>Wind</t>
  </si>
  <si>
    <t>Offshore Wind</t>
  </si>
  <si>
    <t>Solar Thermal</t>
  </si>
  <si>
    <t>Solar PV - tracking</t>
  </si>
  <si>
    <t>Solar PV - fixed tilt</t>
  </si>
  <si>
    <t>Dist. Gen Base</t>
  </si>
  <si>
    <t>Dist Gen Peak</t>
  </si>
  <si>
    <t>Heatrate assumptions by year - AEO2019</t>
  </si>
  <si>
    <t>(BTU/kWh)</t>
  </si>
  <si>
    <t>E_SPV*</t>
  </si>
  <si>
    <t>E_WON*</t>
  </si>
  <si>
    <t>E_WOF*</t>
  </si>
  <si>
    <t>EN_Hydro*</t>
  </si>
  <si>
    <t>~FI_T: INVCOST~USD18</t>
  </si>
  <si>
    <t>~FI_T: EFF</t>
  </si>
  <si>
    <t>Icost</t>
  </si>
  <si>
    <t>Eff</t>
  </si>
  <si>
    <t>CAP_BND~UP</t>
  </si>
  <si>
    <t>Date</t>
  </si>
  <si>
    <t>Comment</t>
  </si>
  <si>
    <t>Updated the EFF for new OIlAdvCC technolgies to 30% across years</t>
  </si>
  <si>
    <t>**FI_T: EFF</t>
  </si>
  <si>
    <t>**FI_Process</t>
  </si>
  <si>
    <t>**FI_T: EFF**USD11**2010</t>
  </si>
  <si>
    <t>**FI_T: INVCOST**USD18</t>
  </si>
  <si>
    <t>FLO_FUNC~ELC</t>
  </si>
  <si>
    <t>EN_STG_4hBatt</t>
  </si>
  <si>
    <t>4h battery storage -  50MW/200MWh</t>
  </si>
  <si>
    <t>NRG</t>
  </si>
  <si>
    <t>Workbook purpose:</t>
  </si>
  <si>
    <t>Data source:</t>
  </si>
  <si>
    <t>User-modifiable?</t>
  </si>
  <si>
    <t xml:space="preserve">Yes, but browse in VEDA-FE first to see where else values specified here are being modified. </t>
  </si>
  <si>
    <t>Battery storage from Chris, July 2019; base characteristics for new power plants originally from AEO, some modifications have taken place, and some capital cost are overwritten in Scen_BaseINVCost2050</t>
  </si>
  <si>
    <t>Capital costs get regional multipliers in the Trans file and many get time multipliers elsewhere</t>
  </si>
  <si>
    <t>AuxStoIN</t>
  </si>
  <si>
    <t>Aux commodity for storage charging</t>
  </si>
  <si>
    <t>AuxStoOUT</t>
  </si>
  <si>
    <t>Aux commodity for storage discharging</t>
  </si>
  <si>
    <t>Comm-IN-A</t>
  </si>
  <si>
    <t>FLO_FUNC~AuxStoIN</t>
  </si>
  <si>
    <t>CAP_BND~UP~0</t>
  </si>
  <si>
    <t>Creates the available new fossil power plants, CCS storage placeholder infrastructure and battery storage</t>
  </si>
  <si>
    <t>EN_STG_PHS</t>
  </si>
  <si>
    <t>Pumped hydro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</si>
</sst>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 * #,##0.00_ ;_ * \-#,##0.00_ ;_ * &quot;-&quot;??_ ;_ @_ "/>
    <numFmt numFmtId="165" formatCode="\Te\x\t"/>
    <numFmt numFmtId="166" formatCode="m\o\n\th\ d\,\ yyyy"/>
    <numFmt numFmtId="167" formatCode="#.00"/>
    <numFmt numFmtId="168" formatCode="#."/>
  </numFmts>
  <fonts count="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ashed">
        <color theme="0" tint="-0.249946592608417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31">
    <xf numFmtId="0" fontId="0" fillId="0" borderId="0"/>
    <xf numFmtId="0" fontId="9" fillId="2" borderId="0" applyNumberFormat="0" applyBorder="0" applyAlignment="0" applyProtection="0"/>
    <xf numFmtId="0" fontId="10" fillId="0" borderId="2" applyNumberFormat="0" applyFont="0" applyProtection="0">
      <alignment wrapText="1"/>
    </xf>
    <xf numFmtId="43" fontId="7" fillId="0" borderId="0" applyFont="0" applyFill="0" applyBorder="0" applyAlignment="0" applyProtection="0"/>
    <xf numFmtId="166" fontId="4" fillId="0" borderId="0">
      <protection locked="0"/>
    </xf>
    <xf numFmtId="167" fontId="4" fillId="0" borderId="0">
      <protection locked="0"/>
    </xf>
    <xf numFmtId="0" fontId="10" fillId="0" borderId="0" applyNumberFormat="0" applyFill="0" applyBorder="0" applyAlignment="0" applyProtection="0"/>
    <xf numFmtId="0" fontId="10" fillId="0" borderId="0" applyNumberFormat="0" applyProtection="0">
      <alignment vertical="top" wrapText="1"/>
    </xf>
    <xf numFmtId="0" fontId="10" fillId="0" borderId="4" applyNumberFormat="0" applyProtection="0">
      <alignment vertical="top" wrapText="1"/>
    </xf>
    <xf numFmtId="0" fontId="11" fillId="0" borderId="5" applyNumberFormat="0" applyProtection="0">
      <alignment wrapText="1"/>
    </xf>
    <xf numFmtId="0" fontId="11" fillId="0" borderId="6" applyNumberFormat="0" applyProtection="0">
      <alignment horizontal="left" wrapText="1"/>
    </xf>
    <xf numFmtId="168" fontId="5" fillId="0" borderId="0">
      <protection locked="0"/>
    </xf>
    <xf numFmtId="168" fontId="5" fillId="0" borderId="0">
      <protection locked="0"/>
    </xf>
    <xf numFmtId="0" fontId="12" fillId="3" borderId="3" applyNumberFormat="0" applyAlignment="0" applyProtection="0"/>
    <xf numFmtId="0" fontId="1" fillId="0" borderId="0"/>
    <xf numFmtId="0" fontId="2" fillId="0" borderId="0"/>
    <xf numFmtId="0" fontId="2" fillId="0" borderId="0"/>
    <xf numFmtId="0" fontId="6" fillId="0" borderId="0"/>
    <xf numFmtId="0" fontId="13" fillId="0" borderId="0"/>
    <xf numFmtId="0" fontId="11" fillId="0" borderId="7" applyNumberFormat="0" applyProtection="0">
      <alignment wrapText="1"/>
    </xf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8" applyNumberFormat="0" applyFont="0" applyFill="0" applyProtection="0">
      <alignment wrapText="1"/>
    </xf>
    <xf numFmtId="0" fontId="11" fillId="0" borderId="9" applyNumberFormat="0" applyFill="0" applyProtection="0">
      <alignment wrapText="1"/>
    </xf>
    <xf numFmtId="0" fontId="2" fillId="0" borderId="0"/>
    <xf numFmtId="0" fontId="14" fillId="0" borderId="0" applyNumberFormat="0" applyProtection="0">
      <alignment horizontal="left"/>
    </xf>
    <xf numFmtId="0" fontId="19" fillId="0" borderId="0"/>
    <xf numFmtId="0" fontId="20" fillId="0" borderId="0"/>
    <xf numFmtId="0" fontId="19" fillId="0" borderId="0"/>
    <xf numFmtId="164" fontId="7" fillId="0" borderId="0" applyFont="0" applyFill="0" applyBorder="0" applyAlignment="0" applyProtection="0"/>
  </cellStyleXfs>
  <cellXfs count="45">
    <xf numFmtId="0" fontId="0" fillId="0" borderId="0" xfId="0"/>
    <xf numFmtId="1" fontId="0" fillId="0" borderId="0" xfId="0" applyNumberFormat="1"/>
    <xf numFmtId="0" fontId="0" fillId="0" borderId="0" xfId="0"/>
    <xf numFmtId="0" fontId="16" fillId="0" borderId="0" xfId="0" applyFont="1"/>
    <xf numFmtId="0" fontId="8" fillId="0" borderId="0" xfId="0" applyFont="1"/>
    <xf numFmtId="1" fontId="0" fillId="0" borderId="0" xfId="0" applyNumberFormat="1"/>
    <xf numFmtId="0" fontId="0" fillId="0" borderId="0" xfId="0" applyAlignment="1">
      <alignment horizontal="right"/>
    </xf>
    <xf numFmtId="0" fontId="17" fillId="0" borderId="0" xfId="0" applyFont="1"/>
    <xf numFmtId="2" fontId="0" fillId="0" borderId="0" xfId="0" applyNumberFormat="1"/>
    <xf numFmtId="165" fontId="0" fillId="0" borderId="0" xfId="0" applyNumberFormat="1"/>
    <xf numFmtId="9" fontId="7" fillId="0" borderId="0" xfId="20" applyFont="1"/>
    <xf numFmtId="0" fontId="2" fillId="0" borderId="0" xfId="16"/>
    <xf numFmtId="0" fontId="0" fillId="0" borderId="0" xfId="0"/>
    <xf numFmtId="165" fontId="0" fillId="0" borderId="0" xfId="0" applyNumberFormat="1"/>
    <xf numFmtId="2" fontId="7" fillId="0" borderId="0" xfId="20" applyNumberFormat="1" applyFont="1"/>
    <xf numFmtId="1" fontId="7" fillId="0" borderId="0" xfId="20" applyNumberFormat="1" applyFont="1"/>
    <xf numFmtId="0" fontId="18" fillId="0" borderId="0" xfId="0" applyFont="1"/>
    <xf numFmtId="0" fontId="0" fillId="0" borderId="0" xfId="0" applyAlignment="1">
      <alignment wrapText="1"/>
    </xf>
    <xf numFmtId="0" fontId="1" fillId="0" borderId="1" xfId="27" applyFont="1" applyFill="1" applyBorder="1" applyAlignment="1">
      <alignment horizontal="right" wrapText="1"/>
    </xf>
    <xf numFmtId="1" fontId="21" fillId="0" borderId="1" xfId="28" applyNumberFormat="1" applyFont="1" applyFill="1" applyBorder="1" applyAlignment="1">
      <alignment horizontal="right" wrapText="1"/>
    </xf>
    <xf numFmtId="0" fontId="0" fillId="0" borderId="0" xfId="0" applyAlignment="1">
      <alignment horizontal="center" wrapText="1"/>
    </xf>
    <xf numFmtId="1" fontId="1" fillId="0" borderId="1" xfId="29" applyNumberFormat="1" applyFont="1" applyFill="1" applyBorder="1" applyAlignment="1">
      <alignment horizontal="right" wrapText="1"/>
    </xf>
    <xf numFmtId="2" fontId="9" fillId="2" borderId="0" xfId="1" applyNumberFormat="1"/>
    <xf numFmtId="0" fontId="15" fillId="0" borderId="0" xfId="0" applyFont="1"/>
    <xf numFmtId="0" fontId="22" fillId="2" borderId="0" xfId="1" applyFont="1"/>
    <xf numFmtId="0" fontId="12" fillId="3" borderId="3" xfId="13"/>
    <xf numFmtId="0" fontId="0" fillId="0" borderId="0" xfId="0"/>
    <xf numFmtId="0" fontId="17" fillId="0" borderId="0" xfId="0" applyFont="1"/>
    <xf numFmtId="2" fontId="0" fillId="0" borderId="0" xfId="0" applyNumberFormat="1"/>
    <xf numFmtId="0" fontId="2" fillId="0" borderId="0" xfId="16"/>
    <xf numFmtId="2" fontId="0" fillId="0" borderId="0" xfId="0" applyNumberFormat="1"/>
    <xf numFmtId="0" fontId="0" fillId="0" borderId="0" xfId="0"/>
    <xf numFmtId="0" fontId="0" fillId="0" borderId="0" xfId="0"/>
    <xf numFmtId="2" fontId="0" fillId="0" borderId="0" xfId="0" applyNumberFormat="1"/>
    <xf numFmtId="2" fontId="0" fillId="0" borderId="0" xfId="0" applyNumberFormat="1"/>
    <xf numFmtId="0" fontId="0" fillId="4" borderId="0" xfId="0" applyFill="1"/>
    <xf numFmtId="0" fontId="0" fillId="0" borderId="0" xfId="0"/>
    <xf numFmtId="14" fontId="0" fillId="0" borderId="0" xfId="0" applyNumberFormat="1"/>
    <xf numFmtId="1" fontId="0" fillId="4" borderId="0" xfId="0" applyNumberFormat="1" applyFill="1"/>
    <xf numFmtId="0" fontId="24" fillId="0" borderId="0" xfId="0" applyFont="1"/>
    <xf numFmtId="1" fontId="24" fillId="0" borderId="0" xfId="0" applyNumberFormat="1" applyFont="1"/>
    <xf numFmtId="1" fontId="23" fillId="4" borderId="0" xfId="0" applyNumberFormat="1" applyFont="1" applyFill="1"/>
    <xf numFmtId="0" fontId="0" fillId="0" borderId="0" xfId="0" applyFill="1"/>
    <xf numFmtId="1" fontId="0" fillId="0" borderId="0" xfId="0" applyNumberFormat="1" applyFill="1"/>
    <xf numFmtId="0" fontId="27" fillId="0" borderId="0" xfId="0" applyFont="1"/>
  </cellXfs>
  <cellStyles count="31">
    <cellStyle name="Bad" xfId="1" builtinId="27"/>
    <cellStyle name="Body: normal cell" xfId="2" xr:uid="{00000000-0005-0000-0000-000001000000}"/>
    <cellStyle name="Comma 2" xfId="3" xr:uid="{00000000-0005-0000-0000-000002000000}"/>
    <cellStyle name="Comma 2 2" xfId="30" xr:uid="{00000000-0005-0000-0000-000003000000}"/>
    <cellStyle name="Date" xfId="4" xr:uid="{00000000-0005-0000-0000-000004000000}"/>
    <cellStyle name="Fixed" xfId="5" xr:uid="{00000000-0005-0000-0000-000005000000}"/>
    <cellStyle name="Font: Calibri, 9pt regular" xfId="6" xr:uid="{00000000-0005-0000-0000-000006000000}"/>
    <cellStyle name="Footnotes: all except top row" xfId="7" xr:uid="{00000000-0005-0000-0000-000007000000}"/>
    <cellStyle name="Footnotes: top row" xfId="8" xr:uid="{00000000-0005-0000-0000-000008000000}"/>
    <cellStyle name="Header: bottom row" xfId="9" xr:uid="{00000000-0005-0000-0000-000009000000}"/>
    <cellStyle name="Header: top rows" xfId="10" xr:uid="{00000000-0005-0000-0000-00000A000000}"/>
    <cellStyle name="Heading1" xfId="11" xr:uid="{00000000-0005-0000-0000-00000B000000}"/>
    <cellStyle name="Heading2" xfId="12" xr:uid="{00000000-0005-0000-0000-00000C000000}"/>
    <cellStyle name="Input" xfId="13" builtinId="20"/>
    <cellStyle name="Normal" xfId="0" builtinId="0"/>
    <cellStyle name="Normal 2" xfId="14" xr:uid="{00000000-0005-0000-0000-00000F000000}"/>
    <cellStyle name="Normal 2 2" xfId="15" xr:uid="{00000000-0005-0000-0000-000010000000}"/>
    <cellStyle name="Normal 2 3" xfId="16" xr:uid="{00000000-0005-0000-0000-000011000000}"/>
    <cellStyle name="Normal 3" xfId="17" xr:uid="{00000000-0005-0000-0000-000012000000}"/>
    <cellStyle name="Normal 4" xfId="18" xr:uid="{00000000-0005-0000-0000-000013000000}"/>
    <cellStyle name="Normal_ovrcst" xfId="28" xr:uid="{00000000-0005-0000-0000-000014000000}"/>
    <cellStyle name="Normal_Sheet1" xfId="27" xr:uid="{00000000-0005-0000-0000-000015000000}"/>
    <cellStyle name="Normal_Sheet2" xfId="29" xr:uid="{00000000-0005-0000-0000-000016000000}"/>
    <cellStyle name="Parent row" xfId="19" xr:uid="{00000000-0005-0000-0000-000017000000}"/>
    <cellStyle name="Percent" xfId="20" builtinId="5"/>
    <cellStyle name="Percent 2" xfId="21" xr:uid="{00000000-0005-0000-0000-000019000000}"/>
    <cellStyle name="Percent 3" xfId="22" xr:uid="{00000000-0005-0000-0000-00001A000000}"/>
    <cellStyle name="Section Break" xfId="23" xr:uid="{00000000-0005-0000-0000-00001B000000}"/>
    <cellStyle name="Section Break: parent row" xfId="24" xr:uid="{00000000-0005-0000-0000-00001C000000}"/>
    <cellStyle name="Standard_WEO 2008 - RE Technology Cost (status 27-03-2008)-ext" xfId="25" xr:uid="{00000000-0005-0000-0000-00001D000000}"/>
    <cellStyle name="Table title" xfId="26" xr:uid="{00000000-0005-0000-0000-00001E000000}"/>
  </cellStyles>
  <dxfs count="0"/>
  <tableStyles count="0" defaultTableStyle="TableStyleMedium9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0AC3-C2F4-3A40-B22E-34DB1325DFD7}">
  <dimension ref="A1:A9"/>
  <sheetViews>
    <sheetView workbookViewId="0">
      <selection activeCell="A3" sqref="A3"/>
    </sheetView>
  </sheetViews>
  <sheetFormatPr defaultColWidth="11.44140625" defaultRowHeight="14.4"/>
  <sheetData>
    <row r="1" spans="1:1">
      <c r="A1" s="23" t="s">
        <v>143</v>
      </c>
    </row>
    <row r="2" spans="1:1">
      <c r="A2" s="36" t="s">
        <v>156</v>
      </c>
    </row>
    <row r="3" spans="1:1">
      <c r="A3" s="36"/>
    </row>
    <row r="4" spans="1:1">
      <c r="A4" s="23" t="s">
        <v>144</v>
      </c>
    </row>
    <row r="5" spans="1:1">
      <c r="A5" s="36" t="s">
        <v>147</v>
      </c>
    </row>
    <row r="6" spans="1:1">
      <c r="A6" s="36"/>
    </row>
    <row r="7" spans="1:1">
      <c r="A7" s="23" t="s">
        <v>145</v>
      </c>
    </row>
    <row r="8" spans="1:1">
      <c r="A8" s="36" t="s">
        <v>146</v>
      </c>
    </row>
    <row r="9" spans="1:1">
      <c r="A9" t="s">
        <v>148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ColWidth="9.109375" defaultRowHeight="14.4"/>
  <cols>
    <col min="1" max="1" width="9.6640625" style="36" bestFit="1" customWidth="1"/>
    <col min="2" max="16384" width="9.109375" style="36"/>
  </cols>
  <sheetData>
    <row r="1" spans="1:2">
      <c r="A1" s="36" t="s">
        <v>132</v>
      </c>
      <c r="B1" s="36" t="s">
        <v>133</v>
      </c>
    </row>
    <row r="2" spans="1:2">
      <c r="A2" s="37">
        <v>43598</v>
      </c>
      <c r="B2" s="36" t="s">
        <v>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H45"/>
  <sheetViews>
    <sheetView zoomScaleNormal="100" workbookViewId="0"/>
  </sheetViews>
  <sheetFormatPr defaultColWidth="8.88671875" defaultRowHeight="14.4"/>
  <cols>
    <col min="1" max="1" width="6.44140625" bestFit="1" customWidth="1"/>
    <col min="2" max="2" width="14.44140625" bestFit="1" customWidth="1"/>
    <col min="3" max="3" width="9.44140625" bestFit="1" customWidth="1"/>
    <col min="4" max="4" width="11" customWidth="1"/>
    <col min="5" max="5" width="7" bestFit="1" customWidth="1"/>
    <col min="6" max="6" width="8" bestFit="1" customWidth="1"/>
    <col min="7" max="7" width="8.88671875" bestFit="1" customWidth="1"/>
    <col min="8" max="8" width="6.88671875" bestFit="1" customWidth="1"/>
    <col min="9" max="9" width="5.44140625" bestFit="1" customWidth="1"/>
    <col min="10" max="13" width="5" bestFit="1" customWidth="1"/>
    <col min="14" max="14" width="5.44140625" bestFit="1" customWidth="1"/>
    <col min="15" max="15" width="5" bestFit="1" customWidth="1"/>
    <col min="16" max="16" width="8.44140625" bestFit="1" customWidth="1"/>
    <col min="17" max="17" width="15.44140625" bestFit="1" customWidth="1"/>
    <col min="18" max="18" width="29.44140625" bestFit="1" customWidth="1"/>
    <col min="19" max="19" width="10.33203125" bestFit="1" customWidth="1"/>
    <col min="20" max="20" width="7.88671875" bestFit="1" customWidth="1"/>
    <col min="21" max="26" width="5" bestFit="1" customWidth="1"/>
    <col min="27" max="27" width="14.44140625" bestFit="1" customWidth="1"/>
    <col min="28" max="28" width="17.6640625" bestFit="1" customWidth="1"/>
    <col min="29" max="29" width="5" bestFit="1" customWidth="1"/>
    <col min="30" max="30" width="5.44140625" bestFit="1" customWidth="1"/>
    <col min="31" max="34" width="5" bestFit="1" customWidth="1"/>
  </cols>
  <sheetData>
    <row r="2" spans="2:30">
      <c r="D2" s="27" t="s">
        <v>137</v>
      </c>
      <c r="E2" s="7"/>
      <c r="F2" s="7"/>
      <c r="G2" s="7"/>
      <c r="P2" s="9" t="s">
        <v>136</v>
      </c>
      <c r="Q2" s="9"/>
      <c r="R2" s="9"/>
      <c r="S2" s="9"/>
      <c r="T2" s="9"/>
      <c r="U2" s="9"/>
      <c r="V2" s="9"/>
    </row>
    <row r="3" spans="2:30">
      <c r="B3" t="s">
        <v>0</v>
      </c>
      <c r="C3" s="7" t="s">
        <v>1</v>
      </c>
      <c r="D3" s="7" t="s">
        <v>2</v>
      </c>
      <c r="E3" s="31">
        <v>2010</v>
      </c>
      <c r="F3" s="31">
        <v>2050</v>
      </c>
      <c r="G3" s="31" t="s">
        <v>78</v>
      </c>
      <c r="H3" t="s">
        <v>23</v>
      </c>
      <c r="I3" t="s">
        <v>18</v>
      </c>
      <c r="J3" t="s">
        <v>19</v>
      </c>
      <c r="K3" t="s">
        <v>17</v>
      </c>
      <c r="L3" t="s">
        <v>22</v>
      </c>
      <c r="P3" s="9" t="s">
        <v>5</v>
      </c>
      <c r="Q3" s="9" t="s">
        <v>0</v>
      </c>
      <c r="R3" s="9" t="s">
        <v>6</v>
      </c>
      <c r="S3" s="9" t="s">
        <v>7</v>
      </c>
      <c r="T3" s="9" t="s">
        <v>8</v>
      </c>
      <c r="U3" s="9" t="s">
        <v>9</v>
      </c>
      <c r="V3" s="9" t="s">
        <v>10</v>
      </c>
      <c r="W3" s="9" t="s">
        <v>11</v>
      </c>
      <c r="AC3" t="s">
        <v>129</v>
      </c>
      <c r="AD3" t="s">
        <v>130</v>
      </c>
    </row>
    <row r="4" spans="2:30">
      <c r="B4" s="12" t="s">
        <v>36</v>
      </c>
      <c r="C4" t="s">
        <v>3</v>
      </c>
      <c r="D4" t="s">
        <v>35</v>
      </c>
      <c r="E4" s="30">
        <v>0.38772727272727298</v>
      </c>
      <c r="F4" s="30">
        <v>0.39038901601830683</v>
      </c>
      <c r="G4" s="30">
        <v>2882.65777101602</v>
      </c>
      <c r="H4" s="8">
        <v>30.636104583740234</v>
      </c>
      <c r="I4" s="8">
        <f>N4/3.6*1.055</f>
        <v>1.2871267484294042</v>
      </c>
      <c r="J4" s="8">
        <v>0.85</v>
      </c>
      <c r="K4" s="1">
        <v>40</v>
      </c>
      <c r="L4">
        <v>30</v>
      </c>
      <c r="N4" s="28">
        <v>4.3920912742614746</v>
      </c>
      <c r="P4" s="9" t="s">
        <v>12</v>
      </c>
      <c r="Q4" s="9" t="str">
        <f>B4</f>
        <v>EN_COAPUL</v>
      </c>
      <c r="R4" s="9" t="s">
        <v>24</v>
      </c>
      <c r="S4" s="9" t="s">
        <v>16</v>
      </c>
      <c r="T4" s="9" t="s">
        <v>48</v>
      </c>
      <c r="U4" s="9" t="s">
        <v>14</v>
      </c>
      <c r="V4" s="9"/>
      <c r="W4" s="9" t="s">
        <v>15</v>
      </c>
      <c r="Z4">
        <v>1</v>
      </c>
      <c r="AA4" t="s">
        <v>123</v>
      </c>
      <c r="AB4" t="s">
        <v>118</v>
      </c>
      <c r="AC4">
        <f>MATCH(AB4,ovrcst!$A$4:$W$4,0)</f>
        <v>21</v>
      </c>
      <c r="AD4">
        <f>IFERROR(MATCH(AB4,heatrate!$K$4:$T$4,0),1)</f>
        <v>1</v>
      </c>
    </row>
    <row r="5" spans="2:30">
      <c r="B5" s="12" t="s">
        <v>37</v>
      </c>
      <c r="C5" t="s">
        <v>3</v>
      </c>
      <c r="D5" t="s">
        <v>35</v>
      </c>
      <c r="E5" s="30">
        <v>0.39218390804597703</v>
      </c>
      <c r="F5" s="30">
        <v>0.45798657718120866</v>
      </c>
      <c r="G5" s="30">
        <v>3718.0479451734268</v>
      </c>
      <c r="H5" s="8">
        <v>50.494167327880859</v>
      </c>
      <c r="I5" s="8">
        <f t="shared" ref="I5:I15" si="0">N5/3.6*1.055</f>
        <v>2.0792046507199604</v>
      </c>
      <c r="J5" s="8">
        <v>0.85</v>
      </c>
      <c r="K5" s="1">
        <v>40</v>
      </c>
      <c r="L5">
        <v>30</v>
      </c>
      <c r="N5" s="28">
        <v>7.0949163436889648</v>
      </c>
      <c r="P5" s="9"/>
      <c r="Q5" s="13" t="str">
        <f t="shared" ref="Q5:Q16" si="1">B5</f>
        <v>EN_COAIGCC</v>
      </c>
      <c r="R5" s="9" t="s">
        <v>21</v>
      </c>
      <c r="S5" s="9" t="s">
        <v>16</v>
      </c>
      <c r="T5" s="9" t="s">
        <v>48</v>
      </c>
      <c r="U5" s="9" t="s">
        <v>14</v>
      </c>
      <c r="V5" s="9"/>
      <c r="W5" s="9" t="s">
        <v>15</v>
      </c>
      <c r="Z5">
        <v>2</v>
      </c>
      <c r="AA5" t="s">
        <v>124</v>
      </c>
      <c r="AB5" t="s">
        <v>114</v>
      </c>
      <c r="AC5" s="12">
        <f>MATCH(AB5,ovrcst!$A$4:$W$4,0)</f>
        <v>17</v>
      </c>
      <c r="AD5" s="32">
        <f>IFERROR(MATCH(AB5,heatrate!$K$4:$T$4,0),1)</f>
        <v>1</v>
      </c>
    </row>
    <row r="6" spans="2:30">
      <c r="B6" s="12" t="s">
        <v>38</v>
      </c>
      <c r="C6" t="s">
        <v>3</v>
      </c>
      <c r="D6" t="s">
        <v>35</v>
      </c>
      <c r="E6" s="12"/>
      <c r="F6" s="12"/>
      <c r="G6" s="12"/>
      <c r="H6" s="8">
        <v>65.308937072753906</v>
      </c>
      <c r="I6" s="8">
        <f t="shared" si="0"/>
        <v>1.2819967614279852</v>
      </c>
      <c r="J6" s="8">
        <v>0.85</v>
      </c>
      <c r="K6" s="1">
        <v>40</v>
      </c>
      <c r="L6">
        <v>30</v>
      </c>
      <c r="N6" s="28">
        <v>4.3745861053466797</v>
      </c>
      <c r="P6" s="9"/>
      <c r="Q6" s="13" t="str">
        <f t="shared" si="1"/>
        <v>EN_ZCOAIGCC</v>
      </c>
      <c r="R6" s="9" t="s">
        <v>25</v>
      </c>
      <c r="S6" s="9" t="s">
        <v>16</v>
      </c>
      <c r="T6" s="9" t="s">
        <v>48</v>
      </c>
      <c r="U6" s="9" t="s">
        <v>14</v>
      </c>
      <c r="V6" s="9"/>
      <c r="W6" s="9" t="s">
        <v>15</v>
      </c>
      <c r="Z6">
        <v>3</v>
      </c>
      <c r="AA6" t="s">
        <v>125</v>
      </c>
      <c r="AB6" t="s">
        <v>115</v>
      </c>
      <c r="AC6" s="12">
        <f>MATCH(AB6,ovrcst!$A$4:$W$4,0)</f>
        <v>18</v>
      </c>
      <c r="AD6" s="32">
        <f>IFERROR(MATCH(AB6,heatrate!$K$4:$T$4,0),1)</f>
        <v>1</v>
      </c>
    </row>
    <row r="7" spans="2:30">
      <c r="B7" s="12" t="s">
        <v>39</v>
      </c>
      <c r="C7" t="s">
        <v>34</v>
      </c>
      <c r="D7" t="s">
        <v>35</v>
      </c>
      <c r="E7" s="12"/>
      <c r="F7" s="12"/>
      <c r="G7" s="12"/>
      <c r="H7" s="8">
        <v>31.23478889465332</v>
      </c>
      <c r="I7" s="8">
        <f t="shared" si="0"/>
        <v>1.9524926722049711</v>
      </c>
      <c r="J7" s="8">
        <v>0.87</v>
      </c>
      <c r="K7" s="1">
        <v>30</v>
      </c>
      <c r="L7">
        <v>30</v>
      </c>
      <c r="N7" s="28">
        <v>6.662534236907959</v>
      </c>
      <c r="P7" s="9"/>
      <c r="Q7" s="13" t="str">
        <f t="shared" si="1"/>
        <v>EN_ZGasCCAdv</v>
      </c>
      <c r="R7" s="9" t="s">
        <v>26</v>
      </c>
      <c r="S7" s="9" t="s">
        <v>13</v>
      </c>
      <c r="T7" s="9" t="s">
        <v>48</v>
      </c>
      <c r="U7" s="9" t="s">
        <v>14</v>
      </c>
      <c r="V7" s="9"/>
      <c r="W7" s="9" t="s">
        <v>15</v>
      </c>
      <c r="Z7">
        <v>4</v>
      </c>
      <c r="AA7" t="s">
        <v>36</v>
      </c>
      <c r="AB7" t="s">
        <v>99</v>
      </c>
      <c r="AC7" s="12">
        <f>MATCH(AB7,ovrcst!$A$4:$W$4,0)</f>
        <v>2</v>
      </c>
      <c r="AD7" s="32">
        <f>IFERROR(MATCH(AB7,heatrate!$K$4:$T$4,0),1)</f>
        <v>2</v>
      </c>
    </row>
    <row r="8" spans="2:30">
      <c r="B8" s="12" t="s">
        <v>40</v>
      </c>
      <c r="C8" t="s">
        <v>34</v>
      </c>
      <c r="D8" t="s">
        <v>35</v>
      </c>
      <c r="E8" s="12"/>
      <c r="F8" s="12"/>
      <c r="G8" s="12"/>
      <c r="H8" s="8">
        <v>15.101861000061035</v>
      </c>
      <c r="I8" s="8">
        <f t="shared" si="0"/>
        <v>0.94136211706532358</v>
      </c>
      <c r="J8" s="8">
        <v>0.87</v>
      </c>
      <c r="K8" s="1">
        <v>30</v>
      </c>
      <c r="L8">
        <v>30</v>
      </c>
      <c r="N8" s="28">
        <v>3.212230920791626</v>
      </c>
      <c r="P8" s="9"/>
      <c r="Q8" s="13" t="str">
        <f t="shared" si="1"/>
        <v>EN_GasCCAdv</v>
      </c>
      <c r="R8" s="9" t="s">
        <v>27</v>
      </c>
      <c r="S8" s="9" t="s">
        <v>13</v>
      </c>
      <c r="T8" s="9" t="s">
        <v>48</v>
      </c>
      <c r="U8" s="9" t="s">
        <v>14</v>
      </c>
      <c r="V8" s="9"/>
      <c r="W8" s="9" t="s">
        <v>15</v>
      </c>
      <c r="Z8">
        <v>5</v>
      </c>
      <c r="AA8" t="s">
        <v>37</v>
      </c>
      <c r="AB8" t="s">
        <v>99</v>
      </c>
      <c r="AC8" s="12">
        <f>MATCH(AB8,ovrcst!$A$4:$W$4,0)</f>
        <v>2</v>
      </c>
      <c r="AD8" s="32">
        <f>IFERROR(MATCH(AB8,heatrate!$K$4:$T$4,0),1)</f>
        <v>2</v>
      </c>
    </row>
    <row r="9" spans="2:30">
      <c r="B9" s="12" t="s">
        <v>41</v>
      </c>
      <c r="C9" t="s">
        <v>34</v>
      </c>
      <c r="D9" t="s">
        <v>35</v>
      </c>
      <c r="E9" s="12"/>
      <c r="F9" s="12"/>
      <c r="G9" s="12"/>
      <c r="H9" s="8">
        <v>12.93995189666748</v>
      </c>
      <c r="I9" s="8">
        <f t="shared" si="0"/>
        <v>1.0367807696262994</v>
      </c>
      <c r="J9" s="8">
        <v>0.87</v>
      </c>
      <c r="K9" s="1">
        <v>30</v>
      </c>
      <c r="L9">
        <v>30</v>
      </c>
      <c r="N9" s="28">
        <v>3.537830114364624</v>
      </c>
      <c r="P9" s="9"/>
      <c r="Q9" s="13" t="str">
        <f t="shared" si="1"/>
        <v>EN_GasCC</v>
      </c>
      <c r="R9" s="9" t="s">
        <v>28</v>
      </c>
      <c r="S9" s="9" t="s">
        <v>13</v>
      </c>
      <c r="T9" s="9" t="s">
        <v>48</v>
      </c>
      <c r="U9" s="9" t="s">
        <v>14</v>
      </c>
      <c r="V9" s="9"/>
      <c r="W9" s="9" t="s">
        <v>15</v>
      </c>
      <c r="Z9">
        <v>6</v>
      </c>
      <c r="AA9" t="s">
        <v>38</v>
      </c>
      <c r="AB9" t="s">
        <v>100</v>
      </c>
      <c r="AC9" s="12">
        <f>MATCH(AB9,ovrcst!$A$4:$W$4,0)</f>
        <v>3</v>
      </c>
      <c r="AD9" s="32">
        <f>IFERROR(MATCH(AB9,heatrate!$K$4:$T$4,0),1)</f>
        <v>3</v>
      </c>
    </row>
    <row r="10" spans="2:30">
      <c r="B10" s="12" t="s">
        <v>42</v>
      </c>
      <c r="C10" t="s">
        <v>34</v>
      </c>
      <c r="D10" t="s">
        <v>35</v>
      </c>
      <c r="E10" s="12"/>
      <c r="F10" s="12"/>
      <c r="G10" s="12"/>
      <c r="H10" s="8">
        <v>6.9163618087768555</v>
      </c>
      <c r="I10" s="8">
        <f t="shared" si="0"/>
        <v>2.986195463604397</v>
      </c>
      <c r="J10" s="8">
        <v>0.06</v>
      </c>
      <c r="K10" s="1">
        <v>30</v>
      </c>
      <c r="L10">
        <v>30</v>
      </c>
      <c r="N10" s="28">
        <v>10.189861297607422</v>
      </c>
      <c r="P10" s="9"/>
      <c r="Q10" s="13" t="str">
        <f t="shared" si="1"/>
        <v>EN_GasCTAdv</v>
      </c>
      <c r="R10" s="9" t="s">
        <v>29</v>
      </c>
      <c r="S10" s="9" t="s">
        <v>13</v>
      </c>
      <c r="T10" s="9" t="s">
        <v>48</v>
      </c>
      <c r="U10" s="9" t="s">
        <v>14</v>
      </c>
      <c r="V10" s="9"/>
      <c r="W10" s="9" t="s">
        <v>15</v>
      </c>
      <c r="Z10">
        <v>7</v>
      </c>
      <c r="AA10" t="s">
        <v>39</v>
      </c>
      <c r="AB10" t="s">
        <v>106</v>
      </c>
      <c r="AC10" s="12">
        <f>MATCH(AB10,ovrcst!$A$4:$W$4,0)</f>
        <v>9</v>
      </c>
      <c r="AD10" s="32">
        <f>IFERROR(MATCH(AB10,heatrate!$K$4:$T$4,0),1)</f>
        <v>9</v>
      </c>
    </row>
    <row r="11" spans="2:30">
      <c r="B11" s="12" t="s">
        <v>43</v>
      </c>
      <c r="C11" t="s">
        <v>34</v>
      </c>
      <c r="D11" t="s">
        <v>35</v>
      </c>
      <c r="E11" s="12"/>
      <c r="F11" s="12"/>
      <c r="G11" s="12"/>
      <c r="H11" s="8">
        <v>7.2122020721435547</v>
      </c>
      <c r="I11" s="8">
        <f t="shared" si="0"/>
        <v>4.4487695561514951</v>
      </c>
      <c r="J11" s="8">
        <v>0.06</v>
      </c>
      <c r="K11" s="1">
        <v>30</v>
      </c>
      <c r="L11">
        <v>30</v>
      </c>
      <c r="N11" s="28">
        <v>15.180635452270508</v>
      </c>
      <c r="P11" s="9"/>
      <c r="Q11" s="13" t="str">
        <f t="shared" si="1"/>
        <v>EN_GasCT</v>
      </c>
      <c r="R11" s="9" t="s">
        <v>30</v>
      </c>
      <c r="S11" s="9" t="s">
        <v>13</v>
      </c>
      <c r="T11" s="9" t="s">
        <v>48</v>
      </c>
      <c r="U11" s="9" t="s">
        <v>14</v>
      </c>
      <c r="V11" s="9"/>
      <c r="W11" s="9" t="s">
        <v>15</v>
      </c>
      <c r="Z11">
        <v>8</v>
      </c>
      <c r="AA11" t="s">
        <v>40</v>
      </c>
      <c r="AB11" t="s">
        <v>105</v>
      </c>
      <c r="AC11" s="12">
        <f>MATCH(AB11,ovrcst!$A$4:$W$4,0)</f>
        <v>8</v>
      </c>
      <c r="AD11" s="32">
        <f>IFERROR(MATCH(AB11,heatrate!$K$4:$T$4,0),1)</f>
        <v>8</v>
      </c>
    </row>
    <row r="12" spans="2:30">
      <c r="B12" s="12" t="s">
        <v>44</v>
      </c>
      <c r="C12" t="s">
        <v>47</v>
      </c>
      <c r="D12" t="s">
        <v>35</v>
      </c>
      <c r="E12" s="34">
        <v>0.25274074074074077</v>
      </c>
      <c r="F12" s="34">
        <v>0.27801481481481488</v>
      </c>
      <c r="G12" s="12"/>
      <c r="H12" s="8">
        <v>103.78744506835938</v>
      </c>
      <c r="I12" s="8">
        <f t="shared" si="0"/>
        <v>1.5143873665067882</v>
      </c>
      <c r="J12" s="8">
        <v>0.83</v>
      </c>
      <c r="K12" s="1">
        <v>30</v>
      </c>
      <c r="L12">
        <v>30</v>
      </c>
      <c r="N12" s="28">
        <v>5.1675777435302734</v>
      </c>
      <c r="P12" s="9"/>
      <c r="Q12" s="13" t="str">
        <f t="shared" si="1"/>
        <v>EN_Biomass</v>
      </c>
      <c r="R12" s="9" t="s">
        <v>31</v>
      </c>
      <c r="S12" s="9" t="s">
        <v>16</v>
      </c>
      <c r="T12" s="9" t="s">
        <v>48</v>
      </c>
      <c r="U12" s="9" t="s">
        <v>14</v>
      </c>
      <c r="V12" s="9"/>
      <c r="W12" s="9" t="s">
        <v>15</v>
      </c>
      <c r="Z12">
        <v>9</v>
      </c>
      <c r="AA12" t="s">
        <v>41</v>
      </c>
      <c r="AB12" t="s">
        <v>104</v>
      </c>
      <c r="AC12" s="12">
        <f>MATCH(AB12,ovrcst!$A$4:$W$4,0)</f>
        <v>7</v>
      </c>
      <c r="AD12" s="32">
        <f>IFERROR(MATCH(AB12,heatrate!$K$4:$T$4,0),1)</f>
        <v>7</v>
      </c>
    </row>
    <row r="13" spans="2:30">
      <c r="B13" s="12" t="s">
        <v>45</v>
      </c>
      <c r="C13" t="s">
        <v>47</v>
      </c>
      <c r="D13" t="s">
        <v>35</v>
      </c>
      <c r="E13" s="12"/>
      <c r="F13" s="12"/>
      <c r="G13" s="12"/>
      <c r="H13" s="8">
        <v>103.78744506835938</v>
      </c>
      <c r="I13" s="8">
        <f t="shared" si="0"/>
        <v>1.5143873665067882</v>
      </c>
      <c r="J13" s="8">
        <v>0.83</v>
      </c>
      <c r="K13" s="1">
        <v>30</v>
      </c>
      <c r="L13">
        <v>30</v>
      </c>
      <c r="N13" s="28">
        <v>5.1675777435302734</v>
      </c>
      <c r="P13" s="9"/>
      <c r="Q13" s="13" t="str">
        <f t="shared" si="1"/>
        <v>EN_ZBiomass</v>
      </c>
      <c r="R13" s="9" t="s">
        <v>32</v>
      </c>
      <c r="S13" s="9" t="s">
        <v>16</v>
      </c>
      <c r="T13" s="9" t="s">
        <v>48</v>
      </c>
      <c r="U13" s="9" t="s">
        <v>14</v>
      </c>
      <c r="V13" s="9"/>
      <c r="W13" s="9" t="s">
        <v>15</v>
      </c>
      <c r="Z13">
        <v>10</v>
      </c>
      <c r="AA13" t="s">
        <v>42</v>
      </c>
      <c r="AB13" t="s">
        <v>103</v>
      </c>
      <c r="AC13" s="12">
        <f>MATCH(AB13,ovrcst!$A$4:$W$4,0)</f>
        <v>6</v>
      </c>
      <c r="AD13" s="32">
        <f>IFERROR(MATCH(AB13,heatrate!$K$4:$T$4,0),1)</f>
        <v>6</v>
      </c>
    </row>
    <row r="14" spans="2:30">
      <c r="B14" s="12" t="s">
        <v>46</v>
      </c>
      <c r="C14" t="s">
        <v>20</v>
      </c>
      <c r="D14" t="s">
        <v>35</v>
      </c>
      <c r="E14" s="12"/>
      <c r="F14" s="12"/>
      <c r="G14" s="12"/>
      <c r="H14" s="8">
        <v>15.101861000061035</v>
      </c>
      <c r="I14" s="8">
        <f t="shared" si="0"/>
        <v>0.94136211706532358</v>
      </c>
      <c r="J14" s="8">
        <v>0.3</v>
      </c>
      <c r="K14" s="1">
        <v>30</v>
      </c>
      <c r="L14">
        <v>30</v>
      </c>
      <c r="N14" s="28">
        <v>3.212230920791626</v>
      </c>
      <c r="P14" s="9"/>
      <c r="Q14" s="13" t="str">
        <f t="shared" si="1"/>
        <v>EN_OilCCAdv</v>
      </c>
      <c r="R14" s="9" t="s">
        <v>33</v>
      </c>
      <c r="S14" s="9" t="s">
        <v>13</v>
      </c>
      <c r="T14" s="9" t="s">
        <v>48</v>
      </c>
      <c r="U14" s="9" t="s">
        <v>14</v>
      </c>
      <c r="V14" s="9"/>
      <c r="W14" s="9" t="s">
        <v>15</v>
      </c>
      <c r="Z14">
        <v>11</v>
      </c>
      <c r="AA14" t="s">
        <v>43</v>
      </c>
      <c r="AB14" t="s">
        <v>102</v>
      </c>
      <c r="AC14" s="12">
        <f>MATCH(AB14,ovrcst!$A$4:$W$4,0)</f>
        <v>5</v>
      </c>
      <c r="AD14" s="32">
        <f>IFERROR(MATCH(AB14,heatrate!$K$4:$T$4,0),1)</f>
        <v>5</v>
      </c>
    </row>
    <row r="15" spans="2:30">
      <c r="B15" s="11" t="s">
        <v>50</v>
      </c>
      <c r="C15" t="s">
        <v>51</v>
      </c>
      <c r="D15" t="s">
        <v>35</v>
      </c>
      <c r="E15" s="12">
        <v>0.33</v>
      </c>
      <c r="F15" s="12"/>
      <c r="G15" s="12"/>
      <c r="H15" s="8">
        <f>H13</f>
        <v>103.78744506835938</v>
      </c>
      <c r="I15" s="8">
        <f t="shared" si="0"/>
        <v>1.5143873665067882</v>
      </c>
      <c r="J15" s="8">
        <f>J6</f>
        <v>0.85</v>
      </c>
      <c r="K15" s="1">
        <v>50</v>
      </c>
      <c r="L15">
        <v>30</v>
      </c>
      <c r="N15" s="28">
        <f>N13</f>
        <v>5.1675777435302734</v>
      </c>
      <c r="Q15" s="13" t="str">
        <f t="shared" si="1"/>
        <v>EN_NuclearAdv</v>
      </c>
      <c r="R15" s="11" t="s">
        <v>49</v>
      </c>
      <c r="S15" s="9" t="s">
        <v>16</v>
      </c>
      <c r="T15" s="9" t="s">
        <v>48</v>
      </c>
      <c r="U15" s="9" t="s">
        <v>14</v>
      </c>
      <c r="V15" s="9"/>
      <c r="W15" s="9" t="s">
        <v>15</v>
      </c>
      <c r="Z15">
        <v>12</v>
      </c>
      <c r="AA15" t="s">
        <v>44</v>
      </c>
      <c r="AB15" t="s">
        <v>109</v>
      </c>
      <c r="AC15" s="12">
        <f>MATCH(AB15,ovrcst!$A$4:$W$4,0)</f>
        <v>12</v>
      </c>
      <c r="AD15" s="32">
        <f>IFERROR(MATCH(AB15,heatrate!$K$4:$T$4,0),1)</f>
        <v>1</v>
      </c>
    </row>
    <row r="16" spans="2:30">
      <c r="B16" s="12" t="s">
        <v>90</v>
      </c>
      <c r="C16" t="s">
        <v>91</v>
      </c>
      <c r="D16" t="s">
        <v>35</v>
      </c>
      <c r="E16" s="32">
        <v>0.33</v>
      </c>
      <c r="F16" s="32"/>
      <c r="G16" s="32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P16" s="12"/>
      <c r="Q16" s="13" t="str">
        <f t="shared" si="1"/>
        <v>EN_GeoThermal</v>
      </c>
      <c r="R16" s="13" t="s">
        <v>92</v>
      </c>
      <c r="S16" s="13" t="s">
        <v>16</v>
      </c>
      <c r="T16" s="13" t="s">
        <v>48</v>
      </c>
      <c r="U16" s="13" t="s">
        <v>14</v>
      </c>
      <c r="V16" s="13"/>
      <c r="Z16">
        <v>13</v>
      </c>
      <c r="AA16" t="s">
        <v>45</v>
      </c>
      <c r="AB16" t="s">
        <v>100</v>
      </c>
      <c r="AC16" s="12">
        <f>MATCH(AB16,ovrcst!$A$4:$W$4,0)</f>
        <v>3</v>
      </c>
      <c r="AD16" s="32">
        <f>IFERROR(MATCH(AB16,heatrate!$K$4:$T$4,0),1)</f>
        <v>3</v>
      </c>
    </row>
    <row r="17" spans="2:34">
      <c r="E17" s="12"/>
      <c r="F17" s="12"/>
      <c r="G17" s="12"/>
      <c r="Z17">
        <v>14</v>
      </c>
      <c r="AA17" t="s">
        <v>46</v>
      </c>
      <c r="AB17" t="s">
        <v>103</v>
      </c>
      <c r="AC17" s="12">
        <f>MATCH(AB17,ovrcst!$A$4:$W$4,0)</f>
        <v>6</v>
      </c>
      <c r="AD17" s="32">
        <f>IFERROR(MATCH(AB17,heatrate!$K$4:$T$4,0),1)</f>
        <v>6</v>
      </c>
    </row>
    <row r="18" spans="2:34">
      <c r="E18" s="12"/>
      <c r="F18" s="12"/>
      <c r="G18" s="12"/>
      <c r="Z18">
        <v>15</v>
      </c>
      <c r="AA18" t="s">
        <v>126</v>
      </c>
      <c r="AB18" t="s">
        <v>112</v>
      </c>
      <c r="AC18" s="12">
        <f>MATCH(AB18,ovrcst!$A$4:$W$4,0)</f>
        <v>15</v>
      </c>
      <c r="AD18" s="32">
        <f>IFERROR(MATCH(AB18,heatrate!$K$4:$T$4,0),1)</f>
        <v>1</v>
      </c>
    </row>
    <row r="19" spans="2:34">
      <c r="E19" s="12"/>
      <c r="F19" s="12"/>
      <c r="G19" s="12"/>
      <c r="Z19">
        <v>16</v>
      </c>
      <c r="AA19" s="11" t="s">
        <v>50</v>
      </c>
      <c r="AB19" t="s">
        <v>108</v>
      </c>
      <c r="AC19" s="12">
        <f>MATCH(AB19,ovrcst!$A$4:$W$4,0)</f>
        <v>11</v>
      </c>
      <c r="AD19" s="32">
        <f>IFERROR(MATCH(AB19,heatrate!$K$4:$T$4,0),1)</f>
        <v>1</v>
      </c>
    </row>
    <row r="20" spans="2:34" s="26" customFormat="1">
      <c r="AA20" s="29"/>
    </row>
    <row r="21" spans="2:34">
      <c r="B21" t="s">
        <v>138</v>
      </c>
    </row>
    <row r="22" spans="2:34">
      <c r="B22" t="s">
        <v>0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s="12" t="str">
        <f t="shared" ref="B23:B32" si="2">B6</f>
        <v>EN_ZCOAIGCC</v>
      </c>
      <c r="C23" s="5">
        <f>VLOOKUP(C$22,ovrcst!$A$5:$W$36,VLOOKUP('ELC_Gen-sdj'!$B23,'ELC_Gen-sdj'!$AA$4:$AC$19,3,FALSE))</f>
        <v>5715.7879928716911</v>
      </c>
      <c r="D23" s="5">
        <f>VLOOKUP(D$22,ovrcst!$A$5:$W$36,VLOOKUP('ELC_Gen-sdj'!$B23,'ELC_Gen-sdj'!$AA$4:$AC$19,3,FALSE))</f>
        <v>5651.6864103869648</v>
      </c>
      <c r="E23" s="5">
        <f>VLOOKUP(E$22,ovrcst!$A$5:$W$36,VLOOKUP('ELC_Gen-sdj'!$B23,'ELC_Gen-sdj'!$AA$4:$AC$19,3,FALSE))</f>
        <v>5513.4993360488797</v>
      </c>
      <c r="F23" s="5">
        <f>VLOOKUP(F$22,ovrcst!$A$5:$W$36,VLOOKUP('ELC_Gen-sdj'!$B23,'ELC_Gen-sdj'!$AA$4:$AC$19,3,FALSE))</f>
        <v>5427.627470468432</v>
      </c>
      <c r="G23" s="5">
        <f>VLOOKUP(G$22,ovrcst!$A$5:$W$36,VLOOKUP('ELC_Gen-sdj'!$B23,'ELC_Gen-sdj'!$AA$4:$AC$19,3,FALSE))</f>
        <v>5366.8807077393076</v>
      </c>
      <c r="H23" s="5">
        <f>VLOOKUP(H$22,ovrcst!$A$5:$W$36,VLOOKUP('ELC_Gen-sdj'!$B23,'ELC_Gen-sdj'!$AA$4:$AC$19,3,FALSE))</f>
        <v>5317.9441863543789</v>
      </c>
      <c r="I23" s="5">
        <f>VLOOKUP(I$22,ovrcst!$A$5:$W$36,VLOOKUP('ELC_Gen-sdj'!$B23,'ELC_Gen-sdj'!$AA$4:$AC$19,3,FALSE))</f>
        <v>5278.0965580448074</v>
      </c>
      <c r="J23" s="5">
        <f>VLOOKUP(J$22,ovrcst!$A$5:$W$36,VLOOKUP('ELC_Gen-sdj'!$B23,'ELC_Gen-sdj'!$AA$4:$AC$19,3,FALSE))</f>
        <v>5225.5754959266806</v>
      </c>
      <c r="K23" s="5">
        <f>VLOOKUP(K$22,ovrcst!$A$5:$W$36,VLOOKUP('ELC_Gen-sdj'!$B23,'ELC_Gen-sdj'!$AA$4:$AC$19,3,FALSE))</f>
        <v>5162.7493116089618</v>
      </c>
      <c r="L23" s="5">
        <f>VLOOKUP(L$22,ovrcst!$A$5:$W$36,VLOOKUP('ELC_Gen-sdj'!$B23,'ELC_Gen-sdj'!$AA$4:$AC$19,3,FALSE))</f>
        <v>5092.6073625254576</v>
      </c>
      <c r="M23" s="5">
        <f>VLOOKUP(M$22,ovrcst!$A$5:$W$36,VLOOKUP('ELC_Gen-sdj'!$B23,'ELC_Gen-sdj'!$AA$4:$AC$19,3,FALSE))</f>
        <v>5020.642065173116</v>
      </c>
      <c r="N23" s="5">
        <f>VLOOKUP(N$22,ovrcst!$A$5:$W$36,VLOOKUP('ELC_Gen-sdj'!$B23,'ELC_Gen-sdj'!$AA$4:$AC$19,3,FALSE))</f>
        <v>4957.238097759674</v>
      </c>
      <c r="O23" s="5">
        <f>VLOOKUP(O$22,ovrcst!$A$5:$W$36,VLOOKUP('ELC_Gen-sdj'!$B23,'ELC_Gen-sdj'!$AA$4:$AC$19,3,FALSE))</f>
        <v>4894.1573319755598</v>
      </c>
      <c r="P23" s="5">
        <f>VLOOKUP(P$22,ovrcst!$A$5:$W$36,VLOOKUP('ELC_Gen-sdj'!$B23,'ELC_Gen-sdj'!$AA$4:$AC$19,3,FALSE))</f>
        <v>4831.2734694501023</v>
      </c>
      <c r="Q23" s="5">
        <f>VLOOKUP(Q$22,ovrcst!$A$5:$W$36,VLOOKUP('ELC_Gen-sdj'!$B23,'ELC_Gen-sdj'!$AA$4:$AC$19,3,FALSE))</f>
        <v>4771.2183564154784</v>
      </c>
      <c r="R23" s="5">
        <f>VLOOKUP(R$22,ovrcst!$A$5:$W$36,VLOOKUP('ELC_Gen-sdj'!$B23,'ELC_Gen-sdj'!$AA$4:$AC$19,3,FALSE))</f>
        <v>4711.9339521384927</v>
      </c>
      <c r="S23" s="5">
        <f>VLOOKUP(S$22,ovrcst!$A$5:$W$36,VLOOKUP('ELC_Gen-sdj'!$B23,'ELC_Gen-sdj'!$AA$4:$AC$19,3,FALSE))</f>
        <v>4649.7412403258659</v>
      </c>
      <c r="T23" s="5">
        <f>VLOOKUP(T$22,ovrcst!$A$5:$W$36,VLOOKUP('ELC_Gen-sdj'!$B23,'ELC_Gen-sdj'!$AA$4:$AC$19,3,FALSE))</f>
        <v>4590.5418625254579</v>
      </c>
      <c r="U23" s="5">
        <f>VLOOKUP(U$22,ovrcst!$A$5:$W$36,VLOOKUP('ELC_Gen-sdj'!$B23,'ELC_Gen-sdj'!$AA$4:$AC$19,3,FALSE))</f>
        <v>4532.315069246436</v>
      </c>
      <c r="V23" s="5">
        <f>VLOOKUP(V$22,ovrcst!$A$5:$W$36,VLOOKUP('ELC_Gen-sdj'!$B23,'ELC_Gen-sdj'!$AA$4:$AC$19,3,FALSE))</f>
        <v>4476.1254338085537</v>
      </c>
      <c r="W23" s="5">
        <f>VLOOKUP(W$22,ovrcst!$A$5:$W$36,VLOOKUP('ELC_Gen-sdj'!$B23,'ELC_Gen-sdj'!$AA$4:$AC$19,3,FALSE))</f>
        <v>4419.474366598778</v>
      </c>
      <c r="X23" s="5">
        <f>VLOOKUP(X$22,ovrcst!$A$5:$W$36,VLOOKUP('ELC_Gen-sdj'!$B23,'ELC_Gen-sdj'!$AA$4:$AC$19,3,FALSE))</f>
        <v>4364.7306792260697</v>
      </c>
      <c r="Y23" s="5">
        <f>VLOOKUP(Y$22,ovrcst!$A$5:$W$36,VLOOKUP('ELC_Gen-sdj'!$B23,'ELC_Gen-sdj'!$AA$4:$AC$19,3,FALSE))</f>
        <v>4311.2981914460288</v>
      </c>
      <c r="Z23" s="5">
        <f>VLOOKUP(Z$22,ovrcst!$A$5:$W$36,VLOOKUP('ELC_Gen-sdj'!$B23,'ELC_Gen-sdj'!$AA$4:$AC$19,3,FALSE))</f>
        <v>4254.7545264765786</v>
      </c>
      <c r="AA23" s="5">
        <f>VLOOKUP(AA$22,ovrcst!$A$5:$W$36,VLOOKUP('ELC_Gen-sdj'!$B23,'ELC_Gen-sdj'!$AA$4:$AC$19,3,FALSE))</f>
        <v>4204.7201181262726</v>
      </c>
      <c r="AB23" s="5">
        <f>VLOOKUP(AB$22,ovrcst!$A$5:$W$36,VLOOKUP('ELC_Gen-sdj'!$B23,'ELC_Gen-sdj'!$AA$4:$AC$19,3,FALSE))</f>
        <v>4149.4130682281057</v>
      </c>
      <c r="AC23" s="5">
        <f>VLOOKUP(AC$22,ovrcst!$A$5:$W$36,VLOOKUP('ELC_Gen-sdj'!$B23,'ELC_Gen-sdj'!$AA$4:$AC$19,3,FALSE))</f>
        <v>4099.6024134419549</v>
      </c>
      <c r="AD23" s="5">
        <f>VLOOKUP(AD$22,ovrcst!$A$5:$W$36,VLOOKUP('ELC_Gen-sdj'!$B23,'ELC_Gen-sdj'!$AA$4:$AC$19,3,FALSE))</f>
        <v>4045.5374470468432</v>
      </c>
      <c r="AE23" s="5">
        <f>VLOOKUP(AE$22,ovrcst!$A$5:$W$36,VLOOKUP('ELC_Gen-sdj'!$B23,'ELC_Gen-sdj'!$AA$4:$AC$19,3,FALSE))</f>
        <v>3995.2867433808556</v>
      </c>
      <c r="AF23" s="5">
        <f>VLOOKUP(AF$22,ovrcst!$A$5:$W$36,VLOOKUP('ELC_Gen-sdj'!$B23,'ELC_Gen-sdj'!$AA$4:$AC$19,3,FALSE))</f>
        <v>3945.0531934826881</v>
      </c>
      <c r="AG23" s="5">
        <f>VLOOKUP(AG$22,ovrcst!$A$5:$W$36,VLOOKUP('ELC_Gen-sdj'!$B23,'ELC_Gen-sdj'!$AA$4:$AC$19,3,FALSE))</f>
        <v>3894.9128747454174</v>
      </c>
      <c r="AH23" s="5">
        <f>VLOOKUP(AH$22,ovrcst!$A$5:$W$36,VLOOKUP('ELC_Gen-sdj'!$B23,'ELC_Gen-sdj'!$AA$4:$AC$19,3,FALSE))</f>
        <v>3845.2213075356417</v>
      </c>
    </row>
    <row r="24" spans="2:34">
      <c r="B24" s="12" t="str">
        <f t="shared" si="2"/>
        <v>EN_ZGasCCAdv</v>
      </c>
      <c r="C24" s="5">
        <f>VLOOKUP(C$22,ovrcst!$A$5:$W$36,VLOOKUP('ELC_Gen-sdj'!$B24,'ELC_Gen-sdj'!$AA$4:$AC$19,3,FALSE))</f>
        <v>2204.7527264537057</v>
      </c>
      <c r="D24" s="5">
        <f>VLOOKUP(D$22,ovrcst!$A$5:$W$36,VLOOKUP('ELC_Gen-sdj'!$B24,'ELC_Gen-sdj'!$AA$4:$AC$19,3,FALSE))</f>
        <v>2176.3550779414863</v>
      </c>
      <c r="E24" s="5">
        <f>VLOOKUP(E$22,ovrcst!$A$5:$W$36,VLOOKUP('ELC_Gen-sdj'!$B24,'ELC_Gen-sdj'!$AA$4:$AC$19,3,FALSE))</f>
        <v>2119.527684065833</v>
      </c>
      <c r="F24" s="5">
        <f>VLOOKUP(F$22,ovrcst!$A$5:$W$36,VLOOKUP('ELC_Gen-sdj'!$B24,'ELC_Gen-sdj'!$AA$4:$AC$19,3,FALSE))</f>
        <v>2082.9271460250129</v>
      </c>
      <c r="G24" s="5">
        <f>VLOOKUP(G$22,ovrcst!$A$5:$W$36,VLOOKUP('ELC_Gen-sdj'!$B24,'ELC_Gen-sdj'!$AA$4:$AC$19,3,FALSE))</f>
        <v>2023.7324353742019</v>
      </c>
      <c r="H24" s="5">
        <f>VLOOKUP(H$22,ovrcst!$A$5:$W$36,VLOOKUP('ELC_Gen-sdj'!$B24,'ELC_Gen-sdj'!$AA$4:$AC$19,3,FALSE))</f>
        <v>1991.6680541404785</v>
      </c>
      <c r="I24" s="5">
        <f>VLOOKUP(I$22,ovrcst!$A$5:$W$36,VLOOKUP('ELC_Gen-sdj'!$B24,'ELC_Gen-sdj'!$AA$4:$AC$19,3,FALSE))</f>
        <v>1962.4599814015355</v>
      </c>
      <c r="J24" s="5">
        <f>VLOOKUP(J$22,ovrcst!$A$5:$W$36,VLOOKUP('ELC_Gen-sdj'!$B24,'ELC_Gen-sdj'!$AA$4:$AC$19,3,FALSE))</f>
        <v>1929.6563305345417</v>
      </c>
      <c r="K24" s="5">
        <f>VLOOKUP(K$22,ovrcst!$A$5:$W$36,VLOOKUP('ELC_Gen-sdj'!$B24,'ELC_Gen-sdj'!$AA$4:$AC$19,3,FALSE))</f>
        <v>1894.1682958045187</v>
      </c>
      <c r="L24" s="5">
        <f>VLOOKUP(L$22,ovrcst!$A$5:$W$36,VLOOKUP('ELC_Gen-sdj'!$B24,'ELC_Gen-sdj'!$AA$4:$AC$19,3,FALSE))</f>
        <v>1861.101622629034</v>
      </c>
      <c r="M24" s="5">
        <f>VLOOKUP(M$22,ovrcst!$A$5:$W$36,VLOOKUP('ELC_Gen-sdj'!$B24,'ELC_Gen-sdj'!$AA$4:$AC$19,3,FALSE))</f>
        <v>1827.5859589325796</v>
      </c>
      <c r="N24" s="5">
        <f>VLOOKUP(N$22,ovrcst!$A$5:$W$36,VLOOKUP('ELC_Gen-sdj'!$B24,'ELC_Gen-sdj'!$AA$4:$AC$19,3,FALSE))</f>
        <v>1799.7582499270172</v>
      </c>
      <c r="O24" s="5">
        <f>VLOOKUP(O$22,ovrcst!$A$5:$W$36,VLOOKUP('ELC_Gen-sdj'!$B24,'ELC_Gen-sdj'!$AA$4:$AC$19,3,FALSE))</f>
        <v>1772.7205513033425</v>
      </c>
      <c r="P24" s="5">
        <f>VLOOKUP(P$22,ovrcst!$A$5:$W$36,VLOOKUP('ELC_Gen-sdj'!$B24,'ELC_Gen-sdj'!$AA$4:$AC$19,3,FALSE))</f>
        <v>1744.3398946731445</v>
      </c>
      <c r="Q24" s="5">
        <f>VLOOKUP(Q$22,ovrcst!$A$5:$W$36,VLOOKUP('ELC_Gen-sdj'!$B24,'ELC_Gen-sdj'!$AA$4:$AC$19,3,FALSE))</f>
        <v>1718.3577062795916</v>
      </c>
      <c r="R24" s="5">
        <f>VLOOKUP(R$22,ovrcst!$A$5:$W$36,VLOOKUP('ELC_Gen-sdj'!$B24,'ELC_Gen-sdj'!$AA$4:$AC$19,3,FALSE))</f>
        <v>1691.7835125191639</v>
      </c>
      <c r="S24" s="5">
        <f>VLOOKUP(S$22,ovrcst!$A$5:$W$36,VLOOKUP('ELC_Gen-sdj'!$B24,'ELC_Gen-sdj'!$AA$4:$AC$19,3,FALSE))</f>
        <v>1665.4230155032312</v>
      </c>
      <c r="T24" s="5">
        <f>VLOOKUP(T$22,ovrcst!$A$5:$W$36,VLOOKUP('ELC_Gen-sdj'!$B24,'ELC_Gen-sdj'!$AA$4:$AC$19,3,FALSE))</f>
        <v>1639.504900946743</v>
      </c>
      <c r="U24" s="5">
        <f>VLOOKUP(U$22,ovrcst!$A$5:$W$36,VLOOKUP('ELC_Gen-sdj'!$B24,'ELC_Gen-sdj'!$AA$4:$AC$19,3,FALSE))</f>
        <v>1615.4570872329855</v>
      </c>
      <c r="V24" s="5">
        <f>VLOOKUP(V$22,ovrcst!$A$5:$W$36,VLOOKUP('ELC_Gen-sdj'!$B24,'ELC_Gen-sdj'!$AA$4:$AC$19,3,FALSE))</f>
        <v>1593.5526257281338</v>
      </c>
      <c r="W24" s="5">
        <f>VLOOKUP(W$22,ovrcst!$A$5:$W$36,VLOOKUP('ELC_Gen-sdj'!$B24,'ELC_Gen-sdj'!$AA$4:$AC$19,3,FALSE))</f>
        <v>1571.5137622837831</v>
      </c>
      <c r="X24" s="5">
        <f>VLOOKUP(X$22,ovrcst!$A$5:$W$36,VLOOKUP('ELC_Gen-sdj'!$B24,'ELC_Gen-sdj'!$AA$4:$AC$19,3,FALSE))</f>
        <v>1550.1819546560928</v>
      </c>
      <c r="Y24" s="5">
        <f>VLOOKUP(Y$22,ovrcst!$A$5:$W$36,VLOOKUP('ELC_Gen-sdj'!$B24,'ELC_Gen-sdj'!$AA$4:$AC$19,3,FALSE))</f>
        <v>1529.3439768621179</v>
      </c>
      <c r="Z24" s="5">
        <f>VLOOKUP(Z$22,ovrcst!$A$5:$W$36,VLOOKUP('ELC_Gen-sdj'!$B24,'ELC_Gen-sdj'!$AA$4:$AC$19,3,FALSE))</f>
        <v>1507.4316090765146</v>
      </c>
      <c r="AA24" s="5">
        <f>VLOOKUP(AA$22,ovrcst!$A$5:$W$36,VLOOKUP('ELC_Gen-sdj'!$B24,'ELC_Gen-sdj'!$AA$4:$AC$19,3,FALSE))</f>
        <v>1487.8542263174072</v>
      </c>
      <c r="AB24" s="5">
        <f>VLOOKUP(AB$22,ovrcst!$A$5:$W$36,VLOOKUP('ELC_Gen-sdj'!$B24,'ELC_Gen-sdj'!$AA$4:$AC$19,3,FALSE))</f>
        <v>1466.4389923962826</v>
      </c>
      <c r="AC24" s="5">
        <f>VLOOKUP(AC$22,ovrcst!$A$5:$W$36,VLOOKUP('ELC_Gen-sdj'!$B24,'ELC_Gen-sdj'!$AA$4:$AC$19,3,FALSE))</f>
        <v>1446.9943585946364</v>
      </c>
      <c r="AD24" s="5">
        <f>VLOOKUP(AD$22,ovrcst!$A$5:$W$36,VLOOKUP('ELC_Gen-sdj'!$B24,'ELC_Gen-sdj'!$AA$4:$AC$19,3,FALSE))</f>
        <v>1426.0769670969578</v>
      </c>
      <c r="AE24" s="5">
        <f>VLOOKUP(AE$22,ovrcst!$A$5:$W$36,VLOOKUP('ELC_Gen-sdj'!$B24,'ELC_Gen-sdj'!$AA$4:$AC$19,3,FALSE))</f>
        <v>1406.5328605095826</v>
      </c>
      <c r="AF24" s="5">
        <f>VLOOKUP(AF$22,ovrcst!$A$5:$W$36,VLOOKUP('ELC_Gen-sdj'!$B24,'ELC_Gen-sdj'!$AA$4:$AC$19,3,FALSE))</f>
        <v>1387.022382923439</v>
      </c>
      <c r="AG24" s="5">
        <f>VLOOKUP(AG$22,ovrcst!$A$5:$W$36,VLOOKUP('ELC_Gen-sdj'!$B24,'ELC_Gen-sdj'!$AA$4:$AC$19,3,FALSE))</f>
        <v>1367.572676110253</v>
      </c>
      <c r="AH24" s="5">
        <f>VLOOKUP(AH$22,ovrcst!$A$5:$W$36,VLOOKUP('ELC_Gen-sdj'!$B24,'ELC_Gen-sdj'!$AA$4:$AC$19,3,FALSE))</f>
        <v>1348.3088186108378</v>
      </c>
    </row>
    <row r="25" spans="2:34">
      <c r="B25" s="39" t="str">
        <f t="shared" si="2"/>
        <v>EN_GasCCAdv</v>
      </c>
      <c r="C25" s="40">
        <f>VLOOKUP(C$22,ovrcst!$A$5:$W$36,VLOOKUP('ELC_Gen-sdj'!$B25,'ELC_Gen-sdj'!$AA$4:$AC$19,3,FALSE))</f>
        <v>794.43951592145902</v>
      </c>
      <c r="D25" s="40">
        <f>VLOOKUP(D$22,ovrcst!$A$5:$W$36,VLOOKUP('ELC_Gen-sdj'!$B25,'ELC_Gen-sdj'!$AA$4:$AC$19,3,FALSE))</f>
        <v>786.43841465656715</v>
      </c>
      <c r="E25" s="40">
        <f>VLOOKUP(E$22,ovrcst!$A$5:$W$36,VLOOKUP('ELC_Gen-sdj'!$B25,'ELC_Gen-sdj'!$AA$4:$AC$19,3,FALSE))</f>
        <v>768.10346098690979</v>
      </c>
      <c r="F25" s="40">
        <f>VLOOKUP(F$22,ovrcst!$A$5:$W$36,VLOOKUP('ELC_Gen-sdj'!$B25,'ELC_Gen-sdj'!$AA$4:$AC$19,3,FALSE))</f>
        <v>757.02855199294015</v>
      </c>
      <c r="G25" s="40">
        <f>VLOOKUP(G$22,ovrcst!$A$5:$W$36,VLOOKUP('ELC_Gen-sdj'!$B25,'ELC_Gen-sdj'!$AA$4:$AC$19,3,FALSE))</f>
        <v>732.12888568171775</v>
      </c>
      <c r="H25" s="40">
        <f>VLOOKUP(H$22,ovrcst!$A$5:$W$36,VLOOKUP('ELC_Gen-sdj'!$B25,'ELC_Gen-sdj'!$AA$4:$AC$19,3,FALSE))</f>
        <v>720.96291458302687</v>
      </c>
      <c r="I25" s="40">
        <f>VLOOKUP(I$22,ovrcst!$A$5:$W$36,VLOOKUP('ELC_Gen-sdj'!$B25,'ELC_Gen-sdj'!$AA$4:$AC$19,3,FALSE))</f>
        <v>710.71389634505078</v>
      </c>
      <c r="J25" s="40">
        <f>VLOOKUP(J$22,ovrcst!$A$5:$W$36,VLOOKUP('ELC_Gen-sdj'!$B25,'ELC_Gen-sdj'!$AA$4:$AC$19,3,FALSE))</f>
        <v>699.33326132519483</v>
      </c>
      <c r="K25" s="40">
        <f>VLOOKUP(K$22,ovrcst!$A$5:$W$36,VLOOKUP('ELC_Gen-sdj'!$B25,'ELC_Gen-sdj'!$AA$4:$AC$19,3,FALSE))</f>
        <v>687.13795686865717</v>
      </c>
      <c r="L25" s="40">
        <f>VLOOKUP(L$22,ovrcst!$A$5:$W$36,VLOOKUP('ELC_Gen-sdj'!$B25,'ELC_Gen-sdj'!$AA$4:$AC$19,3,FALSE))</f>
        <v>676.65861983379909</v>
      </c>
      <c r="M25" s="40">
        <f>VLOOKUP(M$22,ovrcst!$A$5:$W$36,VLOOKUP('ELC_Gen-sdj'!$B25,'ELC_Gen-sdj'!$AA$4:$AC$19,3,FALSE))</f>
        <v>666.00142576114126</v>
      </c>
      <c r="N25" s="40">
        <f>VLOOKUP(N$22,ovrcst!$A$5:$W$36,VLOOKUP('ELC_Gen-sdj'!$B25,'ELC_Gen-sdj'!$AA$4:$AC$19,3,FALSE))</f>
        <v>657.80877518752743</v>
      </c>
      <c r="O25" s="40">
        <f>VLOOKUP(O$22,ovrcst!$A$5:$W$36,VLOOKUP('ELC_Gen-sdj'!$B25,'ELC_Gen-sdj'!$AA$4:$AC$19,3,FALSE))</f>
        <v>649.97504044712446</v>
      </c>
      <c r="P25" s="40">
        <f>VLOOKUP(P$22,ovrcst!$A$5:$W$36,VLOOKUP('ELC_Gen-sdj'!$B25,'ELC_Gen-sdj'!$AA$4:$AC$19,3,FALSE))</f>
        <v>641.36372168701268</v>
      </c>
      <c r="Q25" s="40">
        <f>VLOOKUP(Q$22,ovrcst!$A$5:$W$36,VLOOKUP('ELC_Gen-sdj'!$B25,'ELC_Gen-sdj'!$AA$4:$AC$19,3,FALSE))</f>
        <v>633.8220216208266</v>
      </c>
      <c r="R25" s="40">
        <f>VLOOKUP(R$22,ovrcst!$A$5:$W$36,VLOOKUP('ELC_Gen-sdj'!$B25,'ELC_Gen-sdj'!$AA$4:$AC$19,3,FALSE))</f>
        <v>625.87377279747011</v>
      </c>
      <c r="S25" s="5">
        <f>VLOOKUP(S$22,ovrcst!$A$5:$W$36,VLOOKUP('ELC_Gen-sdj'!$B25,'ELC_Gen-sdj'!$AA$4:$AC$19,3,FALSE))</f>
        <v>618.16891454625681</v>
      </c>
      <c r="T25" s="5">
        <f>VLOOKUP(T$22,ovrcst!$A$5:$W$36,VLOOKUP('ELC_Gen-sdj'!$B25,'ELC_Gen-sdj'!$AA$4:$AC$19,3,FALSE))</f>
        <v>610.47914950728045</v>
      </c>
      <c r="U25" s="5">
        <f>VLOOKUP(U$22,ovrcst!$A$5:$W$36,VLOOKUP('ELC_Gen-sdj'!$B25,'ELC_Gen-sdj'!$AA$4:$AC$19,3,FALSE))</f>
        <v>603.6915805633181</v>
      </c>
      <c r="V25" s="5">
        <f>VLOOKUP(V$22,ovrcst!$A$5:$W$36,VLOOKUP('ELC_Gen-sdj'!$B25,'ELC_Gen-sdj'!$AA$4:$AC$19,3,FALSE))</f>
        <v>597.89283626268559</v>
      </c>
      <c r="W25" s="5">
        <f>VLOOKUP(W$22,ovrcst!$A$5:$W$36,VLOOKUP('ELC_Gen-sdj'!$B25,'ELC_Gen-sdj'!$AA$4:$AC$19,3,FALSE))</f>
        <v>592.00617370201508</v>
      </c>
      <c r="X25" s="5">
        <f>VLOOKUP(X$22,ovrcst!$A$5:$W$36,VLOOKUP('ELC_Gen-sdj'!$B25,'ELC_Gen-sdj'!$AA$4:$AC$19,3,FALSE))</f>
        <v>586.3488748345344</v>
      </c>
      <c r="Y25" s="5">
        <f>VLOOKUP(Y$22,ovrcst!$A$5:$W$36,VLOOKUP('ELC_Gen-sdj'!$B25,'ELC_Gen-sdj'!$AA$4:$AC$19,3,FALSE))</f>
        <v>580.84255956758341</v>
      </c>
      <c r="Z25" s="5">
        <f>VLOOKUP(Z$22,ovrcst!$A$5:$W$36,VLOOKUP('ELC_Gen-sdj'!$B25,'ELC_Gen-sdj'!$AA$4:$AC$19,3,FALSE))</f>
        <v>574.89064384468304</v>
      </c>
      <c r="AA25" s="5">
        <f>VLOOKUP(AA$22,ovrcst!$A$5:$W$36,VLOOKUP('ELC_Gen-sdj'!$B25,'ELC_Gen-sdj'!$AA$4:$AC$19,3,FALSE))</f>
        <v>569.7928978526254</v>
      </c>
      <c r="AB25" s="5">
        <f>VLOOKUP(AB$22,ovrcst!$A$5:$W$36,VLOOKUP('ELC_Gen-sdj'!$B25,'ELC_Gen-sdj'!$AA$4:$AC$19,3,FALSE))</f>
        <v>563.95538406383287</v>
      </c>
      <c r="AC25" s="5">
        <f>VLOOKUP(AC$22,ovrcst!$A$5:$W$36,VLOOKUP('ELC_Gen-sdj'!$B25,'ELC_Gen-sdj'!$AA$4:$AC$19,3,FALSE))</f>
        <v>558.83923463009262</v>
      </c>
      <c r="AD25" s="5">
        <f>VLOOKUP(AD$22,ovrcst!$A$5:$W$36,VLOOKUP('ELC_Gen-sdj'!$B25,'ELC_Gen-sdj'!$AA$4:$AC$19,3,FALSE))</f>
        <v>553.11769377849669</v>
      </c>
      <c r="AE25" s="5">
        <f>VLOOKUP(AE$22,ovrcst!$A$5:$W$36,VLOOKUP('ELC_Gen-sdj'!$B25,'ELC_Gen-sdj'!$AA$4:$AC$19,3,FALSE))</f>
        <v>547.89168811589946</v>
      </c>
      <c r="AF25" s="5">
        <f>VLOOKUP(AF$22,ovrcst!$A$5:$W$36,VLOOKUP('ELC_Gen-sdj'!$B25,'ELC_Gen-sdj'!$AA$4:$AC$19,3,FALSE))</f>
        <v>542.64318282100305</v>
      </c>
      <c r="AG25" s="5">
        <f>VLOOKUP(AG$22,ovrcst!$A$5:$W$36,VLOOKUP('ELC_Gen-sdj'!$B25,'ELC_Gen-sdj'!$AA$4:$AC$19,3,FALSE))</f>
        <v>537.38222165024263</v>
      </c>
      <c r="AH25" s="5">
        <f>VLOOKUP(AH$22,ovrcst!$A$5:$W$36,VLOOKUP('ELC_Gen-sdj'!$B25,'ELC_Gen-sdj'!$AA$4:$AC$19,3,FALSE))</f>
        <v>532.15789913957929</v>
      </c>
    </row>
    <row r="26" spans="2:34">
      <c r="B26" s="12" t="str">
        <f t="shared" si="2"/>
        <v>EN_GasCC</v>
      </c>
      <c r="C26" s="5">
        <f>VLOOKUP(C$22,ovrcst!$A$5:$W$36,VLOOKUP('ELC_Gen-sdj'!$B26,'ELC_Gen-sdj'!$AA$4:$AC$19,3,FALSE))</f>
        <v>999.32722103014635</v>
      </c>
      <c r="D26" s="5">
        <f>VLOOKUP(D$22,ovrcst!$A$5:$W$36,VLOOKUP('ELC_Gen-sdj'!$B26,'ELC_Gen-sdj'!$AA$4:$AC$19,3,FALSE))</f>
        <v>990.01963397384725</v>
      </c>
      <c r="E26" s="5">
        <f>VLOOKUP(E$22,ovrcst!$A$5:$W$36,VLOOKUP('ELC_Gen-sdj'!$B26,'ELC_Gen-sdj'!$AA$4:$AC$19,3,FALSE))</f>
        <v>967.68334022919942</v>
      </c>
      <c r="F26" s="5">
        <f>VLOOKUP(F$22,ovrcst!$A$5:$W$36,VLOOKUP('ELC_Gen-sdj'!$B26,'ELC_Gen-sdj'!$AA$4:$AC$19,3,FALSE))</f>
        <v>954.4694025614134</v>
      </c>
      <c r="G26" s="5">
        <f>VLOOKUP(G$22,ovrcst!$A$5:$W$36,VLOOKUP('ELC_Gen-sdj'!$B26,'ELC_Gen-sdj'!$AA$4:$AC$19,3,FALSE))</f>
        <v>945.63998672144874</v>
      </c>
      <c r="H26" s="5">
        <f>VLOOKUP(H$22,ovrcst!$A$5:$W$36,VLOOKUP('ELC_Gen-sdj'!$B26,'ELC_Gen-sdj'!$AA$4:$AC$19,3,FALSE))</f>
        <v>938.87054374705326</v>
      </c>
      <c r="I26" s="5">
        <f>VLOOKUP(I$22,ovrcst!$A$5:$W$36,VLOOKUP('ELC_Gen-sdj'!$B26,'ELC_Gen-sdj'!$AA$4:$AC$19,3,FALSE))</f>
        <v>933.69142090120965</v>
      </c>
      <c r="J26" s="5">
        <f>VLOOKUP(J$22,ovrcst!$A$5:$W$36,VLOOKUP('ELC_Gen-sdj'!$B26,'ELC_Gen-sdj'!$AA$4:$AC$19,3,FALSE))</f>
        <v>926.25481828591228</v>
      </c>
      <c r="K26" s="5">
        <f>VLOOKUP(K$22,ovrcst!$A$5:$W$36,VLOOKUP('ELC_Gen-sdj'!$B26,'ELC_Gen-sdj'!$AA$4:$AC$19,3,FALSE))</f>
        <v>916.96743483406635</v>
      </c>
      <c r="L26" s="5">
        <f>VLOOKUP(L$22,ovrcst!$A$5:$W$36,VLOOKUP('ELC_Gen-sdj'!$B26,'ELC_Gen-sdj'!$AA$4:$AC$19,3,FALSE))</f>
        <v>906.34990041086542</v>
      </c>
      <c r="M26" s="5">
        <f>VLOOKUP(M$22,ovrcst!$A$5:$W$36,VLOOKUP('ELC_Gen-sdj'!$B26,'ELC_Gen-sdj'!$AA$4:$AC$19,3,FALSE))</f>
        <v>895.37335629817096</v>
      </c>
      <c r="N26" s="5">
        <f>VLOOKUP(N$22,ovrcst!$A$5:$W$36,VLOOKUP('ELC_Gen-sdj'!$B26,'ELC_Gen-sdj'!$AA$4:$AC$19,3,FALSE))</f>
        <v>885.89111010613226</v>
      </c>
      <c r="O26" s="5">
        <f>VLOOKUP(O$22,ovrcst!$A$5:$W$36,VLOOKUP('ELC_Gen-sdj'!$B26,'ELC_Gen-sdj'!$AA$4:$AC$19,3,FALSE))</f>
        <v>876.43693554129345</v>
      </c>
      <c r="P26" s="5">
        <f>VLOOKUP(P$22,ovrcst!$A$5:$W$36,VLOOKUP('ELC_Gen-sdj'!$B26,'ELC_Gen-sdj'!$AA$4:$AC$19,3,FALSE))</f>
        <v>866.98804737941066</v>
      </c>
      <c r="Q26" s="5">
        <f>VLOOKUP(Q$22,ovrcst!$A$5:$W$36,VLOOKUP('ELC_Gen-sdj'!$B26,'ELC_Gen-sdj'!$AA$4:$AC$19,3,FALSE))</f>
        <v>858.01756425183066</v>
      </c>
      <c r="R26" s="5">
        <f>VLOOKUP(R$22,ovrcst!$A$5:$W$36,VLOOKUP('ELC_Gen-sdj'!$B26,'ELC_Gen-sdj'!$AA$4:$AC$19,3,FALSE))</f>
        <v>849.15749131602001</v>
      </c>
      <c r="S26" s="5">
        <f>VLOOKUP(S$22,ovrcst!$A$5:$W$36,VLOOKUP('ELC_Gen-sdj'!$B26,'ELC_Gen-sdj'!$AA$4:$AC$19,3,FALSE))</f>
        <v>839.74384038796472</v>
      </c>
      <c r="T26" s="5">
        <f>VLOOKUP(T$22,ovrcst!$A$5:$W$36,VLOOKUP('ELC_Gen-sdj'!$B26,'ELC_Gen-sdj'!$AA$4:$AC$19,3,FALSE))</f>
        <v>830.84095470859359</v>
      </c>
      <c r="U26" s="5">
        <f>VLOOKUP(U$22,ovrcst!$A$5:$W$36,VLOOKUP('ELC_Gen-sdj'!$B26,'ELC_Gen-sdj'!$AA$4:$AC$19,3,FALSE))</f>
        <v>822.08535991609494</v>
      </c>
      <c r="V26" s="5">
        <f>VLOOKUP(V$22,ovrcst!$A$5:$W$36,VLOOKUP('ELC_Gen-sdj'!$B26,'ELC_Gen-sdj'!$AA$4:$AC$19,3,FALSE))</f>
        <v>813.67103928719212</v>
      </c>
      <c r="W26" s="5">
        <f>VLOOKUP(W$22,ovrcst!$A$5:$W$36,VLOOKUP('ELC_Gen-sdj'!$B26,'ELC_Gen-sdj'!$AA$4:$AC$19,3,FALSE))</f>
        <v>805.14542804083646</v>
      </c>
      <c r="X26" s="5">
        <f>VLOOKUP(X$22,ovrcst!$A$5:$W$36,VLOOKUP('ELC_Gen-sdj'!$B26,'ELC_Gen-sdj'!$AA$4:$AC$19,3,FALSE))</f>
        <v>796.93953640536154</v>
      </c>
      <c r="Y26" s="5">
        <f>VLOOKUP(Y$22,ovrcst!$A$5:$W$36,VLOOKUP('ELC_Gen-sdj'!$B26,'ELC_Gen-sdj'!$AA$4:$AC$19,3,FALSE))</f>
        <v>788.94659520625066</v>
      </c>
      <c r="Z26" s="5">
        <f>VLOOKUP(Z$22,ovrcst!$A$5:$W$36,VLOOKUP('ELC_Gen-sdj'!$B26,'ELC_Gen-sdj'!$AA$4:$AC$19,3,FALSE))</f>
        <v>780.35638188343751</v>
      </c>
      <c r="AA26" s="5">
        <f>VLOOKUP(AA$22,ovrcst!$A$5:$W$36,VLOOKUP('ELC_Gen-sdj'!$B26,'ELC_Gen-sdj'!$AA$4:$AC$19,3,FALSE))</f>
        <v>772.93328682633012</v>
      </c>
      <c r="AB26" s="5">
        <f>VLOOKUP(AB$22,ovrcst!$A$5:$W$36,VLOOKUP('ELC_Gen-sdj'!$B26,'ELC_Gen-sdj'!$AA$4:$AC$19,3,FALSE))</f>
        <v>764.51450248732283</v>
      </c>
      <c r="AC26" s="5">
        <f>VLOOKUP(AC$22,ovrcst!$A$5:$W$36,VLOOKUP('ELC_Gen-sdj'!$B26,'ELC_Gen-sdj'!$AA$4:$AC$19,3,FALSE))</f>
        <v>757.08101263386811</v>
      </c>
      <c r="AD26" s="5">
        <f>VLOOKUP(AD$22,ovrcst!$A$5:$W$36,VLOOKUP('ELC_Gen-sdj'!$B26,'ELC_Gen-sdj'!$AA$4:$AC$19,3,FALSE))</f>
        <v>748.83530266437026</v>
      </c>
      <c r="AE26" s="5">
        <f>VLOOKUP(AE$22,ovrcst!$A$5:$W$36,VLOOKUP('ELC_Gen-sdj'!$B26,'ELC_Gen-sdj'!$AA$4:$AC$19,3,FALSE))</f>
        <v>741.2680881772784</v>
      </c>
      <c r="AF26" s="5">
        <f>VLOOKUP(AF$22,ovrcst!$A$5:$W$36,VLOOKUP('ELC_Gen-sdj'!$B26,'ELC_Gen-sdj'!$AA$4:$AC$19,3,FALSE))</f>
        <v>733.67790949416428</v>
      </c>
      <c r="AG26" s="5">
        <f>VLOOKUP(AG$22,ovrcst!$A$5:$W$36,VLOOKUP('ELC_Gen-sdj'!$B26,'ELC_Gen-sdj'!$AA$4:$AC$19,3,FALSE))</f>
        <v>726.07845218278214</v>
      </c>
      <c r="AH26" s="5">
        <f>VLOOKUP(AH$22,ovrcst!$A$5:$W$36,VLOOKUP('ELC_Gen-sdj'!$B26,'ELC_Gen-sdj'!$AA$4:$AC$19,3,FALSE))</f>
        <v>718.53584439077429</v>
      </c>
    </row>
    <row r="27" spans="2:34">
      <c r="B27" s="35" t="str">
        <f t="shared" si="2"/>
        <v>EN_GasCTAdv</v>
      </c>
      <c r="C27" s="38">
        <f>VLOOKUP(C$22,ovrcst!$A$5:$W$36,VLOOKUP('ELC_Gen-sdj'!$B27,'ELC_Gen-sdj'!$AA$4:$AC$19,3,FALSE))</f>
        <v>691.0768157887843</v>
      </c>
      <c r="D27" s="38">
        <f>VLOOKUP(D$22,ovrcst!$A$5:$W$36,VLOOKUP('ELC_Gen-sdj'!$B27,'ELC_Gen-sdj'!$AA$4:$AC$19,3,FALSE))</f>
        <v>683.76621123055679</v>
      </c>
      <c r="E27" s="38">
        <f>VLOOKUP(E$22,ovrcst!$A$5:$W$36,VLOOKUP('ELC_Gen-sdj'!$B27,'ELC_Gen-sdj'!$AA$4:$AC$19,3,FALSE))</f>
        <v>667.48039872330708</v>
      </c>
      <c r="F27" s="38">
        <f>VLOOKUP(F$22,ovrcst!$A$5:$W$36,VLOOKUP('ELC_Gen-sdj'!$B27,'ELC_Gen-sdj'!$AA$4:$AC$19,3,FALSE))</f>
        <v>657.5143656011345</v>
      </c>
      <c r="G27" s="38">
        <f>VLOOKUP(G$22,ovrcst!$A$5:$W$36,VLOOKUP('ELC_Gen-sdj'!$B27,'ELC_Gen-sdj'!$AA$4:$AC$19,3,FALSE))</f>
        <v>625.44563297699176</v>
      </c>
      <c r="H27" s="38">
        <f>VLOOKUP(H$22,ovrcst!$A$5:$W$36,VLOOKUP('ELC_Gen-sdj'!$B27,'ELC_Gen-sdj'!$AA$4:$AC$19,3,FALSE))</f>
        <v>612.36512873569245</v>
      </c>
      <c r="I27" s="38">
        <f>VLOOKUP(I$22,ovrcst!$A$5:$W$36,VLOOKUP('ELC_Gen-sdj'!$B27,'ELC_Gen-sdj'!$AA$4:$AC$19,3,FALSE))</f>
        <v>599.88018282301789</v>
      </c>
      <c r="J27" s="38">
        <f>VLOOKUP(J$22,ovrcst!$A$5:$W$36,VLOOKUP('ELC_Gen-sdj'!$B27,'ELC_Gen-sdj'!$AA$4:$AC$19,3,FALSE))</f>
        <v>586.79665335842799</v>
      </c>
      <c r="K27" s="38">
        <f>VLOOKUP(K$22,ovrcst!$A$5:$W$36,VLOOKUP('ELC_Gen-sdj'!$B27,'ELC_Gen-sdj'!$AA$4:$AC$19,3,FALSE))</f>
        <v>573.38688246717516</v>
      </c>
      <c r="L27" s="38">
        <f>VLOOKUP(L$22,ovrcst!$A$5:$W$36,VLOOKUP('ELC_Gen-sdj'!$B27,'ELC_Gen-sdj'!$AA$4:$AC$19,3,FALSE))</f>
        <v>563.08421888622388</v>
      </c>
      <c r="M27" s="38">
        <f>VLOOKUP(M$22,ovrcst!$A$5:$W$36,VLOOKUP('ELC_Gen-sdj'!$B27,'ELC_Gen-sdj'!$AA$4:$AC$19,3,FALSE))</f>
        <v>552.68940292531795</v>
      </c>
      <c r="N27" s="38">
        <f>VLOOKUP(N$22,ovrcst!$A$5:$W$36,VLOOKUP('ELC_Gen-sdj'!$B27,'ELC_Gen-sdj'!$AA$4:$AC$19,3,FALSE))</f>
        <v>545.18176316075028</v>
      </c>
      <c r="O27" s="38">
        <f>VLOOKUP(O$22,ovrcst!$A$5:$W$36,VLOOKUP('ELC_Gen-sdj'!$B27,'ELC_Gen-sdj'!$AA$4:$AC$19,3,FALSE))</f>
        <v>538.1821541760055</v>
      </c>
      <c r="P27" s="38">
        <f>VLOOKUP(P$22,ovrcst!$A$5:$W$36,VLOOKUP('ELC_Gen-sdj'!$B27,'ELC_Gen-sdj'!$AA$4:$AC$19,3,FALSE))</f>
        <v>530.05109484271452</v>
      </c>
      <c r="Q27" s="38">
        <f>VLOOKUP(Q$22,ovrcst!$A$5:$W$36,VLOOKUP('ELC_Gen-sdj'!$B27,'ELC_Gen-sdj'!$AA$4:$AC$19,3,FALSE))</f>
        <v>523.25171840914777</v>
      </c>
      <c r="R27" s="38">
        <f>VLOOKUP(R$22,ovrcst!$A$5:$W$36,VLOOKUP('ELC_Gen-sdj'!$B27,'ELC_Gen-sdj'!$AA$4:$AC$19,3,FALSE))</f>
        <v>515.81087957852662</v>
      </c>
      <c r="S27" s="5">
        <f>VLOOKUP(S$22,ovrcst!$A$5:$W$36,VLOOKUP('ELC_Gen-sdj'!$B27,'ELC_Gen-sdj'!$AA$4:$AC$19,3,FALSE))</f>
        <v>508.97975794471898</v>
      </c>
      <c r="T27" s="5">
        <f>VLOOKUP(T$22,ovrcst!$A$5:$W$36,VLOOKUP('ELC_Gen-sdj'!$B27,'ELC_Gen-sdj'!$AA$4:$AC$19,3,FALSE))</f>
        <v>501.93412983203177</v>
      </c>
      <c r="U27" s="5">
        <f>VLOOKUP(U$22,ovrcst!$A$5:$W$36,VLOOKUP('ELC_Gen-sdj'!$B27,'ELC_Gen-sdj'!$AA$4:$AC$19,3,FALSE))</f>
        <v>496.13037458887266</v>
      </c>
      <c r="V27" s="5">
        <f>VLOOKUP(V$22,ovrcst!$A$5:$W$36,VLOOKUP('ELC_Gen-sdj'!$B27,'ELC_Gen-sdj'!$AA$4:$AC$19,3,FALSE))</f>
        <v>491.60428881995716</v>
      </c>
      <c r="W27" s="5">
        <f>VLOOKUP(W$22,ovrcst!$A$5:$W$36,VLOOKUP('ELC_Gen-sdj'!$B27,'ELC_Gen-sdj'!$AA$4:$AC$19,3,FALSE))</f>
        <v>487.00232364089447</v>
      </c>
      <c r="X27" s="5">
        <f>VLOOKUP(X$22,ovrcst!$A$5:$W$36,VLOOKUP('ELC_Gen-sdj'!$B27,'ELC_Gen-sdj'!$AA$4:$AC$19,3,FALSE))</f>
        <v>482.58534609527305</v>
      </c>
      <c r="Y27" s="5">
        <f>VLOOKUP(Y$22,ovrcst!$A$5:$W$36,VLOOKUP('ELC_Gen-sdj'!$B27,'ELC_Gen-sdj'!$AA$4:$AC$19,3,FALSE))</f>
        <v>478.28898178879183</v>
      </c>
      <c r="Z27" s="5">
        <f>VLOOKUP(Z$22,ovrcst!$A$5:$W$36,VLOOKUP('ELC_Gen-sdj'!$B27,'ELC_Gen-sdj'!$AA$4:$AC$19,3,FALSE))</f>
        <v>473.62192940771479</v>
      </c>
      <c r="AA27" s="5">
        <f>VLOOKUP(AA$22,ovrcst!$A$5:$W$36,VLOOKUP('ELC_Gen-sdj'!$B27,'ELC_Gen-sdj'!$AA$4:$AC$19,3,FALSE))</f>
        <v>469.65517412339614</v>
      </c>
      <c r="AB27" s="5">
        <f>VLOOKUP(AB$22,ovrcst!$A$5:$W$36,VLOOKUP('ELC_Gen-sdj'!$B27,'ELC_Gen-sdj'!$AA$4:$AC$19,3,FALSE))</f>
        <v>465.07507586444302</v>
      </c>
      <c r="AC27" s="5">
        <f>VLOOKUP(AC$22,ovrcst!$A$5:$W$36,VLOOKUP('ELC_Gen-sdj'!$B27,'ELC_Gen-sdj'!$AA$4:$AC$19,3,FALSE))</f>
        <v>461.08628247391044</v>
      </c>
      <c r="AD27" s="5">
        <f>VLOOKUP(AD$22,ovrcst!$A$5:$W$36,VLOOKUP('ELC_Gen-sdj'!$B27,'ELC_Gen-sdj'!$AA$4:$AC$19,3,FALSE))</f>
        <v>456.59451063224731</v>
      </c>
      <c r="AE27" s="5">
        <f>VLOOKUP(AE$22,ovrcst!$A$5:$W$36,VLOOKUP('ELC_Gen-sdj'!$B27,'ELC_Gen-sdj'!$AA$4:$AC$19,3,FALSE))</f>
        <v>452.50808410008494</v>
      </c>
      <c r="AF27" s="5">
        <f>VLOOKUP(AF$22,ovrcst!$A$5:$W$36,VLOOKUP('ELC_Gen-sdj'!$B27,'ELC_Gen-sdj'!$AA$4:$AC$19,3,FALSE))</f>
        <v>448.39967652374338</v>
      </c>
      <c r="AG27" s="5">
        <f>VLOOKUP(AG$22,ovrcst!$A$5:$W$36,VLOOKUP('ELC_Gen-sdj'!$B27,'ELC_Gen-sdj'!$AA$4:$AC$19,3,FALSE))</f>
        <v>444.27762270208376</v>
      </c>
      <c r="AH27" s="5">
        <f>VLOOKUP(AH$22,ovrcst!$A$5:$W$36,VLOOKUP('ELC_Gen-sdj'!$B27,'ELC_Gen-sdj'!$AA$4:$AC$19,3,FALSE))</f>
        <v>440.18226175197276</v>
      </c>
    </row>
    <row r="28" spans="2:34">
      <c r="B28" s="12" t="str">
        <f t="shared" si="2"/>
        <v>EN_GasCT</v>
      </c>
      <c r="C28" s="5">
        <f>VLOOKUP(C$22,ovrcst!$A$5:$W$36,VLOOKUP('ELC_Gen-sdj'!$B28,'ELC_Gen-sdj'!$AA$4:$AC$19,3,FALSE))</f>
        <v>1126.002408681185</v>
      </c>
      <c r="D28" s="5">
        <f>VLOOKUP(D$22,ovrcst!$A$5:$W$36,VLOOKUP('ELC_Gen-sdj'!$B28,'ELC_Gen-sdj'!$AA$4:$AC$19,3,FALSE))</f>
        <v>1115.5153164235383</v>
      </c>
      <c r="E28" s="5">
        <f>VLOOKUP(E$22,ovrcst!$A$5:$W$36,VLOOKUP('ELC_Gen-sdj'!$B28,'ELC_Gen-sdj'!$AA$4:$AC$19,3,FALSE))</f>
        <v>1090.3474355472445</v>
      </c>
      <c r="F28" s="5">
        <f>VLOOKUP(F$22,ovrcst!$A$5:$W$36,VLOOKUP('ELC_Gen-sdj'!$B28,'ELC_Gen-sdj'!$AA$4:$AC$19,3,FALSE))</f>
        <v>1075.4584258953284</v>
      </c>
      <c r="G28" s="5">
        <f>VLOOKUP(G$22,ovrcst!$A$5:$W$36,VLOOKUP('ELC_Gen-sdj'!$B28,'ELC_Gen-sdj'!$AA$4:$AC$19,3,FALSE))</f>
        <v>1065.5099575376823</v>
      </c>
      <c r="H28" s="5">
        <f>VLOOKUP(H$22,ovrcst!$A$5:$W$36,VLOOKUP('ELC_Gen-sdj'!$B28,'ELC_Gen-sdj'!$AA$4:$AC$19,3,FALSE))</f>
        <v>1057.8823556940195</v>
      </c>
      <c r="I28" s="5">
        <f>VLOOKUP(I$22,ovrcst!$A$5:$W$36,VLOOKUP('ELC_Gen-sdj'!$B28,'ELC_Gen-sdj'!$AA$4:$AC$19,3,FALSE))</f>
        <v>1052.0467887752784</v>
      </c>
      <c r="J28" s="5">
        <f>VLOOKUP(J$22,ovrcst!$A$5:$W$36,VLOOKUP('ELC_Gen-sdj'!$B28,'ELC_Gen-sdj'!$AA$4:$AC$19,3,FALSE))</f>
        <v>1043.6674434552065</v>
      </c>
      <c r="K28" s="5">
        <f>VLOOKUP(K$22,ovrcst!$A$5:$W$36,VLOOKUP('ELC_Gen-sdj'!$B28,'ELC_Gen-sdj'!$AA$4:$AC$19,3,FALSE))</f>
        <v>1033.2027351233853</v>
      </c>
      <c r="L28" s="5">
        <f>VLOOKUP(L$22,ovrcst!$A$5:$W$36,VLOOKUP('ELC_Gen-sdj'!$B28,'ELC_Gen-sdj'!$AA$4:$AC$19,3,FALSE))</f>
        <v>1021.239437426818</v>
      </c>
      <c r="M28" s="5">
        <f>VLOOKUP(M$22,ovrcst!$A$5:$W$36,VLOOKUP('ELC_Gen-sdj'!$B28,'ELC_Gen-sdj'!$AA$4:$AC$19,3,FALSE))</f>
        <v>1008.8713552222156</v>
      </c>
      <c r="N28" s="5">
        <f>VLOOKUP(N$22,ovrcst!$A$5:$W$36,VLOOKUP('ELC_Gen-sdj'!$B28,'ELC_Gen-sdj'!$AA$4:$AC$19,3,FALSE))</f>
        <v>998.18723246161107</v>
      </c>
      <c r="O28" s="5">
        <f>VLOOKUP(O$22,ovrcst!$A$5:$W$36,VLOOKUP('ELC_Gen-sdj'!$B28,'ELC_Gen-sdj'!$AA$4:$AC$19,3,FALSE))</f>
        <v>987.53447221994065</v>
      </c>
      <c r="P28" s="5">
        <f>VLOOKUP(P$22,ovrcst!$A$5:$W$36,VLOOKUP('ELC_Gen-sdj'!$B28,'ELC_Gen-sdj'!$AA$4:$AC$19,3,FALSE))</f>
        <v>976.88806508978598</v>
      </c>
      <c r="Q28" s="5">
        <f>VLOOKUP(Q$22,ovrcst!$A$5:$W$36,VLOOKUP('ELC_Gen-sdj'!$B28,'ELC_Gen-sdj'!$AA$4:$AC$19,3,FALSE))</f>
        <v>966.78039933298066</v>
      </c>
      <c r="R28" s="5">
        <f>VLOOKUP(R$22,ovrcst!$A$5:$W$36,VLOOKUP('ELC_Gen-sdj'!$B28,'ELC_Gen-sdj'!$AA$4:$AC$19,3,FALSE))</f>
        <v>956.79718847118465</v>
      </c>
      <c r="S28" s="5">
        <f>VLOOKUP(S$22,ovrcst!$A$5:$W$36,VLOOKUP('ELC_Gen-sdj'!$B28,'ELC_Gen-sdj'!$AA$4:$AC$19,3,FALSE))</f>
        <v>946.19030395990262</v>
      </c>
      <c r="T28" s="5">
        <f>VLOOKUP(T$22,ovrcst!$A$5:$W$36,VLOOKUP('ELC_Gen-sdj'!$B28,'ELC_Gen-sdj'!$AA$4:$AC$19,3,FALSE))</f>
        <v>936.1588850919635</v>
      </c>
      <c r="U28" s="5">
        <f>VLOOKUP(U$22,ovrcst!$A$5:$W$36,VLOOKUP('ELC_Gen-sdj'!$B28,'ELC_Gen-sdj'!$AA$4:$AC$19,3,FALSE))</f>
        <v>926.29330898546959</v>
      </c>
      <c r="V28" s="5">
        <f>VLOOKUP(V$22,ovrcst!$A$5:$W$36,VLOOKUP('ELC_Gen-sdj'!$B28,'ELC_Gen-sdj'!$AA$4:$AC$19,3,FALSE))</f>
        <v>916.81252304101258</v>
      </c>
      <c r="W28" s="5">
        <f>VLOOKUP(W$22,ovrcst!$A$5:$W$36,VLOOKUP('ELC_Gen-sdj'!$B28,'ELC_Gen-sdj'!$AA$4:$AC$19,3,FALSE))</f>
        <v>907.20611701873656</v>
      </c>
      <c r="X28" s="5">
        <f>VLOOKUP(X$22,ovrcst!$A$5:$W$36,VLOOKUP('ELC_Gen-sdj'!$B28,'ELC_Gen-sdj'!$AA$4:$AC$19,3,FALSE))</f>
        <v>897.96013355669197</v>
      </c>
      <c r="Y28" s="5">
        <f>VLOOKUP(Y$22,ovrcst!$A$5:$W$36,VLOOKUP('ELC_Gen-sdj'!$B28,'ELC_Gen-sdj'!$AA$4:$AC$19,3,FALSE))</f>
        <v>888.95396763848021</v>
      </c>
      <c r="Z28" s="5">
        <f>VLOOKUP(Z$22,ovrcst!$A$5:$W$36,VLOOKUP('ELC_Gen-sdj'!$B28,'ELC_Gen-sdj'!$AA$4:$AC$19,3,FALSE))</f>
        <v>879.27486948997478</v>
      </c>
      <c r="AA28" s="5">
        <f>VLOOKUP(AA$22,ovrcst!$A$5:$W$36,VLOOKUP('ELC_Gen-sdj'!$B28,'ELC_Gen-sdj'!$AA$4:$AC$19,3,FALSE))</f>
        <v>870.9108558745271</v>
      </c>
      <c r="AB28" s="5">
        <f>VLOOKUP(AB$22,ovrcst!$A$5:$W$36,VLOOKUP('ELC_Gen-sdj'!$B28,'ELC_Gen-sdj'!$AA$4:$AC$19,3,FALSE))</f>
        <v>861.42476548308298</v>
      </c>
      <c r="AC28" s="5">
        <f>VLOOKUP(AC$22,ovrcst!$A$5:$W$36,VLOOKUP('ELC_Gen-sdj'!$B28,'ELC_Gen-sdj'!$AA$4:$AC$19,3,FALSE))</f>
        <v>853.04909335406467</v>
      </c>
      <c r="AD28" s="5">
        <f>VLOOKUP(AD$22,ovrcst!$A$5:$W$36,VLOOKUP('ELC_Gen-sdj'!$B28,'ELC_Gen-sdj'!$AA$4:$AC$19,3,FALSE))</f>
        <v>843.75828282616067</v>
      </c>
      <c r="AE28" s="5">
        <f>VLOOKUP(AE$22,ovrcst!$A$5:$W$36,VLOOKUP('ELC_Gen-sdj'!$B28,'ELC_Gen-sdj'!$AA$4:$AC$19,3,FALSE))</f>
        <v>835.23163261212983</v>
      </c>
      <c r="AF28" s="5">
        <f>VLOOKUP(AF$22,ovrcst!$A$5:$W$36,VLOOKUP('ELC_Gen-sdj'!$B28,'ELC_Gen-sdj'!$AA$4:$AC$19,3,FALSE))</f>
        <v>826.67939135434369</v>
      </c>
      <c r="AG28" s="5">
        <f>VLOOKUP(AG$22,ovrcst!$A$5:$W$36,VLOOKUP('ELC_Gen-sdj'!$B28,'ELC_Gen-sdj'!$AA$4:$AC$19,3,FALSE))</f>
        <v>818.11654120258322</v>
      </c>
      <c r="AH28" s="5">
        <f>VLOOKUP(AH$22,ovrcst!$A$5:$W$36,VLOOKUP('ELC_Gen-sdj'!$B28,'ELC_Gen-sdj'!$AA$4:$AC$19,3,FALSE))</f>
        <v>809.61792891620826</v>
      </c>
    </row>
    <row r="29" spans="2:34">
      <c r="B29" s="12" t="str">
        <f t="shared" si="2"/>
        <v>EN_Biomass</v>
      </c>
      <c r="C29" s="5">
        <f>VLOOKUP(C$22,ovrcst!$A$5:$W$36,VLOOKUP('ELC_Gen-sdj'!$B29,'ELC_Gen-sdj'!$AA$4:$AC$19,3,FALSE))</f>
        <v>3899.5782844311379</v>
      </c>
      <c r="D29" s="5">
        <f>VLOOKUP(D$22,ovrcst!$A$5:$W$36,VLOOKUP('ELC_Gen-sdj'!$B29,'ELC_Gen-sdj'!$AA$4:$AC$19,3,FALSE))</f>
        <v>3858.2388443113769</v>
      </c>
      <c r="E29" s="5">
        <f>VLOOKUP(E$22,ovrcst!$A$5:$W$36,VLOOKUP('ELC_Gen-sdj'!$B29,'ELC_Gen-sdj'!$AA$4:$AC$19,3,FALSE))</f>
        <v>3756.4370768463073</v>
      </c>
      <c r="F29" s="5">
        <f>VLOOKUP(F$22,ovrcst!$A$5:$W$36,VLOOKUP('ELC_Gen-sdj'!$B29,'ELC_Gen-sdj'!$AA$4:$AC$19,3,FALSE))</f>
        <v>3698.7399710578843</v>
      </c>
      <c r="G29" s="5">
        <f>VLOOKUP(G$22,ovrcst!$A$5:$W$36,VLOOKUP('ELC_Gen-sdj'!$B29,'ELC_Gen-sdj'!$AA$4:$AC$19,3,FALSE))</f>
        <v>3659.7218163672655</v>
      </c>
      <c r="H29" s="5">
        <f>VLOOKUP(H$22,ovrcst!$A$5:$W$36,VLOOKUP('ELC_Gen-sdj'!$B29,'ELC_Gen-sdj'!$AA$4:$AC$19,3,FALSE))</f>
        <v>3628.7298453093813</v>
      </c>
      <c r="I29" s="5">
        <f>VLOOKUP(I$22,ovrcst!$A$5:$W$36,VLOOKUP('ELC_Gen-sdj'!$B29,'ELC_Gen-sdj'!$AA$4:$AC$19,3,FALSE))</f>
        <v>3603.9215518962073</v>
      </c>
      <c r="J29" s="5">
        <f>VLOOKUP(J$22,ovrcst!$A$5:$W$36,VLOOKUP('ELC_Gen-sdj'!$B29,'ELC_Gen-sdj'!$AA$4:$AC$19,3,FALSE))</f>
        <v>3570.4401746506987</v>
      </c>
      <c r="K29" s="5">
        <f>VLOOKUP(K$22,ovrcst!$A$5:$W$36,VLOOKUP('ELC_Gen-sdj'!$B29,'ELC_Gen-sdj'!$AA$4:$AC$19,3,FALSE))</f>
        <v>3529.88627245509</v>
      </c>
      <c r="L29" s="5">
        <f>VLOOKUP(L$22,ovrcst!$A$5:$W$36,VLOOKUP('ELC_Gen-sdj'!$B29,'ELC_Gen-sdj'!$AA$4:$AC$19,3,FALSE))</f>
        <v>3484.2914271457084</v>
      </c>
      <c r="M29" s="5">
        <f>VLOOKUP(M$22,ovrcst!$A$5:$W$36,VLOOKUP('ELC_Gen-sdj'!$B29,'ELC_Gen-sdj'!$AA$4:$AC$19,3,FALSE))</f>
        <v>3437.404000998004</v>
      </c>
      <c r="N29" s="5">
        <f>VLOOKUP(N$22,ovrcst!$A$5:$W$36,VLOOKUP('ELC_Gen-sdj'!$B29,'ELC_Gen-sdj'!$AA$4:$AC$19,3,FALSE))</f>
        <v>3396.336721556886</v>
      </c>
      <c r="O29" s="5">
        <f>VLOOKUP(O$22,ovrcst!$A$5:$W$36,VLOOKUP('ELC_Gen-sdj'!$B29,'ELC_Gen-sdj'!$AA$4:$AC$19,3,FALSE))</f>
        <v>3355.4529121756486</v>
      </c>
      <c r="P29" s="5">
        <f>VLOOKUP(P$22,ovrcst!$A$5:$W$36,VLOOKUP('ELC_Gen-sdj'!$B29,'ELC_Gen-sdj'!$AA$4:$AC$19,3,FALSE))</f>
        <v>3314.6660778443115</v>
      </c>
      <c r="Q29" s="5">
        <f>VLOOKUP(Q$22,ovrcst!$A$5:$W$36,VLOOKUP('ELC_Gen-sdj'!$B29,'ELC_Gen-sdj'!$AA$4:$AC$19,3,FALSE))</f>
        <v>3275.7814451097806</v>
      </c>
      <c r="R29" s="5">
        <f>VLOOKUP(R$22,ovrcst!$A$5:$W$36,VLOOKUP('ELC_Gen-sdj'!$B29,'ELC_Gen-sdj'!$AA$4:$AC$19,3,FALSE))</f>
        <v>3237.3902095808385</v>
      </c>
      <c r="S29" s="5">
        <f>VLOOKUP(S$22,ovrcst!$A$5:$W$36,VLOOKUP('ELC_Gen-sdj'!$B29,'ELC_Gen-sdj'!$AA$4:$AC$19,3,FALSE))</f>
        <v>3196.9632514970062</v>
      </c>
      <c r="T29" s="5">
        <f>VLOOKUP(T$22,ovrcst!$A$5:$W$36,VLOOKUP('ELC_Gen-sdj'!$B29,'ELC_Gen-sdj'!$AA$4:$AC$19,3,FALSE))</f>
        <v>3158.5559351297406</v>
      </c>
      <c r="U29" s="5">
        <f>VLOOKUP(U$22,ovrcst!$A$5:$W$36,VLOOKUP('ELC_Gen-sdj'!$B29,'ELC_Gen-sdj'!$AA$4:$AC$19,3,FALSE))</f>
        <v>3120.7811427145707</v>
      </c>
      <c r="V29" s="5">
        <f>VLOOKUP(V$22,ovrcst!$A$5:$W$36,VLOOKUP('ELC_Gen-sdj'!$B29,'ELC_Gen-sdj'!$AA$4:$AC$19,3,FALSE))</f>
        <v>3084.3722714570858</v>
      </c>
      <c r="W29" s="5">
        <f>VLOOKUP(W$22,ovrcst!$A$5:$W$36,VLOOKUP('ELC_Gen-sdj'!$B29,'ELC_Gen-sdj'!$AA$4:$AC$19,3,FALSE))</f>
        <v>3047.6105898203591</v>
      </c>
      <c r="X29" s="5">
        <f>VLOOKUP(X$22,ovrcst!$A$5:$W$36,VLOOKUP('ELC_Gen-sdj'!$B29,'ELC_Gen-sdj'!$AA$4:$AC$19,3,FALSE))</f>
        <v>3012.1285748502996</v>
      </c>
      <c r="Y29" s="5">
        <f>VLOOKUP(Y$22,ovrcst!$A$5:$W$36,VLOOKUP('ELC_Gen-sdj'!$B29,'ELC_Gen-sdj'!$AA$4:$AC$19,3,FALSE))</f>
        <v>2977.5176207584827</v>
      </c>
      <c r="Z29" s="5">
        <f>VLOOKUP(Z$22,ovrcst!$A$5:$W$36,VLOOKUP('ELC_Gen-sdj'!$B29,'ELC_Gen-sdj'!$AA$4:$AC$19,3,FALSE))</f>
        <v>2940.7213403193609</v>
      </c>
      <c r="AA29" s="5">
        <f>VLOOKUP(AA$22,ovrcst!$A$5:$W$36,VLOOKUP('ELC_Gen-sdj'!$B29,'ELC_Gen-sdj'!$AA$4:$AC$19,3,FALSE))</f>
        <v>2908.3909820359286</v>
      </c>
      <c r="AB29" s="5">
        <f>VLOOKUP(AB$22,ovrcst!$A$5:$W$36,VLOOKUP('ELC_Gen-sdj'!$B29,'ELC_Gen-sdj'!$AA$4:$AC$19,3,FALSE))</f>
        <v>2872.3790209580839</v>
      </c>
      <c r="AC29" s="5">
        <f>VLOOKUP(AC$22,ovrcst!$A$5:$W$36,VLOOKUP('ELC_Gen-sdj'!$B29,'ELC_Gen-sdj'!$AA$4:$AC$19,3,FALSE))</f>
        <v>2840.1363772455093</v>
      </c>
      <c r="AD29" s="5">
        <f>VLOOKUP(AD$22,ovrcst!$A$5:$W$36,VLOOKUP('ELC_Gen-sdj'!$B29,'ELC_Gen-sdj'!$AA$4:$AC$19,3,FALSE))</f>
        <v>2804.9126357285431</v>
      </c>
      <c r="AE29" s="5">
        <f>VLOOKUP(AE$22,ovrcst!$A$5:$W$36,VLOOKUP('ELC_Gen-sdj'!$B29,'ELC_Gen-sdj'!$AA$4:$AC$19,3,FALSE))</f>
        <v>2772.2981766467065</v>
      </c>
      <c r="AF29" s="5">
        <f>VLOOKUP(AF$22,ovrcst!$A$5:$W$36,VLOOKUP('ELC_Gen-sdj'!$B29,'ELC_Gen-sdj'!$AA$4:$AC$19,3,FALSE))</f>
        <v>2739.6620329341317</v>
      </c>
      <c r="AG29" s="5">
        <f>VLOOKUP(AG$22,ovrcst!$A$5:$W$36,VLOOKUP('ELC_Gen-sdj'!$B29,'ELC_Gen-sdj'!$AA$4:$AC$19,3,FALSE))</f>
        <v>2707.0561027944109</v>
      </c>
      <c r="AH29" s="5">
        <f>VLOOKUP(AH$22,ovrcst!$A$5:$W$36,VLOOKUP('ELC_Gen-sdj'!$B29,'ELC_Gen-sdj'!$AA$4:$AC$19,3,FALSE))</f>
        <v>2674.7279371257487</v>
      </c>
    </row>
    <row r="30" spans="2:34">
      <c r="B30" s="12" t="str">
        <f t="shared" si="2"/>
        <v>EN_ZBiomass</v>
      </c>
      <c r="C30" s="5">
        <f>VLOOKUP(C$22,ovrcst!$A$5:$W$36,VLOOKUP('ELC_Gen-sdj'!$B30,'ELC_Gen-sdj'!$AA$4:$AC$19,3,FALSE))</f>
        <v>5715.7879928716911</v>
      </c>
      <c r="D30" s="5">
        <f>VLOOKUP(D$22,ovrcst!$A$5:$W$36,VLOOKUP('ELC_Gen-sdj'!$B30,'ELC_Gen-sdj'!$AA$4:$AC$19,3,FALSE))</f>
        <v>5651.6864103869648</v>
      </c>
      <c r="E30" s="5">
        <f>VLOOKUP(E$22,ovrcst!$A$5:$W$36,VLOOKUP('ELC_Gen-sdj'!$B30,'ELC_Gen-sdj'!$AA$4:$AC$19,3,FALSE))</f>
        <v>5513.4993360488797</v>
      </c>
      <c r="F30" s="5">
        <f>VLOOKUP(F$22,ovrcst!$A$5:$W$36,VLOOKUP('ELC_Gen-sdj'!$B30,'ELC_Gen-sdj'!$AA$4:$AC$19,3,FALSE))</f>
        <v>5427.627470468432</v>
      </c>
      <c r="G30" s="5">
        <f>VLOOKUP(G$22,ovrcst!$A$5:$W$36,VLOOKUP('ELC_Gen-sdj'!$B30,'ELC_Gen-sdj'!$AA$4:$AC$19,3,FALSE))</f>
        <v>5366.8807077393076</v>
      </c>
      <c r="H30" s="5">
        <f>VLOOKUP(H$22,ovrcst!$A$5:$W$36,VLOOKUP('ELC_Gen-sdj'!$B30,'ELC_Gen-sdj'!$AA$4:$AC$19,3,FALSE))</f>
        <v>5317.9441863543789</v>
      </c>
      <c r="I30" s="5">
        <f>VLOOKUP(I$22,ovrcst!$A$5:$W$36,VLOOKUP('ELC_Gen-sdj'!$B30,'ELC_Gen-sdj'!$AA$4:$AC$19,3,FALSE))</f>
        <v>5278.0965580448074</v>
      </c>
      <c r="J30" s="5">
        <f>VLOOKUP(J$22,ovrcst!$A$5:$W$36,VLOOKUP('ELC_Gen-sdj'!$B30,'ELC_Gen-sdj'!$AA$4:$AC$19,3,FALSE))</f>
        <v>5225.5754959266806</v>
      </c>
      <c r="K30" s="5">
        <f>VLOOKUP(K$22,ovrcst!$A$5:$W$36,VLOOKUP('ELC_Gen-sdj'!$B30,'ELC_Gen-sdj'!$AA$4:$AC$19,3,FALSE))</f>
        <v>5162.7493116089618</v>
      </c>
      <c r="L30" s="5">
        <f>VLOOKUP(L$22,ovrcst!$A$5:$W$36,VLOOKUP('ELC_Gen-sdj'!$B30,'ELC_Gen-sdj'!$AA$4:$AC$19,3,FALSE))</f>
        <v>5092.6073625254576</v>
      </c>
      <c r="M30" s="5">
        <f>VLOOKUP(M$22,ovrcst!$A$5:$W$36,VLOOKUP('ELC_Gen-sdj'!$B30,'ELC_Gen-sdj'!$AA$4:$AC$19,3,FALSE))</f>
        <v>5020.642065173116</v>
      </c>
      <c r="N30" s="5">
        <f>VLOOKUP(N$22,ovrcst!$A$5:$W$36,VLOOKUP('ELC_Gen-sdj'!$B30,'ELC_Gen-sdj'!$AA$4:$AC$19,3,FALSE))</f>
        <v>4957.238097759674</v>
      </c>
      <c r="O30" s="5">
        <f>VLOOKUP(O$22,ovrcst!$A$5:$W$36,VLOOKUP('ELC_Gen-sdj'!$B30,'ELC_Gen-sdj'!$AA$4:$AC$19,3,FALSE))</f>
        <v>4894.1573319755598</v>
      </c>
      <c r="P30" s="5">
        <f>VLOOKUP(P$22,ovrcst!$A$5:$W$36,VLOOKUP('ELC_Gen-sdj'!$B30,'ELC_Gen-sdj'!$AA$4:$AC$19,3,FALSE))</f>
        <v>4831.2734694501023</v>
      </c>
      <c r="Q30" s="5">
        <f>VLOOKUP(Q$22,ovrcst!$A$5:$W$36,VLOOKUP('ELC_Gen-sdj'!$B30,'ELC_Gen-sdj'!$AA$4:$AC$19,3,FALSE))</f>
        <v>4771.2183564154784</v>
      </c>
      <c r="R30" s="5">
        <f>VLOOKUP(R$22,ovrcst!$A$5:$W$36,VLOOKUP('ELC_Gen-sdj'!$B30,'ELC_Gen-sdj'!$AA$4:$AC$19,3,FALSE))</f>
        <v>4711.9339521384927</v>
      </c>
      <c r="S30" s="5">
        <f>VLOOKUP(S$22,ovrcst!$A$5:$W$36,VLOOKUP('ELC_Gen-sdj'!$B30,'ELC_Gen-sdj'!$AA$4:$AC$19,3,FALSE))</f>
        <v>4649.7412403258659</v>
      </c>
      <c r="T30" s="5">
        <f>VLOOKUP(T$22,ovrcst!$A$5:$W$36,VLOOKUP('ELC_Gen-sdj'!$B30,'ELC_Gen-sdj'!$AA$4:$AC$19,3,FALSE))</f>
        <v>4590.5418625254579</v>
      </c>
      <c r="U30" s="5">
        <f>VLOOKUP(U$22,ovrcst!$A$5:$W$36,VLOOKUP('ELC_Gen-sdj'!$B30,'ELC_Gen-sdj'!$AA$4:$AC$19,3,FALSE))</f>
        <v>4532.315069246436</v>
      </c>
      <c r="V30" s="5">
        <f>VLOOKUP(V$22,ovrcst!$A$5:$W$36,VLOOKUP('ELC_Gen-sdj'!$B30,'ELC_Gen-sdj'!$AA$4:$AC$19,3,FALSE))</f>
        <v>4476.1254338085537</v>
      </c>
      <c r="W30" s="5">
        <f>VLOOKUP(W$22,ovrcst!$A$5:$W$36,VLOOKUP('ELC_Gen-sdj'!$B30,'ELC_Gen-sdj'!$AA$4:$AC$19,3,FALSE))</f>
        <v>4419.474366598778</v>
      </c>
      <c r="X30" s="5">
        <f>VLOOKUP(X$22,ovrcst!$A$5:$W$36,VLOOKUP('ELC_Gen-sdj'!$B30,'ELC_Gen-sdj'!$AA$4:$AC$19,3,FALSE))</f>
        <v>4364.7306792260697</v>
      </c>
      <c r="Y30" s="5">
        <f>VLOOKUP(Y$22,ovrcst!$A$5:$W$36,VLOOKUP('ELC_Gen-sdj'!$B30,'ELC_Gen-sdj'!$AA$4:$AC$19,3,FALSE))</f>
        <v>4311.2981914460288</v>
      </c>
      <c r="Z30" s="5">
        <f>VLOOKUP(Z$22,ovrcst!$A$5:$W$36,VLOOKUP('ELC_Gen-sdj'!$B30,'ELC_Gen-sdj'!$AA$4:$AC$19,3,FALSE))</f>
        <v>4254.7545264765786</v>
      </c>
      <c r="AA30" s="5">
        <f>VLOOKUP(AA$22,ovrcst!$A$5:$W$36,VLOOKUP('ELC_Gen-sdj'!$B30,'ELC_Gen-sdj'!$AA$4:$AC$19,3,FALSE))</f>
        <v>4204.7201181262726</v>
      </c>
      <c r="AB30" s="5">
        <f>VLOOKUP(AB$22,ovrcst!$A$5:$W$36,VLOOKUP('ELC_Gen-sdj'!$B30,'ELC_Gen-sdj'!$AA$4:$AC$19,3,FALSE))</f>
        <v>4149.4130682281057</v>
      </c>
      <c r="AC30" s="5">
        <f>VLOOKUP(AC$22,ovrcst!$A$5:$W$36,VLOOKUP('ELC_Gen-sdj'!$B30,'ELC_Gen-sdj'!$AA$4:$AC$19,3,FALSE))</f>
        <v>4099.6024134419549</v>
      </c>
      <c r="AD30" s="5">
        <f>VLOOKUP(AD$22,ovrcst!$A$5:$W$36,VLOOKUP('ELC_Gen-sdj'!$B30,'ELC_Gen-sdj'!$AA$4:$AC$19,3,FALSE))</f>
        <v>4045.5374470468432</v>
      </c>
      <c r="AE30" s="5">
        <f>VLOOKUP(AE$22,ovrcst!$A$5:$W$36,VLOOKUP('ELC_Gen-sdj'!$B30,'ELC_Gen-sdj'!$AA$4:$AC$19,3,FALSE))</f>
        <v>3995.2867433808556</v>
      </c>
      <c r="AF30" s="5">
        <f>VLOOKUP(AF$22,ovrcst!$A$5:$W$36,VLOOKUP('ELC_Gen-sdj'!$B30,'ELC_Gen-sdj'!$AA$4:$AC$19,3,FALSE))</f>
        <v>3945.0531934826881</v>
      </c>
      <c r="AG30" s="5">
        <f>VLOOKUP(AG$22,ovrcst!$A$5:$W$36,VLOOKUP('ELC_Gen-sdj'!$B30,'ELC_Gen-sdj'!$AA$4:$AC$19,3,FALSE))</f>
        <v>3894.9128747454174</v>
      </c>
      <c r="AH30" s="5">
        <f>VLOOKUP(AH$22,ovrcst!$A$5:$W$36,VLOOKUP('ELC_Gen-sdj'!$B30,'ELC_Gen-sdj'!$AA$4:$AC$19,3,FALSE))</f>
        <v>3845.2213075356417</v>
      </c>
    </row>
    <row r="31" spans="2:34">
      <c r="B31" s="35" t="str">
        <f t="shared" si="2"/>
        <v>EN_OilCCAdv</v>
      </c>
      <c r="C31" s="38">
        <f>VLOOKUP(C$22,ovrcst!$A$5:$W$36,VLOOKUP('ELC_Gen-sdj'!$B31,'ELC_Gen-sdj'!$AA$4:$AC$19,3,FALSE))</f>
        <v>691.0768157887843</v>
      </c>
      <c r="D31" s="38">
        <f>VLOOKUP(D$22,ovrcst!$A$5:$W$36,VLOOKUP('ELC_Gen-sdj'!$B31,'ELC_Gen-sdj'!$AA$4:$AC$19,3,FALSE))</f>
        <v>683.76621123055679</v>
      </c>
      <c r="E31" s="38">
        <f>VLOOKUP(E$22,ovrcst!$A$5:$W$36,VLOOKUP('ELC_Gen-sdj'!$B31,'ELC_Gen-sdj'!$AA$4:$AC$19,3,FALSE))</f>
        <v>667.48039872330708</v>
      </c>
      <c r="F31" s="38">
        <f>VLOOKUP(F$22,ovrcst!$A$5:$W$36,VLOOKUP('ELC_Gen-sdj'!$B31,'ELC_Gen-sdj'!$AA$4:$AC$19,3,FALSE))</f>
        <v>657.5143656011345</v>
      </c>
      <c r="G31" s="38">
        <f>VLOOKUP(G$22,ovrcst!$A$5:$W$36,VLOOKUP('ELC_Gen-sdj'!$B31,'ELC_Gen-sdj'!$AA$4:$AC$19,3,FALSE))</f>
        <v>625.44563297699176</v>
      </c>
      <c r="H31" s="38">
        <f>VLOOKUP(H$22,ovrcst!$A$5:$W$36,VLOOKUP('ELC_Gen-sdj'!$B31,'ELC_Gen-sdj'!$AA$4:$AC$19,3,FALSE))</f>
        <v>612.36512873569245</v>
      </c>
      <c r="I31" s="38">
        <f>VLOOKUP(I$22,ovrcst!$A$5:$W$36,VLOOKUP('ELC_Gen-sdj'!$B31,'ELC_Gen-sdj'!$AA$4:$AC$19,3,FALSE))</f>
        <v>599.88018282301789</v>
      </c>
      <c r="J31" s="38">
        <f>VLOOKUP(J$22,ovrcst!$A$5:$W$36,VLOOKUP('ELC_Gen-sdj'!$B31,'ELC_Gen-sdj'!$AA$4:$AC$19,3,FALSE))</f>
        <v>586.79665335842799</v>
      </c>
      <c r="K31" s="38">
        <f>VLOOKUP(K$22,ovrcst!$A$5:$W$36,VLOOKUP('ELC_Gen-sdj'!$B31,'ELC_Gen-sdj'!$AA$4:$AC$19,3,FALSE))</f>
        <v>573.38688246717516</v>
      </c>
      <c r="L31" s="38">
        <f>VLOOKUP(L$22,ovrcst!$A$5:$W$36,VLOOKUP('ELC_Gen-sdj'!$B31,'ELC_Gen-sdj'!$AA$4:$AC$19,3,FALSE))</f>
        <v>563.08421888622388</v>
      </c>
      <c r="M31" s="38">
        <f>VLOOKUP(M$22,ovrcst!$A$5:$W$36,VLOOKUP('ELC_Gen-sdj'!$B31,'ELC_Gen-sdj'!$AA$4:$AC$19,3,FALSE))</f>
        <v>552.68940292531795</v>
      </c>
      <c r="N31" s="38">
        <f>VLOOKUP(N$22,ovrcst!$A$5:$W$36,VLOOKUP('ELC_Gen-sdj'!$B31,'ELC_Gen-sdj'!$AA$4:$AC$19,3,FALSE))</f>
        <v>545.18176316075028</v>
      </c>
      <c r="O31" s="38">
        <f>VLOOKUP(O$22,ovrcst!$A$5:$W$36,VLOOKUP('ELC_Gen-sdj'!$B31,'ELC_Gen-sdj'!$AA$4:$AC$19,3,FALSE))</f>
        <v>538.1821541760055</v>
      </c>
      <c r="P31" s="38">
        <f>VLOOKUP(P$22,ovrcst!$A$5:$W$36,VLOOKUP('ELC_Gen-sdj'!$B31,'ELC_Gen-sdj'!$AA$4:$AC$19,3,FALSE))</f>
        <v>530.05109484271452</v>
      </c>
      <c r="Q31" s="38">
        <f>VLOOKUP(Q$22,ovrcst!$A$5:$W$36,VLOOKUP('ELC_Gen-sdj'!$B31,'ELC_Gen-sdj'!$AA$4:$AC$19,3,FALSE))</f>
        <v>523.25171840914777</v>
      </c>
      <c r="R31" s="38">
        <f>VLOOKUP(R$22,ovrcst!$A$5:$W$36,VLOOKUP('ELC_Gen-sdj'!$B31,'ELC_Gen-sdj'!$AA$4:$AC$19,3,FALSE))</f>
        <v>515.81087957852662</v>
      </c>
      <c r="S31" s="5">
        <f>VLOOKUP(S$22,ovrcst!$A$5:$W$36,VLOOKUP('ELC_Gen-sdj'!$B31,'ELC_Gen-sdj'!$AA$4:$AC$19,3,FALSE))</f>
        <v>508.97975794471898</v>
      </c>
      <c r="T31" s="5">
        <f>VLOOKUP(T$22,ovrcst!$A$5:$W$36,VLOOKUP('ELC_Gen-sdj'!$B31,'ELC_Gen-sdj'!$AA$4:$AC$19,3,FALSE))</f>
        <v>501.93412983203177</v>
      </c>
      <c r="U31" s="5">
        <f>VLOOKUP(U$22,ovrcst!$A$5:$W$36,VLOOKUP('ELC_Gen-sdj'!$B31,'ELC_Gen-sdj'!$AA$4:$AC$19,3,FALSE))</f>
        <v>496.13037458887266</v>
      </c>
      <c r="V31" s="5">
        <f>VLOOKUP(V$22,ovrcst!$A$5:$W$36,VLOOKUP('ELC_Gen-sdj'!$B31,'ELC_Gen-sdj'!$AA$4:$AC$19,3,FALSE))</f>
        <v>491.60428881995716</v>
      </c>
      <c r="W31" s="5">
        <f>VLOOKUP(W$22,ovrcst!$A$5:$W$36,VLOOKUP('ELC_Gen-sdj'!$B31,'ELC_Gen-sdj'!$AA$4:$AC$19,3,FALSE))</f>
        <v>487.00232364089447</v>
      </c>
      <c r="X31" s="5">
        <f>VLOOKUP(X$22,ovrcst!$A$5:$W$36,VLOOKUP('ELC_Gen-sdj'!$B31,'ELC_Gen-sdj'!$AA$4:$AC$19,3,FALSE))</f>
        <v>482.58534609527305</v>
      </c>
      <c r="Y31" s="5">
        <f>VLOOKUP(Y$22,ovrcst!$A$5:$W$36,VLOOKUP('ELC_Gen-sdj'!$B31,'ELC_Gen-sdj'!$AA$4:$AC$19,3,FALSE))</f>
        <v>478.28898178879183</v>
      </c>
      <c r="Z31" s="5">
        <f>VLOOKUP(Z$22,ovrcst!$A$5:$W$36,VLOOKUP('ELC_Gen-sdj'!$B31,'ELC_Gen-sdj'!$AA$4:$AC$19,3,FALSE))</f>
        <v>473.62192940771479</v>
      </c>
      <c r="AA31" s="5">
        <f>VLOOKUP(AA$22,ovrcst!$A$5:$W$36,VLOOKUP('ELC_Gen-sdj'!$B31,'ELC_Gen-sdj'!$AA$4:$AC$19,3,FALSE))</f>
        <v>469.65517412339614</v>
      </c>
      <c r="AB31" s="5">
        <f>VLOOKUP(AB$22,ovrcst!$A$5:$W$36,VLOOKUP('ELC_Gen-sdj'!$B31,'ELC_Gen-sdj'!$AA$4:$AC$19,3,FALSE))</f>
        <v>465.07507586444302</v>
      </c>
      <c r="AC31" s="5">
        <f>VLOOKUP(AC$22,ovrcst!$A$5:$W$36,VLOOKUP('ELC_Gen-sdj'!$B31,'ELC_Gen-sdj'!$AA$4:$AC$19,3,FALSE))</f>
        <v>461.08628247391044</v>
      </c>
      <c r="AD31" s="5">
        <f>VLOOKUP(AD$22,ovrcst!$A$5:$W$36,VLOOKUP('ELC_Gen-sdj'!$B31,'ELC_Gen-sdj'!$AA$4:$AC$19,3,FALSE))</f>
        <v>456.59451063224731</v>
      </c>
      <c r="AE31" s="5">
        <f>VLOOKUP(AE$22,ovrcst!$A$5:$W$36,VLOOKUP('ELC_Gen-sdj'!$B31,'ELC_Gen-sdj'!$AA$4:$AC$19,3,FALSE))</f>
        <v>452.50808410008494</v>
      </c>
      <c r="AF31" s="5">
        <f>VLOOKUP(AF$22,ovrcst!$A$5:$W$36,VLOOKUP('ELC_Gen-sdj'!$B31,'ELC_Gen-sdj'!$AA$4:$AC$19,3,FALSE))</f>
        <v>448.39967652374338</v>
      </c>
      <c r="AG31" s="5">
        <f>VLOOKUP(AG$22,ovrcst!$A$5:$W$36,VLOOKUP('ELC_Gen-sdj'!$B31,'ELC_Gen-sdj'!$AA$4:$AC$19,3,FALSE))</f>
        <v>444.27762270208376</v>
      </c>
      <c r="AH31" s="5">
        <f>VLOOKUP(AH$22,ovrcst!$A$5:$W$36,VLOOKUP('ELC_Gen-sdj'!$B31,'ELC_Gen-sdj'!$AA$4:$AC$19,3,FALSE))</f>
        <v>440.18226175197276</v>
      </c>
    </row>
    <row r="32" spans="2:34">
      <c r="B32" s="12" t="str">
        <f t="shared" si="2"/>
        <v>EN_NuclearAdv</v>
      </c>
      <c r="C32" s="5">
        <f>VLOOKUP(C$22,ovrcst!$A$5:$W$36,VLOOKUP('ELC_Gen-sdj'!$B32,'ELC_Gen-sdj'!$AA$4:$AC$19,3,FALSE))</f>
        <v>6034.2658544366905</v>
      </c>
      <c r="D32" s="5">
        <f>VLOOKUP(D$22,ovrcst!$A$5:$W$36,VLOOKUP('ELC_Gen-sdj'!$B32,'ELC_Gen-sdj'!$AA$4:$AC$19,3,FALSE))</f>
        <v>5962.7387367896317</v>
      </c>
      <c r="E32" s="5">
        <f>VLOOKUP(E$22,ovrcst!$A$5:$W$36,VLOOKUP('ELC_Gen-sdj'!$B32,'ELC_Gen-sdj'!$AA$4:$AC$19,3,FALSE))</f>
        <v>5813.1538005982065</v>
      </c>
      <c r="F32" s="5">
        <f>VLOOKUP(F$22,ovrcst!$A$5:$W$36,VLOOKUP('ELC_Gen-sdj'!$B32,'ELC_Gen-sdj'!$AA$4:$AC$19,3,FALSE))</f>
        <v>5718.8483379860418</v>
      </c>
      <c r="G32" s="5">
        <f>VLOOKUP(G$22,ovrcst!$A$5:$W$36,VLOOKUP('ELC_Gen-sdj'!$B32,'ELC_Gen-sdj'!$AA$4:$AC$19,3,FALSE))</f>
        <v>5651.0838574277177</v>
      </c>
      <c r="H32" s="5">
        <f>VLOOKUP(H$22,ovrcst!$A$5:$W$36,VLOOKUP('ELC_Gen-sdj'!$B32,'ELC_Gen-sdj'!$AA$4:$AC$19,3,FALSE))</f>
        <v>5595.7970817547366</v>
      </c>
      <c r="I32" s="5">
        <f>VLOOKUP(I$22,ovrcst!$A$5:$W$36,VLOOKUP('ELC_Gen-sdj'!$B32,'ELC_Gen-sdj'!$AA$4:$AC$19,3,FALSE))</f>
        <v>5550.1031086739786</v>
      </c>
      <c r="J32" s="5">
        <f>VLOOKUP(J$22,ovrcst!$A$5:$W$36,VLOOKUP('ELC_Gen-sdj'!$B32,'ELC_Gen-sdj'!$AA$4:$AC$19,3,FALSE))</f>
        <v>5491.1155204386851</v>
      </c>
      <c r="K32" s="5">
        <f>VLOOKUP(K$22,ovrcst!$A$5:$W$36,VLOOKUP('ELC_Gen-sdj'!$B32,'ELC_Gen-sdj'!$AA$4:$AC$19,3,FALSE))</f>
        <v>5421.3467996011968</v>
      </c>
      <c r="L32" s="5">
        <f>VLOOKUP(L$22,ovrcst!$A$5:$W$36,VLOOKUP('ELC_Gen-sdj'!$B32,'ELC_Gen-sdj'!$AA$4:$AC$19,3,FALSE))</f>
        <v>5343.9588464606186</v>
      </c>
      <c r="M32" s="5">
        <f>VLOOKUP(M$22,ovrcst!$A$5:$W$36,VLOOKUP('ELC_Gen-sdj'!$B32,'ELC_Gen-sdj'!$AA$4:$AC$19,3,FALSE))</f>
        <v>5264.7273020937191</v>
      </c>
      <c r="N32" s="5">
        <f>VLOOKUP(N$22,ovrcst!$A$5:$W$36,VLOOKUP('ELC_Gen-sdj'!$B32,'ELC_Gen-sdj'!$AA$4:$AC$19,3,FALSE))</f>
        <v>5194.5399152542377</v>
      </c>
      <c r="O32" s="5">
        <f>VLOOKUP(O$22,ovrcst!$A$5:$W$36,VLOOKUP('ELC_Gen-sdj'!$B32,'ELC_Gen-sdj'!$AA$4:$AC$19,3,FALSE))</f>
        <v>5124.7502612163516</v>
      </c>
      <c r="P32" s="5">
        <f>VLOOKUP(P$22,ovrcst!$A$5:$W$36,VLOOKUP('ELC_Gen-sdj'!$B32,'ELC_Gen-sdj'!$AA$4:$AC$19,3,FALSE))</f>
        <v>5055.228844466601</v>
      </c>
      <c r="Q32" s="5">
        <f>VLOOKUP(Q$22,ovrcst!$A$5:$W$36,VLOOKUP('ELC_Gen-sdj'!$B32,'ELC_Gen-sdj'!$AA$4:$AC$19,3,FALSE))</f>
        <v>4988.7247437686947</v>
      </c>
      <c r="R32" s="5">
        <f>VLOOKUP(R$22,ovrcst!$A$5:$W$36,VLOOKUP('ELC_Gen-sdj'!$B32,'ELC_Gen-sdj'!$AA$4:$AC$19,3,FALSE))</f>
        <v>4923.0847497507484</v>
      </c>
      <c r="S32" s="5">
        <f>VLOOKUP(S$22,ovrcst!$A$5:$W$36,VLOOKUP('ELC_Gen-sdj'!$B32,'ELC_Gen-sdj'!$AA$4:$AC$19,3,FALSE))</f>
        <v>4854.4663858424728</v>
      </c>
      <c r="T32" s="5">
        <f>VLOOKUP(T$22,ovrcst!$A$5:$W$36,VLOOKUP('ELC_Gen-sdj'!$B32,'ELC_Gen-sdj'!$AA$4:$AC$19,3,FALSE))</f>
        <v>4789.0337776669994</v>
      </c>
      <c r="U32" s="5">
        <f>VLOOKUP(U$22,ovrcst!$A$5:$W$36,VLOOKUP('ELC_Gen-sdj'!$B32,'ELC_Gen-sdj'!$AA$4:$AC$19,3,FALSE))</f>
        <v>4724.6736350947167</v>
      </c>
      <c r="V32" s="5">
        <f>VLOOKUP(V$22,ovrcst!$A$5:$W$36,VLOOKUP('ELC_Gen-sdj'!$B32,'ELC_Gen-sdj'!$AA$4:$AC$19,3,FALSE))</f>
        <v>4662.4929900299112</v>
      </c>
      <c r="W32" s="5">
        <f>VLOOKUP(W$22,ovrcst!$A$5:$W$36,VLOOKUP('ELC_Gen-sdj'!$B32,'ELC_Gen-sdj'!$AA$4:$AC$19,3,FALSE))</f>
        <v>4599.8883230309075</v>
      </c>
      <c r="X32" s="5">
        <f>VLOOKUP(X$22,ovrcst!$A$5:$W$36,VLOOKUP('ELC_Gen-sdj'!$B32,'ELC_Gen-sdj'!$AA$4:$AC$19,3,FALSE))</f>
        <v>4539.3253828514462</v>
      </c>
      <c r="Y32" s="5">
        <f>VLOOKUP(Y$22,ovrcst!$A$5:$W$36,VLOOKUP('ELC_Gen-sdj'!$B32,'ELC_Gen-sdj'!$AA$4:$AC$19,3,FALSE))</f>
        <v>4480.1800648055842</v>
      </c>
      <c r="Z32" s="5">
        <f>VLOOKUP(Z$22,ovrcst!$A$5:$W$36,VLOOKUP('ELC_Gen-sdj'!$B32,'ELC_Gen-sdj'!$AA$4:$AC$19,3,FALSE))</f>
        <v>4417.8577547357927</v>
      </c>
      <c r="AA32" s="5">
        <f>VLOOKUP(AA$22,ovrcst!$A$5:$W$36,VLOOKUP('ELC_Gen-sdj'!$B32,'ELC_Gen-sdj'!$AA$4:$AC$19,3,FALSE))</f>
        <v>4362.3494745762719</v>
      </c>
      <c r="AB32" s="5">
        <f>VLOOKUP(AB$22,ovrcst!$A$5:$W$36,VLOOKUP('ELC_Gen-sdj'!$B32,'ELC_Gen-sdj'!$AA$4:$AC$19,3,FALSE))</f>
        <v>4301.4243399800598</v>
      </c>
      <c r="AC32" s="5">
        <f>VLOOKUP(AC$22,ovrcst!$A$5:$W$36,VLOOKUP('ELC_Gen-sdj'!$B32,'ELC_Gen-sdj'!$AA$4:$AC$19,3,FALSE))</f>
        <v>4246.250993020938</v>
      </c>
      <c r="AD32" s="5">
        <f>VLOOKUP(AD$22,ovrcst!$A$5:$W$36,VLOOKUP('ELC_Gen-sdj'!$B32,'ELC_Gen-sdj'!$AA$4:$AC$19,3,FALSE))</f>
        <v>4186.7269282153538</v>
      </c>
      <c r="AE32" s="5">
        <f>VLOOKUP(AE$22,ovrcst!$A$5:$W$36,VLOOKUP('ELC_Gen-sdj'!$B32,'ELC_Gen-sdj'!$AA$4:$AC$19,3,FALSE))</f>
        <v>4131.205504486541</v>
      </c>
      <c r="AF32" s="5">
        <f>VLOOKUP(AF$22,ovrcst!$A$5:$W$36,VLOOKUP('ELC_Gen-sdj'!$B32,'ELC_Gen-sdj'!$AA$4:$AC$19,3,FALSE))</f>
        <v>4075.7544257228319</v>
      </c>
      <c r="AG32" s="5">
        <f>VLOOKUP(AG$22,ovrcst!$A$5:$W$36,VLOOKUP('ELC_Gen-sdj'!$B32,'ELC_Gen-sdj'!$AA$4:$AC$19,3,FALSE))</f>
        <v>4020.4532881355935</v>
      </c>
      <c r="AH32" s="5">
        <f>VLOOKUP(AH$22,ovrcst!$A$5:$W$36,VLOOKUP('ELC_Gen-sdj'!$B32,'ELC_Gen-sdj'!$AA$4:$AC$19,3,FALSE))</f>
        <v>3965.6701286141583</v>
      </c>
    </row>
    <row r="33" spans="2:34">
      <c r="B33" s="12"/>
    </row>
    <row r="34" spans="2:34">
      <c r="B34" s="12"/>
    </row>
    <row r="35" spans="2:34">
      <c r="B35" s="32" t="s">
        <v>135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</row>
    <row r="36" spans="2:34">
      <c r="B36" s="32" t="s">
        <v>0</v>
      </c>
      <c r="C36" s="32">
        <v>2019</v>
      </c>
      <c r="D36" s="32">
        <v>2020</v>
      </c>
      <c r="E36" s="32">
        <v>2021</v>
      </c>
      <c r="F36" s="32">
        <v>2022</v>
      </c>
      <c r="G36" s="32">
        <v>2023</v>
      </c>
      <c r="H36" s="32">
        <v>2024</v>
      </c>
      <c r="I36" s="32">
        <v>2025</v>
      </c>
      <c r="J36" s="32">
        <v>2026</v>
      </c>
      <c r="K36" s="32">
        <v>2027</v>
      </c>
      <c r="L36" s="32">
        <v>2028</v>
      </c>
      <c r="M36" s="32">
        <v>2029</v>
      </c>
      <c r="N36" s="32">
        <v>2030</v>
      </c>
      <c r="O36" s="32">
        <v>2031</v>
      </c>
      <c r="P36" s="32">
        <v>2032</v>
      </c>
      <c r="Q36" s="32">
        <v>2033</v>
      </c>
      <c r="R36" s="32">
        <v>2034</v>
      </c>
      <c r="S36" s="32">
        <v>2035</v>
      </c>
      <c r="T36" s="32">
        <v>2036</v>
      </c>
      <c r="U36" s="32">
        <v>2037</v>
      </c>
      <c r="V36" s="32">
        <v>2038</v>
      </c>
      <c r="W36" s="32">
        <v>2039</v>
      </c>
      <c r="X36" s="32">
        <v>2040</v>
      </c>
      <c r="Y36" s="32">
        <v>2041</v>
      </c>
      <c r="Z36" s="32">
        <v>2042</v>
      </c>
      <c r="AA36" s="32">
        <v>2043</v>
      </c>
      <c r="AB36" s="32">
        <v>2044</v>
      </c>
      <c r="AC36" s="32">
        <v>2045</v>
      </c>
      <c r="AD36" s="32">
        <v>2046</v>
      </c>
      <c r="AE36" s="32">
        <v>2047</v>
      </c>
      <c r="AF36" s="32">
        <v>2048</v>
      </c>
      <c r="AG36" s="32">
        <v>2049</v>
      </c>
      <c r="AH36" s="32">
        <v>2050</v>
      </c>
    </row>
    <row r="37" spans="2:34">
      <c r="B37" s="32" t="str">
        <f>B23</f>
        <v>EN_ZCOAIGCC</v>
      </c>
      <c r="C37" s="33">
        <f>VLOOKUP(C$22,heatrate!$K$5:$T$36,VLOOKUP('ELC_Gen-sdj'!$B37,'ELC_Gen-sdj'!$AA$4:$AD$19,4,FALSE))</f>
        <v>0.2929031995606452</v>
      </c>
      <c r="D37" s="34">
        <f>VLOOKUP(D$22,heatrate!$K$5:$T$36,VLOOKUP('ELC_Gen-sdj'!$B37,'ELC_Gen-sdj'!$AA$4:$AD$19,4,FALSE))</f>
        <v>0.2929031995606452</v>
      </c>
      <c r="E37" s="34">
        <f>VLOOKUP(E$22,heatrate!$K$5:$T$36,VLOOKUP('ELC_Gen-sdj'!$B37,'ELC_Gen-sdj'!$AA$4:$AD$19,4,FALSE))</f>
        <v>0.2929031995606452</v>
      </c>
      <c r="F37" s="34">
        <f>VLOOKUP(F$22,heatrate!$K$5:$T$36,VLOOKUP('ELC_Gen-sdj'!$B37,'ELC_Gen-sdj'!$AA$4:$AD$19,4,FALSE))</f>
        <v>0.2929031995606452</v>
      </c>
      <c r="G37" s="34">
        <f>VLOOKUP(G$22,heatrate!$K$5:$T$36,VLOOKUP('ELC_Gen-sdj'!$B37,'ELC_Gen-sdj'!$AA$4:$AD$19,4,FALSE))</f>
        <v>0.31443212903397061</v>
      </c>
      <c r="H37" s="34">
        <f>VLOOKUP(H$22,heatrate!$K$5:$T$36,VLOOKUP('ELC_Gen-sdj'!$B37,'ELC_Gen-sdj'!$AA$4:$AD$19,4,FALSE))</f>
        <v>0.3393769667254069</v>
      </c>
      <c r="I37" s="34">
        <f>VLOOKUP(I$22,heatrate!$K$5:$T$36,VLOOKUP('ELC_Gen-sdj'!$B37,'ELC_Gen-sdj'!$AA$4:$AD$19,4,FALSE))</f>
        <v>0.36862074914999637</v>
      </c>
      <c r="J37" s="34">
        <f>VLOOKUP(J$22,heatrate!$K$5:$T$36,VLOOKUP('ELC_Gen-sdj'!$B37,'ELC_Gen-sdj'!$AA$4:$AD$19,4,FALSE))</f>
        <v>0.36862074914999637</v>
      </c>
      <c r="K37" s="34">
        <f>VLOOKUP(K$22,heatrate!$K$5:$T$36,VLOOKUP('ELC_Gen-sdj'!$B37,'ELC_Gen-sdj'!$AA$4:$AD$19,4,FALSE))</f>
        <v>0.36862074914999637</v>
      </c>
      <c r="L37" s="34">
        <f>VLOOKUP(L$22,heatrate!$K$5:$T$36,VLOOKUP('ELC_Gen-sdj'!$B37,'ELC_Gen-sdj'!$AA$4:$AD$19,4,FALSE))</f>
        <v>0.36862074914999637</v>
      </c>
      <c r="M37" s="34">
        <f>VLOOKUP(M$22,heatrate!$K$5:$T$36,VLOOKUP('ELC_Gen-sdj'!$B37,'ELC_Gen-sdj'!$AA$4:$AD$19,4,FALSE))</f>
        <v>0.36862074914999637</v>
      </c>
      <c r="N37" s="34">
        <f>VLOOKUP(N$22,heatrate!$K$5:$T$36,VLOOKUP('ELC_Gen-sdj'!$B37,'ELC_Gen-sdj'!$AA$4:$AD$19,4,FALSE))</f>
        <v>0.36862074914999637</v>
      </c>
      <c r="O37" s="34">
        <f>VLOOKUP(O$22,heatrate!$K$5:$T$36,VLOOKUP('ELC_Gen-sdj'!$B37,'ELC_Gen-sdj'!$AA$4:$AD$19,4,FALSE))</f>
        <v>0.36862074914999637</v>
      </c>
      <c r="P37" s="34">
        <f>VLOOKUP(P$22,heatrate!$K$5:$T$36,VLOOKUP('ELC_Gen-sdj'!$B37,'ELC_Gen-sdj'!$AA$4:$AD$19,4,FALSE))</f>
        <v>0.36862074914999637</v>
      </c>
      <c r="Q37" s="34">
        <f>VLOOKUP(Q$22,heatrate!$K$5:$T$36,VLOOKUP('ELC_Gen-sdj'!$B37,'ELC_Gen-sdj'!$AA$4:$AD$19,4,FALSE))</f>
        <v>0.36862074914999637</v>
      </c>
      <c r="R37" s="34">
        <f>VLOOKUP(R$22,heatrate!$K$5:$T$36,VLOOKUP('ELC_Gen-sdj'!$B37,'ELC_Gen-sdj'!$AA$4:$AD$19,4,FALSE))</f>
        <v>0.36862074914999637</v>
      </c>
      <c r="S37" s="34">
        <f>VLOOKUP(S$22,heatrate!$K$5:$T$36,VLOOKUP('ELC_Gen-sdj'!$B37,'ELC_Gen-sdj'!$AA$4:$AD$19,4,FALSE))</f>
        <v>0.36862074914999637</v>
      </c>
      <c r="T37" s="34">
        <f>VLOOKUP(T$22,heatrate!$K$5:$T$36,VLOOKUP('ELC_Gen-sdj'!$B37,'ELC_Gen-sdj'!$AA$4:$AD$19,4,FALSE))</f>
        <v>0.36862074914999637</v>
      </c>
      <c r="U37" s="34">
        <f>VLOOKUP(U$22,heatrate!$K$5:$T$36,VLOOKUP('ELC_Gen-sdj'!$B37,'ELC_Gen-sdj'!$AA$4:$AD$19,4,FALSE))</f>
        <v>0.36862074914999637</v>
      </c>
      <c r="V37" s="34">
        <f>VLOOKUP(V$22,heatrate!$K$5:$T$36,VLOOKUP('ELC_Gen-sdj'!$B37,'ELC_Gen-sdj'!$AA$4:$AD$19,4,FALSE))</f>
        <v>0.36862074914999637</v>
      </c>
      <c r="W37" s="34">
        <f>VLOOKUP(W$22,heatrate!$K$5:$T$36,VLOOKUP('ELC_Gen-sdj'!$B37,'ELC_Gen-sdj'!$AA$4:$AD$19,4,FALSE))</f>
        <v>0.36862074914999637</v>
      </c>
      <c r="X37" s="34">
        <f>VLOOKUP(X$22,heatrate!$K$5:$T$36,VLOOKUP('ELC_Gen-sdj'!$B37,'ELC_Gen-sdj'!$AA$4:$AD$19,4,FALSE))</f>
        <v>0.36862074914999637</v>
      </c>
      <c r="Y37" s="34">
        <f>VLOOKUP(Y$22,heatrate!$K$5:$T$36,VLOOKUP('ELC_Gen-sdj'!$B37,'ELC_Gen-sdj'!$AA$4:$AD$19,4,FALSE))</f>
        <v>0.36862074914999637</v>
      </c>
      <c r="Z37" s="34">
        <f>VLOOKUP(Z$22,heatrate!$K$5:$T$36,VLOOKUP('ELC_Gen-sdj'!$B37,'ELC_Gen-sdj'!$AA$4:$AD$19,4,FALSE))</f>
        <v>0.36862074914999637</v>
      </c>
      <c r="AA37" s="34">
        <f>VLOOKUP(AA$22,heatrate!$K$5:$T$36,VLOOKUP('ELC_Gen-sdj'!$B37,'ELC_Gen-sdj'!$AA$4:$AD$19,4,FALSE))</f>
        <v>0.36862074914999637</v>
      </c>
      <c r="AB37" s="34">
        <f>VLOOKUP(AB$22,heatrate!$K$5:$T$36,VLOOKUP('ELC_Gen-sdj'!$B37,'ELC_Gen-sdj'!$AA$4:$AD$19,4,FALSE))</f>
        <v>0.36862074914999637</v>
      </c>
      <c r="AC37" s="34">
        <f>VLOOKUP(AC$22,heatrate!$K$5:$T$36,VLOOKUP('ELC_Gen-sdj'!$B37,'ELC_Gen-sdj'!$AA$4:$AD$19,4,FALSE))</f>
        <v>0.36862074914999637</v>
      </c>
      <c r="AD37" s="34">
        <f>VLOOKUP(AD$22,heatrate!$K$5:$T$36,VLOOKUP('ELC_Gen-sdj'!$B37,'ELC_Gen-sdj'!$AA$4:$AD$19,4,FALSE))</f>
        <v>0.36862074914999637</v>
      </c>
      <c r="AE37" s="34">
        <f>VLOOKUP(AE$22,heatrate!$K$5:$T$36,VLOOKUP('ELC_Gen-sdj'!$B37,'ELC_Gen-sdj'!$AA$4:$AD$19,4,FALSE))</f>
        <v>0.36862074914999637</v>
      </c>
      <c r="AF37" s="34">
        <f>VLOOKUP(AF$22,heatrate!$K$5:$T$36,VLOOKUP('ELC_Gen-sdj'!$B37,'ELC_Gen-sdj'!$AA$4:$AD$19,4,FALSE))</f>
        <v>0.36862074914999637</v>
      </c>
      <c r="AG37" s="34">
        <f>VLOOKUP(AG$22,heatrate!$K$5:$T$36,VLOOKUP('ELC_Gen-sdj'!$B37,'ELC_Gen-sdj'!$AA$4:$AD$19,4,FALSE))</f>
        <v>0.36862074914999637</v>
      </c>
      <c r="AH37" s="34">
        <f>VLOOKUP(AH$22,heatrate!$K$5:$T$36,VLOOKUP('ELC_Gen-sdj'!$B37,'ELC_Gen-sdj'!$AA$4:$AD$19,4,FALSE))</f>
        <v>0.36862074914999637</v>
      </c>
    </row>
    <row r="38" spans="2:34">
      <c r="B38" s="32" t="str">
        <f t="shared" ref="B38:B42" si="3">B24</f>
        <v>EN_ZGasCCAdv</v>
      </c>
      <c r="C38" s="33">
        <f>VLOOKUP(C$22,heatrate!$K$5:$T$36,VLOOKUP('ELC_Gen-sdj'!$B38,'ELC_Gen-sdj'!$AA$4:$AD$19,4,FALSE))</f>
        <v>0.4534647541370786</v>
      </c>
      <c r="D38" s="34">
        <f>VLOOKUP(D$22,heatrate!$K$5:$T$36,VLOOKUP('ELC_Gen-sdj'!$B38,'ELC_Gen-sdj'!$AA$4:$AD$19,4,FALSE))</f>
        <v>0.4534647541370786</v>
      </c>
      <c r="E38" s="34">
        <f>VLOOKUP(E$22,heatrate!$K$5:$T$36,VLOOKUP('ELC_Gen-sdj'!$B38,'ELC_Gen-sdj'!$AA$4:$AD$19,4,FALSE))</f>
        <v>0.4534647541370786</v>
      </c>
      <c r="F38" s="34">
        <f>VLOOKUP(F$22,heatrate!$K$5:$T$36,VLOOKUP('ELC_Gen-sdj'!$B38,'ELC_Gen-sdj'!$AA$4:$AD$19,4,FALSE))</f>
        <v>0.45394735597732028</v>
      </c>
      <c r="G38" s="34">
        <f>VLOOKUP(G$22,heatrate!$K$5:$T$36,VLOOKUP('ELC_Gen-sdj'!$B38,'ELC_Gen-sdj'!$AA$4:$AD$19,4,FALSE))</f>
        <v>0.45443098613417449</v>
      </c>
      <c r="H38" s="34">
        <f>VLOOKUP(H$22,heatrate!$K$5:$T$36,VLOOKUP('ELC_Gen-sdj'!$B38,'ELC_Gen-sdj'!$AA$4:$AD$19,4,FALSE))</f>
        <v>0.45491564789781591</v>
      </c>
      <c r="I38" s="34">
        <f>VLOOKUP(I$22,heatrate!$K$5:$T$36,VLOOKUP('ELC_Gen-sdj'!$B38,'ELC_Gen-sdj'!$AA$4:$AD$19,4,FALSE))</f>
        <v>0.45540134457246989</v>
      </c>
      <c r="J38" s="34">
        <f>VLOOKUP(J$22,heatrate!$K$5:$T$36,VLOOKUP('ELC_Gen-sdj'!$B38,'ELC_Gen-sdj'!$AA$4:$AD$19,4,FALSE))</f>
        <v>0.45540134457246989</v>
      </c>
      <c r="K38" s="34">
        <f>VLOOKUP(K$22,heatrate!$K$5:$T$36,VLOOKUP('ELC_Gen-sdj'!$B38,'ELC_Gen-sdj'!$AA$4:$AD$19,4,FALSE))</f>
        <v>0.45540134457246989</v>
      </c>
      <c r="L38" s="34">
        <f>VLOOKUP(L$22,heatrate!$K$5:$T$36,VLOOKUP('ELC_Gen-sdj'!$B38,'ELC_Gen-sdj'!$AA$4:$AD$19,4,FALSE))</f>
        <v>0.45540134457246989</v>
      </c>
      <c r="M38" s="34">
        <f>VLOOKUP(M$22,heatrate!$K$5:$T$36,VLOOKUP('ELC_Gen-sdj'!$B38,'ELC_Gen-sdj'!$AA$4:$AD$19,4,FALSE))</f>
        <v>0.45540134457246989</v>
      </c>
      <c r="N38" s="34">
        <f>VLOOKUP(N$22,heatrate!$K$5:$T$36,VLOOKUP('ELC_Gen-sdj'!$B38,'ELC_Gen-sdj'!$AA$4:$AD$19,4,FALSE))</f>
        <v>0.45540134457246989</v>
      </c>
      <c r="O38" s="34">
        <f>VLOOKUP(O$22,heatrate!$K$5:$T$36,VLOOKUP('ELC_Gen-sdj'!$B38,'ELC_Gen-sdj'!$AA$4:$AD$19,4,FALSE))</f>
        <v>0.45540134457246989</v>
      </c>
      <c r="P38" s="34">
        <f>VLOOKUP(P$22,heatrate!$K$5:$T$36,VLOOKUP('ELC_Gen-sdj'!$B38,'ELC_Gen-sdj'!$AA$4:$AD$19,4,FALSE))</f>
        <v>0.45540134457246989</v>
      </c>
      <c r="Q38" s="34">
        <f>VLOOKUP(Q$22,heatrate!$K$5:$T$36,VLOOKUP('ELC_Gen-sdj'!$B38,'ELC_Gen-sdj'!$AA$4:$AD$19,4,FALSE))</f>
        <v>0.45540134457246989</v>
      </c>
      <c r="R38" s="34">
        <f>VLOOKUP(R$22,heatrate!$K$5:$T$36,VLOOKUP('ELC_Gen-sdj'!$B38,'ELC_Gen-sdj'!$AA$4:$AD$19,4,FALSE))</f>
        <v>0.45540134457246989</v>
      </c>
      <c r="S38" s="34">
        <f>VLOOKUP(S$22,heatrate!$K$5:$T$36,VLOOKUP('ELC_Gen-sdj'!$B38,'ELC_Gen-sdj'!$AA$4:$AD$19,4,FALSE))</f>
        <v>0.45540134457246989</v>
      </c>
      <c r="T38" s="34">
        <f>VLOOKUP(T$22,heatrate!$K$5:$T$36,VLOOKUP('ELC_Gen-sdj'!$B38,'ELC_Gen-sdj'!$AA$4:$AD$19,4,FALSE))</f>
        <v>0.45540134457246989</v>
      </c>
      <c r="U38" s="34">
        <f>VLOOKUP(U$22,heatrate!$K$5:$T$36,VLOOKUP('ELC_Gen-sdj'!$B38,'ELC_Gen-sdj'!$AA$4:$AD$19,4,FALSE))</f>
        <v>0.45540134457246989</v>
      </c>
      <c r="V38" s="34">
        <f>VLOOKUP(V$22,heatrate!$K$5:$T$36,VLOOKUP('ELC_Gen-sdj'!$B38,'ELC_Gen-sdj'!$AA$4:$AD$19,4,FALSE))</f>
        <v>0.45540134457246989</v>
      </c>
      <c r="W38" s="34">
        <f>VLOOKUP(W$22,heatrate!$K$5:$T$36,VLOOKUP('ELC_Gen-sdj'!$B38,'ELC_Gen-sdj'!$AA$4:$AD$19,4,FALSE))</f>
        <v>0.45540134457246989</v>
      </c>
      <c r="X38" s="34">
        <f>VLOOKUP(X$22,heatrate!$K$5:$T$36,VLOOKUP('ELC_Gen-sdj'!$B38,'ELC_Gen-sdj'!$AA$4:$AD$19,4,FALSE))</f>
        <v>0.45540134457246989</v>
      </c>
      <c r="Y38" s="34">
        <f>VLOOKUP(Y$22,heatrate!$K$5:$T$36,VLOOKUP('ELC_Gen-sdj'!$B38,'ELC_Gen-sdj'!$AA$4:$AD$19,4,FALSE))</f>
        <v>0.45540134457246989</v>
      </c>
      <c r="Z38" s="34">
        <f>VLOOKUP(Z$22,heatrate!$K$5:$T$36,VLOOKUP('ELC_Gen-sdj'!$B38,'ELC_Gen-sdj'!$AA$4:$AD$19,4,FALSE))</f>
        <v>0.45540134457246989</v>
      </c>
      <c r="AA38" s="34">
        <f>VLOOKUP(AA$22,heatrate!$K$5:$T$36,VLOOKUP('ELC_Gen-sdj'!$B38,'ELC_Gen-sdj'!$AA$4:$AD$19,4,FALSE))</f>
        <v>0.45540134457246989</v>
      </c>
      <c r="AB38" s="34">
        <f>VLOOKUP(AB$22,heatrate!$K$5:$T$36,VLOOKUP('ELC_Gen-sdj'!$B38,'ELC_Gen-sdj'!$AA$4:$AD$19,4,FALSE))</f>
        <v>0.45540134457246989</v>
      </c>
      <c r="AC38" s="34">
        <f>VLOOKUP(AC$22,heatrate!$K$5:$T$36,VLOOKUP('ELC_Gen-sdj'!$B38,'ELC_Gen-sdj'!$AA$4:$AD$19,4,FALSE))</f>
        <v>0.45540134457246989</v>
      </c>
      <c r="AD38" s="34">
        <f>VLOOKUP(AD$22,heatrate!$K$5:$T$36,VLOOKUP('ELC_Gen-sdj'!$B38,'ELC_Gen-sdj'!$AA$4:$AD$19,4,FALSE))</f>
        <v>0.45540134457246989</v>
      </c>
      <c r="AE38" s="34">
        <f>VLOOKUP(AE$22,heatrate!$K$5:$T$36,VLOOKUP('ELC_Gen-sdj'!$B38,'ELC_Gen-sdj'!$AA$4:$AD$19,4,FALSE))</f>
        <v>0.45540134457246989</v>
      </c>
      <c r="AF38" s="34">
        <f>VLOOKUP(AF$22,heatrate!$K$5:$T$36,VLOOKUP('ELC_Gen-sdj'!$B38,'ELC_Gen-sdj'!$AA$4:$AD$19,4,FALSE))</f>
        <v>0.45540134457246989</v>
      </c>
      <c r="AG38" s="34">
        <f>VLOOKUP(AG$22,heatrate!$K$5:$T$36,VLOOKUP('ELC_Gen-sdj'!$B38,'ELC_Gen-sdj'!$AA$4:$AD$19,4,FALSE))</f>
        <v>0.45540134457246989</v>
      </c>
      <c r="AH38" s="34">
        <f>VLOOKUP(AH$22,heatrate!$K$5:$T$36,VLOOKUP('ELC_Gen-sdj'!$B38,'ELC_Gen-sdj'!$AA$4:$AD$19,4,FALSE))</f>
        <v>0.45540134457246989</v>
      </c>
    </row>
    <row r="39" spans="2:34">
      <c r="B39" s="32" t="str">
        <f t="shared" si="3"/>
        <v>EN_GasCCAdv</v>
      </c>
      <c r="C39" s="33">
        <f>VLOOKUP(C$22,heatrate!$K$5:$T$36,VLOOKUP('ELC_Gen-sdj'!$B39,'ELC_Gen-sdj'!$AA$4:$AD$19,4,FALSE))</f>
        <v>0.54163845633039942</v>
      </c>
      <c r="D39" s="34">
        <f>VLOOKUP(D$22,heatrate!$K$5:$T$36,VLOOKUP('ELC_Gen-sdj'!$B39,'ELC_Gen-sdj'!$AA$4:$AD$19,4,FALSE))</f>
        <v>0.54163845633039942</v>
      </c>
      <c r="E39" s="34">
        <f>VLOOKUP(E$22,heatrate!$K$5:$T$36,VLOOKUP('ELC_Gen-sdj'!$B39,'ELC_Gen-sdj'!$AA$4:$AD$19,4,FALSE))</f>
        <v>0.54163845633039942</v>
      </c>
      <c r="F39" s="34">
        <f>VLOOKUP(F$22,heatrate!$K$5:$T$36,VLOOKUP('ELC_Gen-sdj'!$B39,'ELC_Gen-sdj'!$AA$4:$AD$19,4,FALSE))</f>
        <v>0.54379637846717399</v>
      </c>
      <c r="G39" s="34">
        <f>VLOOKUP(G$22,heatrate!$K$5:$T$36,VLOOKUP('ELC_Gen-sdj'!$B39,'ELC_Gen-sdj'!$AA$4:$AD$19,4,FALSE))</f>
        <v>0.54597156398104263</v>
      </c>
      <c r="H39" s="34">
        <f>VLOOKUP(H$22,heatrate!$K$5:$T$36,VLOOKUP('ELC_Gen-sdj'!$B39,'ELC_Gen-sdj'!$AA$4:$AD$19,4,FALSE))</f>
        <v>0.54816422086450067</v>
      </c>
      <c r="I39" s="34">
        <f>VLOOKUP(I$22,heatrate!$K$5:$T$36,VLOOKUP('ELC_Gen-sdj'!$B39,'ELC_Gen-sdj'!$AA$4:$AD$19,4,FALSE))</f>
        <v>0.55037456046476074</v>
      </c>
      <c r="J39" s="34">
        <f>VLOOKUP(J$22,heatrate!$K$5:$T$36,VLOOKUP('ELC_Gen-sdj'!$B39,'ELC_Gen-sdj'!$AA$4:$AD$19,4,FALSE))</f>
        <v>0.55037456046476074</v>
      </c>
      <c r="K39" s="34">
        <f>VLOOKUP(K$22,heatrate!$K$5:$T$36,VLOOKUP('ELC_Gen-sdj'!$B39,'ELC_Gen-sdj'!$AA$4:$AD$19,4,FALSE))</f>
        <v>0.55037456046476074</v>
      </c>
      <c r="L39" s="34">
        <f>VLOOKUP(L$22,heatrate!$K$5:$T$36,VLOOKUP('ELC_Gen-sdj'!$B39,'ELC_Gen-sdj'!$AA$4:$AD$19,4,FALSE))</f>
        <v>0.55037456046476074</v>
      </c>
      <c r="M39" s="34">
        <f>VLOOKUP(M$22,heatrate!$K$5:$T$36,VLOOKUP('ELC_Gen-sdj'!$B39,'ELC_Gen-sdj'!$AA$4:$AD$19,4,FALSE))</f>
        <v>0.55037456046476074</v>
      </c>
      <c r="N39" s="34">
        <f>VLOOKUP(N$22,heatrate!$K$5:$T$36,VLOOKUP('ELC_Gen-sdj'!$B39,'ELC_Gen-sdj'!$AA$4:$AD$19,4,FALSE))</f>
        <v>0.55037456046476074</v>
      </c>
      <c r="O39" s="34">
        <f>VLOOKUP(O$22,heatrate!$K$5:$T$36,VLOOKUP('ELC_Gen-sdj'!$B39,'ELC_Gen-sdj'!$AA$4:$AD$19,4,FALSE))</f>
        <v>0.55037456046476074</v>
      </c>
      <c r="P39" s="34">
        <f>VLOOKUP(P$22,heatrate!$K$5:$T$36,VLOOKUP('ELC_Gen-sdj'!$B39,'ELC_Gen-sdj'!$AA$4:$AD$19,4,FALSE))</f>
        <v>0.55037456046476074</v>
      </c>
      <c r="Q39" s="34">
        <f>VLOOKUP(Q$22,heatrate!$K$5:$T$36,VLOOKUP('ELC_Gen-sdj'!$B39,'ELC_Gen-sdj'!$AA$4:$AD$19,4,FALSE))</f>
        <v>0.55037456046476074</v>
      </c>
      <c r="R39" s="34">
        <f>VLOOKUP(R$22,heatrate!$K$5:$T$36,VLOOKUP('ELC_Gen-sdj'!$B39,'ELC_Gen-sdj'!$AA$4:$AD$19,4,FALSE))</f>
        <v>0.55037456046476074</v>
      </c>
      <c r="S39" s="34">
        <f>VLOOKUP(S$22,heatrate!$K$5:$T$36,VLOOKUP('ELC_Gen-sdj'!$B39,'ELC_Gen-sdj'!$AA$4:$AD$19,4,FALSE))</f>
        <v>0.55037456046476074</v>
      </c>
      <c r="T39" s="34">
        <f>VLOOKUP(T$22,heatrate!$K$5:$T$36,VLOOKUP('ELC_Gen-sdj'!$B39,'ELC_Gen-sdj'!$AA$4:$AD$19,4,FALSE))</f>
        <v>0.55037456046476074</v>
      </c>
      <c r="U39" s="34">
        <f>VLOOKUP(U$22,heatrate!$K$5:$T$36,VLOOKUP('ELC_Gen-sdj'!$B39,'ELC_Gen-sdj'!$AA$4:$AD$19,4,FALSE))</f>
        <v>0.55037456046476074</v>
      </c>
      <c r="V39" s="34">
        <f>VLOOKUP(V$22,heatrate!$K$5:$T$36,VLOOKUP('ELC_Gen-sdj'!$B39,'ELC_Gen-sdj'!$AA$4:$AD$19,4,FALSE))</f>
        <v>0.55037456046476074</v>
      </c>
      <c r="W39" s="34">
        <f>VLOOKUP(W$22,heatrate!$K$5:$T$36,VLOOKUP('ELC_Gen-sdj'!$B39,'ELC_Gen-sdj'!$AA$4:$AD$19,4,FALSE))</f>
        <v>0.55037456046476074</v>
      </c>
      <c r="X39" s="34">
        <f>VLOOKUP(X$22,heatrate!$K$5:$T$36,VLOOKUP('ELC_Gen-sdj'!$B39,'ELC_Gen-sdj'!$AA$4:$AD$19,4,FALSE))</f>
        <v>0.55037456046476074</v>
      </c>
      <c r="Y39" s="34">
        <f>VLOOKUP(Y$22,heatrate!$K$5:$T$36,VLOOKUP('ELC_Gen-sdj'!$B39,'ELC_Gen-sdj'!$AA$4:$AD$19,4,FALSE))</f>
        <v>0.55037456046476074</v>
      </c>
      <c r="Z39" s="34">
        <f>VLOOKUP(Z$22,heatrate!$K$5:$T$36,VLOOKUP('ELC_Gen-sdj'!$B39,'ELC_Gen-sdj'!$AA$4:$AD$19,4,FALSE))</f>
        <v>0.55037456046476074</v>
      </c>
      <c r="AA39" s="34">
        <f>VLOOKUP(AA$22,heatrate!$K$5:$T$36,VLOOKUP('ELC_Gen-sdj'!$B39,'ELC_Gen-sdj'!$AA$4:$AD$19,4,FALSE))</f>
        <v>0.55037456046476074</v>
      </c>
      <c r="AB39" s="34">
        <f>VLOOKUP(AB$22,heatrate!$K$5:$T$36,VLOOKUP('ELC_Gen-sdj'!$B39,'ELC_Gen-sdj'!$AA$4:$AD$19,4,FALSE))</f>
        <v>0.55037456046476074</v>
      </c>
      <c r="AC39" s="34">
        <f>VLOOKUP(AC$22,heatrate!$K$5:$T$36,VLOOKUP('ELC_Gen-sdj'!$B39,'ELC_Gen-sdj'!$AA$4:$AD$19,4,FALSE))</f>
        <v>0.55037456046476074</v>
      </c>
      <c r="AD39" s="34">
        <f>VLOOKUP(AD$22,heatrate!$K$5:$T$36,VLOOKUP('ELC_Gen-sdj'!$B39,'ELC_Gen-sdj'!$AA$4:$AD$19,4,FALSE))</f>
        <v>0.55037456046476074</v>
      </c>
      <c r="AE39" s="34">
        <f>VLOOKUP(AE$22,heatrate!$K$5:$T$36,VLOOKUP('ELC_Gen-sdj'!$B39,'ELC_Gen-sdj'!$AA$4:$AD$19,4,FALSE))</f>
        <v>0.55037456046476074</v>
      </c>
      <c r="AF39" s="34">
        <f>VLOOKUP(AF$22,heatrate!$K$5:$T$36,VLOOKUP('ELC_Gen-sdj'!$B39,'ELC_Gen-sdj'!$AA$4:$AD$19,4,FALSE))</f>
        <v>0.55037456046476074</v>
      </c>
      <c r="AG39" s="34">
        <f>VLOOKUP(AG$22,heatrate!$K$5:$T$36,VLOOKUP('ELC_Gen-sdj'!$B39,'ELC_Gen-sdj'!$AA$4:$AD$19,4,FALSE))</f>
        <v>0.55037456046476074</v>
      </c>
      <c r="AH39" s="34">
        <f>VLOOKUP(AH$22,heatrate!$K$5:$T$36,VLOOKUP('ELC_Gen-sdj'!$B39,'ELC_Gen-sdj'!$AA$4:$AD$19,4,FALSE))</f>
        <v>0.55037456046476074</v>
      </c>
    </row>
    <row r="40" spans="2:34">
      <c r="B40" s="32" t="str">
        <f t="shared" si="3"/>
        <v>EN_GasCC</v>
      </c>
      <c r="C40" s="33">
        <f>VLOOKUP(C$22,heatrate!$K$5:$T$36,VLOOKUP('ELC_Gen-sdj'!$B40,'ELC_Gen-sdj'!$AA$4:$AD$19,4,FALSE))</f>
        <v>0.51701852649719948</v>
      </c>
      <c r="D40" s="34">
        <f>VLOOKUP(D$22,heatrate!$K$5:$T$36,VLOOKUP('ELC_Gen-sdj'!$B40,'ELC_Gen-sdj'!$AA$4:$AD$19,4,FALSE))</f>
        <v>0.51701852649719948</v>
      </c>
      <c r="E40" s="34">
        <f>VLOOKUP(E$22,heatrate!$K$5:$T$36,VLOOKUP('ELC_Gen-sdj'!$B40,'ELC_Gen-sdj'!$AA$4:$AD$19,4,FALSE))</f>
        <v>0.51701852649719948</v>
      </c>
      <c r="F40" s="34">
        <f>VLOOKUP(F$22,heatrate!$K$5:$T$36,VLOOKUP('ELC_Gen-sdj'!$B40,'ELC_Gen-sdj'!$AA$4:$AD$19,4,FALSE))</f>
        <v>0.52196134223809054</v>
      </c>
      <c r="G40" s="34">
        <f>VLOOKUP(G$22,heatrate!$K$5:$T$36,VLOOKUP('ELC_Gen-sdj'!$B40,'ELC_Gen-sdj'!$AA$4:$AD$19,4,FALSE))</f>
        <v>0.52699957913228057</v>
      </c>
      <c r="H40" s="34">
        <f>VLOOKUP(H$22,heatrate!$K$5:$T$36,VLOOKUP('ELC_Gen-sdj'!$B40,'ELC_Gen-sdj'!$AA$4:$AD$19,4,FALSE))</f>
        <v>0.5321360272719714</v>
      </c>
      <c r="I40" s="34">
        <f>VLOOKUP(I$22,heatrate!$K$5:$T$36,VLOOKUP('ELC_Gen-sdj'!$B40,'ELC_Gen-sdj'!$AA$4:$AD$19,4,FALSE))</f>
        <v>0.53737358659551449</v>
      </c>
      <c r="J40" s="34">
        <f>VLOOKUP(J$22,heatrate!$K$5:$T$36,VLOOKUP('ELC_Gen-sdj'!$B40,'ELC_Gen-sdj'!$AA$4:$AD$19,4,FALSE))</f>
        <v>0.53737358659551449</v>
      </c>
      <c r="K40" s="34">
        <f>VLOOKUP(K$22,heatrate!$K$5:$T$36,VLOOKUP('ELC_Gen-sdj'!$B40,'ELC_Gen-sdj'!$AA$4:$AD$19,4,FALSE))</f>
        <v>0.53737358659551449</v>
      </c>
      <c r="L40" s="34">
        <f>VLOOKUP(L$22,heatrate!$K$5:$T$36,VLOOKUP('ELC_Gen-sdj'!$B40,'ELC_Gen-sdj'!$AA$4:$AD$19,4,FALSE))</f>
        <v>0.53737358659551449</v>
      </c>
      <c r="M40" s="34">
        <f>VLOOKUP(M$22,heatrate!$K$5:$T$36,VLOOKUP('ELC_Gen-sdj'!$B40,'ELC_Gen-sdj'!$AA$4:$AD$19,4,FALSE))</f>
        <v>0.53737358659551449</v>
      </c>
      <c r="N40" s="34">
        <f>VLOOKUP(N$22,heatrate!$K$5:$T$36,VLOOKUP('ELC_Gen-sdj'!$B40,'ELC_Gen-sdj'!$AA$4:$AD$19,4,FALSE))</f>
        <v>0.53737358659551449</v>
      </c>
      <c r="O40" s="34">
        <f>VLOOKUP(O$22,heatrate!$K$5:$T$36,VLOOKUP('ELC_Gen-sdj'!$B40,'ELC_Gen-sdj'!$AA$4:$AD$19,4,FALSE))</f>
        <v>0.53737358659551449</v>
      </c>
      <c r="P40" s="34">
        <f>VLOOKUP(P$22,heatrate!$K$5:$T$36,VLOOKUP('ELC_Gen-sdj'!$B40,'ELC_Gen-sdj'!$AA$4:$AD$19,4,FALSE))</f>
        <v>0.53737358659551449</v>
      </c>
      <c r="Q40" s="34">
        <f>VLOOKUP(Q$22,heatrate!$K$5:$T$36,VLOOKUP('ELC_Gen-sdj'!$B40,'ELC_Gen-sdj'!$AA$4:$AD$19,4,FALSE))</f>
        <v>0.53737358659551449</v>
      </c>
      <c r="R40" s="34">
        <f>VLOOKUP(R$22,heatrate!$K$5:$T$36,VLOOKUP('ELC_Gen-sdj'!$B40,'ELC_Gen-sdj'!$AA$4:$AD$19,4,FALSE))</f>
        <v>0.53737358659551449</v>
      </c>
      <c r="S40" s="34">
        <f>VLOOKUP(S$22,heatrate!$K$5:$T$36,VLOOKUP('ELC_Gen-sdj'!$B40,'ELC_Gen-sdj'!$AA$4:$AD$19,4,FALSE))</f>
        <v>0.53737358659551449</v>
      </c>
      <c r="T40" s="34">
        <f>VLOOKUP(T$22,heatrate!$K$5:$T$36,VLOOKUP('ELC_Gen-sdj'!$B40,'ELC_Gen-sdj'!$AA$4:$AD$19,4,FALSE))</f>
        <v>0.53737358659551449</v>
      </c>
      <c r="U40" s="34">
        <f>VLOOKUP(U$22,heatrate!$K$5:$T$36,VLOOKUP('ELC_Gen-sdj'!$B40,'ELC_Gen-sdj'!$AA$4:$AD$19,4,FALSE))</f>
        <v>0.53737358659551449</v>
      </c>
      <c r="V40" s="34">
        <f>VLOOKUP(V$22,heatrate!$K$5:$T$36,VLOOKUP('ELC_Gen-sdj'!$B40,'ELC_Gen-sdj'!$AA$4:$AD$19,4,FALSE))</f>
        <v>0.53737358659551449</v>
      </c>
      <c r="W40" s="34">
        <f>VLOOKUP(W$22,heatrate!$K$5:$T$36,VLOOKUP('ELC_Gen-sdj'!$B40,'ELC_Gen-sdj'!$AA$4:$AD$19,4,FALSE))</f>
        <v>0.53737358659551449</v>
      </c>
      <c r="X40" s="34">
        <f>VLOOKUP(X$22,heatrate!$K$5:$T$36,VLOOKUP('ELC_Gen-sdj'!$B40,'ELC_Gen-sdj'!$AA$4:$AD$19,4,FALSE))</f>
        <v>0.53737358659551449</v>
      </c>
      <c r="Y40" s="34">
        <f>VLOOKUP(Y$22,heatrate!$K$5:$T$36,VLOOKUP('ELC_Gen-sdj'!$B40,'ELC_Gen-sdj'!$AA$4:$AD$19,4,FALSE))</f>
        <v>0.53737358659551449</v>
      </c>
      <c r="Z40" s="34">
        <f>VLOOKUP(Z$22,heatrate!$K$5:$T$36,VLOOKUP('ELC_Gen-sdj'!$B40,'ELC_Gen-sdj'!$AA$4:$AD$19,4,FALSE))</f>
        <v>0.53737358659551449</v>
      </c>
      <c r="AA40" s="34">
        <f>VLOOKUP(AA$22,heatrate!$K$5:$T$36,VLOOKUP('ELC_Gen-sdj'!$B40,'ELC_Gen-sdj'!$AA$4:$AD$19,4,FALSE))</f>
        <v>0.53737358659551449</v>
      </c>
      <c r="AB40" s="34">
        <f>VLOOKUP(AB$22,heatrate!$K$5:$T$36,VLOOKUP('ELC_Gen-sdj'!$B40,'ELC_Gen-sdj'!$AA$4:$AD$19,4,FALSE))</f>
        <v>0.53737358659551449</v>
      </c>
      <c r="AC40" s="34">
        <f>VLOOKUP(AC$22,heatrate!$K$5:$T$36,VLOOKUP('ELC_Gen-sdj'!$B40,'ELC_Gen-sdj'!$AA$4:$AD$19,4,FALSE))</f>
        <v>0.53737358659551449</v>
      </c>
      <c r="AD40" s="34">
        <f>VLOOKUP(AD$22,heatrate!$K$5:$T$36,VLOOKUP('ELC_Gen-sdj'!$B40,'ELC_Gen-sdj'!$AA$4:$AD$19,4,FALSE))</f>
        <v>0.53737358659551449</v>
      </c>
      <c r="AE40" s="34">
        <f>VLOOKUP(AE$22,heatrate!$K$5:$T$36,VLOOKUP('ELC_Gen-sdj'!$B40,'ELC_Gen-sdj'!$AA$4:$AD$19,4,FALSE))</f>
        <v>0.53737358659551449</v>
      </c>
      <c r="AF40" s="34">
        <f>VLOOKUP(AF$22,heatrate!$K$5:$T$36,VLOOKUP('ELC_Gen-sdj'!$B40,'ELC_Gen-sdj'!$AA$4:$AD$19,4,FALSE))</f>
        <v>0.53737358659551449</v>
      </c>
      <c r="AG40" s="34">
        <f>VLOOKUP(AG$22,heatrate!$K$5:$T$36,VLOOKUP('ELC_Gen-sdj'!$B40,'ELC_Gen-sdj'!$AA$4:$AD$19,4,FALSE))</f>
        <v>0.53737358659551449</v>
      </c>
      <c r="AH40" s="34">
        <f>VLOOKUP(AH$22,heatrate!$K$5:$T$36,VLOOKUP('ELC_Gen-sdj'!$B40,'ELC_Gen-sdj'!$AA$4:$AD$19,4,FALSE))</f>
        <v>0.53737358659551449</v>
      </c>
    </row>
    <row r="41" spans="2:34">
      <c r="B41" s="32" t="str">
        <f t="shared" si="3"/>
        <v>EN_GasCTAdv</v>
      </c>
      <c r="C41" s="33">
        <f>VLOOKUP(C$22,heatrate!$K$5:$T$36,VLOOKUP('ELC_Gen-sdj'!$B41,'ELC_Gen-sdj'!$AA$4:$AD$19,4,FALSE))</f>
        <v>0.34819615049811398</v>
      </c>
      <c r="D41" s="34">
        <f>VLOOKUP(D$22,heatrate!$K$5:$T$36,VLOOKUP('ELC_Gen-sdj'!$B41,'ELC_Gen-sdj'!$AA$4:$AD$19,4,FALSE))</f>
        <v>0.34819615049811398</v>
      </c>
      <c r="E41" s="34">
        <f>VLOOKUP(E$22,heatrate!$K$5:$T$36,VLOOKUP('ELC_Gen-sdj'!$B41,'ELC_Gen-sdj'!$AA$4:$AD$19,4,FALSE))</f>
        <v>0.35731123297188655</v>
      </c>
      <c r="F41" s="34">
        <f>VLOOKUP(F$22,heatrate!$K$5:$T$36,VLOOKUP('ELC_Gen-sdj'!$B41,'ELC_Gen-sdj'!$AA$4:$AD$19,4,FALSE))</f>
        <v>0.36691637364317387</v>
      </c>
      <c r="G41" s="34">
        <f>VLOOKUP(G$22,heatrate!$K$5:$T$36,VLOOKUP('ELC_Gen-sdj'!$B41,'ELC_Gen-sdj'!$AA$4:$AD$19,4,FALSE))</f>
        <v>0.37705218506978083</v>
      </c>
      <c r="H41" s="34">
        <f>VLOOKUP(H$22,heatrate!$K$5:$T$36,VLOOKUP('ELC_Gen-sdj'!$B41,'ELC_Gen-sdj'!$AA$4:$AD$19,4,FALSE))</f>
        <v>0.38776389487289964</v>
      </c>
      <c r="I41" s="34">
        <f>VLOOKUP(I$22,heatrate!$K$5:$T$36,VLOOKUP('ELC_Gen-sdj'!$B41,'ELC_Gen-sdj'!$AA$4:$AD$19,4,FALSE))</f>
        <v>0.39910202045397852</v>
      </c>
      <c r="J41" s="34">
        <f>VLOOKUP(J$22,heatrate!$K$5:$T$36,VLOOKUP('ELC_Gen-sdj'!$B41,'ELC_Gen-sdj'!$AA$4:$AD$19,4,FALSE))</f>
        <v>0.39910202045397852</v>
      </c>
      <c r="K41" s="34">
        <f>VLOOKUP(K$22,heatrate!$K$5:$T$36,VLOOKUP('ELC_Gen-sdj'!$B41,'ELC_Gen-sdj'!$AA$4:$AD$19,4,FALSE))</f>
        <v>0.39910202045397852</v>
      </c>
      <c r="L41" s="34">
        <f>VLOOKUP(L$22,heatrate!$K$5:$T$36,VLOOKUP('ELC_Gen-sdj'!$B41,'ELC_Gen-sdj'!$AA$4:$AD$19,4,FALSE))</f>
        <v>0.39910202045397852</v>
      </c>
      <c r="M41" s="34">
        <f>VLOOKUP(M$22,heatrate!$K$5:$T$36,VLOOKUP('ELC_Gen-sdj'!$B41,'ELC_Gen-sdj'!$AA$4:$AD$19,4,FALSE))</f>
        <v>0.39910202045397852</v>
      </c>
      <c r="N41" s="34">
        <f>VLOOKUP(N$22,heatrate!$K$5:$T$36,VLOOKUP('ELC_Gen-sdj'!$B41,'ELC_Gen-sdj'!$AA$4:$AD$19,4,FALSE))</f>
        <v>0.39910202045397852</v>
      </c>
      <c r="O41" s="34">
        <f>VLOOKUP(O$22,heatrate!$K$5:$T$36,VLOOKUP('ELC_Gen-sdj'!$B41,'ELC_Gen-sdj'!$AA$4:$AD$19,4,FALSE))</f>
        <v>0.39910202045397852</v>
      </c>
      <c r="P41" s="34">
        <f>VLOOKUP(P$22,heatrate!$K$5:$T$36,VLOOKUP('ELC_Gen-sdj'!$B41,'ELC_Gen-sdj'!$AA$4:$AD$19,4,FALSE))</f>
        <v>0.39910202045397852</v>
      </c>
      <c r="Q41" s="34">
        <f>VLOOKUP(Q$22,heatrate!$K$5:$T$36,VLOOKUP('ELC_Gen-sdj'!$B41,'ELC_Gen-sdj'!$AA$4:$AD$19,4,FALSE))</f>
        <v>0.39910202045397852</v>
      </c>
      <c r="R41" s="34">
        <f>VLOOKUP(R$22,heatrate!$K$5:$T$36,VLOOKUP('ELC_Gen-sdj'!$B41,'ELC_Gen-sdj'!$AA$4:$AD$19,4,FALSE))</f>
        <v>0.39910202045397852</v>
      </c>
      <c r="S41" s="34">
        <f>VLOOKUP(S$22,heatrate!$K$5:$T$36,VLOOKUP('ELC_Gen-sdj'!$B41,'ELC_Gen-sdj'!$AA$4:$AD$19,4,FALSE))</f>
        <v>0.39910202045397852</v>
      </c>
      <c r="T41" s="34">
        <f>VLOOKUP(T$22,heatrate!$K$5:$T$36,VLOOKUP('ELC_Gen-sdj'!$B41,'ELC_Gen-sdj'!$AA$4:$AD$19,4,FALSE))</f>
        <v>0.39910202045397852</v>
      </c>
      <c r="U41" s="34">
        <f>VLOOKUP(U$22,heatrate!$K$5:$T$36,VLOOKUP('ELC_Gen-sdj'!$B41,'ELC_Gen-sdj'!$AA$4:$AD$19,4,FALSE))</f>
        <v>0.39910202045397852</v>
      </c>
      <c r="V41" s="34">
        <f>VLOOKUP(V$22,heatrate!$K$5:$T$36,VLOOKUP('ELC_Gen-sdj'!$B41,'ELC_Gen-sdj'!$AA$4:$AD$19,4,FALSE))</f>
        <v>0.39910202045397852</v>
      </c>
      <c r="W41" s="34">
        <f>VLOOKUP(W$22,heatrate!$K$5:$T$36,VLOOKUP('ELC_Gen-sdj'!$B41,'ELC_Gen-sdj'!$AA$4:$AD$19,4,FALSE))</f>
        <v>0.39910202045397852</v>
      </c>
      <c r="X41" s="34">
        <f>VLOOKUP(X$22,heatrate!$K$5:$T$36,VLOOKUP('ELC_Gen-sdj'!$B41,'ELC_Gen-sdj'!$AA$4:$AD$19,4,FALSE))</f>
        <v>0.39910202045397852</v>
      </c>
      <c r="Y41" s="34">
        <f>VLOOKUP(Y$22,heatrate!$K$5:$T$36,VLOOKUP('ELC_Gen-sdj'!$B41,'ELC_Gen-sdj'!$AA$4:$AD$19,4,FALSE))</f>
        <v>0.39910202045397852</v>
      </c>
      <c r="Z41" s="34">
        <f>VLOOKUP(Z$22,heatrate!$K$5:$T$36,VLOOKUP('ELC_Gen-sdj'!$B41,'ELC_Gen-sdj'!$AA$4:$AD$19,4,FALSE))</f>
        <v>0.39910202045397852</v>
      </c>
      <c r="AA41" s="34">
        <f>VLOOKUP(AA$22,heatrate!$K$5:$T$36,VLOOKUP('ELC_Gen-sdj'!$B41,'ELC_Gen-sdj'!$AA$4:$AD$19,4,FALSE))</f>
        <v>0.39910202045397852</v>
      </c>
      <c r="AB41" s="34">
        <f>VLOOKUP(AB$22,heatrate!$K$5:$T$36,VLOOKUP('ELC_Gen-sdj'!$B41,'ELC_Gen-sdj'!$AA$4:$AD$19,4,FALSE))</f>
        <v>0.39910202045397852</v>
      </c>
      <c r="AC41" s="34">
        <f>VLOOKUP(AC$22,heatrate!$K$5:$T$36,VLOOKUP('ELC_Gen-sdj'!$B41,'ELC_Gen-sdj'!$AA$4:$AD$19,4,FALSE))</f>
        <v>0.39910202045397852</v>
      </c>
      <c r="AD41" s="34">
        <f>VLOOKUP(AD$22,heatrate!$K$5:$T$36,VLOOKUP('ELC_Gen-sdj'!$B41,'ELC_Gen-sdj'!$AA$4:$AD$19,4,FALSE))</f>
        <v>0.39910202045397852</v>
      </c>
      <c r="AE41" s="34">
        <f>VLOOKUP(AE$22,heatrate!$K$5:$T$36,VLOOKUP('ELC_Gen-sdj'!$B41,'ELC_Gen-sdj'!$AA$4:$AD$19,4,FALSE))</f>
        <v>0.39910202045397852</v>
      </c>
      <c r="AF41" s="34">
        <f>VLOOKUP(AF$22,heatrate!$K$5:$T$36,VLOOKUP('ELC_Gen-sdj'!$B41,'ELC_Gen-sdj'!$AA$4:$AD$19,4,FALSE))</f>
        <v>0.39910202045397852</v>
      </c>
      <c r="AG41" s="34">
        <f>VLOOKUP(AG$22,heatrate!$K$5:$T$36,VLOOKUP('ELC_Gen-sdj'!$B41,'ELC_Gen-sdj'!$AA$4:$AD$19,4,FALSE))</f>
        <v>0.39910202045397852</v>
      </c>
      <c r="AH41" s="34">
        <f>VLOOKUP(AH$22,heatrate!$K$5:$T$36,VLOOKUP('ELC_Gen-sdj'!$B41,'ELC_Gen-sdj'!$AA$4:$AD$19,4,FALSE))</f>
        <v>0.39910202045397852</v>
      </c>
    </row>
    <row r="42" spans="2:34">
      <c r="B42" s="32" t="str">
        <f t="shared" si="3"/>
        <v>EN_GasCT</v>
      </c>
      <c r="C42" s="33">
        <f>VLOOKUP(C$22,heatrate!$K$5:$T$36,VLOOKUP('ELC_Gen-sdj'!$B42,'ELC_Gen-sdj'!$AA$4:$AD$19,4,FALSE))</f>
        <v>0.34678071899202406</v>
      </c>
      <c r="D42" s="34">
        <f>VLOOKUP(D$22,heatrate!$K$5:$T$36,VLOOKUP('ELC_Gen-sdj'!$B42,'ELC_Gen-sdj'!$AA$4:$AD$19,4,FALSE))</f>
        <v>0.34819615049811398</v>
      </c>
      <c r="E42" s="34">
        <f>VLOOKUP(E$22,heatrate!$K$5:$T$36,VLOOKUP('ELC_Gen-sdj'!$B42,'ELC_Gen-sdj'!$AA$4:$AD$19,4,FALSE))</f>
        <v>0.34962318390179475</v>
      </c>
      <c r="F42" s="34">
        <f>VLOOKUP(F$22,heatrate!$K$5:$T$36,VLOOKUP('ELC_Gen-sdj'!$B42,'ELC_Gen-sdj'!$AA$4:$AD$19,4,FALSE))</f>
        <v>0.35106196243637</v>
      </c>
      <c r="G42" s="34">
        <f>VLOOKUP(G$22,heatrate!$K$5:$T$36,VLOOKUP('ELC_Gen-sdj'!$B42,'ELC_Gen-sdj'!$AA$4:$AD$19,4,FALSE))</f>
        <v>0.35251263170263603</v>
      </c>
      <c r="H42" s="34">
        <f>VLOOKUP(H$22,heatrate!$K$5:$T$36,VLOOKUP('ELC_Gen-sdj'!$B42,'ELC_Gen-sdj'!$AA$4:$AD$19,4,FALSE))</f>
        <v>0.35397533971799966</v>
      </c>
      <c r="I42" s="34">
        <f>VLOOKUP(I$22,heatrate!$K$5:$T$36,VLOOKUP('ELC_Gen-sdj'!$B42,'ELC_Gen-sdj'!$AA$4:$AD$19,4,FALSE))</f>
        <v>0.35545023696682471</v>
      </c>
      <c r="J42" s="34">
        <f>VLOOKUP(J$22,heatrate!$K$5:$T$36,VLOOKUP('ELC_Gen-sdj'!$B42,'ELC_Gen-sdj'!$AA$4:$AD$19,4,FALSE))</f>
        <v>0.35545023696682471</v>
      </c>
      <c r="K42" s="34">
        <f>VLOOKUP(K$22,heatrate!$K$5:$T$36,VLOOKUP('ELC_Gen-sdj'!$B42,'ELC_Gen-sdj'!$AA$4:$AD$19,4,FALSE))</f>
        <v>0.35545023696682471</v>
      </c>
      <c r="L42" s="34">
        <f>VLOOKUP(L$22,heatrate!$K$5:$T$36,VLOOKUP('ELC_Gen-sdj'!$B42,'ELC_Gen-sdj'!$AA$4:$AD$19,4,FALSE))</f>
        <v>0.35545023696682471</v>
      </c>
      <c r="M42" s="34">
        <f>VLOOKUP(M$22,heatrate!$K$5:$T$36,VLOOKUP('ELC_Gen-sdj'!$B42,'ELC_Gen-sdj'!$AA$4:$AD$19,4,FALSE))</f>
        <v>0.35545023696682471</v>
      </c>
      <c r="N42" s="34">
        <f>VLOOKUP(N$22,heatrate!$K$5:$T$36,VLOOKUP('ELC_Gen-sdj'!$B42,'ELC_Gen-sdj'!$AA$4:$AD$19,4,FALSE))</f>
        <v>0.35545023696682471</v>
      </c>
      <c r="O42" s="34">
        <f>VLOOKUP(O$22,heatrate!$K$5:$T$36,VLOOKUP('ELC_Gen-sdj'!$B42,'ELC_Gen-sdj'!$AA$4:$AD$19,4,FALSE))</f>
        <v>0.35545023696682471</v>
      </c>
      <c r="P42" s="34">
        <f>VLOOKUP(P$22,heatrate!$K$5:$T$36,VLOOKUP('ELC_Gen-sdj'!$B42,'ELC_Gen-sdj'!$AA$4:$AD$19,4,FALSE))</f>
        <v>0.35545023696682471</v>
      </c>
      <c r="Q42" s="34">
        <f>VLOOKUP(Q$22,heatrate!$K$5:$T$36,VLOOKUP('ELC_Gen-sdj'!$B42,'ELC_Gen-sdj'!$AA$4:$AD$19,4,FALSE))</f>
        <v>0.35545023696682471</v>
      </c>
      <c r="R42" s="34">
        <f>VLOOKUP(R$22,heatrate!$K$5:$T$36,VLOOKUP('ELC_Gen-sdj'!$B42,'ELC_Gen-sdj'!$AA$4:$AD$19,4,FALSE))</f>
        <v>0.35545023696682471</v>
      </c>
      <c r="S42" s="34">
        <f>VLOOKUP(S$22,heatrate!$K$5:$T$36,VLOOKUP('ELC_Gen-sdj'!$B42,'ELC_Gen-sdj'!$AA$4:$AD$19,4,FALSE))</f>
        <v>0.35545023696682471</v>
      </c>
      <c r="T42" s="34">
        <f>VLOOKUP(T$22,heatrate!$K$5:$T$36,VLOOKUP('ELC_Gen-sdj'!$B42,'ELC_Gen-sdj'!$AA$4:$AD$19,4,FALSE))</f>
        <v>0.35545023696682471</v>
      </c>
      <c r="U42" s="34">
        <f>VLOOKUP(U$22,heatrate!$K$5:$T$36,VLOOKUP('ELC_Gen-sdj'!$B42,'ELC_Gen-sdj'!$AA$4:$AD$19,4,FALSE))</f>
        <v>0.35545023696682471</v>
      </c>
      <c r="V42" s="34">
        <f>VLOOKUP(V$22,heatrate!$K$5:$T$36,VLOOKUP('ELC_Gen-sdj'!$B42,'ELC_Gen-sdj'!$AA$4:$AD$19,4,FALSE))</f>
        <v>0.35545023696682471</v>
      </c>
      <c r="W42" s="34">
        <f>VLOOKUP(W$22,heatrate!$K$5:$T$36,VLOOKUP('ELC_Gen-sdj'!$B42,'ELC_Gen-sdj'!$AA$4:$AD$19,4,FALSE))</f>
        <v>0.35545023696682471</v>
      </c>
      <c r="X42" s="34">
        <f>VLOOKUP(X$22,heatrate!$K$5:$T$36,VLOOKUP('ELC_Gen-sdj'!$B42,'ELC_Gen-sdj'!$AA$4:$AD$19,4,FALSE))</f>
        <v>0.35545023696682471</v>
      </c>
      <c r="Y42" s="34">
        <f>VLOOKUP(Y$22,heatrate!$K$5:$T$36,VLOOKUP('ELC_Gen-sdj'!$B42,'ELC_Gen-sdj'!$AA$4:$AD$19,4,FALSE))</f>
        <v>0.35545023696682471</v>
      </c>
      <c r="Z42" s="34">
        <f>VLOOKUP(Z$22,heatrate!$K$5:$T$36,VLOOKUP('ELC_Gen-sdj'!$B42,'ELC_Gen-sdj'!$AA$4:$AD$19,4,FALSE))</f>
        <v>0.35545023696682471</v>
      </c>
      <c r="AA42" s="34">
        <f>VLOOKUP(AA$22,heatrate!$K$5:$T$36,VLOOKUP('ELC_Gen-sdj'!$B42,'ELC_Gen-sdj'!$AA$4:$AD$19,4,FALSE))</f>
        <v>0.35545023696682471</v>
      </c>
      <c r="AB42" s="34">
        <f>VLOOKUP(AB$22,heatrate!$K$5:$T$36,VLOOKUP('ELC_Gen-sdj'!$B42,'ELC_Gen-sdj'!$AA$4:$AD$19,4,FALSE))</f>
        <v>0.35545023696682471</v>
      </c>
      <c r="AC42" s="34">
        <f>VLOOKUP(AC$22,heatrate!$K$5:$T$36,VLOOKUP('ELC_Gen-sdj'!$B42,'ELC_Gen-sdj'!$AA$4:$AD$19,4,FALSE))</f>
        <v>0.35545023696682471</v>
      </c>
      <c r="AD42" s="34">
        <f>VLOOKUP(AD$22,heatrate!$K$5:$T$36,VLOOKUP('ELC_Gen-sdj'!$B42,'ELC_Gen-sdj'!$AA$4:$AD$19,4,FALSE))</f>
        <v>0.35545023696682471</v>
      </c>
      <c r="AE42" s="34">
        <f>VLOOKUP(AE$22,heatrate!$K$5:$T$36,VLOOKUP('ELC_Gen-sdj'!$B42,'ELC_Gen-sdj'!$AA$4:$AD$19,4,FALSE))</f>
        <v>0.35545023696682471</v>
      </c>
      <c r="AF42" s="34">
        <f>VLOOKUP(AF$22,heatrate!$K$5:$T$36,VLOOKUP('ELC_Gen-sdj'!$B42,'ELC_Gen-sdj'!$AA$4:$AD$19,4,FALSE))</f>
        <v>0.35545023696682471</v>
      </c>
      <c r="AG42" s="34">
        <f>VLOOKUP(AG$22,heatrate!$K$5:$T$36,VLOOKUP('ELC_Gen-sdj'!$B42,'ELC_Gen-sdj'!$AA$4:$AD$19,4,FALSE))</f>
        <v>0.35545023696682471</v>
      </c>
      <c r="AH42" s="34">
        <f>VLOOKUP(AH$22,heatrate!$K$5:$T$36,VLOOKUP('ELC_Gen-sdj'!$B42,'ELC_Gen-sdj'!$AA$4:$AD$19,4,FALSE))</f>
        <v>0.35545023696682471</v>
      </c>
    </row>
    <row r="43" spans="2:34">
      <c r="B43" s="32" t="str">
        <f>B30</f>
        <v>EN_ZBiomass</v>
      </c>
      <c r="C43" s="33">
        <f>VLOOKUP(C$22,heatrate!$K$5:$T$36,VLOOKUP('ELC_Gen-sdj'!$B43,'ELC_Gen-sdj'!$AA$4:$AD$19,4,FALSE))</f>
        <v>0.2929031995606452</v>
      </c>
      <c r="D43" s="34">
        <f>VLOOKUP(D$22,heatrate!$K$5:$T$36,VLOOKUP('ELC_Gen-sdj'!$B43,'ELC_Gen-sdj'!$AA$4:$AD$19,4,FALSE))</f>
        <v>0.2929031995606452</v>
      </c>
      <c r="E43" s="34">
        <f>VLOOKUP(E$22,heatrate!$K$5:$T$36,VLOOKUP('ELC_Gen-sdj'!$B43,'ELC_Gen-sdj'!$AA$4:$AD$19,4,FALSE))</f>
        <v>0.2929031995606452</v>
      </c>
      <c r="F43" s="34">
        <f>VLOOKUP(F$22,heatrate!$K$5:$T$36,VLOOKUP('ELC_Gen-sdj'!$B43,'ELC_Gen-sdj'!$AA$4:$AD$19,4,FALSE))</f>
        <v>0.2929031995606452</v>
      </c>
      <c r="G43" s="34">
        <f>VLOOKUP(G$22,heatrate!$K$5:$T$36,VLOOKUP('ELC_Gen-sdj'!$B43,'ELC_Gen-sdj'!$AA$4:$AD$19,4,FALSE))</f>
        <v>0.31443212903397061</v>
      </c>
      <c r="H43" s="34">
        <f>VLOOKUP(H$22,heatrate!$K$5:$T$36,VLOOKUP('ELC_Gen-sdj'!$B43,'ELC_Gen-sdj'!$AA$4:$AD$19,4,FALSE))</f>
        <v>0.3393769667254069</v>
      </c>
      <c r="I43" s="34">
        <f>VLOOKUP(I$22,heatrate!$K$5:$T$36,VLOOKUP('ELC_Gen-sdj'!$B43,'ELC_Gen-sdj'!$AA$4:$AD$19,4,FALSE))</f>
        <v>0.36862074914999637</v>
      </c>
      <c r="J43" s="34">
        <f>VLOOKUP(J$22,heatrate!$K$5:$T$36,VLOOKUP('ELC_Gen-sdj'!$B43,'ELC_Gen-sdj'!$AA$4:$AD$19,4,FALSE))</f>
        <v>0.36862074914999637</v>
      </c>
      <c r="K43" s="34">
        <f>VLOOKUP(K$22,heatrate!$K$5:$T$36,VLOOKUP('ELC_Gen-sdj'!$B43,'ELC_Gen-sdj'!$AA$4:$AD$19,4,FALSE))</f>
        <v>0.36862074914999637</v>
      </c>
      <c r="L43" s="34">
        <f>VLOOKUP(L$22,heatrate!$K$5:$T$36,VLOOKUP('ELC_Gen-sdj'!$B43,'ELC_Gen-sdj'!$AA$4:$AD$19,4,FALSE))</f>
        <v>0.36862074914999637</v>
      </c>
      <c r="M43" s="34">
        <f>VLOOKUP(M$22,heatrate!$K$5:$T$36,VLOOKUP('ELC_Gen-sdj'!$B43,'ELC_Gen-sdj'!$AA$4:$AD$19,4,FALSE))</f>
        <v>0.36862074914999637</v>
      </c>
      <c r="N43" s="34">
        <f>VLOOKUP(N$22,heatrate!$K$5:$T$36,VLOOKUP('ELC_Gen-sdj'!$B43,'ELC_Gen-sdj'!$AA$4:$AD$19,4,FALSE))</f>
        <v>0.36862074914999637</v>
      </c>
      <c r="O43" s="34">
        <f>VLOOKUP(O$22,heatrate!$K$5:$T$36,VLOOKUP('ELC_Gen-sdj'!$B43,'ELC_Gen-sdj'!$AA$4:$AD$19,4,FALSE))</f>
        <v>0.36862074914999637</v>
      </c>
      <c r="P43" s="34">
        <f>VLOOKUP(P$22,heatrate!$K$5:$T$36,VLOOKUP('ELC_Gen-sdj'!$B43,'ELC_Gen-sdj'!$AA$4:$AD$19,4,FALSE))</f>
        <v>0.36862074914999637</v>
      </c>
      <c r="Q43" s="34">
        <f>VLOOKUP(Q$22,heatrate!$K$5:$T$36,VLOOKUP('ELC_Gen-sdj'!$B43,'ELC_Gen-sdj'!$AA$4:$AD$19,4,FALSE))</f>
        <v>0.36862074914999637</v>
      </c>
      <c r="R43" s="34">
        <f>VLOOKUP(R$22,heatrate!$K$5:$T$36,VLOOKUP('ELC_Gen-sdj'!$B43,'ELC_Gen-sdj'!$AA$4:$AD$19,4,FALSE))</f>
        <v>0.36862074914999637</v>
      </c>
      <c r="S43" s="34">
        <f>VLOOKUP(S$22,heatrate!$K$5:$T$36,VLOOKUP('ELC_Gen-sdj'!$B43,'ELC_Gen-sdj'!$AA$4:$AD$19,4,FALSE))</f>
        <v>0.36862074914999637</v>
      </c>
      <c r="T43" s="34">
        <f>VLOOKUP(T$22,heatrate!$K$5:$T$36,VLOOKUP('ELC_Gen-sdj'!$B43,'ELC_Gen-sdj'!$AA$4:$AD$19,4,FALSE))</f>
        <v>0.36862074914999637</v>
      </c>
      <c r="U43" s="34">
        <f>VLOOKUP(U$22,heatrate!$K$5:$T$36,VLOOKUP('ELC_Gen-sdj'!$B43,'ELC_Gen-sdj'!$AA$4:$AD$19,4,FALSE))</f>
        <v>0.36862074914999637</v>
      </c>
      <c r="V43" s="34">
        <f>VLOOKUP(V$22,heatrate!$K$5:$T$36,VLOOKUP('ELC_Gen-sdj'!$B43,'ELC_Gen-sdj'!$AA$4:$AD$19,4,FALSE))</f>
        <v>0.36862074914999637</v>
      </c>
      <c r="W43" s="34">
        <f>VLOOKUP(W$22,heatrate!$K$5:$T$36,VLOOKUP('ELC_Gen-sdj'!$B43,'ELC_Gen-sdj'!$AA$4:$AD$19,4,FALSE))</f>
        <v>0.36862074914999637</v>
      </c>
      <c r="X43" s="34">
        <f>VLOOKUP(X$22,heatrate!$K$5:$T$36,VLOOKUP('ELC_Gen-sdj'!$B43,'ELC_Gen-sdj'!$AA$4:$AD$19,4,FALSE))</f>
        <v>0.36862074914999637</v>
      </c>
      <c r="Y43" s="34">
        <f>VLOOKUP(Y$22,heatrate!$K$5:$T$36,VLOOKUP('ELC_Gen-sdj'!$B43,'ELC_Gen-sdj'!$AA$4:$AD$19,4,FALSE))</f>
        <v>0.36862074914999637</v>
      </c>
      <c r="Z43" s="34">
        <f>VLOOKUP(Z$22,heatrate!$K$5:$T$36,VLOOKUP('ELC_Gen-sdj'!$B43,'ELC_Gen-sdj'!$AA$4:$AD$19,4,FALSE))</f>
        <v>0.36862074914999637</v>
      </c>
      <c r="AA43" s="34">
        <f>VLOOKUP(AA$22,heatrate!$K$5:$T$36,VLOOKUP('ELC_Gen-sdj'!$B43,'ELC_Gen-sdj'!$AA$4:$AD$19,4,FALSE))</f>
        <v>0.36862074914999637</v>
      </c>
      <c r="AB43" s="34">
        <f>VLOOKUP(AB$22,heatrate!$K$5:$T$36,VLOOKUP('ELC_Gen-sdj'!$B43,'ELC_Gen-sdj'!$AA$4:$AD$19,4,FALSE))</f>
        <v>0.36862074914999637</v>
      </c>
      <c r="AC43" s="34">
        <f>VLOOKUP(AC$22,heatrate!$K$5:$T$36,VLOOKUP('ELC_Gen-sdj'!$B43,'ELC_Gen-sdj'!$AA$4:$AD$19,4,FALSE))</f>
        <v>0.36862074914999637</v>
      </c>
      <c r="AD43" s="34">
        <f>VLOOKUP(AD$22,heatrate!$K$5:$T$36,VLOOKUP('ELC_Gen-sdj'!$B43,'ELC_Gen-sdj'!$AA$4:$AD$19,4,FALSE))</f>
        <v>0.36862074914999637</v>
      </c>
      <c r="AE43" s="34">
        <f>VLOOKUP(AE$22,heatrate!$K$5:$T$36,VLOOKUP('ELC_Gen-sdj'!$B43,'ELC_Gen-sdj'!$AA$4:$AD$19,4,FALSE))</f>
        <v>0.36862074914999637</v>
      </c>
      <c r="AF43" s="34">
        <f>VLOOKUP(AF$22,heatrate!$K$5:$T$36,VLOOKUP('ELC_Gen-sdj'!$B43,'ELC_Gen-sdj'!$AA$4:$AD$19,4,FALSE))</f>
        <v>0.36862074914999637</v>
      </c>
      <c r="AG43" s="34">
        <f>VLOOKUP(AG$22,heatrate!$K$5:$T$36,VLOOKUP('ELC_Gen-sdj'!$B43,'ELC_Gen-sdj'!$AA$4:$AD$19,4,FALSE))</f>
        <v>0.36862074914999637</v>
      </c>
      <c r="AH43" s="34">
        <f>VLOOKUP(AH$22,heatrate!$K$5:$T$36,VLOOKUP('ELC_Gen-sdj'!$B43,'ELC_Gen-sdj'!$AA$4:$AD$19,4,FALSE))</f>
        <v>0.36862074914999637</v>
      </c>
    </row>
    <row r="44" spans="2:34">
      <c r="B44" s="32" t="str">
        <f>B31</f>
        <v>EN_OilCCAdv</v>
      </c>
      <c r="C44" s="33">
        <v>0.3</v>
      </c>
      <c r="D44" s="34">
        <v>0.3</v>
      </c>
      <c r="E44" s="34">
        <v>0.3</v>
      </c>
      <c r="F44" s="34">
        <v>0.3</v>
      </c>
      <c r="G44" s="34">
        <v>0.3</v>
      </c>
      <c r="H44" s="34">
        <v>0.3</v>
      </c>
      <c r="I44" s="34">
        <v>0.3</v>
      </c>
      <c r="J44" s="34">
        <v>0.3</v>
      </c>
      <c r="K44" s="34">
        <v>0.3</v>
      </c>
      <c r="L44" s="34">
        <v>0.3</v>
      </c>
      <c r="M44" s="34">
        <v>0.3</v>
      </c>
      <c r="N44" s="34">
        <v>0.3</v>
      </c>
      <c r="O44" s="34">
        <v>0.3</v>
      </c>
      <c r="P44" s="34">
        <v>0.3</v>
      </c>
      <c r="Q44" s="34">
        <v>0.3</v>
      </c>
      <c r="R44" s="34">
        <v>0.3</v>
      </c>
      <c r="S44" s="34">
        <v>0.3</v>
      </c>
      <c r="T44" s="34">
        <v>0.3</v>
      </c>
      <c r="U44" s="34">
        <v>0.3</v>
      </c>
      <c r="V44" s="34">
        <v>0.3</v>
      </c>
      <c r="W44" s="34">
        <v>0.3</v>
      </c>
      <c r="X44" s="34">
        <v>0.3</v>
      </c>
      <c r="Y44" s="34">
        <v>0.3</v>
      </c>
      <c r="Z44" s="34">
        <v>0.3</v>
      </c>
      <c r="AA44" s="34">
        <v>0.3</v>
      </c>
      <c r="AB44" s="34">
        <v>0.3</v>
      </c>
      <c r="AC44" s="34">
        <v>0.3</v>
      </c>
      <c r="AD44" s="34">
        <v>0.3</v>
      </c>
      <c r="AE44" s="34">
        <v>0.3</v>
      </c>
      <c r="AF44" s="34">
        <v>0.3</v>
      </c>
      <c r="AG44" s="34">
        <v>0.3</v>
      </c>
      <c r="AH44" s="34">
        <v>0.3</v>
      </c>
    </row>
    <row r="45" spans="2:34"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H44"/>
  <sheetViews>
    <sheetView workbookViewId="0">
      <selection activeCell="E12" sqref="E12"/>
    </sheetView>
  </sheetViews>
  <sheetFormatPr defaultColWidth="9.109375" defaultRowHeight="14.4"/>
  <cols>
    <col min="1" max="1" width="6.44140625" style="36" bestFit="1" customWidth="1"/>
    <col min="2" max="2" width="14.44140625" style="36" bestFit="1" customWidth="1"/>
    <col min="3" max="3" width="9.44140625" style="36" bestFit="1" customWidth="1"/>
    <col min="4" max="4" width="11" style="36" customWidth="1"/>
    <col min="5" max="5" width="7" style="36" bestFit="1" customWidth="1"/>
    <col min="6" max="6" width="8" style="36" bestFit="1" customWidth="1"/>
    <col min="7" max="7" width="8.88671875" style="36" bestFit="1" customWidth="1"/>
    <col min="8" max="8" width="6.88671875" style="36" bestFit="1" customWidth="1"/>
    <col min="9" max="9" width="5.44140625" style="36" bestFit="1" customWidth="1"/>
    <col min="10" max="13" width="5" style="36" bestFit="1" customWidth="1"/>
    <col min="14" max="14" width="5.44140625" style="36" bestFit="1" customWidth="1"/>
    <col min="15" max="15" width="5" style="36" bestFit="1" customWidth="1"/>
    <col min="16" max="16" width="8.44140625" style="36" bestFit="1" customWidth="1"/>
    <col min="17" max="17" width="15.44140625" style="36" bestFit="1" customWidth="1"/>
    <col min="18" max="18" width="29.44140625" style="36" bestFit="1" customWidth="1"/>
    <col min="19" max="19" width="10.33203125" style="36" bestFit="1" customWidth="1"/>
    <col min="20" max="20" width="7.88671875" style="36" bestFit="1" customWidth="1"/>
    <col min="21" max="26" width="5" style="36" bestFit="1" customWidth="1"/>
    <col min="27" max="27" width="14.44140625" style="36" bestFit="1" customWidth="1"/>
    <col min="28" max="28" width="17.6640625" style="36" bestFit="1" customWidth="1"/>
    <col min="29" max="29" width="5" style="36" bestFit="1" customWidth="1"/>
    <col min="30" max="30" width="5.44140625" style="36" bestFit="1" customWidth="1"/>
    <col min="31" max="34" width="5" style="36" bestFit="1" customWidth="1"/>
    <col min="35" max="16384" width="9.109375" style="36"/>
  </cols>
  <sheetData>
    <row r="2" spans="2:30">
      <c r="D2" s="27" t="s">
        <v>89</v>
      </c>
      <c r="E2" s="27"/>
      <c r="F2" s="27"/>
      <c r="G2" s="27"/>
      <c r="P2" s="13" t="s">
        <v>4</v>
      </c>
      <c r="Q2" s="13"/>
      <c r="R2" s="13"/>
      <c r="S2" s="13"/>
      <c r="T2" s="13"/>
      <c r="U2" s="13"/>
      <c r="V2" s="13"/>
    </row>
    <row r="3" spans="2:30">
      <c r="B3" s="36" t="s">
        <v>0</v>
      </c>
      <c r="C3" s="27" t="s">
        <v>1</v>
      </c>
      <c r="D3" s="27" t="s">
        <v>2</v>
      </c>
      <c r="E3" s="36">
        <v>2010</v>
      </c>
      <c r="F3" s="36">
        <v>2050</v>
      </c>
      <c r="G3" s="36" t="s">
        <v>78</v>
      </c>
      <c r="H3" s="36" t="s">
        <v>23</v>
      </c>
      <c r="I3" s="36" t="s">
        <v>18</v>
      </c>
      <c r="J3" s="36" t="s">
        <v>19</v>
      </c>
      <c r="K3" s="36" t="s">
        <v>17</v>
      </c>
      <c r="L3" s="36" t="s">
        <v>22</v>
      </c>
      <c r="P3" s="13" t="s">
        <v>5</v>
      </c>
      <c r="Q3" s="13" t="s">
        <v>0</v>
      </c>
      <c r="R3" s="13" t="s">
        <v>6</v>
      </c>
      <c r="S3" s="13" t="s">
        <v>7</v>
      </c>
      <c r="T3" s="13" t="s">
        <v>8</v>
      </c>
      <c r="U3" s="13" t="s">
        <v>9</v>
      </c>
      <c r="V3" s="13" t="s">
        <v>10</v>
      </c>
      <c r="W3" s="13" t="s">
        <v>11</v>
      </c>
      <c r="AC3" s="36" t="s">
        <v>129</v>
      </c>
      <c r="AD3" s="36" t="s">
        <v>130</v>
      </c>
    </row>
    <row r="4" spans="2:30">
      <c r="B4" s="36" t="s">
        <v>36</v>
      </c>
      <c r="C4" s="36" t="s">
        <v>3</v>
      </c>
      <c r="D4" s="36" t="s">
        <v>35</v>
      </c>
      <c r="E4" s="34">
        <v>0.38772727272727298</v>
      </c>
      <c r="F4" s="34">
        <v>0.39038901601830683</v>
      </c>
      <c r="G4" s="34">
        <v>2882.65777101602</v>
      </c>
      <c r="H4" s="34">
        <v>30.636104583740234</v>
      </c>
      <c r="I4" s="34">
        <f>N4/3.6*1.055</f>
        <v>1.2871267484294042</v>
      </c>
      <c r="J4" s="34">
        <v>0.85</v>
      </c>
      <c r="K4" s="5">
        <v>40</v>
      </c>
      <c r="L4" s="36">
        <v>30</v>
      </c>
      <c r="N4" s="34">
        <v>4.3920912742614746</v>
      </c>
      <c r="P4" s="13" t="s">
        <v>12</v>
      </c>
      <c r="Q4" s="13" t="str">
        <f>B4</f>
        <v>EN_COAPUL</v>
      </c>
      <c r="R4" s="13" t="s">
        <v>24</v>
      </c>
      <c r="S4" s="13" t="s">
        <v>16</v>
      </c>
      <c r="T4" s="13" t="s">
        <v>48</v>
      </c>
      <c r="U4" s="13" t="s">
        <v>14</v>
      </c>
      <c r="V4" s="13"/>
      <c r="W4" s="13" t="s">
        <v>15</v>
      </c>
      <c r="Z4" s="36">
        <v>1</v>
      </c>
      <c r="AA4" s="36" t="s">
        <v>123</v>
      </c>
      <c r="AB4" s="36" t="s">
        <v>118</v>
      </c>
      <c r="AC4" s="36">
        <f>MATCH(AB4,ovrcst!$A$4:$W$4,0)</f>
        <v>21</v>
      </c>
      <c r="AD4" s="36">
        <f>IFERROR(MATCH(AB4,heatrate!$K$4:$T$4,0),1)</f>
        <v>1</v>
      </c>
    </row>
    <row r="5" spans="2:30">
      <c r="B5" s="36" t="s">
        <v>37</v>
      </c>
      <c r="C5" s="36" t="s">
        <v>3</v>
      </c>
      <c r="D5" s="36" t="s">
        <v>35</v>
      </c>
      <c r="E5" s="34">
        <v>0.39218390804597703</v>
      </c>
      <c r="F5" s="34">
        <v>0.45798657718120866</v>
      </c>
      <c r="G5" s="34">
        <v>3718.0479451734268</v>
      </c>
      <c r="H5" s="34">
        <v>50.494167327880859</v>
      </c>
      <c r="I5" s="34">
        <f t="shared" ref="I5:I15" si="0">N5/3.6*1.055</f>
        <v>2.0792046507199604</v>
      </c>
      <c r="J5" s="34">
        <v>0.85</v>
      </c>
      <c r="K5" s="5">
        <v>40</v>
      </c>
      <c r="L5" s="36">
        <v>30</v>
      </c>
      <c r="N5" s="34">
        <v>7.0949163436889648</v>
      </c>
      <c r="P5" s="13"/>
      <c r="Q5" s="13" t="str">
        <f t="shared" ref="Q5:Q16" si="1">B5</f>
        <v>EN_COAIGCC</v>
      </c>
      <c r="R5" s="13" t="s">
        <v>21</v>
      </c>
      <c r="S5" s="13" t="s">
        <v>16</v>
      </c>
      <c r="T5" s="13" t="s">
        <v>48</v>
      </c>
      <c r="U5" s="13" t="s">
        <v>14</v>
      </c>
      <c r="V5" s="13"/>
      <c r="W5" s="13" t="s">
        <v>15</v>
      </c>
      <c r="Z5" s="36">
        <v>2</v>
      </c>
      <c r="AA5" s="36" t="s">
        <v>124</v>
      </c>
      <c r="AB5" s="36" t="s">
        <v>114</v>
      </c>
      <c r="AC5" s="36">
        <f>MATCH(AB5,ovrcst!$A$4:$W$4,0)</f>
        <v>17</v>
      </c>
      <c r="AD5" s="36">
        <f>IFERROR(MATCH(AB5,heatrate!$K$4:$T$4,0),1)</f>
        <v>1</v>
      </c>
    </row>
    <row r="6" spans="2:30">
      <c r="B6" s="36" t="s">
        <v>38</v>
      </c>
      <c r="C6" s="36" t="s">
        <v>3</v>
      </c>
      <c r="D6" s="36" t="s">
        <v>35</v>
      </c>
      <c r="H6" s="34">
        <v>65.308937072753906</v>
      </c>
      <c r="I6" s="34">
        <f t="shared" si="0"/>
        <v>1.2819967614279852</v>
      </c>
      <c r="J6" s="34">
        <v>0.85</v>
      </c>
      <c r="K6" s="5">
        <v>40</v>
      </c>
      <c r="L6" s="36">
        <v>30</v>
      </c>
      <c r="N6" s="34">
        <v>4.3745861053466797</v>
      </c>
      <c r="P6" s="13"/>
      <c r="Q6" s="13" t="str">
        <f t="shared" si="1"/>
        <v>EN_ZCOAIGCC</v>
      </c>
      <c r="R6" s="13" t="s">
        <v>25</v>
      </c>
      <c r="S6" s="13" t="s">
        <v>16</v>
      </c>
      <c r="T6" s="13" t="s">
        <v>48</v>
      </c>
      <c r="U6" s="13" t="s">
        <v>14</v>
      </c>
      <c r="V6" s="13"/>
      <c r="W6" s="13" t="s">
        <v>15</v>
      </c>
      <c r="Z6" s="36">
        <v>3</v>
      </c>
      <c r="AA6" s="36" t="s">
        <v>125</v>
      </c>
      <c r="AB6" s="36" t="s">
        <v>115</v>
      </c>
      <c r="AC6" s="36">
        <f>MATCH(AB6,ovrcst!$A$4:$W$4,0)</f>
        <v>18</v>
      </c>
      <c r="AD6" s="36">
        <f>IFERROR(MATCH(AB6,heatrate!$K$4:$T$4,0),1)</f>
        <v>1</v>
      </c>
    </row>
    <row r="7" spans="2:30">
      <c r="B7" s="36" t="s">
        <v>39</v>
      </c>
      <c r="C7" s="36" t="s">
        <v>34</v>
      </c>
      <c r="D7" s="36" t="s">
        <v>35</v>
      </c>
      <c r="H7" s="34">
        <v>31.23478889465332</v>
      </c>
      <c r="I7" s="34">
        <f t="shared" si="0"/>
        <v>1.9524926722049711</v>
      </c>
      <c r="J7" s="34">
        <v>0.87</v>
      </c>
      <c r="K7" s="5">
        <v>30</v>
      </c>
      <c r="L7" s="36">
        <v>30</v>
      </c>
      <c r="N7" s="34">
        <v>6.662534236907959</v>
      </c>
      <c r="P7" s="13"/>
      <c r="Q7" s="13" t="str">
        <f t="shared" si="1"/>
        <v>EN_ZGasCCAdv</v>
      </c>
      <c r="R7" s="13" t="s">
        <v>26</v>
      </c>
      <c r="S7" s="13" t="s">
        <v>13</v>
      </c>
      <c r="T7" s="13" t="s">
        <v>48</v>
      </c>
      <c r="U7" s="13" t="s">
        <v>14</v>
      </c>
      <c r="V7" s="13"/>
      <c r="W7" s="13" t="s">
        <v>15</v>
      </c>
      <c r="Z7" s="36">
        <v>4</v>
      </c>
      <c r="AA7" s="36" t="s">
        <v>36</v>
      </c>
      <c r="AB7" s="36" t="s">
        <v>99</v>
      </c>
      <c r="AC7" s="36">
        <f>MATCH(AB7,ovrcst!$A$4:$W$4,0)</f>
        <v>2</v>
      </c>
      <c r="AD7" s="36">
        <f>IFERROR(MATCH(AB7,heatrate!$K$4:$T$4,0),1)</f>
        <v>2</v>
      </c>
    </row>
    <row r="8" spans="2:30">
      <c r="B8" s="36" t="s">
        <v>40</v>
      </c>
      <c r="C8" s="36" t="s">
        <v>34</v>
      </c>
      <c r="D8" s="36" t="s">
        <v>35</v>
      </c>
      <c r="H8" s="34">
        <v>15.101861000061035</v>
      </c>
      <c r="I8" s="34">
        <f t="shared" si="0"/>
        <v>0.94136211706532358</v>
      </c>
      <c r="J8" s="34">
        <v>0.87</v>
      </c>
      <c r="K8" s="5">
        <v>30</v>
      </c>
      <c r="L8" s="36">
        <v>30</v>
      </c>
      <c r="N8" s="34">
        <v>3.212230920791626</v>
      </c>
      <c r="P8" s="13"/>
      <c r="Q8" s="13" t="str">
        <f t="shared" si="1"/>
        <v>EN_GasCCAdv</v>
      </c>
      <c r="R8" s="13" t="s">
        <v>27</v>
      </c>
      <c r="S8" s="13" t="s">
        <v>13</v>
      </c>
      <c r="T8" s="13" t="s">
        <v>48</v>
      </c>
      <c r="U8" s="13" t="s">
        <v>14</v>
      </c>
      <c r="V8" s="13"/>
      <c r="W8" s="13" t="s">
        <v>15</v>
      </c>
      <c r="Z8" s="36">
        <v>5</v>
      </c>
      <c r="AA8" s="36" t="s">
        <v>37</v>
      </c>
      <c r="AB8" s="36" t="s">
        <v>99</v>
      </c>
      <c r="AC8" s="36">
        <f>MATCH(AB8,ovrcst!$A$4:$W$4,0)</f>
        <v>2</v>
      </c>
      <c r="AD8" s="36">
        <f>IFERROR(MATCH(AB8,heatrate!$K$4:$T$4,0),1)</f>
        <v>2</v>
      </c>
    </row>
    <row r="9" spans="2:30">
      <c r="B9" s="36" t="s">
        <v>41</v>
      </c>
      <c r="C9" s="36" t="s">
        <v>34</v>
      </c>
      <c r="D9" s="36" t="s">
        <v>35</v>
      </c>
      <c r="H9" s="34">
        <v>12.93995189666748</v>
      </c>
      <c r="I9" s="34">
        <f t="shared" si="0"/>
        <v>1.0367807696262994</v>
      </c>
      <c r="J9" s="34">
        <v>0.87</v>
      </c>
      <c r="K9" s="5">
        <v>30</v>
      </c>
      <c r="L9" s="36">
        <v>30</v>
      </c>
      <c r="N9" s="34">
        <v>3.537830114364624</v>
      </c>
      <c r="P9" s="13"/>
      <c r="Q9" s="13" t="str">
        <f t="shared" si="1"/>
        <v>EN_GasCC</v>
      </c>
      <c r="R9" s="13" t="s">
        <v>28</v>
      </c>
      <c r="S9" s="13" t="s">
        <v>13</v>
      </c>
      <c r="T9" s="13" t="s">
        <v>48</v>
      </c>
      <c r="U9" s="13" t="s">
        <v>14</v>
      </c>
      <c r="V9" s="13"/>
      <c r="W9" s="13" t="s">
        <v>15</v>
      </c>
      <c r="Z9" s="36">
        <v>6</v>
      </c>
      <c r="AA9" s="36" t="s">
        <v>38</v>
      </c>
      <c r="AB9" s="36" t="s">
        <v>100</v>
      </c>
      <c r="AC9" s="36">
        <f>MATCH(AB9,ovrcst!$A$4:$W$4,0)</f>
        <v>3</v>
      </c>
      <c r="AD9" s="36">
        <f>IFERROR(MATCH(AB9,heatrate!$K$4:$T$4,0),1)</f>
        <v>3</v>
      </c>
    </row>
    <row r="10" spans="2:30">
      <c r="B10" s="36" t="s">
        <v>42</v>
      </c>
      <c r="C10" s="36" t="s">
        <v>34</v>
      </c>
      <c r="D10" s="36" t="s">
        <v>35</v>
      </c>
      <c r="H10" s="34">
        <v>6.9163618087768555</v>
      </c>
      <c r="I10" s="34">
        <f t="shared" si="0"/>
        <v>2.986195463604397</v>
      </c>
      <c r="J10" s="34">
        <v>0.06</v>
      </c>
      <c r="K10" s="5">
        <v>30</v>
      </c>
      <c r="L10" s="36">
        <v>30</v>
      </c>
      <c r="N10" s="34">
        <v>10.189861297607422</v>
      </c>
      <c r="P10" s="13"/>
      <c r="Q10" s="13" t="str">
        <f t="shared" si="1"/>
        <v>EN_GasCTAdv</v>
      </c>
      <c r="R10" s="13" t="s">
        <v>29</v>
      </c>
      <c r="S10" s="13" t="s">
        <v>13</v>
      </c>
      <c r="T10" s="13" t="s">
        <v>48</v>
      </c>
      <c r="U10" s="13" t="s">
        <v>14</v>
      </c>
      <c r="V10" s="13"/>
      <c r="W10" s="13" t="s">
        <v>15</v>
      </c>
      <c r="Z10" s="36">
        <v>7</v>
      </c>
      <c r="AA10" s="36" t="s">
        <v>39</v>
      </c>
      <c r="AB10" s="36" t="s">
        <v>106</v>
      </c>
      <c r="AC10" s="36">
        <f>MATCH(AB10,ovrcst!$A$4:$W$4,0)</f>
        <v>9</v>
      </c>
      <c r="AD10" s="36">
        <f>IFERROR(MATCH(AB10,heatrate!$K$4:$T$4,0),1)</f>
        <v>9</v>
      </c>
    </row>
    <row r="11" spans="2:30">
      <c r="B11" s="36" t="s">
        <v>43</v>
      </c>
      <c r="C11" s="36" t="s">
        <v>34</v>
      </c>
      <c r="D11" s="36" t="s">
        <v>35</v>
      </c>
      <c r="H11" s="34">
        <v>7.2122020721435547</v>
      </c>
      <c r="I11" s="34">
        <f t="shared" si="0"/>
        <v>4.4487695561514951</v>
      </c>
      <c r="J11" s="34">
        <v>0.06</v>
      </c>
      <c r="K11" s="5">
        <v>30</v>
      </c>
      <c r="L11" s="36">
        <v>30</v>
      </c>
      <c r="N11" s="34">
        <v>15.180635452270508</v>
      </c>
      <c r="P11" s="13"/>
      <c r="Q11" s="13" t="str">
        <f t="shared" si="1"/>
        <v>EN_GasCT</v>
      </c>
      <c r="R11" s="13" t="s">
        <v>30</v>
      </c>
      <c r="S11" s="13" t="s">
        <v>13</v>
      </c>
      <c r="T11" s="13" t="s">
        <v>48</v>
      </c>
      <c r="U11" s="13" t="s">
        <v>14</v>
      </c>
      <c r="V11" s="13"/>
      <c r="W11" s="13" t="s">
        <v>15</v>
      </c>
      <c r="Z11" s="36">
        <v>8</v>
      </c>
      <c r="AA11" s="36" t="s">
        <v>40</v>
      </c>
      <c r="AB11" s="36" t="s">
        <v>105</v>
      </c>
      <c r="AC11" s="36">
        <f>MATCH(AB11,ovrcst!$A$4:$W$4,0)</f>
        <v>8</v>
      </c>
      <c r="AD11" s="36">
        <f>IFERROR(MATCH(AB11,heatrate!$K$4:$T$4,0),1)</f>
        <v>8</v>
      </c>
    </row>
    <row r="12" spans="2:30">
      <c r="B12" s="36" t="s">
        <v>44</v>
      </c>
      <c r="C12" s="36" t="s">
        <v>47</v>
      </c>
      <c r="D12" s="36" t="s">
        <v>35</v>
      </c>
      <c r="E12" s="34">
        <v>0.25274074074074077</v>
      </c>
      <c r="F12" s="34">
        <v>0.27801481481481488</v>
      </c>
      <c r="H12" s="34">
        <v>103.78744506835938</v>
      </c>
      <c r="I12" s="34">
        <f t="shared" si="0"/>
        <v>1.5143873665067882</v>
      </c>
      <c r="J12" s="34">
        <v>0.83</v>
      </c>
      <c r="K12" s="5">
        <v>30</v>
      </c>
      <c r="L12" s="36">
        <v>30</v>
      </c>
      <c r="N12" s="34">
        <v>5.1675777435302734</v>
      </c>
      <c r="P12" s="13"/>
      <c r="Q12" s="13" t="str">
        <f t="shared" si="1"/>
        <v>EN_Biomass</v>
      </c>
      <c r="R12" s="13" t="s">
        <v>31</v>
      </c>
      <c r="S12" s="13" t="s">
        <v>16</v>
      </c>
      <c r="T12" s="13" t="s">
        <v>48</v>
      </c>
      <c r="U12" s="13" t="s">
        <v>14</v>
      </c>
      <c r="V12" s="13"/>
      <c r="W12" s="13" t="s">
        <v>15</v>
      </c>
      <c r="Z12" s="36">
        <v>9</v>
      </c>
      <c r="AA12" s="36" t="s">
        <v>41</v>
      </c>
      <c r="AB12" s="36" t="s">
        <v>104</v>
      </c>
      <c r="AC12" s="36">
        <f>MATCH(AB12,ovrcst!$A$4:$W$4,0)</f>
        <v>7</v>
      </c>
      <c r="AD12" s="36">
        <f>IFERROR(MATCH(AB12,heatrate!$K$4:$T$4,0),1)</f>
        <v>7</v>
      </c>
    </row>
    <row r="13" spans="2:30">
      <c r="B13" s="36" t="s">
        <v>45</v>
      </c>
      <c r="C13" s="36" t="s">
        <v>47</v>
      </c>
      <c r="D13" s="36" t="s">
        <v>35</v>
      </c>
      <c r="H13" s="34">
        <v>103.78744506835938</v>
      </c>
      <c r="I13" s="34">
        <f t="shared" si="0"/>
        <v>1.5143873665067882</v>
      </c>
      <c r="J13" s="34">
        <v>0.83</v>
      </c>
      <c r="K13" s="5">
        <v>30</v>
      </c>
      <c r="L13" s="36">
        <v>30</v>
      </c>
      <c r="N13" s="34">
        <v>5.1675777435302734</v>
      </c>
      <c r="P13" s="13"/>
      <c r="Q13" s="13" t="str">
        <f t="shared" si="1"/>
        <v>EN_ZBiomass</v>
      </c>
      <c r="R13" s="13" t="s">
        <v>32</v>
      </c>
      <c r="S13" s="13" t="s">
        <v>16</v>
      </c>
      <c r="T13" s="13" t="s">
        <v>48</v>
      </c>
      <c r="U13" s="13" t="s">
        <v>14</v>
      </c>
      <c r="V13" s="13"/>
      <c r="W13" s="13" t="s">
        <v>15</v>
      </c>
      <c r="Z13" s="36">
        <v>10</v>
      </c>
      <c r="AA13" s="36" t="s">
        <v>42</v>
      </c>
      <c r="AB13" s="36" t="s">
        <v>103</v>
      </c>
      <c r="AC13" s="36">
        <f>MATCH(AB13,ovrcst!$A$4:$W$4,0)</f>
        <v>6</v>
      </c>
      <c r="AD13" s="36">
        <f>IFERROR(MATCH(AB13,heatrate!$K$4:$T$4,0),1)</f>
        <v>6</v>
      </c>
    </row>
    <row r="14" spans="2:30">
      <c r="B14" s="36" t="s">
        <v>46</v>
      </c>
      <c r="C14" s="36" t="s">
        <v>20</v>
      </c>
      <c r="D14" s="36" t="s">
        <v>35</v>
      </c>
      <c r="H14" s="34">
        <v>15.101861000061035</v>
      </c>
      <c r="I14" s="34">
        <f t="shared" si="0"/>
        <v>0.94136211706532358</v>
      </c>
      <c r="J14" s="34">
        <v>0.3</v>
      </c>
      <c r="K14" s="5">
        <v>30</v>
      </c>
      <c r="L14" s="36">
        <v>30</v>
      </c>
      <c r="N14" s="34">
        <v>3.212230920791626</v>
      </c>
      <c r="P14" s="13"/>
      <c r="Q14" s="13" t="str">
        <f t="shared" si="1"/>
        <v>EN_OilCCAdv</v>
      </c>
      <c r="R14" s="13" t="s">
        <v>33</v>
      </c>
      <c r="S14" s="13" t="s">
        <v>13</v>
      </c>
      <c r="T14" s="13" t="s">
        <v>48</v>
      </c>
      <c r="U14" s="13" t="s">
        <v>14</v>
      </c>
      <c r="V14" s="13"/>
      <c r="W14" s="13" t="s">
        <v>15</v>
      </c>
      <c r="Z14" s="36">
        <v>11</v>
      </c>
      <c r="AA14" s="36" t="s">
        <v>43</v>
      </c>
      <c r="AB14" s="36" t="s">
        <v>102</v>
      </c>
      <c r="AC14" s="36">
        <f>MATCH(AB14,ovrcst!$A$4:$W$4,0)</f>
        <v>5</v>
      </c>
      <c r="AD14" s="36">
        <f>IFERROR(MATCH(AB14,heatrate!$K$4:$T$4,0),1)</f>
        <v>5</v>
      </c>
    </row>
    <row r="15" spans="2:30">
      <c r="B15" s="29" t="s">
        <v>50</v>
      </c>
      <c r="C15" s="36" t="s">
        <v>51</v>
      </c>
      <c r="D15" s="36" t="s">
        <v>35</v>
      </c>
      <c r="E15" s="36">
        <v>0.33</v>
      </c>
      <c r="H15" s="34">
        <f>H13</f>
        <v>103.78744506835938</v>
      </c>
      <c r="I15" s="34">
        <f t="shared" si="0"/>
        <v>1.5143873665067882</v>
      </c>
      <c r="J15" s="34">
        <f>J6</f>
        <v>0.85</v>
      </c>
      <c r="K15" s="5">
        <v>50</v>
      </c>
      <c r="L15" s="36">
        <v>30</v>
      </c>
      <c r="N15" s="34">
        <f>N13</f>
        <v>5.1675777435302734</v>
      </c>
      <c r="Q15" s="13" t="str">
        <f t="shared" si="1"/>
        <v>EN_NuclearAdv</v>
      </c>
      <c r="R15" s="29" t="s">
        <v>49</v>
      </c>
      <c r="S15" s="13" t="s">
        <v>16</v>
      </c>
      <c r="T15" s="13" t="s">
        <v>48</v>
      </c>
      <c r="U15" s="13" t="s">
        <v>14</v>
      </c>
      <c r="V15" s="13"/>
      <c r="W15" s="13" t="s">
        <v>15</v>
      </c>
      <c r="Z15" s="36">
        <v>12</v>
      </c>
      <c r="AA15" s="36" t="s">
        <v>44</v>
      </c>
      <c r="AB15" s="36" t="s">
        <v>109</v>
      </c>
      <c r="AC15" s="36">
        <f>MATCH(AB15,ovrcst!$A$4:$W$4,0)</f>
        <v>12</v>
      </c>
      <c r="AD15" s="36">
        <f>IFERROR(MATCH(AB15,heatrate!$K$4:$T$4,0),1)</f>
        <v>1</v>
      </c>
    </row>
    <row r="16" spans="2:30">
      <c r="B16" s="36" t="s">
        <v>90</v>
      </c>
      <c r="C16" s="36" t="s">
        <v>91</v>
      </c>
      <c r="D16" s="36" t="s">
        <v>35</v>
      </c>
      <c r="E16" s="36">
        <v>0.33</v>
      </c>
      <c r="G16" s="44">
        <v>9999</v>
      </c>
      <c r="H16" s="44">
        <v>500</v>
      </c>
      <c r="I16" s="44">
        <v>10</v>
      </c>
      <c r="J16" s="36">
        <v>0.85</v>
      </c>
      <c r="K16" s="36">
        <v>50</v>
      </c>
      <c r="L16" s="36">
        <v>30</v>
      </c>
      <c r="Q16" s="13" t="str">
        <f t="shared" si="1"/>
        <v>EN_GeoThermal</v>
      </c>
      <c r="R16" s="13" t="s">
        <v>92</v>
      </c>
      <c r="S16" s="13" t="s">
        <v>16</v>
      </c>
      <c r="T16" s="13" t="s">
        <v>48</v>
      </c>
      <c r="U16" s="13" t="s">
        <v>14</v>
      </c>
      <c r="V16" s="13"/>
      <c r="Z16" s="36">
        <v>13</v>
      </c>
      <c r="AA16" s="36" t="s">
        <v>45</v>
      </c>
      <c r="AB16" s="36" t="s">
        <v>100</v>
      </c>
      <c r="AC16" s="36">
        <f>MATCH(AB16,ovrcst!$A$4:$W$4,0)</f>
        <v>3</v>
      </c>
      <c r="AD16" s="36">
        <f>IFERROR(MATCH(AB16,heatrate!$K$4:$T$4,0),1)</f>
        <v>3</v>
      </c>
    </row>
    <row r="17" spans="2:34">
      <c r="Z17" s="36">
        <v>14</v>
      </c>
      <c r="AA17" s="36" t="s">
        <v>46</v>
      </c>
      <c r="AB17" s="36" t="s">
        <v>103</v>
      </c>
      <c r="AC17" s="36">
        <f>MATCH(AB17,ovrcst!$A$4:$W$4,0)</f>
        <v>6</v>
      </c>
      <c r="AD17" s="36">
        <f>IFERROR(MATCH(AB17,heatrate!$K$4:$T$4,0),1)</f>
        <v>6</v>
      </c>
    </row>
    <row r="18" spans="2:34">
      <c r="Z18" s="36">
        <v>15</v>
      </c>
      <c r="AA18" s="36" t="s">
        <v>126</v>
      </c>
      <c r="AB18" s="36" t="s">
        <v>112</v>
      </c>
      <c r="AC18" s="36">
        <f>MATCH(AB18,ovrcst!$A$4:$W$4,0)</f>
        <v>15</v>
      </c>
      <c r="AD18" s="36">
        <f>IFERROR(MATCH(AB18,heatrate!$K$4:$T$4,0),1)</f>
        <v>1</v>
      </c>
    </row>
    <row r="19" spans="2:34">
      <c r="Z19" s="36">
        <v>16</v>
      </c>
      <c r="AA19" s="29" t="s">
        <v>50</v>
      </c>
      <c r="AB19" s="36" t="s">
        <v>108</v>
      </c>
      <c r="AC19" s="36">
        <f>MATCH(AB19,ovrcst!$A$4:$W$4,0)</f>
        <v>11</v>
      </c>
      <c r="AD19" s="36">
        <f>IFERROR(MATCH(AB19,heatrate!$K$4:$T$4,0),1)</f>
        <v>1</v>
      </c>
    </row>
    <row r="20" spans="2:34">
      <c r="AA20" s="29"/>
    </row>
    <row r="21" spans="2:34">
      <c r="B21" s="36" t="s">
        <v>127</v>
      </c>
    </row>
    <row r="22" spans="2:34">
      <c r="B22" s="36" t="s">
        <v>0</v>
      </c>
      <c r="C22" s="36">
        <v>2019</v>
      </c>
      <c r="D22" s="36">
        <v>2020</v>
      </c>
      <c r="E22" s="36">
        <v>2021</v>
      </c>
      <c r="F22" s="36">
        <v>2022</v>
      </c>
      <c r="G22" s="36">
        <v>2023</v>
      </c>
      <c r="H22" s="36">
        <v>2024</v>
      </c>
      <c r="I22" s="36">
        <v>2025</v>
      </c>
      <c r="J22" s="36">
        <v>2026</v>
      </c>
      <c r="K22" s="36">
        <v>2027</v>
      </c>
      <c r="L22" s="36">
        <v>2028</v>
      </c>
      <c r="M22" s="36">
        <v>2029</v>
      </c>
      <c r="N22" s="36">
        <v>2030</v>
      </c>
      <c r="O22" s="36">
        <v>2031</v>
      </c>
      <c r="P22" s="36">
        <v>2032</v>
      </c>
      <c r="Q22" s="36">
        <v>2033</v>
      </c>
      <c r="R22" s="36">
        <v>2034</v>
      </c>
      <c r="S22" s="36">
        <v>2035</v>
      </c>
      <c r="T22" s="36">
        <v>2036</v>
      </c>
      <c r="U22" s="36">
        <v>2037</v>
      </c>
      <c r="V22" s="36">
        <v>2038</v>
      </c>
      <c r="W22" s="36">
        <v>2039</v>
      </c>
      <c r="X22" s="36">
        <v>2040</v>
      </c>
      <c r="Y22" s="36">
        <v>2041</v>
      </c>
      <c r="Z22" s="36">
        <v>2042</v>
      </c>
      <c r="AA22" s="36">
        <v>2043</v>
      </c>
      <c r="AB22" s="36">
        <v>2044</v>
      </c>
      <c r="AC22" s="36">
        <v>2045</v>
      </c>
      <c r="AD22" s="36">
        <v>2046</v>
      </c>
      <c r="AE22" s="36">
        <v>2047</v>
      </c>
      <c r="AF22" s="36">
        <v>2048</v>
      </c>
      <c r="AG22" s="36">
        <v>2049</v>
      </c>
      <c r="AH22" s="36">
        <v>2050</v>
      </c>
    </row>
    <row r="23" spans="2:34">
      <c r="B23" s="36" t="str">
        <f t="shared" ref="B23:B32" si="2">B6</f>
        <v>EN_ZCOAIGCC</v>
      </c>
      <c r="C23" s="5">
        <f>VLOOKUP(C$22,ovrcst!$A$5:$W$36,VLOOKUP('ELC_Gen-sdj'!$B23,'ELC_Gen-sdj'!$AA$4:$AC$19,3,FALSE))</f>
        <v>5715.7879928716911</v>
      </c>
      <c r="D23" s="5">
        <f>VLOOKUP(D$22,ovrcst!$A$5:$W$36,VLOOKUP('ELC_Gen-sdj'!$B23,'ELC_Gen-sdj'!$AA$4:$AC$19,3,FALSE))</f>
        <v>5651.6864103869648</v>
      </c>
      <c r="E23" s="5">
        <f>VLOOKUP(E$22,ovrcst!$A$5:$W$36,VLOOKUP('ELC_Gen-sdj'!$B23,'ELC_Gen-sdj'!$AA$4:$AC$19,3,FALSE))</f>
        <v>5513.4993360488797</v>
      </c>
      <c r="F23" s="5">
        <f>VLOOKUP(F$22,ovrcst!$A$5:$W$36,VLOOKUP('ELC_Gen-sdj'!$B23,'ELC_Gen-sdj'!$AA$4:$AC$19,3,FALSE))</f>
        <v>5427.627470468432</v>
      </c>
      <c r="G23" s="5">
        <f>VLOOKUP(G$22,ovrcst!$A$5:$W$36,VLOOKUP('ELC_Gen-sdj'!$B23,'ELC_Gen-sdj'!$AA$4:$AC$19,3,FALSE))</f>
        <v>5366.8807077393076</v>
      </c>
      <c r="H23" s="5">
        <f>VLOOKUP(H$22,ovrcst!$A$5:$W$36,VLOOKUP('ELC_Gen-sdj'!$B23,'ELC_Gen-sdj'!$AA$4:$AC$19,3,FALSE))</f>
        <v>5317.9441863543789</v>
      </c>
      <c r="I23" s="5">
        <f>VLOOKUP(I$22,ovrcst!$A$5:$W$36,VLOOKUP('ELC_Gen-sdj'!$B23,'ELC_Gen-sdj'!$AA$4:$AC$19,3,FALSE))</f>
        <v>5278.0965580448074</v>
      </c>
      <c r="J23" s="5">
        <f>VLOOKUP(J$22,ovrcst!$A$5:$W$36,VLOOKUP('ELC_Gen-sdj'!$B23,'ELC_Gen-sdj'!$AA$4:$AC$19,3,FALSE))</f>
        <v>5225.5754959266806</v>
      </c>
      <c r="K23" s="5">
        <f>VLOOKUP(K$22,ovrcst!$A$5:$W$36,VLOOKUP('ELC_Gen-sdj'!$B23,'ELC_Gen-sdj'!$AA$4:$AC$19,3,FALSE))</f>
        <v>5162.7493116089618</v>
      </c>
      <c r="L23" s="5">
        <f>VLOOKUP(L$22,ovrcst!$A$5:$W$36,VLOOKUP('ELC_Gen-sdj'!$B23,'ELC_Gen-sdj'!$AA$4:$AC$19,3,FALSE))</f>
        <v>5092.6073625254576</v>
      </c>
      <c r="M23" s="5">
        <f>VLOOKUP(M$22,ovrcst!$A$5:$W$36,VLOOKUP('ELC_Gen-sdj'!$B23,'ELC_Gen-sdj'!$AA$4:$AC$19,3,FALSE))</f>
        <v>5020.642065173116</v>
      </c>
      <c r="N23" s="5">
        <f>VLOOKUP(N$22,ovrcst!$A$5:$W$36,VLOOKUP('ELC_Gen-sdj'!$B23,'ELC_Gen-sdj'!$AA$4:$AC$19,3,FALSE))</f>
        <v>4957.238097759674</v>
      </c>
      <c r="O23" s="5">
        <f>VLOOKUP(O$22,ovrcst!$A$5:$W$36,VLOOKUP('ELC_Gen-sdj'!$B23,'ELC_Gen-sdj'!$AA$4:$AC$19,3,FALSE))</f>
        <v>4894.1573319755598</v>
      </c>
      <c r="P23" s="5">
        <f>VLOOKUP(P$22,ovrcst!$A$5:$W$36,VLOOKUP('ELC_Gen-sdj'!$B23,'ELC_Gen-sdj'!$AA$4:$AC$19,3,FALSE))</f>
        <v>4831.2734694501023</v>
      </c>
      <c r="Q23" s="5">
        <f>VLOOKUP(Q$22,ovrcst!$A$5:$W$36,VLOOKUP('ELC_Gen-sdj'!$B23,'ELC_Gen-sdj'!$AA$4:$AC$19,3,FALSE))</f>
        <v>4771.2183564154784</v>
      </c>
      <c r="R23" s="5">
        <f>VLOOKUP(R$22,ovrcst!$A$5:$W$36,VLOOKUP('ELC_Gen-sdj'!$B23,'ELC_Gen-sdj'!$AA$4:$AC$19,3,FALSE))</f>
        <v>4711.9339521384927</v>
      </c>
      <c r="S23" s="5">
        <f>VLOOKUP(S$22,ovrcst!$A$5:$W$36,VLOOKUP('ELC_Gen-sdj'!$B23,'ELC_Gen-sdj'!$AA$4:$AC$19,3,FALSE))</f>
        <v>4649.7412403258659</v>
      </c>
      <c r="T23" s="5">
        <f>VLOOKUP(T$22,ovrcst!$A$5:$W$36,VLOOKUP('ELC_Gen-sdj'!$B23,'ELC_Gen-sdj'!$AA$4:$AC$19,3,FALSE))</f>
        <v>4590.5418625254579</v>
      </c>
      <c r="U23" s="5">
        <f>VLOOKUP(U$22,ovrcst!$A$5:$W$36,VLOOKUP('ELC_Gen-sdj'!$B23,'ELC_Gen-sdj'!$AA$4:$AC$19,3,FALSE))</f>
        <v>4532.315069246436</v>
      </c>
      <c r="V23" s="5">
        <f>VLOOKUP(V$22,ovrcst!$A$5:$W$36,VLOOKUP('ELC_Gen-sdj'!$B23,'ELC_Gen-sdj'!$AA$4:$AC$19,3,FALSE))</f>
        <v>4476.1254338085537</v>
      </c>
      <c r="W23" s="5">
        <f>VLOOKUP(W$22,ovrcst!$A$5:$W$36,VLOOKUP('ELC_Gen-sdj'!$B23,'ELC_Gen-sdj'!$AA$4:$AC$19,3,FALSE))</f>
        <v>4419.474366598778</v>
      </c>
      <c r="X23" s="5">
        <f>VLOOKUP(X$22,ovrcst!$A$5:$W$36,VLOOKUP('ELC_Gen-sdj'!$B23,'ELC_Gen-sdj'!$AA$4:$AC$19,3,FALSE))</f>
        <v>4364.7306792260697</v>
      </c>
      <c r="Y23" s="5">
        <f>VLOOKUP(Y$22,ovrcst!$A$5:$W$36,VLOOKUP('ELC_Gen-sdj'!$B23,'ELC_Gen-sdj'!$AA$4:$AC$19,3,FALSE))</f>
        <v>4311.2981914460288</v>
      </c>
      <c r="Z23" s="5">
        <f>VLOOKUP(Z$22,ovrcst!$A$5:$W$36,VLOOKUP('ELC_Gen-sdj'!$B23,'ELC_Gen-sdj'!$AA$4:$AC$19,3,FALSE))</f>
        <v>4254.7545264765786</v>
      </c>
      <c r="AA23" s="5">
        <f>VLOOKUP(AA$22,ovrcst!$A$5:$W$36,VLOOKUP('ELC_Gen-sdj'!$B23,'ELC_Gen-sdj'!$AA$4:$AC$19,3,FALSE))</f>
        <v>4204.7201181262726</v>
      </c>
      <c r="AB23" s="5">
        <f>VLOOKUP(AB$22,ovrcst!$A$5:$W$36,VLOOKUP('ELC_Gen-sdj'!$B23,'ELC_Gen-sdj'!$AA$4:$AC$19,3,FALSE))</f>
        <v>4149.4130682281057</v>
      </c>
      <c r="AC23" s="5">
        <f>VLOOKUP(AC$22,ovrcst!$A$5:$W$36,VLOOKUP('ELC_Gen-sdj'!$B23,'ELC_Gen-sdj'!$AA$4:$AC$19,3,FALSE))</f>
        <v>4099.6024134419549</v>
      </c>
      <c r="AD23" s="5">
        <f>VLOOKUP(AD$22,ovrcst!$A$5:$W$36,VLOOKUP('ELC_Gen-sdj'!$B23,'ELC_Gen-sdj'!$AA$4:$AC$19,3,FALSE))</f>
        <v>4045.5374470468432</v>
      </c>
      <c r="AE23" s="5">
        <f>VLOOKUP(AE$22,ovrcst!$A$5:$W$36,VLOOKUP('ELC_Gen-sdj'!$B23,'ELC_Gen-sdj'!$AA$4:$AC$19,3,FALSE))</f>
        <v>3995.2867433808556</v>
      </c>
      <c r="AF23" s="5">
        <f>VLOOKUP(AF$22,ovrcst!$A$5:$W$36,VLOOKUP('ELC_Gen-sdj'!$B23,'ELC_Gen-sdj'!$AA$4:$AC$19,3,FALSE))</f>
        <v>3945.0531934826881</v>
      </c>
      <c r="AG23" s="5">
        <f>VLOOKUP(AG$22,ovrcst!$A$5:$W$36,VLOOKUP('ELC_Gen-sdj'!$B23,'ELC_Gen-sdj'!$AA$4:$AC$19,3,FALSE))</f>
        <v>3894.9128747454174</v>
      </c>
      <c r="AH23" s="5">
        <f>VLOOKUP(AH$22,ovrcst!$A$5:$W$36,VLOOKUP('ELC_Gen-sdj'!$B23,'ELC_Gen-sdj'!$AA$4:$AC$19,3,FALSE))</f>
        <v>3845.2213075356417</v>
      </c>
    </row>
    <row r="24" spans="2:34">
      <c r="B24" s="36" t="str">
        <f t="shared" si="2"/>
        <v>EN_ZGasCCAdv</v>
      </c>
      <c r="C24" s="5">
        <f>VLOOKUP(C$22,ovrcst!$A$5:$W$36,VLOOKUP('ELC_Gen-sdj'!$B24,'ELC_Gen-sdj'!$AA$4:$AC$19,3,FALSE))</f>
        <v>2204.7527264537057</v>
      </c>
      <c r="D24" s="5">
        <f>VLOOKUP(D$22,ovrcst!$A$5:$W$36,VLOOKUP('ELC_Gen-sdj'!$B24,'ELC_Gen-sdj'!$AA$4:$AC$19,3,FALSE))</f>
        <v>2176.3550779414863</v>
      </c>
      <c r="E24" s="5">
        <f>VLOOKUP(E$22,ovrcst!$A$5:$W$36,VLOOKUP('ELC_Gen-sdj'!$B24,'ELC_Gen-sdj'!$AA$4:$AC$19,3,FALSE))</f>
        <v>2119.527684065833</v>
      </c>
      <c r="F24" s="5">
        <f>VLOOKUP(F$22,ovrcst!$A$5:$W$36,VLOOKUP('ELC_Gen-sdj'!$B24,'ELC_Gen-sdj'!$AA$4:$AC$19,3,FALSE))</f>
        <v>2082.9271460250129</v>
      </c>
      <c r="G24" s="5">
        <f>VLOOKUP(G$22,ovrcst!$A$5:$W$36,VLOOKUP('ELC_Gen-sdj'!$B24,'ELC_Gen-sdj'!$AA$4:$AC$19,3,FALSE))</f>
        <v>2023.7324353742019</v>
      </c>
      <c r="H24" s="5">
        <f>VLOOKUP(H$22,ovrcst!$A$5:$W$36,VLOOKUP('ELC_Gen-sdj'!$B24,'ELC_Gen-sdj'!$AA$4:$AC$19,3,FALSE))</f>
        <v>1991.6680541404785</v>
      </c>
      <c r="I24" s="5">
        <f>VLOOKUP(I$22,ovrcst!$A$5:$W$36,VLOOKUP('ELC_Gen-sdj'!$B24,'ELC_Gen-sdj'!$AA$4:$AC$19,3,FALSE))</f>
        <v>1962.4599814015355</v>
      </c>
      <c r="J24" s="5">
        <f>VLOOKUP(J$22,ovrcst!$A$5:$W$36,VLOOKUP('ELC_Gen-sdj'!$B24,'ELC_Gen-sdj'!$AA$4:$AC$19,3,FALSE))</f>
        <v>1929.6563305345417</v>
      </c>
      <c r="K24" s="5">
        <f>VLOOKUP(K$22,ovrcst!$A$5:$W$36,VLOOKUP('ELC_Gen-sdj'!$B24,'ELC_Gen-sdj'!$AA$4:$AC$19,3,FALSE))</f>
        <v>1894.1682958045187</v>
      </c>
      <c r="L24" s="5">
        <f>VLOOKUP(L$22,ovrcst!$A$5:$W$36,VLOOKUP('ELC_Gen-sdj'!$B24,'ELC_Gen-sdj'!$AA$4:$AC$19,3,FALSE))</f>
        <v>1861.101622629034</v>
      </c>
      <c r="M24" s="5">
        <f>VLOOKUP(M$22,ovrcst!$A$5:$W$36,VLOOKUP('ELC_Gen-sdj'!$B24,'ELC_Gen-sdj'!$AA$4:$AC$19,3,FALSE))</f>
        <v>1827.5859589325796</v>
      </c>
      <c r="N24" s="5">
        <f>VLOOKUP(N$22,ovrcst!$A$5:$W$36,VLOOKUP('ELC_Gen-sdj'!$B24,'ELC_Gen-sdj'!$AA$4:$AC$19,3,FALSE))</f>
        <v>1799.7582499270172</v>
      </c>
      <c r="O24" s="5">
        <f>VLOOKUP(O$22,ovrcst!$A$5:$W$36,VLOOKUP('ELC_Gen-sdj'!$B24,'ELC_Gen-sdj'!$AA$4:$AC$19,3,FALSE))</f>
        <v>1772.7205513033425</v>
      </c>
      <c r="P24" s="5">
        <f>VLOOKUP(P$22,ovrcst!$A$5:$W$36,VLOOKUP('ELC_Gen-sdj'!$B24,'ELC_Gen-sdj'!$AA$4:$AC$19,3,FALSE))</f>
        <v>1744.3398946731445</v>
      </c>
      <c r="Q24" s="5">
        <f>VLOOKUP(Q$22,ovrcst!$A$5:$W$36,VLOOKUP('ELC_Gen-sdj'!$B24,'ELC_Gen-sdj'!$AA$4:$AC$19,3,FALSE))</f>
        <v>1718.3577062795916</v>
      </c>
      <c r="R24" s="5">
        <f>VLOOKUP(R$22,ovrcst!$A$5:$W$36,VLOOKUP('ELC_Gen-sdj'!$B24,'ELC_Gen-sdj'!$AA$4:$AC$19,3,FALSE))</f>
        <v>1691.7835125191639</v>
      </c>
      <c r="S24" s="5">
        <f>VLOOKUP(S$22,ovrcst!$A$5:$W$36,VLOOKUP('ELC_Gen-sdj'!$B24,'ELC_Gen-sdj'!$AA$4:$AC$19,3,FALSE))</f>
        <v>1665.4230155032312</v>
      </c>
      <c r="T24" s="5">
        <f>VLOOKUP(T$22,ovrcst!$A$5:$W$36,VLOOKUP('ELC_Gen-sdj'!$B24,'ELC_Gen-sdj'!$AA$4:$AC$19,3,FALSE))</f>
        <v>1639.504900946743</v>
      </c>
      <c r="U24" s="5">
        <f>VLOOKUP(U$22,ovrcst!$A$5:$W$36,VLOOKUP('ELC_Gen-sdj'!$B24,'ELC_Gen-sdj'!$AA$4:$AC$19,3,FALSE))</f>
        <v>1615.4570872329855</v>
      </c>
      <c r="V24" s="5">
        <f>VLOOKUP(V$22,ovrcst!$A$5:$W$36,VLOOKUP('ELC_Gen-sdj'!$B24,'ELC_Gen-sdj'!$AA$4:$AC$19,3,FALSE))</f>
        <v>1593.5526257281338</v>
      </c>
      <c r="W24" s="5">
        <f>VLOOKUP(W$22,ovrcst!$A$5:$W$36,VLOOKUP('ELC_Gen-sdj'!$B24,'ELC_Gen-sdj'!$AA$4:$AC$19,3,FALSE))</f>
        <v>1571.5137622837831</v>
      </c>
      <c r="X24" s="5">
        <f>VLOOKUP(X$22,ovrcst!$A$5:$W$36,VLOOKUP('ELC_Gen-sdj'!$B24,'ELC_Gen-sdj'!$AA$4:$AC$19,3,FALSE))</f>
        <v>1550.1819546560928</v>
      </c>
      <c r="Y24" s="5">
        <f>VLOOKUP(Y$22,ovrcst!$A$5:$W$36,VLOOKUP('ELC_Gen-sdj'!$B24,'ELC_Gen-sdj'!$AA$4:$AC$19,3,FALSE))</f>
        <v>1529.3439768621179</v>
      </c>
      <c r="Z24" s="5">
        <f>VLOOKUP(Z$22,ovrcst!$A$5:$W$36,VLOOKUP('ELC_Gen-sdj'!$B24,'ELC_Gen-sdj'!$AA$4:$AC$19,3,FALSE))</f>
        <v>1507.4316090765146</v>
      </c>
      <c r="AA24" s="5">
        <f>VLOOKUP(AA$22,ovrcst!$A$5:$W$36,VLOOKUP('ELC_Gen-sdj'!$B24,'ELC_Gen-sdj'!$AA$4:$AC$19,3,FALSE))</f>
        <v>1487.8542263174072</v>
      </c>
      <c r="AB24" s="5">
        <f>VLOOKUP(AB$22,ovrcst!$A$5:$W$36,VLOOKUP('ELC_Gen-sdj'!$B24,'ELC_Gen-sdj'!$AA$4:$AC$19,3,FALSE))</f>
        <v>1466.4389923962826</v>
      </c>
      <c r="AC24" s="5">
        <f>VLOOKUP(AC$22,ovrcst!$A$5:$W$36,VLOOKUP('ELC_Gen-sdj'!$B24,'ELC_Gen-sdj'!$AA$4:$AC$19,3,FALSE))</f>
        <v>1446.9943585946364</v>
      </c>
      <c r="AD24" s="5">
        <f>VLOOKUP(AD$22,ovrcst!$A$5:$W$36,VLOOKUP('ELC_Gen-sdj'!$B24,'ELC_Gen-sdj'!$AA$4:$AC$19,3,FALSE))</f>
        <v>1426.0769670969578</v>
      </c>
      <c r="AE24" s="5">
        <f>VLOOKUP(AE$22,ovrcst!$A$5:$W$36,VLOOKUP('ELC_Gen-sdj'!$B24,'ELC_Gen-sdj'!$AA$4:$AC$19,3,FALSE))</f>
        <v>1406.5328605095826</v>
      </c>
      <c r="AF24" s="5">
        <f>VLOOKUP(AF$22,ovrcst!$A$5:$W$36,VLOOKUP('ELC_Gen-sdj'!$B24,'ELC_Gen-sdj'!$AA$4:$AC$19,3,FALSE))</f>
        <v>1387.022382923439</v>
      </c>
      <c r="AG24" s="5">
        <f>VLOOKUP(AG$22,ovrcst!$A$5:$W$36,VLOOKUP('ELC_Gen-sdj'!$B24,'ELC_Gen-sdj'!$AA$4:$AC$19,3,FALSE))</f>
        <v>1367.572676110253</v>
      </c>
      <c r="AH24" s="5">
        <f>VLOOKUP(AH$22,ovrcst!$A$5:$W$36,VLOOKUP('ELC_Gen-sdj'!$B24,'ELC_Gen-sdj'!$AA$4:$AC$19,3,FALSE))</f>
        <v>1348.3088186108378</v>
      </c>
    </row>
    <row r="25" spans="2:34">
      <c r="B25" s="39" t="str">
        <f t="shared" si="2"/>
        <v>EN_GasCCAdv</v>
      </c>
      <c r="C25" s="40">
        <f>VLOOKUP(C$22,ovrcst!$A$5:$W$36,VLOOKUP('ELC_Gen-sdj'!$B25,'ELC_Gen-sdj'!$AA$4:$AC$19,3,FALSE))</f>
        <v>794.43951592145902</v>
      </c>
      <c r="D25" s="40">
        <f>VLOOKUP(D$22,ovrcst!$A$5:$W$36,VLOOKUP('ELC_Gen-sdj'!$B25,'ELC_Gen-sdj'!$AA$4:$AC$19,3,FALSE))</f>
        <v>786.43841465656715</v>
      </c>
      <c r="E25" s="40">
        <f>VLOOKUP(E$22,ovrcst!$A$5:$W$36,VLOOKUP('ELC_Gen-sdj'!$B25,'ELC_Gen-sdj'!$AA$4:$AC$19,3,FALSE))</f>
        <v>768.10346098690979</v>
      </c>
      <c r="F25" s="40">
        <f>VLOOKUP(F$22,ovrcst!$A$5:$W$36,VLOOKUP('ELC_Gen-sdj'!$B25,'ELC_Gen-sdj'!$AA$4:$AC$19,3,FALSE))</f>
        <v>757.02855199294015</v>
      </c>
      <c r="G25" s="40">
        <f>VLOOKUP(G$22,ovrcst!$A$5:$W$36,VLOOKUP('ELC_Gen-sdj'!$B25,'ELC_Gen-sdj'!$AA$4:$AC$19,3,FALSE))</f>
        <v>732.12888568171775</v>
      </c>
      <c r="H25" s="40">
        <f>VLOOKUP(H$22,ovrcst!$A$5:$W$36,VLOOKUP('ELC_Gen-sdj'!$B25,'ELC_Gen-sdj'!$AA$4:$AC$19,3,FALSE))</f>
        <v>720.96291458302687</v>
      </c>
      <c r="I25" s="40">
        <f>VLOOKUP(I$22,ovrcst!$A$5:$W$36,VLOOKUP('ELC_Gen-sdj'!$B25,'ELC_Gen-sdj'!$AA$4:$AC$19,3,FALSE))</f>
        <v>710.71389634505078</v>
      </c>
      <c r="J25" s="40">
        <f>VLOOKUP(J$22,ovrcst!$A$5:$W$36,VLOOKUP('ELC_Gen-sdj'!$B25,'ELC_Gen-sdj'!$AA$4:$AC$19,3,FALSE))</f>
        <v>699.33326132519483</v>
      </c>
      <c r="K25" s="40">
        <f>VLOOKUP(K$22,ovrcst!$A$5:$W$36,VLOOKUP('ELC_Gen-sdj'!$B25,'ELC_Gen-sdj'!$AA$4:$AC$19,3,FALSE))</f>
        <v>687.13795686865717</v>
      </c>
      <c r="L25" s="40">
        <f>VLOOKUP(L$22,ovrcst!$A$5:$W$36,VLOOKUP('ELC_Gen-sdj'!$B25,'ELC_Gen-sdj'!$AA$4:$AC$19,3,FALSE))</f>
        <v>676.65861983379909</v>
      </c>
      <c r="M25" s="40">
        <f>VLOOKUP(M$22,ovrcst!$A$5:$W$36,VLOOKUP('ELC_Gen-sdj'!$B25,'ELC_Gen-sdj'!$AA$4:$AC$19,3,FALSE))</f>
        <v>666.00142576114126</v>
      </c>
      <c r="N25" s="40">
        <f>VLOOKUP(N$22,ovrcst!$A$5:$W$36,VLOOKUP('ELC_Gen-sdj'!$B25,'ELC_Gen-sdj'!$AA$4:$AC$19,3,FALSE))</f>
        <v>657.80877518752743</v>
      </c>
      <c r="O25" s="40">
        <f>VLOOKUP(O$22,ovrcst!$A$5:$W$36,VLOOKUP('ELC_Gen-sdj'!$B25,'ELC_Gen-sdj'!$AA$4:$AC$19,3,FALSE))</f>
        <v>649.97504044712446</v>
      </c>
      <c r="P25" s="40">
        <f>VLOOKUP(P$22,ovrcst!$A$5:$W$36,VLOOKUP('ELC_Gen-sdj'!$B25,'ELC_Gen-sdj'!$AA$4:$AC$19,3,FALSE))</f>
        <v>641.36372168701268</v>
      </c>
      <c r="Q25" s="40">
        <f>VLOOKUP(Q$22,ovrcst!$A$5:$W$36,VLOOKUP('ELC_Gen-sdj'!$B25,'ELC_Gen-sdj'!$AA$4:$AC$19,3,FALSE))</f>
        <v>633.8220216208266</v>
      </c>
      <c r="R25" s="40">
        <f>VLOOKUP(R$22,ovrcst!$A$5:$W$36,VLOOKUP('ELC_Gen-sdj'!$B25,'ELC_Gen-sdj'!$AA$4:$AC$19,3,FALSE))</f>
        <v>625.87377279747011</v>
      </c>
      <c r="S25" s="5">
        <f>VLOOKUP(S$22,ovrcst!$A$5:$W$36,VLOOKUP('ELC_Gen-sdj'!$B25,'ELC_Gen-sdj'!$AA$4:$AC$19,3,FALSE))</f>
        <v>618.16891454625681</v>
      </c>
      <c r="T25" s="5">
        <f>VLOOKUP(T$22,ovrcst!$A$5:$W$36,VLOOKUP('ELC_Gen-sdj'!$B25,'ELC_Gen-sdj'!$AA$4:$AC$19,3,FALSE))</f>
        <v>610.47914950728045</v>
      </c>
      <c r="U25" s="5">
        <f>VLOOKUP(U$22,ovrcst!$A$5:$W$36,VLOOKUP('ELC_Gen-sdj'!$B25,'ELC_Gen-sdj'!$AA$4:$AC$19,3,FALSE))</f>
        <v>603.6915805633181</v>
      </c>
      <c r="V25" s="5">
        <f>VLOOKUP(V$22,ovrcst!$A$5:$W$36,VLOOKUP('ELC_Gen-sdj'!$B25,'ELC_Gen-sdj'!$AA$4:$AC$19,3,FALSE))</f>
        <v>597.89283626268559</v>
      </c>
      <c r="W25" s="5">
        <f>VLOOKUP(W$22,ovrcst!$A$5:$W$36,VLOOKUP('ELC_Gen-sdj'!$B25,'ELC_Gen-sdj'!$AA$4:$AC$19,3,FALSE))</f>
        <v>592.00617370201508</v>
      </c>
      <c r="X25" s="5">
        <f>VLOOKUP(X$22,ovrcst!$A$5:$W$36,VLOOKUP('ELC_Gen-sdj'!$B25,'ELC_Gen-sdj'!$AA$4:$AC$19,3,FALSE))</f>
        <v>586.3488748345344</v>
      </c>
      <c r="Y25" s="5">
        <f>VLOOKUP(Y$22,ovrcst!$A$5:$W$36,VLOOKUP('ELC_Gen-sdj'!$B25,'ELC_Gen-sdj'!$AA$4:$AC$19,3,FALSE))</f>
        <v>580.84255956758341</v>
      </c>
      <c r="Z25" s="5">
        <f>VLOOKUP(Z$22,ovrcst!$A$5:$W$36,VLOOKUP('ELC_Gen-sdj'!$B25,'ELC_Gen-sdj'!$AA$4:$AC$19,3,FALSE))</f>
        <v>574.89064384468304</v>
      </c>
      <c r="AA25" s="5">
        <f>VLOOKUP(AA$22,ovrcst!$A$5:$W$36,VLOOKUP('ELC_Gen-sdj'!$B25,'ELC_Gen-sdj'!$AA$4:$AC$19,3,FALSE))</f>
        <v>569.7928978526254</v>
      </c>
      <c r="AB25" s="5">
        <f>VLOOKUP(AB$22,ovrcst!$A$5:$W$36,VLOOKUP('ELC_Gen-sdj'!$B25,'ELC_Gen-sdj'!$AA$4:$AC$19,3,FALSE))</f>
        <v>563.95538406383287</v>
      </c>
      <c r="AC25" s="5">
        <f>VLOOKUP(AC$22,ovrcst!$A$5:$W$36,VLOOKUP('ELC_Gen-sdj'!$B25,'ELC_Gen-sdj'!$AA$4:$AC$19,3,FALSE))</f>
        <v>558.83923463009262</v>
      </c>
      <c r="AD25" s="5">
        <f>VLOOKUP(AD$22,ovrcst!$A$5:$W$36,VLOOKUP('ELC_Gen-sdj'!$B25,'ELC_Gen-sdj'!$AA$4:$AC$19,3,FALSE))</f>
        <v>553.11769377849669</v>
      </c>
      <c r="AE25" s="5">
        <f>VLOOKUP(AE$22,ovrcst!$A$5:$W$36,VLOOKUP('ELC_Gen-sdj'!$B25,'ELC_Gen-sdj'!$AA$4:$AC$19,3,FALSE))</f>
        <v>547.89168811589946</v>
      </c>
      <c r="AF25" s="5">
        <f>VLOOKUP(AF$22,ovrcst!$A$5:$W$36,VLOOKUP('ELC_Gen-sdj'!$B25,'ELC_Gen-sdj'!$AA$4:$AC$19,3,FALSE))</f>
        <v>542.64318282100305</v>
      </c>
      <c r="AG25" s="5">
        <f>VLOOKUP(AG$22,ovrcst!$A$5:$W$36,VLOOKUP('ELC_Gen-sdj'!$B25,'ELC_Gen-sdj'!$AA$4:$AC$19,3,FALSE))</f>
        <v>537.38222165024263</v>
      </c>
      <c r="AH25" s="5">
        <f>VLOOKUP(AH$22,ovrcst!$A$5:$W$36,VLOOKUP('ELC_Gen-sdj'!$B25,'ELC_Gen-sdj'!$AA$4:$AC$19,3,FALSE))</f>
        <v>532.15789913957929</v>
      </c>
    </row>
    <row r="26" spans="2:34">
      <c r="B26" s="36" t="str">
        <f t="shared" si="2"/>
        <v>EN_GasCC</v>
      </c>
      <c r="C26" s="5">
        <f>VLOOKUP(C$22,ovrcst!$A$5:$W$36,VLOOKUP('ELC_Gen-sdj'!$B26,'ELC_Gen-sdj'!$AA$4:$AC$19,3,FALSE))</f>
        <v>999.32722103014635</v>
      </c>
      <c r="D26" s="5">
        <f>VLOOKUP(D$22,ovrcst!$A$5:$W$36,VLOOKUP('ELC_Gen-sdj'!$B26,'ELC_Gen-sdj'!$AA$4:$AC$19,3,FALSE))</f>
        <v>990.01963397384725</v>
      </c>
      <c r="E26" s="5">
        <f>VLOOKUP(E$22,ovrcst!$A$5:$W$36,VLOOKUP('ELC_Gen-sdj'!$B26,'ELC_Gen-sdj'!$AA$4:$AC$19,3,FALSE))</f>
        <v>967.68334022919942</v>
      </c>
      <c r="F26" s="5">
        <f>VLOOKUP(F$22,ovrcst!$A$5:$W$36,VLOOKUP('ELC_Gen-sdj'!$B26,'ELC_Gen-sdj'!$AA$4:$AC$19,3,FALSE))</f>
        <v>954.4694025614134</v>
      </c>
      <c r="G26" s="5">
        <f>VLOOKUP(G$22,ovrcst!$A$5:$W$36,VLOOKUP('ELC_Gen-sdj'!$B26,'ELC_Gen-sdj'!$AA$4:$AC$19,3,FALSE))</f>
        <v>945.63998672144874</v>
      </c>
      <c r="H26" s="5">
        <f>VLOOKUP(H$22,ovrcst!$A$5:$W$36,VLOOKUP('ELC_Gen-sdj'!$B26,'ELC_Gen-sdj'!$AA$4:$AC$19,3,FALSE))</f>
        <v>938.87054374705326</v>
      </c>
      <c r="I26" s="5">
        <f>VLOOKUP(I$22,ovrcst!$A$5:$W$36,VLOOKUP('ELC_Gen-sdj'!$B26,'ELC_Gen-sdj'!$AA$4:$AC$19,3,FALSE))</f>
        <v>933.69142090120965</v>
      </c>
      <c r="J26" s="5">
        <f>VLOOKUP(J$22,ovrcst!$A$5:$W$36,VLOOKUP('ELC_Gen-sdj'!$B26,'ELC_Gen-sdj'!$AA$4:$AC$19,3,FALSE))</f>
        <v>926.25481828591228</v>
      </c>
      <c r="K26" s="5">
        <f>VLOOKUP(K$22,ovrcst!$A$5:$W$36,VLOOKUP('ELC_Gen-sdj'!$B26,'ELC_Gen-sdj'!$AA$4:$AC$19,3,FALSE))</f>
        <v>916.96743483406635</v>
      </c>
      <c r="L26" s="5">
        <f>VLOOKUP(L$22,ovrcst!$A$5:$W$36,VLOOKUP('ELC_Gen-sdj'!$B26,'ELC_Gen-sdj'!$AA$4:$AC$19,3,FALSE))</f>
        <v>906.34990041086542</v>
      </c>
      <c r="M26" s="5">
        <f>VLOOKUP(M$22,ovrcst!$A$5:$W$36,VLOOKUP('ELC_Gen-sdj'!$B26,'ELC_Gen-sdj'!$AA$4:$AC$19,3,FALSE))</f>
        <v>895.37335629817096</v>
      </c>
      <c r="N26" s="5">
        <f>VLOOKUP(N$22,ovrcst!$A$5:$W$36,VLOOKUP('ELC_Gen-sdj'!$B26,'ELC_Gen-sdj'!$AA$4:$AC$19,3,FALSE))</f>
        <v>885.89111010613226</v>
      </c>
      <c r="O26" s="5">
        <f>VLOOKUP(O$22,ovrcst!$A$5:$W$36,VLOOKUP('ELC_Gen-sdj'!$B26,'ELC_Gen-sdj'!$AA$4:$AC$19,3,FALSE))</f>
        <v>876.43693554129345</v>
      </c>
      <c r="P26" s="5">
        <f>VLOOKUP(P$22,ovrcst!$A$5:$W$36,VLOOKUP('ELC_Gen-sdj'!$B26,'ELC_Gen-sdj'!$AA$4:$AC$19,3,FALSE))</f>
        <v>866.98804737941066</v>
      </c>
      <c r="Q26" s="5">
        <f>VLOOKUP(Q$22,ovrcst!$A$5:$W$36,VLOOKUP('ELC_Gen-sdj'!$B26,'ELC_Gen-sdj'!$AA$4:$AC$19,3,FALSE))</f>
        <v>858.01756425183066</v>
      </c>
      <c r="R26" s="5">
        <f>VLOOKUP(R$22,ovrcst!$A$5:$W$36,VLOOKUP('ELC_Gen-sdj'!$B26,'ELC_Gen-sdj'!$AA$4:$AC$19,3,FALSE))</f>
        <v>849.15749131602001</v>
      </c>
      <c r="S26" s="5">
        <f>VLOOKUP(S$22,ovrcst!$A$5:$W$36,VLOOKUP('ELC_Gen-sdj'!$B26,'ELC_Gen-sdj'!$AA$4:$AC$19,3,FALSE))</f>
        <v>839.74384038796472</v>
      </c>
      <c r="T26" s="5">
        <f>VLOOKUP(T$22,ovrcst!$A$5:$W$36,VLOOKUP('ELC_Gen-sdj'!$B26,'ELC_Gen-sdj'!$AA$4:$AC$19,3,FALSE))</f>
        <v>830.84095470859359</v>
      </c>
      <c r="U26" s="5">
        <f>VLOOKUP(U$22,ovrcst!$A$5:$W$36,VLOOKUP('ELC_Gen-sdj'!$B26,'ELC_Gen-sdj'!$AA$4:$AC$19,3,FALSE))</f>
        <v>822.08535991609494</v>
      </c>
      <c r="V26" s="5">
        <f>VLOOKUP(V$22,ovrcst!$A$5:$W$36,VLOOKUP('ELC_Gen-sdj'!$B26,'ELC_Gen-sdj'!$AA$4:$AC$19,3,FALSE))</f>
        <v>813.67103928719212</v>
      </c>
      <c r="W26" s="5">
        <f>VLOOKUP(W$22,ovrcst!$A$5:$W$36,VLOOKUP('ELC_Gen-sdj'!$B26,'ELC_Gen-sdj'!$AA$4:$AC$19,3,FALSE))</f>
        <v>805.14542804083646</v>
      </c>
      <c r="X26" s="5">
        <f>VLOOKUP(X$22,ovrcst!$A$5:$W$36,VLOOKUP('ELC_Gen-sdj'!$B26,'ELC_Gen-sdj'!$AA$4:$AC$19,3,FALSE))</f>
        <v>796.93953640536154</v>
      </c>
      <c r="Y26" s="5">
        <f>VLOOKUP(Y$22,ovrcst!$A$5:$W$36,VLOOKUP('ELC_Gen-sdj'!$B26,'ELC_Gen-sdj'!$AA$4:$AC$19,3,FALSE))</f>
        <v>788.94659520625066</v>
      </c>
      <c r="Z26" s="5">
        <f>VLOOKUP(Z$22,ovrcst!$A$5:$W$36,VLOOKUP('ELC_Gen-sdj'!$B26,'ELC_Gen-sdj'!$AA$4:$AC$19,3,FALSE))</f>
        <v>780.35638188343751</v>
      </c>
      <c r="AA26" s="5">
        <f>VLOOKUP(AA$22,ovrcst!$A$5:$W$36,VLOOKUP('ELC_Gen-sdj'!$B26,'ELC_Gen-sdj'!$AA$4:$AC$19,3,FALSE))</f>
        <v>772.93328682633012</v>
      </c>
      <c r="AB26" s="5">
        <f>VLOOKUP(AB$22,ovrcst!$A$5:$W$36,VLOOKUP('ELC_Gen-sdj'!$B26,'ELC_Gen-sdj'!$AA$4:$AC$19,3,FALSE))</f>
        <v>764.51450248732283</v>
      </c>
      <c r="AC26" s="5">
        <f>VLOOKUP(AC$22,ovrcst!$A$5:$W$36,VLOOKUP('ELC_Gen-sdj'!$B26,'ELC_Gen-sdj'!$AA$4:$AC$19,3,FALSE))</f>
        <v>757.08101263386811</v>
      </c>
      <c r="AD26" s="5">
        <f>VLOOKUP(AD$22,ovrcst!$A$5:$W$36,VLOOKUP('ELC_Gen-sdj'!$B26,'ELC_Gen-sdj'!$AA$4:$AC$19,3,FALSE))</f>
        <v>748.83530266437026</v>
      </c>
      <c r="AE26" s="5">
        <f>VLOOKUP(AE$22,ovrcst!$A$5:$W$36,VLOOKUP('ELC_Gen-sdj'!$B26,'ELC_Gen-sdj'!$AA$4:$AC$19,3,FALSE))</f>
        <v>741.2680881772784</v>
      </c>
      <c r="AF26" s="5">
        <f>VLOOKUP(AF$22,ovrcst!$A$5:$W$36,VLOOKUP('ELC_Gen-sdj'!$B26,'ELC_Gen-sdj'!$AA$4:$AC$19,3,FALSE))</f>
        <v>733.67790949416428</v>
      </c>
      <c r="AG26" s="5">
        <f>VLOOKUP(AG$22,ovrcst!$A$5:$W$36,VLOOKUP('ELC_Gen-sdj'!$B26,'ELC_Gen-sdj'!$AA$4:$AC$19,3,FALSE))</f>
        <v>726.07845218278214</v>
      </c>
      <c r="AH26" s="5">
        <f>VLOOKUP(AH$22,ovrcst!$A$5:$W$36,VLOOKUP('ELC_Gen-sdj'!$B26,'ELC_Gen-sdj'!$AA$4:$AC$19,3,FALSE))</f>
        <v>718.53584439077429</v>
      </c>
    </row>
    <row r="27" spans="2:34" s="42" customFormat="1">
      <c r="B27" s="42" t="str">
        <f t="shared" si="2"/>
        <v>EN_GasCTAdv</v>
      </c>
      <c r="C27" s="43">
        <f>VLOOKUP(C$22,ovrcst!$A$5:$W$36,VLOOKUP('ELC_Gen-sdj'!$B27,'ELC_Gen-sdj'!$AA$4:$AC$19,3,FALSE))</f>
        <v>691.0768157887843</v>
      </c>
      <c r="D27" s="43">
        <f>VLOOKUP(D$22,ovrcst!$A$5:$W$36,VLOOKUP('ELC_Gen-sdj'!$B27,'ELC_Gen-sdj'!$AA$4:$AC$19,3,FALSE))</f>
        <v>683.76621123055679</v>
      </c>
      <c r="E27" s="43">
        <f>VLOOKUP(E$22,ovrcst!$A$5:$W$36,VLOOKUP('ELC_Gen-sdj'!$B27,'ELC_Gen-sdj'!$AA$4:$AC$19,3,FALSE))</f>
        <v>667.48039872330708</v>
      </c>
      <c r="F27" s="43">
        <f>VLOOKUP(F$22,ovrcst!$A$5:$W$36,VLOOKUP('ELC_Gen-sdj'!$B27,'ELC_Gen-sdj'!$AA$4:$AC$19,3,FALSE))</f>
        <v>657.5143656011345</v>
      </c>
      <c r="G27" s="43">
        <f>VLOOKUP(G$22,ovrcst!$A$5:$W$36,VLOOKUP('ELC_Gen-sdj'!$B27,'ELC_Gen-sdj'!$AA$4:$AC$19,3,FALSE))</f>
        <v>625.44563297699176</v>
      </c>
      <c r="H27" s="43">
        <f>VLOOKUP(H$22,ovrcst!$A$5:$W$36,VLOOKUP('ELC_Gen-sdj'!$B27,'ELC_Gen-sdj'!$AA$4:$AC$19,3,FALSE))</f>
        <v>612.36512873569245</v>
      </c>
      <c r="I27" s="43">
        <f>VLOOKUP(I$22,ovrcst!$A$5:$W$36,VLOOKUP('ELC_Gen-sdj'!$B27,'ELC_Gen-sdj'!$AA$4:$AC$19,3,FALSE))</f>
        <v>599.88018282301789</v>
      </c>
      <c r="J27" s="43">
        <f>VLOOKUP(J$22,ovrcst!$A$5:$W$36,VLOOKUP('ELC_Gen-sdj'!$B27,'ELC_Gen-sdj'!$AA$4:$AC$19,3,FALSE))</f>
        <v>586.79665335842799</v>
      </c>
      <c r="K27" s="43">
        <f>VLOOKUP(K$22,ovrcst!$A$5:$W$36,VLOOKUP('ELC_Gen-sdj'!$B27,'ELC_Gen-sdj'!$AA$4:$AC$19,3,FALSE))</f>
        <v>573.38688246717516</v>
      </c>
      <c r="L27" s="43">
        <f>VLOOKUP(L$22,ovrcst!$A$5:$W$36,VLOOKUP('ELC_Gen-sdj'!$B27,'ELC_Gen-sdj'!$AA$4:$AC$19,3,FALSE))</f>
        <v>563.08421888622388</v>
      </c>
      <c r="M27" s="43">
        <f>VLOOKUP(M$22,ovrcst!$A$5:$W$36,VLOOKUP('ELC_Gen-sdj'!$B27,'ELC_Gen-sdj'!$AA$4:$AC$19,3,FALSE))</f>
        <v>552.68940292531795</v>
      </c>
      <c r="N27" s="43">
        <f>VLOOKUP(N$22,ovrcst!$A$5:$W$36,VLOOKUP('ELC_Gen-sdj'!$B27,'ELC_Gen-sdj'!$AA$4:$AC$19,3,FALSE))</f>
        <v>545.18176316075028</v>
      </c>
      <c r="O27" s="43">
        <f>VLOOKUP(O$22,ovrcst!$A$5:$W$36,VLOOKUP('ELC_Gen-sdj'!$B27,'ELC_Gen-sdj'!$AA$4:$AC$19,3,FALSE))</f>
        <v>538.1821541760055</v>
      </c>
      <c r="P27" s="43">
        <f>VLOOKUP(P$22,ovrcst!$A$5:$W$36,VLOOKUP('ELC_Gen-sdj'!$B27,'ELC_Gen-sdj'!$AA$4:$AC$19,3,FALSE))</f>
        <v>530.05109484271452</v>
      </c>
      <c r="Q27" s="43">
        <f>VLOOKUP(Q$22,ovrcst!$A$5:$W$36,VLOOKUP('ELC_Gen-sdj'!$B27,'ELC_Gen-sdj'!$AA$4:$AC$19,3,FALSE))</f>
        <v>523.25171840914777</v>
      </c>
      <c r="R27" s="43">
        <f>VLOOKUP(R$22,ovrcst!$A$5:$W$36,VLOOKUP('ELC_Gen-sdj'!$B27,'ELC_Gen-sdj'!$AA$4:$AC$19,3,FALSE))</f>
        <v>515.81087957852662</v>
      </c>
      <c r="S27" s="43">
        <f>VLOOKUP(S$22,ovrcst!$A$5:$W$36,VLOOKUP('ELC_Gen-sdj'!$B27,'ELC_Gen-sdj'!$AA$4:$AC$19,3,FALSE))</f>
        <v>508.97975794471898</v>
      </c>
      <c r="T27" s="43">
        <f>VLOOKUP(T$22,ovrcst!$A$5:$W$36,VLOOKUP('ELC_Gen-sdj'!$B27,'ELC_Gen-sdj'!$AA$4:$AC$19,3,FALSE))</f>
        <v>501.93412983203177</v>
      </c>
      <c r="U27" s="43">
        <f>VLOOKUP(U$22,ovrcst!$A$5:$W$36,VLOOKUP('ELC_Gen-sdj'!$B27,'ELC_Gen-sdj'!$AA$4:$AC$19,3,FALSE))</f>
        <v>496.13037458887266</v>
      </c>
      <c r="V27" s="43">
        <f>VLOOKUP(V$22,ovrcst!$A$5:$W$36,VLOOKUP('ELC_Gen-sdj'!$B27,'ELC_Gen-sdj'!$AA$4:$AC$19,3,FALSE))</f>
        <v>491.60428881995716</v>
      </c>
      <c r="W27" s="43">
        <f>VLOOKUP(W$22,ovrcst!$A$5:$W$36,VLOOKUP('ELC_Gen-sdj'!$B27,'ELC_Gen-sdj'!$AA$4:$AC$19,3,FALSE))</f>
        <v>487.00232364089447</v>
      </c>
      <c r="X27" s="43">
        <f>VLOOKUP(X$22,ovrcst!$A$5:$W$36,VLOOKUP('ELC_Gen-sdj'!$B27,'ELC_Gen-sdj'!$AA$4:$AC$19,3,FALSE))</f>
        <v>482.58534609527305</v>
      </c>
      <c r="Y27" s="43">
        <f>VLOOKUP(Y$22,ovrcst!$A$5:$W$36,VLOOKUP('ELC_Gen-sdj'!$B27,'ELC_Gen-sdj'!$AA$4:$AC$19,3,FALSE))</f>
        <v>478.28898178879183</v>
      </c>
      <c r="Z27" s="43">
        <f>VLOOKUP(Z$22,ovrcst!$A$5:$W$36,VLOOKUP('ELC_Gen-sdj'!$B27,'ELC_Gen-sdj'!$AA$4:$AC$19,3,FALSE))</f>
        <v>473.62192940771479</v>
      </c>
      <c r="AA27" s="43">
        <f>VLOOKUP(AA$22,ovrcst!$A$5:$W$36,VLOOKUP('ELC_Gen-sdj'!$B27,'ELC_Gen-sdj'!$AA$4:$AC$19,3,FALSE))</f>
        <v>469.65517412339614</v>
      </c>
      <c r="AB27" s="43">
        <f>VLOOKUP(AB$22,ovrcst!$A$5:$W$36,VLOOKUP('ELC_Gen-sdj'!$B27,'ELC_Gen-sdj'!$AA$4:$AC$19,3,FALSE))</f>
        <v>465.07507586444302</v>
      </c>
      <c r="AC27" s="43">
        <f>VLOOKUP(AC$22,ovrcst!$A$5:$W$36,VLOOKUP('ELC_Gen-sdj'!$B27,'ELC_Gen-sdj'!$AA$4:$AC$19,3,FALSE))</f>
        <v>461.08628247391044</v>
      </c>
      <c r="AD27" s="43">
        <f>VLOOKUP(AD$22,ovrcst!$A$5:$W$36,VLOOKUP('ELC_Gen-sdj'!$B27,'ELC_Gen-sdj'!$AA$4:$AC$19,3,FALSE))</f>
        <v>456.59451063224731</v>
      </c>
      <c r="AE27" s="43">
        <f>VLOOKUP(AE$22,ovrcst!$A$5:$W$36,VLOOKUP('ELC_Gen-sdj'!$B27,'ELC_Gen-sdj'!$AA$4:$AC$19,3,FALSE))</f>
        <v>452.50808410008494</v>
      </c>
      <c r="AF27" s="43">
        <f>VLOOKUP(AF$22,ovrcst!$A$5:$W$36,VLOOKUP('ELC_Gen-sdj'!$B27,'ELC_Gen-sdj'!$AA$4:$AC$19,3,FALSE))</f>
        <v>448.39967652374338</v>
      </c>
      <c r="AG27" s="43">
        <f>VLOOKUP(AG$22,ovrcst!$A$5:$W$36,VLOOKUP('ELC_Gen-sdj'!$B27,'ELC_Gen-sdj'!$AA$4:$AC$19,3,FALSE))</f>
        <v>444.27762270208376</v>
      </c>
      <c r="AH27" s="43">
        <f>VLOOKUP(AH$22,ovrcst!$A$5:$W$36,VLOOKUP('ELC_Gen-sdj'!$B27,'ELC_Gen-sdj'!$AA$4:$AC$19,3,FALSE))</f>
        <v>440.18226175197276</v>
      </c>
    </row>
    <row r="28" spans="2:34">
      <c r="B28" s="36" t="str">
        <f t="shared" si="2"/>
        <v>EN_GasCT</v>
      </c>
      <c r="C28" s="5">
        <f>VLOOKUP(C$22,ovrcst!$A$5:$W$36,VLOOKUP('ELC_Gen-sdj'!$B28,'ELC_Gen-sdj'!$AA$4:$AC$19,3,FALSE))</f>
        <v>1126.002408681185</v>
      </c>
      <c r="D28" s="5">
        <f>VLOOKUP(D$22,ovrcst!$A$5:$W$36,VLOOKUP('ELC_Gen-sdj'!$B28,'ELC_Gen-sdj'!$AA$4:$AC$19,3,FALSE))</f>
        <v>1115.5153164235383</v>
      </c>
      <c r="E28" s="5">
        <f>VLOOKUP(E$22,ovrcst!$A$5:$W$36,VLOOKUP('ELC_Gen-sdj'!$B28,'ELC_Gen-sdj'!$AA$4:$AC$19,3,FALSE))</f>
        <v>1090.3474355472445</v>
      </c>
      <c r="F28" s="5">
        <f>VLOOKUP(F$22,ovrcst!$A$5:$W$36,VLOOKUP('ELC_Gen-sdj'!$B28,'ELC_Gen-sdj'!$AA$4:$AC$19,3,FALSE))</f>
        <v>1075.4584258953284</v>
      </c>
      <c r="G28" s="5">
        <f>VLOOKUP(G$22,ovrcst!$A$5:$W$36,VLOOKUP('ELC_Gen-sdj'!$B28,'ELC_Gen-sdj'!$AA$4:$AC$19,3,FALSE))</f>
        <v>1065.5099575376823</v>
      </c>
      <c r="H28" s="5">
        <f>VLOOKUP(H$22,ovrcst!$A$5:$W$36,VLOOKUP('ELC_Gen-sdj'!$B28,'ELC_Gen-sdj'!$AA$4:$AC$19,3,FALSE))</f>
        <v>1057.8823556940195</v>
      </c>
      <c r="I28" s="5">
        <f>VLOOKUP(I$22,ovrcst!$A$5:$W$36,VLOOKUP('ELC_Gen-sdj'!$B28,'ELC_Gen-sdj'!$AA$4:$AC$19,3,FALSE))</f>
        <v>1052.0467887752784</v>
      </c>
      <c r="J28" s="5">
        <f>VLOOKUP(J$22,ovrcst!$A$5:$W$36,VLOOKUP('ELC_Gen-sdj'!$B28,'ELC_Gen-sdj'!$AA$4:$AC$19,3,FALSE))</f>
        <v>1043.6674434552065</v>
      </c>
      <c r="K28" s="5">
        <f>VLOOKUP(K$22,ovrcst!$A$5:$W$36,VLOOKUP('ELC_Gen-sdj'!$B28,'ELC_Gen-sdj'!$AA$4:$AC$19,3,FALSE))</f>
        <v>1033.2027351233853</v>
      </c>
      <c r="L28" s="5">
        <f>VLOOKUP(L$22,ovrcst!$A$5:$W$36,VLOOKUP('ELC_Gen-sdj'!$B28,'ELC_Gen-sdj'!$AA$4:$AC$19,3,FALSE))</f>
        <v>1021.239437426818</v>
      </c>
      <c r="M28" s="5">
        <f>VLOOKUP(M$22,ovrcst!$A$5:$W$36,VLOOKUP('ELC_Gen-sdj'!$B28,'ELC_Gen-sdj'!$AA$4:$AC$19,3,FALSE))</f>
        <v>1008.8713552222156</v>
      </c>
      <c r="N28" s="5">
        <f>VLOOKUP(N$22,ovrcst!$A$5:$W$36,VLOOKUP('ELC_Gen-sdj'!$B28,'ELC_Gen-sdj'!$AA$4:$AC$19,3,FALSE))</f>
        <v>998.18723246161107</v>
      </c>
      <c r="O28" s="5">
        <f>VLOOKUP(O$22,ovrcst!$A$5:$W$36,VLOOKUP('ELC_Gen-sdj'!$B28,'ELC_Gen-sdj'!$AA$4:$AC$19,3,FALSE))</f>
        <v>987.53447221994065</v>
      </c>
      <c r="P28" s="5">
        <f>VLOOKUP(P$22,ovrcst!$A$5:$W$36,VLOOKUP('ELC_Gen-sdj'!$B28,'ELC_Gen-sdj'!$AA$4:$AC$19,3,FALSE))</f>
        <v>976.88806508978598</v>
      </c>
      <c r="Q28" s="5">
        <f>VLOOKUP(Q$22,ovrcst!$A$5:$W$36,VLOOKUP('ELC_Gen-sdj'!$B28,'ELC_Gen-sdj'!$AA$4:$AC$19,3,FALSE))</f>
        <v>966.78039933298066</v>
      </c>
      <c r="R28" s="5">
        <f>VLOOKUP(R$22,ovrcst!$A$5:$W$36,VLOOKUP('ELC_Gen-sdj'!$B28,'ELC_Gen-sdj'!$AA$4:$AC$19,3,FALSE))</f>
        <v>956.79718847118465</v>
      </c>
      <c r="S28" s="5">
        <f>VLOOKUP(S$22,ovrcst!$A$5:$W$36,VLOOKUP('ELC_Gen-sdj'!$B28,'ELC_Gen-sdj'!$AA$4:$AC$19,3,FALSE))</f>
        <v>946.19030395990262</v>
      </c>
      <c r="T28" s="5">
        <f>VLOOKUP(T$22,ovrcst!$A$5:$W$36,VLOOKUP('ELC_Gen-sdj'!$B28,'ELC_Gen-sdj'!$AA$4:$AC$19,3,FALSE))</f>
        <v>936.1588850919635</v>
      </c>
      <c r="U28" s="5">
        <f>VLOOKUP(U$22,ovrcst!$A$5:$W$36,VLOOKUP('ELC_Gen-sdj'!$B28,'ELC_Gen-sdj'!$AA$4:$AC$19,3,FALSE))</f>
        <v>926.29330898546959</v>
      </c>
      <c r="V28" s="5">
        <f>VLOOKUP(V$22,ovrcst!$A$5:$W$36,VLOOKUP('ELC_Gen-sdj'!$B28,'ELC_Gen-sdj'!$AA$4:$AC$19,3,FALSE))</f>
        <v>916.81252304101258</v>
      </c>
      <c r="W28" s="5">
        <f>VLOOKUP(W$22,ovrcst!$A$5:$W$36,VLOOKUP('ELC_Gen-sdj'!$B28,'ELC_Gen-sdj'!$AA$4:$AC$19,3,FALSE))</f>
        <v>907.20611701873656</v>
      </c>
      <c r="X28" s="5">
        <f>VLOOKUP(X$22,ovrcst!$A$5:$W$36,VLOOKUP('ELC_Gen-sdj'!$B28,'ELC_Gen-sdj'!$AA$4:$AC$19,3,FALSE))</f>
        <v>897.96013355669197</v>
      </c>
      <c r="Y28" s="5">
        <f>VLOOKUP(Y$22,ovrcst!$A$5:$W$36,VLOOKUP('ELC_Gen-sdj'!$B28,'ELC_Gen-sdj'!$AA$4:$AC$19,3,FALSE))</f>
        <v>888.95396763848021</v>
      </c>
      <c r="Z28" s="5">
        <f>VLOOKUP(Z$22,ovrcst!$A$5:$W$36,VLOOKUP('ELC_Gen-sdj'!$B28,'ELC_Gen-sdj'!$AA$4:$AC$19,3,FALSE))</f>
        <v>879.27486948997478</v>
      </c>
      <c r="AA28" s="5">
        <f>VLOOKUP(AA$22,ovrcst!$A$5:$W$36,VLOOKUP('ELC_Gen-sdj'!$B28,'ELC_Gen-sdj'!$AA$4:$AC$19,3,FALSE))</f>
        <v>870.9108558745271</v>
      </c>
      <c r="AB28" s="5">
        <f>VLOOKUP(AB$22,ovrcst!$A$5:$W$36,VLOOKUP('ELC_Gen-sdj'!$B28,'ELC_Gen-sdj'!$AA$4:$AC$19,3,FALSE))</f>
        <v>861.42476548308298</v>
      </c>
      <c r="AC28" s="5">
        <f>VLOOKUP(AC$22,ovrcst!$A$5:$W$36,VLOOKUP('ELC_Gen-sdj'!$B28,'ELC_Gen-sdj'!$AA$4:$AC$19,3,FALSE))</f>
        <v>853.04909335406467</v>
      </c>
      <c r="AD28" s="5">
        <f>VLOOKUP(AD$22,ovrcst!$A$5:$W$36,VLOOKUP('ELC_Gen-sdj'!$B28,'ELC_Gen-sdj'!$AA$4:$AC$19,3,FALSE))</f>
        <v>843.75828282616067</v>
      </c>
      <c r="AE28" s="5">
        <f>VLOOKUP(AE$22,ovrcst!$A$5:$W$36,VLOOKUP('ELC_Gen-sdj'!$B28,'ELC_Gen-sdj'!$AA$4:$AC$19,3,FALSE))</f>
        <v>835.23163261212983</v>
      </c>
      <c r="AF28" s="5">
        <f>VLOOKUP(AF$22,ovrcst!$A$5:$W$36,VLOOKUP('ELC_Gen-sdj'!$B28,'ELC_Gen-sdj'!$AA$4:$AC$19,3,FALSE))</f>
        <v>826.67939135434369</v>
      </c>
      <c r="AG28" s="5">
        <f>VLOOKUP(AG$22,ovrcst!$A$5:$W$36,VLOOKUP('ELC_Gen-sdj'!$B28,'ELC_Gen-sdj'!$AA$4:$AC$19,3,FALSE))</f>
        <v>818.11654120258322</v>
      </c>
      <c r="AH28" s="5">
        <f>VLOOKUP(AH$22,ovrcst!$A$5:$W$36,VLOOKUP('ELC_Gen-sdj'!$B28,'ELC_Gen-sdj'!$AA$4:$AC$19,3,FALSE))</f>
        <v>809.61792891620826</v>
      </c>
    </row>
    <row r="29" spans="2:34">
      <c r="B29" s="36" t="str">
        <f t="shared" si="2"/>
        <v>EN_Biomass</v>
      </c>
      <c r="C29" s="5">
        <f>VLOOKUP(C$22,ovrcst!$A$5:$W$36,VLOOKUP('ELC_Gen-sdj'!$B29,'ELC_Gen-sdj'!$AA$4:$AC$19,3,FALSE))</f>
        <v>3899.5782844311379</v>
      </c>
      <c r="D29" s="5">
        <f>VLOOKUP(D$22,ovrcst!$A$5:$W$36,VLOOKUP('ELC_Gen-sdj'!$B29,'ELC_Gen-sdj'!$AA$4:$AC$19,3,FALSE))</f>
        <v>3858.2388443113769</v>
      </c>
      <c r="E29" s="5">
        <f>VLOOKUP(E$22,ovrcst!$A$5:$W$36,VLOOKUP('ELC_Gen-sdj'!$B29,'ELC_Gen-sdj'!$AA$4:$AC$19,3,FALSE))</f>
        <v>3756.4370768463073</v>
      </c>
      <c r="F29" s="5">
        <f>VLOOKUP(F$22,ovrcst!$A$5:$W$36,VLOOKUP('ELC_Gen-sdj'!$B29,'ELC_Gen-sdj'!$AA$4:$AC$19,3,FALSE))</f>
        <v>3698.7399710578843</v>
      </c>
      <c r="G29" s="5">
        <f>VLOOKUP(G$22,ovrcst!$A$5:$W$36,VLOOKUP('ELC_Gen-sdj'!$B29,'ELC_Gen-sdj'!$AA$4:$AC$19,3,FALSE))</f>
        <v>3659.7218163672655</v>
      </c>
      <c r="H29" s="5">
        <f>VLOOKUP(H$22,ovrcst!$A$5:$W$36,VLOOKUP('ELC_Gen-sdj'!$B29,'ELC_Gen-sdj'!$AA$4:$AC$19,3,FALSE))</f>
        <v>3628.7298453093813</v>
      </c>
      <c r="I29" s="5">
        <f>VLOOKUP(I$22,ovrcst!$A$5:$W$36,VLOOKUP('ELC_Gen-sdj'!$B29,'ELC_Gen-sdj'!$AA$4:$AC$19,3,FALSE))</f>
        <v>3603.9215518962073</v>
      </c>
      <c r="J29" s="5">
        <f>VLOOKUP(J$22,ovrcst!$A$5:$W$36,VLOOKUP('ELC_Gen-sdj'!$B29,'ELC_Gen-sdj'!$AA$4:$AC$19,3,FALSE))</f>
        <v>3570.4401746506987</v>
      </c>
      <c r="K29" s="5">
        <f>VLOOKUP(K$22,ovrcst!$A$5:$W$36,VLOOKUP('ELC_Gen-sdj'!$B29,'ELC_Gen-sdj'!$AA$4:$AC$19,3,FALSE))</f>
        <v>3529.88627245509</v>
      </c>
      <c r="L29" s="5">
        <f>VLOOKUP(L$22,ovrcst!$A$5:$W$36,VLOOKUP('ELC_Gen-sdj'!$B29,'ELC_Gen-sdj'!$AA$4:$AC$19,3,FALSE))</f>
        <v>3484.2914271457084</v>
      </c>
      <c r="M29" s="5">
        <f>VLOOKUP(M$22,ovrcst!$A$5:$W$36,VLOOKUP('ELC_Gen-sdj'!$B29,'ELC_Gen-sdj'!$AA$4:$AC$19,3,FALSE))</f>
        <v>3437.404000998004</v>
      </c>
      <c r="N29" s="5">
        <f>VLOOKUP(N$22,ovrcst!$A$5:$W$36,VLOOKUP('ELC_Gen-sdj'!$B29,'ELC_Gen-sdj'!$AA$4:$AC$19,3,FALSE))</f>
        <v>3396.336721556886</v>
      </c>
      <c r="O29" s="5">
        <f>VLOOKUP(O$22,ovrcst!$A$5:$W$36,VLOOKUP('ELC_Gen-sdj'!$B29,'ELC_Gen-sdj'!$AA$4:$AC$19,3,FALSE))</f>
        <v>3355.4529121756486</v>
      </c>
      <c r="P29" s="5">
        <f>VLOOKUP(P$22,ovrcst!$A$5:$W$36,VLOOKUP('ELC_Gen-sdj'!$B29,'ELC_Gen-sdj'!$AA$4:$AC$19,3,FALSE))</f>
        <v>3314.6660778443115</v>
      </c>
      <c r="Q29" s="5">
        <f>VLOOKUP(Q$22,ovrcst!$A$5:$W$36,VLOOKUP('ELC_Gen-sdj'!$B29,'ELC_Gen-sdj'!$AA$4:$AC$19,3,FALSE))</f>
        <v>3275.7814451097806</v>
      </c>
      <c r="R29" s="5">
        <f>VLOOKUP(R$22,ovrcst!$A$5:$W$36,VLOOKUP('ELC_Gen-sdj'!$B29,'ELC_Gen-sdj'!$AA$4:$AC$19,3,FALSE))</f>
        <v>3237.3902095808385</v>
      </c>
      <c r="S29" s="5">
        <f>VLOOKUP(S$22,ovrcst!$A$5:$W$36,VLOOKUP('ELC_Gen-sdj'!$B29,'ELC_Gen-sdj'!$AA$4:$AC$19,3,FALSE))</f>
        <v>3196.9632514970062</v>
      </c>
      <c r="T29" s="5">
        <f>VLOOKUP(T$22,ovrcst!$A$5:$W$36,VLOOKUP('ELC_Gen-sdj'!$B29,'ELC_Gen-sdj'!$AA$4:$AC$19,3,FALSE))</f>
        <v>3158.5559351297406</v>
      </c>
      <c r="U29" s="5">
        <f>VLOOKUP(U$22,ovrcst!$A$5:$W$36,VLOOKUP('ELC_Gen-sdj'!$B29,'ELC_Gen-sdj'!$AA$4:$AC$19,3,FALSE))</f>
        <v>3120.7811427145707</v>
      </c>
      <c r="V29" s="5">
        <f>VLOOKUP(V$22,ovrcst!$A$5:$W$36,VLOOKUP('ELC_Gen-sdj'!$B29,'ELC_Gen-sdj'!$AA$4:$AC$19,3,FALSE))</f>
        <v>3084.3722714570858</v>
      </c>
      <c r="W29" s="5">
        <f>VLOOKUP(W$22,ovrcst!$A$5:$W$36,VLOOKUP('ELC_Gen-sdj'!$B29,'ELC_Gen-sdj'!$AA$4:$AC$19,3,FALSE))</f>
        <v>3047.6105898203591</v>
      </c>
      <c r="X29" s="5">
        <f>VLOOKUP(X$22,ovrcst!$A$5:$W$36,VLOOKUP('ELC_Gen-sdj'!$B29,'ELC_Gen-sdj'!$AA$4:$AC$19,3,FALSE))</f>
        <v>3012.1285748502996</v>
      </c>
      <c r="Y29" s="5">
        <f>VLOOKUP(Y$22,ovrcst!$A$5:$W$36,VLOOKUP('ELC_Gen-sdj'!$B29,'ELC_Gen-sdj'!$AA$4:$AC$19,3,FALSE))</f>
        <v>2977.5176207584827</v>
      </c>
      <c r="Z29" s="5">
        <f>VLOOKUP(Z$22,ovrcst!$A$5:$W$36,VLOOKUP('ELC_Gen-sdj'!$B29,'ELC_Gen-sdj'!$AA$4:$AC$19,3,FALSE))</f>
        <v>2940.7213403193609</v>
      </c>
      <c r="AA29" s="5">
        <f>VLOOKUP(AA$22,ovrcst!$A$5:$W$36,VLOOKUP('ELC_Gen-sdj'!$B29,'ELC_Gen-sdj'!$AA$4:$AC$19,3,FALSE))</f>
        <v>2908.3909820359286</v>
      </c>
      <c r="AB29" s="5">
        <f>VLOOKUP(AB$22,ovrcst!$A$5:$W$36,VLOOKUP('ELC_Gen-sdj'!$B29,'ELC_Gen-sdj'!$AA$4:$AC$19,3,FALSE))</f>
        <v>2872.3790209580839</v>
      </c>
      <c r="AC29" s="5">
        <f>VLOOKUP(AC$22,ovrcst!$A$5:$W$36,VLOOKUP('ELC_Gen-sdj'!$B29,'ELC_Gen-sdj'!$AA$4:$AC$19,3,FALSE))</f>
        <v>2840.1363772455093</v>
      </c>
      <c r="AD29" s="5">
        <f>VLOOKUP(AD$22,ovrcst!$A$5:$W$36,VLOOKUP('ELC_Gen-sdj'!$B29,'ELC_Gen-sdj'!$AA$4:$AC$19,3,FALSE))</f>
        <v>2804.9126357285431</v>
      </c>
      <c r="AE29" s="5">
        <f>VLOOKUP(AE$22,ovrcst!$A$5:$W$36,VLOOKUP('ELC_Gen-sdj'!$B29,'ELC_Gen-sdj'!$AA$4:$AC$19,3,FALSE))</f>
        <v>2772.2981766467065</v>
      </c>
      <c r="AF29" s="5">
        <f>VLOOKUP(AF$22,ovrcst!$A$5:$W$36,VLOOKUP('ELC_Gen-sdj'!$B29,'ELC_Gen-sdj'!$AA$4:$AC$19,3,FALSE))</f>
        <v>2739.6620329341317</v>
      </c>
      <c r="AG29" s="5">
        <f>VLOOKUP(AG$22,ovrcst!$A$5:$W$36,VLOOKUP('ELC_Gen-sdj'!$B29,'ELC_Gen-sdj'!$AA$4:$AC$19,3,FALSE))</f>
        <v>2707.0561027944109</v>
      </c>
      <c r="AH29" s="5">
        <f>VLOOKUP(AH$22,ovrcst!$A$5:$W$36,VLOOKUP('ELC_Gen-sdj'!$B29,'ELC_Gen-sdj'!$AA$4:$AC$19,3,FALSE))</f>
        <v>2674.7279371257487</v>
      </c>
    </row>
    <row r="30" spans="2:34">
      <c r="B30" s="36" t="str">
        <f t="shared" si="2"/>
        <v>EN_ZBiomass</v>
      </c>
      <c r="C30" s="5">
        <f>VLOOKUP(C$22,ovrcst!$A$5:$W$36,VLOOKUP('ELC_Gen-sdj'!$B30,'ELC_Gen-sdj'!$AA$4:$AC$19,3,FALSE))</f>
        <v>5715.7879928716911</v>
      </c>
      <c r="D30" s="5">
        <f>VLOOKUP(D$22,ovrcst!$A$5:$W$36,VLOOKUP('ELC_Gen-sdj'!$B30,'ELC_Gen-sdj'!$AA$4:$AC$19,3,FALSE))</f>
        <v>5651.6864103869648</v>
      </c>
      <c r="E30" s="5">
        <f>VLOOKUP(E$22,ovrcst!$A$5:$W$36,VLOOKUP('ELC_Gen-sdj'!$B30,'ELC_Gen-sdj'!$AA$4:$AC$19,3,FALSE))</f>
        <v>5513.4993360488797</v>
      </c>
      <c r="F30" s="5">
        <f>VLOOKUP(F$22,ovrcst!$A$5:$W$36,VLOOKUP('ELC_Gen-sdj'!$B30,'ELC_Gen-sdj'!$AA$4:$AC$19,3,FALSE))</f>
        <v>5427.627470468432</v>
      </c>
      <c r="G30" s="5">
        <f>VLOOKUP(G$22,ovrcst!$A$5:$W$36,VLOOKUP('ELC_Gen-sdj'!$B30,'ELC_Gen-sdj'!$AA$4:$AC$19,3,FALSE))</f>
        <v>5366.8807077393076</v>
      </c>
      <c r="H30" s="5">
        <f>VLOOKUP(H$22,ovrcst!$A$5:$W$36,VLOOKUP('ELC_Gen-sdj'!$B30,'ELC_Gen-sdj'!$AA$4:$AC$19,3,FALSE))</f>
        <v>5317.9441863543789</v>
      </c>
      <c r="I30" s="5">
        <f>VLOOKUP(I$22,ovrcst!$A$5:$W$36,VLOOKUP('ELC_Gen-sdj'!$B30,'ELC_Gen-sdj'!$AA$4:$AC$19,3,FALSE))</f>
        <v>5278.0965580448074</v>
      </c>
      <c r="J30" s="5">
        <f>VLOOKUP(J$22,ovrcst!$A$5:$W$36,VLOOKUP('ELC_Gen-sdj'!$B30,'ELC_Gen-sdj'!$AA$4:$AC$19,3,FALSE))</f>
        <v>5225.5754959266806</v>
      </c>
      <c r="K30" s="5">
        <f>VLOOKUP(K$22,ovrcst!$A$5:$W$36,VLOOKUP('ELC_Gen-sdj'!$B30,'ELC_Gen-sdj'!$AA$4:$AC$19,3,FALSE))</f>
        <v>5162.7493116089618</v>
      </c>
      <c r="L30" s="5">
        <f>VLOOKUP(L$22,ovrcst!$A$5:$W$36,VLOOKUP('ELC_Gen-sdj'!$B30,'ELC_Gen-sdj'!$AA$4:$AC$19,3,FALSE))</f>
        <v>5092.6073625254576</v>
      </c>
      <c r="M30" s="5">
        <f>VLOOKUP(M$22,ovrcst!$A$5:$W$36,VLOOKUP('ELC_Gen-sdj'!$B30,'ELC_Gen-sdj'!$AA$4:$AC$19,3,FALSE))</f>
        <v>5020.642065173116</v>
      </c>
      <c r="N30" s="5">
        <f>VLOOKUP(N$22,ovrcst!$A$5:$W$36,VLOOKUP('ELC_Gen-sdj'!$B30,'ELC_Gen-sdj'!$AA$4:$AC$19,3,FALSE))</f>
        <v>4957.238097759674</v>
      </c>
      <c r="O30" s="5">
        <f>VLOOKUP(O$22,ovrcst!$A$5:$W$36,VLOOKUP('ELC_Gen-sdj'!$B30,'ELC_Gen-sdj'!$AA$4:$AC$19,3,FALSE))</f>
        <v>4894.1573319755598</v>
      </c>
      <c r="P30" s="5">
        <f>VLOOKUP(P$22,ovrcst!$A$5:$W$36,VLOOKUP('ELC_Gen-sdj'!$B30,'ELC_Gen-sdj'!$AA$4:$AC$19,3,FALSE))</f>
        <v>4831.2734694501023</v>
      </c>
      <c r="Q30" s="5">
        <f>VLOOKUP(Q$22,ovrcst!$A$5:$W$36,VLOOKUP('ELC_Gen-sdj'!$B30,'ELC_Gen-sdj'!$AA$4:$AC$19,3,FALSE))</f>
        <v>4771.2183564154784</v>
      </c>
      <c r="R30" s="5">
        <f>VLOOKUP(R$22,ovrcst!$A$5:$W$36,VLOOKUP('ELC_Gen-sdj'!$B30,'ELC_Gen-sdj'!$AA$4:$AC$19,3,FALSE))</f>
        <v>4711.9339521384927</v>
      </c>
      <c r="S30" s="5">
        <f>VLOOKUP(S$22,ovrcst!$A$5:$W$36,VLOOKUP('ELC_Gen-sdj'!$B30,'ELC_Gen-sdj'!$AA$4:$AC$19,3,FALSE))</f>
        <v>4649.7412403258659</v>
      </c>
      <c r="T30" s="5">
        <f>VLOOKUP(T$22,ovrcst!$A$5:$W$36,VLOOKUP('ELC_Gen-sdj'!$B30,'ELC_Gen-sdj'!$AA$4:$AC$19,3,FALSE))</f>
        <v>4590.5418625254579</v>
      </c>
      <c r="U30" s="5">
        <f>VLOOKUP(U$22,ovrcst!$A$5:$W$36,VLOOKUP('ELC_Gen-sdj'!$B30,'ELC_Gen-sdj'!$AA$4:$AC$19,3,FALSE))</f>
        <v>4532.315069246436</v>
      </c>
      <c r="V30" s="5">
        <f>VLOOKUP(V$22,ovrcst!$A$5:$W$36,VLOOKUP('ELC_Gen-sdj'!$B30,'ELC_Gen-sdj'!$AA$4:$AC$19,3,FALSE))</f>
        <v>4476.1254338085537</v>
      </c>
      <c r="W30" s="5">
        <f>VLOOKUP(W$22,ovrcst!$A$5:$W$36,VLOOKUP('ELC_Gen-sdj'!$B30,'ELC_Gen-sdj'!$AA$4:$AC$19,3,FALSE))</f>
        <v>4419.474366598778</v>
      </c>
      <c r="X30" s="5">
        <f>VLOOKUP(X$22,ovrcst!$A$5:$W$36,VLOOKUP('ELC_Gen-sdj'!$B30,'ELC_Gen-sdj'!$AA$4:$AC$19,3,FALSE))</f>
        <v>4364.7306792260697</v>
      </c>
      <c r="Y30" s="5">
        <f>VLOOKUP(Y$22,ovrcst!$A$5:$W$36,VLOOKUP('ELC_Gen-sdj'!$B30,'ELC_Gen-sdj'!$AA$4:$AC$19,3,FALSE))</f>
        <v>4311.2981914460288</v>
      </c>
      <c r="Z30" s="5">
        <f>VLOOKUP(Z$22,ovrcst!$A$5:$W$36,VLOOKUP('ELC_Gen-sdj'!$B30,'ELC_Gen-sdj'!$AA$4:$AC$19,3,FALSE))</f>
        <v>4254.7545264765786</v>
      </c>
      <c r="AA30" s="5">
        <f>VLOOKUP(AA$22,ovrcst!$A$5:$W$36,VLOOKUP('ELC_Gen-sdj'!$B30,'ELC_Gen-sdj'!$AA$4:$AC$19,3,FALSE))</f>
        <v>4204.7201181262726</v>
      </c>
      <c r="AB30" s="5">
        <f>VLOOKUP(AB$22,ovrcst!$A$5:$W$36,VLOOKUP('ELC_Gen-sdj'!$B30,'ELC_Gen-sdj'!$AA$4:$AC$19,3,FALSE))</f>
        <v>4149.4130682281057</v>
      </c>
      <c r="AC30" s="5">
        <f>VLOOKUP(AC$22,ovrcst!$A$5:$W$36,VLOOKUP('ELC_Gen-sdj'!$B30,'ELC_Gen-sdj'!$AA$4:$AC$19,3,FALSE))</f>
        <v>4099.6024134419549</v>
      </c>
      <c r="AD30" s="5">
        <f>VLOOKUP(AD$22,ovrcst!$A$5:$W$36,VLOOKUP('ELC_Gen-sdj'!$B30,'ELC_Gen-sdj'!$AA$4:$AC$19,3,FALSE))</f>
        <v>4045.5374470468432</v>
      </c>
      <c r="AE30" s="5">
        <f>VLOOKUP(AE$22,ovrcst!$A$5:$W$36,VLOOKUP('ELC_Gen-sdj'!$B30,'ELC_Gen-sdj'!$AA$4:$AC$19,3,FALSE))</f>
        <v>3995.2867433808556</v>
      </c>
      <c r="AF30" s="5">
        <f>VLOOKUP(AF$22,ovrcst!$A$5:$W$36,VLOOKUP('ELC_Gen-sdj'!$B30,'ELC_Gen-sdj'!$AA$4:$AC$19,3,FALSE))</f>
        <v>3945.0531934826881</v>
      </c>
      <c r="AG30" s="5">
        <f>VLOOKUP(AG$22,ovrcst!$A$5:$W$36,VLOOKUP('ELC_Gen-sdj'!$B30,'ELC_Gen-sdj'!$AA$4:$AC$19,3,FALSE))</f>
        <v>3894.9128747454174</v>
      </c>
      <c r="AH30" s="5">
        <f>VLOOKUP(AH$22,ovrcst!$A$5:$W$36,VLOOKUP('ELC_Gen-sdj'!$B30,'ELC_Gen-sdj'!$AA$4:$AC$19,3,FALSE))</f>
        <v>3845.2213075356417</v>
      </c>
    </row>
    <row r="31" spans="2:34">
      <c r="B31" s="35" t="str">
        <f t="shared" si="2"/>
        <v>EN_OilCCAdv</v>
      </c>
      <c r="C31" s="41">
        <f>C25*1.3</f>
        <v>1032.7713706978968</v>
      </c>
      <c r="D31" s="41">
        <f t="shared" ref="D31:Z31" si="3">D25*1.3</f>
        <v>1022.3699390535373</v>
      </c>
      <c r="E31" s="41">
        <f t="shared" si="3"/>
        <v>998.53449928298278</v>
      </c>
      <c r="F31" s="41">
        <f t="shared" si="3"/>
        <v>984.13711759082219</v>
      </c>
      <c r="G31" s="41">
        <f t="shared" si="3"/>
        <v>951.76755138623309</v>
      </c>
      <c r="H31" s="41">
        <f t="shared" si="3"/>
        <v>937.25178895793499</v>
      </c>
      <c r="I31" s="41">
        <f t="shared" si="3"/>
        <v>923.9280652485661</v>
      </c>
      <c r="J31" s="41">
        <f t="shared" si="3"/>
        <v>909.13323972275327</v>
      </c>
      <c r="K31" s="41">
        <f t="shared" si="3"/>
        <v>893.27934392925431</v>
      </c>
      <c r="L31" s="41">
        <f t="shared" si="3"/>
        <v>879.65620578393884</v>
      </c>
      <c r="M31" s="41">
        <f t="shared" si="3"/>
        <v>865.80185348948362</v>
      </c>
      <c r="N31" s="41">
        <f t="shared" si="3"/>
        <v>855.15140774378574</v>
      </c>
      <c r="O31" s="41">
        <f t="shared" si="3"/>
        <v>844.96755258126177</v>
      </c>
      <c r="P31" s="41">
        <f t="shared" si="3"/>
        <v>833.77283819311651</v>
      </c>
      <c r="Q31" s="41">
        <f t="shared" si="3"/>
        <v>823.96862810707466</v>
      </c>
      <c r="R31" s="41">
        <f t="shared" si="3"/>
        <v>813.63590463671119</v>
      </c>
      <c r="S31" s="41">
        <f t="shared" si="3"/>
        <v>803.61958891013387</v>
      </c>
      <c r="T31" s="41">
        <f t="shared" si="3"/>
        <v>793.62289435946457</v>
      </c>
      <c r="U31" s="41">
        <f t="shared" si="3"/>
        <v>784.79905473231361</v>
      </c>
      <c r="V31" s="41">
        <f t="shared" si="3"/>
        <v>777.2606871414913</v>
      </c>
      <c r="W31" s="41">
        <f t="shared" si="3"/>
        <v>769.60802581261964</v>
      </c>
      <c r="X31" s="41">
        <f t="shared" si="3"/>
        <v>762.25353728489472</v>
      </c>
      <c r="Y31" s="41">
        <f t="shared" si="3"/>
        <v>755.09532743785849</v>
      </c>
      <c r="Z31" s="41">
        <f t="shared" si="3"/>
        <v>747.35783699808803</v>
      </c>
      <c r="AA31" s="5">
        <f>VLOOKUP(AA$22,ovrcst!$A$5:$W$36,VLOOKUP('ELC_Gen-sdj'!$B31,'ELC_Gen-sdj'!$AA$4:$AC$19,3,FALSE))</f>
        <v>469.65517412339614</v>
      </c>
      <c r="AB31" s="5">
        <f>VLOOKUP(AB$22,ovrcst!$A$5:$W$36,VLOOKUP('ELC_Gen-sdj'!$B31,'ELC_Gen-sdj'!$AA$4:$AC$19,3,FALSE))</f>
        <v>465.07507586444302</v>
      </c>
      <c r="AC31" s="5">
        <f>VLOOKUP(AC$22,ovrcst!$A$5:$W$36,VLOOKUP('ELC_Gen-sdj'!$B31,'ELC_Gen-sdj'!$AA$4:$AC$19,3,FALSE))</f>
        <v>461.08628247391044</v>
      </c>
      <c r="AD31" s="5">
        <f>VLOOKUP(AD$22,ovrcst!$A$5:$W$36,VLOOKUP('ELC_Gen-sdj'!$B31,'ELC_Gen-sdj'!$AA$4:$AC$19,3,FALSE))</f>
        <v>456.59451063224731</v>
      </c>
      <c r="AE31" s="5">
        <f>VLOOKUP(AE$22,ovrcst!$A$5:$W$36,VLOOKUP('ELC_Gen-sdj'!$B31,'ELC_Gen-sdj'!$AA$4:$AC$19,3,FALSE))</f>
        <v>452.50808410008494</v>
      </c>
      <c r="AF31" s="5">
        <f>VLOOKUP(AF$22,ovrcst!$A$5:$W$36,VLOOKUP('ELC_Gen-sdj'!$B31,'ELC_Gen-sdj'!$AA$4:$AC$19,3,FALSE))</f>
        <v>448.39967652374338</v>
      </c>
      <c r="AG31" s="5">
        <f>VLOOKUP(AG$22,ovrcst!$A$5:$W$36,VLOOKUP('ELC_Gen-sdj'!$B31,'ELC_Gen-sdj'!$AA$4:$AC$19,3,FALSE))</f>
        <v>444.27762270208376</v>
      </c>
      <c r="AH31" s="5">
        <f>VLOOKUP(AH$22,ovrcst!$A$5:$W$36,VLOOKUP('ELC_Gen-sdj'!$B31,'ELC_Gen-sdj'!$AA$4:$AC$19,3,FALSE))</f>
        <v>440.18226175197276</v>
      </c>
    </row>
    <row r="32" spans="2:34">
      <c r="B32" s="36" t="str">
        <f t="shared" si="2"/>
        <v>EN_NuclearAdv</v>
      </c>
      <c r="C32" s="5">
        <f>VLOOKUP(C$22,ovrcst!$A$5:$W$36,VLOOKUP('ELC_Gen-sdj'!$B32,'ELC_Gen-sdj'!$AA$4:$AC$19,3,FALSE))</f>
        <v>6034.2658544366905</v>
      </c>
      <c r="D32" s="5">
        <f>VLOOKUP(D$22,ovrcst!$A$5:$W$36,VLOOKUP('ELC_Gen-sdj'!$B32,'ELC_Gen-sdj'!$AA$4:$AC$19,3,FALSE))</f>
        <v>5962.7387367896317</v>
      </c>
      <c r="E32" s="5">
        <f>VLOOKUP(E$22,ovrcst!$A$5:$W$36,VLOOKUP('ELC_Gen-sdj'!$B32,'ELC_Gen-sdj'!$AA$4:$AC$19,3,FALSE))</f>
        <v>5813.1538005982065</v>
      </c>
      <c r="F32" s="5">
        <f>VLOOKUP(F$22,ovrcst!$A$5:$W$36,VLOOKUP('ELC_Gen-sdj'!$B32,'ELC_Gen-sdj'!$AA$4:$AC$19,3,FALSE))</f>
        <v>5718.8483379860418</v>
      </c>
      <c r="G32" s="5">
        <f>VLOOKUP(G$22,ovrcst!$A$5:$W$36,VLOOKUP('ELC_Gen-sdj'!$B32,'ELC_Gen-sdj'!$AA$4:$AC$19,3,FALSE))</f>
        <v>5651.0838574277177</v>
      </c>
      <c r="H32" s="5">
        <f>VLOOKUP(H$22,ovrcst!$A$5:$W$36,VLOOKUP('ELC_Gen-sdj'!$B32,'ELC_Gen-sdj'!$AA$4:$AC$19,3,FALSE))</f>
        <v>5595.7970817547366</v>
      </c>
      <c r="I32" s="5">
        <f>VLOOKUP(I$22,ovrcst!$A$5:$W$36,VLOOKUP('ELC_Gen-sdj'!$B32,'ELC_Gen-sdj'!$AA$4:$AC$19,3,FALSE))</f>
        <v>5550.1031086739786</v>
      </c>
      <c r="J32" s="5">
        <f>VLOOKUP(J$22,ovrcst!$A$5:$W$36,VLOOKUP('ELC_Gen-sdj'!$B32,'ELC_Gen-sdj'!$AA$4:$AC$19,3,FALSE))</f>
        <v>5491.1155204386851</v>
      </c>
      <c r="K32" s="5">
        <f>VLOOKUP(K$22,ovrcst!$A$5:$W$36,VLOOKUP('ELC_Gen-sdj'!$B32,'ELC_Gen-sdj'!$AA$4:$AC$19,3,FALSE))</f>
        <v>5421.3467996011968</v>
      </c>
      <c r="L32" s="5">
        <f>VLOOKUP(L$22,ovrcst!$A$5:$W$36,VLOOKUP('ELC_Gen-sdj'!$B32,'ELC_Gen-sdj'!$AA$4:$AC$19,3,FALSE))</f>
        <v>5343.9588464606186</v>
      </c>
      <c r="M32" s="5">
        <f>VLOOKUP(M$22,ovrcst!$A$5:$W$36,VLOOKUP('ELC_Gen-sdj'!$B32,'ELC_Gen-sdj'!$AA$4:$AC$19,3,FALSE))</f>
        <v>5264.7273020937191</v>
      </c>
      <c r="N32" s="5">
        <f>VLOOKUP(N$22,ovrcst!$A$5:$W$36,VLOOKUP('ELC_Gen-sdj'!$B32,'ELC_Gen-sdj'!$AA$4:$AC$19,3,FALSE))</f>
        <v>5194.5399152542377</v>
      </c>
      <c r="O32" s="5">
        <f>VLOOKUP(O$22,ovrcst!$A$5:$W$36,VLOOKUP('ELC_Gen-sdj'!$B32,'ELC_Gen-sdj'!$AA$4:$AC$19,3,FALSE))</f>
        <v>5124.7502612163516</v>
      </c>
      <c r="P32" s="5">
        <f>VLOOKUP(P$22,ovrcst!$A$5:$W$36,VLOOKUP('ELC_Gen-sdj'!$B32,'ELC_Gen-sdj'!$AA$4:$AC$19,3,FALSE))</f>
        <v>5055.228844466601</v>
      </c>
      <c r="Q32" s="5">
        <f>VLOOKUP(Q$22,ovrcst!$A$5:$W$36,VLOOKUP('ELC_Gen-sdj'!$B32,'ELC_Gen-sdj'!$AA$4:$AC$19,3,FALSE))</f>
        <v>4988.7247437686947</v>
      </c>
      <c r="R32" s="5">
        <f>VLOOKUP(R$22,ovrcst!$A$5:$W$36,VLOOKUP('ELC_Gen-sdj'!$B32,'ELC_Gen-sdj'!$AA$4:$AC$19,3,FALSE))</f>
        <v>4923.0847497507484</v>
      </c>
      <c r="S32" s="5">
        <f>VLOOKUP(S$22,ovrcst!$A$5:$W$36,VLOOKUP('ELC_Gen-sdj'!$B32,'ELC_Gen-sdj'!$AA$4:$AC$19,3,FALSE))</f>
        <v>4854.4663858424728</v>
      </c>
      <c r="T32" s="5">
        <f>VLOOKUP(T$22,ovrcst!$A$5:$W$36,VLOOKUP('ELC_Gen-sdj'!$B32,'ELC_Gen-sdj'!$AA$4:$AC$19,3,FALSE))</f>
        <v>4789.0337776669994</v>
      </c>
      <c r="U32" s="5">
        <f>VLOOKUP(U$22,ovrcst!$A$5:$W$36,VLOOKUP('ELC_Gen-sdj'!$B32,'ELC_Gen-sdj'!$AA$4:$AC$19,3,FALSE))</f>
        <v>4724.6736350947167</v>
      </c>
      <c r="V32" s="5">
        <f>VLOOKUP(V$22,ovrcst!$A$5:$W$36,VLOOKUP('ELC_Gen-sdj'!$B32,'ELC_Gen-sdj'!$AA$4:$AC$19,3,FALSE))</f>
        <v>4662.4929900299112</v>
      </c>
      <c r="W32" s="5">
        <f>VLOOKUP(W$22,ovrcst!$A$5:$W$36,VLOOKUP('ELC_Gen-sdj'!$B32,'ELC_Gen-sdj'!$AA$4:$AC$19,3,FALSE))</f>
        <v>4599.8883230309075</v>
      </c>
      <c r="X32" s="5">
        <f>VLOOKUP(X$22,ovrcst!$A$5:$W$36,VLOOKUP('ELC_Gen-sdj'!$B32,'ELC_Gen-sdj'!$AA$4:$AC$19,3,FALSE))</f>
        <v>4539.3253828514462</v>
      </c>
      <c r="Y32" s="5">
        <f>VLOOKUP(Y$22,ovrcst!$A$5:$W$36,VLOOKUP('ELC_Gen-sdj'!$B32,'ELC_Gen-sdj'!$AA$4:$AC$19,3,FALSE))</f>
        <v>4480.1800648055842</v>
      </c>
      <c r="Z32" s="5">
        <f>VLOOKUP(Z$22,ovrcst!$A$5:$W$36,VLOOKUP('ELC_Gen-sdj'!$B32,'ELC_Gen-sdj'!$AA$4:$AC$19,3,FALSE))</f>
        <v>4417.8577547357927</v>
      </c>
      <c r="AA32" s="5">
        <f>VLOOKUP(AA$22,ovrcst!$A$5:$W$36,VLOOKUP('ELC_Gen-sdj'!$B32,'ELC_Gen-sdj'!$AA$4:$AC$19,3,FALSE))</f>
        <v>4362.3494745762719</v>
      </c>
      <c r="AB32" s="5">
        <f>VLOOKUP(AB$22,ovrcst!$A$5:$W$36,VLOOKUP('ELC_Gen-sdj'!$B32,'ELC_Gen-sdj'!$AA$4:$AC$19,3,FALSE))</f>
        <v>4301.4243399800598</v>
      </c>
      <c r="AC32" s="5">
        <f>VLOOKUP(AC$22,ovrcst!$A$5:$W$36,VLOOKUP('ELC_Gen-sdj'!$B32,'ELC_Gen-sdj'!$AA$4:$AC$19,3,FALSE))</f>
        <v>4246.250993020938</v>
      </c>
      <c r="AD32" s="5">
        <f>VLOOKUP(AD$22,ovrcst!$A$5:$W$36,VLOOKUP('ELC_Gen-sdj'!$B32,'ELC_Gen-sdj'!$AA$4:$AC$19,3,FALSE))</f>
        <v>4186.7269282153538</v>
      </c>
      <c r="AE32" s="5">
        <f>VLOOKUP(AE$22,ovrcst!$A$5:$W$36,VLOOKUP('ELC_Gen-sdj'!$B32,'ELC_Gen-sdj'!$AA$4:$AC$19,3,FALSE))</f>
        <v>4131.205504486541</v>
      </c>
      <c r="AF32" s="5">
        <f>VLOOKUP(AF$22,ovrcst!$A$5:$W$36,VLOOKUP('ELC_Gen-sdj'!$B32,'ELC_Gen-sdj'!$AA$4:$AC$19,3,FALSE))</f>
        <v>4075.7544257228319</v>
      </c>
      <c r="AG32" s="5">
        <f>VLOOKUP(AG$22,ovrcst!$A$5:$W$36,VLOOKUP('ELC_Gen-sdj'!$B32,'ELC_Gen-sdj'!$AA$4:$AC$19,3,FALSE))</f>
        <v>4020.4532881355935</v>
      </c>
      <c r="AH32" s="5">
        <f>VLOOKUP(AH$22,ovrcst!$A$5:$W$36,VLOOKUP('ELC_Gen-sdj'!$B32,'ELC_Gen-sdj'!$AA$4:$AC$19,3,FALSE))</f>
        <v>3965.6701286141583</v>
      </c>
    </row>
    <row r="35" spans="2:34">
      <c r="B35" s="36" t="s">
        <v>128</v>
      </c>
    </row>
    <row r="36" spans="2:34">
      <c r="B36" s="36" t="s">
        <v>0</v>
      </c>
      <c r="C36" s="36">
        <v>2019</v>
      </c>
      <c r="D36" s="36">
        <v>2020</v>
      </c>
      <c r="E36" s="36">
        <v>2021</v>
      </c>
      <c r="F36" s="36">
        <v>2022</v>
      </c>
      <c r="G36" s="36">
        <v>2023</v>
      </c>
      <c r="H36" s="36">
        <v>2024</v>
      </c>
      <c r="I36" s="36">
        <v>2025</v>
      </c>
      <c r="J36" s="36">
        <v>2026</v>
      </c>
      <c r="K36" s="36">
        <v>2027</v>
      </c>
      <c r="L36" s="36">
        <v>2028</v>
      </c>
      <c r="M36" s="36">
        <v>2029</v>
      </c>
      <c r="N36" s="36">
        <v>2030</v>
      </c>
      <c r="O36" s="36">
        <v>2031</v>
      </c>
      <c r="P36" s="36">
        <v>2032</v>
      </c>
      <c r="Q36" s="36">
        <v>2033</v>
      </c>
      <c r="R36" s="36">
        <v>2034</v>
      </c>
      <c r="S36" s="36">
        <v>2035</v>
      </c>
      <c r="T36" s="36">
        <v>2036</v>
      </c>
      <c r="U36" s="36">
        <v>2037</v>
      </c>
      <c r="V36" s="36">
        <v>2038</v>
      </c>
      <c r="W36" s="36">
        <v>2039</v>
      </c>
      <c r="X36" s="36">
        <v>2040</v>
      </c>
      <c r="Y36" s="36">
        <v>2041</v>
      </c>
      <c r="Z36" s="36">
        <v>2042</v>
      </c>
      <c r="AA36" s="36">
        <v>2043</v>
      </c>
      <c r="AB36" s="36">
        <v>2044</v>
      </c>
      <c r="AC36" s="36">
        <v>2045</v>
      </c>
      <c r="AD36" s="36">
        <v>2046</v>
      </c>
      <c r="AE36" s="36">
        <v>2047</v>
      </c>
      <c r="AF36" s="36">
        <v>2048</v>
      </c>
      <c r="AG36" s="36">
        <v>2049</v>
      </c>
      <c r="AH36" s="36">
        <v>2050</v>
      </c>
    </row>
    <row r="37" spans="2:34">
      <c r="B37" s="36" t="str">
        <f>B23</f>
        <v>EN_ZCOAIGCC</v>
      </c>
      <c r="C37" s="34">
        <f>VLOOKUP(C$22,heatrate!$K$5:$T$36,VLOOKUP('ELC_Gen-sdj'!$B37,'ELC_Gen-sdj'!$AA$4:$AD$19,4,FALSE))</f>
        <v>0.2929031995606452</v>
      </c>
      <c r="D37" s="34">
        <f>VLOOKUP(D$22,heatrate!$K$5:$T$36,VLOOKUP('ELC_Gen-sdj'!$B37,'ELC_Gen-sdj'!$AA$4:$AD$19,4,FALSE))</f>
        <v>0.2929031995606452</v>
      </c>
      <c r="E37" s="34">
        <f>VLOOKUP(E$22,heatrate!$K$5:$T$36,VLOOKUP('ELC_Gen-sdj'!$B37,'ELC_Gen-sdj'!$AA$4:$AD$19,4,FALSE))</f>
        <v>0.2929031995606452</v>
      </c>
      <c r="F37" s="34">
        <f>VLOOKUP(F$22,heatrate!$K$5:$T$36,VLOOKUP('ELC_Gen-sdj'!$B37,'ELC_Gen-sdj'!$AA$4:$AD$19,4,FALSE))</f>
        <v>0.2929031995606452</v>
      </c>
      <c r="G37" s="34">
        <f>VLOOKUP(G$22,heatrate!$K$5:$T$36,VLOOKUP('ELC_Gen-sdj'!$B37,'ELC_Gen-sdj'!$AA$4:$AD$19,4,FALSE))</f>
        <v>0.31443212903397061</v>
      </c>
      <c r="H37" s="34">
        <f>VLOOKUP(H$22,heatrate!$K$5:$T$36,VLOOKUP('ELC_Gen-sdj'!$B37,'ELC_Gen-sdj'!$AA$4:$AD$19,4,FALSE))</f>
        <v>0.3393769667254069</v>
      </c>
      <c r="I37" s="34">
        <f>VLOOKUP(I$22,heatrate!$K$5:$T$36,VLOOKUP('ELC_Gen-sdj'!$B37,'ELC_Gen-sdj'!$AA$4:$AD$19,4,FALSE))</f>
        <v>0.36862074914999637</v>
      </c>
      <c r="J37" s="34">
        <f>VLOOKUP(J$22,heatrate!$K$5:$T$36,VLOOKUP('ELC_Gen-sdj'!$B37,'ELC_Gen-sdj'!$AA$4:$AD$19,4,FALSE))</f>
        <v>0.36862074914999637</v>
      </c>
      <c r="K37" s="34">
        <f>VLOOKUP(K$22,heatrate!$K$5:$T$36,VLOOKUP('ELC_Gen-sdj'!$B37,'ELC_Gen-sdj'!$AA$4:$AD$19,4,FALSE))</f>
        <v>0.36862074914999637</v>
      </c>
      <c r="L37" s="34">
        <f>VLOOKUP(L$22,heatrate!$K$5:$T$36,VLOOKUP('ELC_Gen-sdj'!$B37,'ELC_Gen-sdj'!$AA$4:$AD$19,4,FALSE))</f>
        <v>0.36862074914999637</v>
      </c>
      <c r="M37" s="34">
        <f>VLOOKUP(M$22,heatrate!$K$5:$T$36,VLOOKUP('ELC_Gen-sdj'!$B37,'ELC_Gen-sdj'!$AA$4:$AD$19,4,FALSE))</f>
        <v>0.36862074914999637</v>
      </c>
      <c r="N37" s="34">
        <f>VLOOKUP(N$22,heatrate!$K$5:$T$36,VLOOKUP('ELC_Gen-sdj'!$B37,'ELC_Gen-sdj'!$AA$4:$AD$19,4,FALSE))</f>
        <v>0.36862074914999637</v>
      </c>
      <c r="O37" s="34">
        <f>VLOOKUP(O$22,heatrate!$K$5:$T$36,VLOOKUP('ELC_Gen-sdj'!$B37,'ELC_Gen-sdj'!$AA$4:$AD$19,4,FALSE))</f>
        <v>0.36862074914999637</v>
      </c>
      <c r="P37" s="34">
        <f>VLOOKUP(P$22,heatrate!$K$5:$T$36,VLOOKUP('ELC_Gen-sdj'!$B37,'ELC_Gen-sdj'!$AA$4:$AD$19,4,FALSE))</f>
        <v>0.36862074914999637</v>
      </c>
      <c r="Q37" s="34">
        <f>VLOOKUP(Q$22,heatrate!$K$5:$T$36,VLOOKUP('ELC_Gen-sdj'!$B37,'ELC_Gen-sdj'!$AA$4:$AD$19,4,FALSE))</f>
        <v>0.36862074914999637</v>
      </c>
      <c r="R37" s="34">
        <f>VLOOKUP(R$22,heatrate!$K$5:$T$36,VLOOKUP('ELC_Gen-sdj'!$B37,'ELC_Gen-sdj'!$AA$4:$AD$19,4,FALSE))</f>
        <v>0.36862074914999637</v>
      </c>
      <c r="S37" s="34">
        <f>VLOOKUP(S$22,heatrate!$K$5:$T$36,VLOOKUP('ELC_Gen-sdj'!$B37,'ELC_Gen-sdj'!$AA$4:$AD$19,4,FALSE))</f>
        <v>0.36862074914999637</v>
      </c>
      <c r="T37" s="34">
        <f>VLOOKUP(T$22,heatrate!$K$5:$T$36,VLOOKUP('ELC_Gen-sdj'!$B37,'ELC_Gen-sdj'!$AA$4:$AD$19,4,FALSE))</f>
        <v>0.36862074914999637</v>
      </c>
      <c r="U37" s="34">
        <f>VLOOKUP(U$22,heatrate!$K$5:$T$36,VLOOKUP('ELC_Gen-sdj'!$B37,'ELC_Gen-sdj'!$AA$4:$AD$19,4,FALSE))</f>
        <v>0.36862074914999637</v>
      </c>
      <c r="V37" s="34">
        <f>VLOOKUP(V$22,heatrate!$K$5:$T$36,VLOOKUP('ELC_Gen-sdj'!$B37,'ELC_Gen-sdj'!$AA$4:$AD$19,4,FALSE))</f>
        <v>0.36862074914999637</v>
      </c>
      <c r="W37" s="34">
        <f>VLOOKUP(W$22,heatrate!$K$5:$T$36,VLOOKUP('ELC_Gen-sdj'!$B37,'ELC_Gen-sdj'!$AA$4:$AD$19,4,FALSE))</f>
        <v>0.36862074914999637</v>
      </c>
      <c r="X37" s="34">
        <f>VLOOKUP(X$22,heatrate!$K$5:$T$36,VLOOKUP('ELC_Gen-sdj'!$B37,'ELC_Gen-sdj'!$AA$4:$AD$19,4,FALSE))</f>
        <v>0.36862074914999637</v>
      </c>
      <c r="Y37" s="34">
        <f>VLOOKUP(Y$22,heatrate!$K$5:$T$36,VLOOKUP('ELC_Gen-sdj'!$B37,'ELC_Gen-sdj'!$AA$4:$AD$19,4,FALSE))</f>
        <v>0.36862074914999637</v>
      </c>
      <c r="Z37" s="34">
        <f>VLOOKUP(Z$22,heatrate!$K$5:$T$36,VLOOKUP('ELC_Gen-sdj'!$B37,'ELC_Gen-sdj'!$AA$4:$AD$19,4,FALSE))</f>
        <v>0.36862074914999637</v>
      </c>
      <c r="AA37" s="34">
        <f>VLOOKUP(AA$22,heatrate!$K$5:$T$36,VLOOKUP('ELC_Gen-sdj'!$B37,'ELC_Gen-sdj'!$AA$4:$AD$19,4,FALSE))</f>
        <v>0.36862074914999637</v>
      </c>
      <c r="AB37" s="34">
        <f>VLOOKUP(AB$22,heatrate!$K$5:$T$36,VLOOKUP('ELC_Gen-sdj'!$B37,'ELC_Gen-sdj'!$AA$4:$AD$19,4,FALSE))</f>
        <v>0.36862074914999637</v>
      </c>
      <c r="AC37" s="34">
        <f>VLOOKUP(AC$22,heatrate!$K$5:$T$36,VLOOKUP('ELC_Gen-sdj'!$B37,'ELC_Gen-sdj'!$AA$4:$AD$19,4,FALSE))</f>
        <v>0.36862074914999637</v>
      </c>
      <c r="AD37" s="34">
        <f>VLOOKUP(AD$22,heatrate!$K$5:$T$36,VLOOKUP('ELC_Gen-sdj'!$B37,'ELC_Gen-sdj'!$AA$4:$AD$19,4,FALSE))</f>
        <v>0.36862074914999637</v>
      </c>
      <c r="AE37" s="34">
        <f>VLOOKUP(AE$22,heatrate!$K$5:$T$36,VLOOKUP('ELC_Gen-sdj'!$B37,'ELC_Gen-sdj'!$AA$4:$AD$19,4,FALSE))</f>
        <v>0.36862074914999637</v>
      </c>
      <c r="AF37" s="34">
        <f>VLOOKUP(AF$22,heatrate!$K$5:$T$36,VLOOKUP('ELC_Gen-sdj'!$B37,'ELC_Gen-sdj'!$AA$4:$AD$19,4,FALSE))</f>
        <v>0.36862074914999637</v>
      </c>
      <c r="AG37" s="34">
        <f>VLOOKUP(AG$22,heatrate!$K$5:$T$36,VLOOKUP('ELC_Gen-sdj'!$B37,'ELC_Gen-sdj'!$AA$4:$AD$19,4,FALSE))</f>
        <v>0.36862074914999637</v>
      </c>
      <c r="AH37" s="34">
        <f>VLOOKUP(AH$22,heatrate!$K$5:$T$36,VLOOKUP('ELC_Gen-sdj'!$B37,'ELC_Gen-sdj'!$AA$4:$AD$19,4,FALSE))</f>
        <v>0.36862074914999637</v>
      </c>
    </row>
    <row r="38" spans="2:34">
      <c r="B38" s="36" t="str">
        <f t="shared" ref="B38:B42" si="4">B24</f>
        <v>EN_ZGasCCAdv</v>
      </c>
      <c r="C38" s="34">
        <f>VLOOKUP(C$22,heatrate!$K$5:$T$36,VLOOKUP('ELC_Gen-sdj'!$B38,'ELC_Gen-sdj'!$AA$4:$AD$19,4,FALSE))</f>
        <v>0.4534647541370786</v>
      </c>
      <c r="D38" s="34">
        <f>VLOOKUP(D$22,heatrate!$K$5:$T$36,VLOOKUP('ELC_Gen-sdj'!$B38,'ELC_Gen-sdj'!$AA$4:$AD$19,4,FALSE))</f>
        <v>0.4534647541370786</v>
      </c>
      <c r="E38" s="34">
        <f>VLOOKUP(E$22,heatrate!$K$5:$T$36,VLOOKUP('ELC_Gen-sdj'!$B38,'ELC_Gen-sdj'!$AA$4:$AD$19,4,FALSE))</f>
        <v>0.4534647541370786</v>
      </c>
      <c r="F38" s="34">
        <f>VLOOKUP(F$22,heatrate!$K$5:$T$36,VLOOKUP('ELC_Gen-sdj'!$B38,'ELC_Gen-sdj'!$AA$4:$AD$19,4,FALSE))</f>
        <v>0.45394735597732028</v>
      </c>
      <c r="G38" s="34">
        <f>VLOOKUP(G$22,heatrate!$K$5:$T$36,VLOOKUP('ELC_Gen-sdj'!$B38,'ELC_Gen-sdj'!$AA$4:$AD$19,4,FALSE))</f>
        <v>0.45443098613417449</v>
      </c>
      <c r="H38" s="34">
        <f>VLOOKUP(H$22,heatrate!$K$5:$T$36,VLOOKUP('ELC_Gen-sdj'!$B38,'ELC_Gen-sdj'!$AA$4:$AD$19,4,FALSE))</f>
        <v>0.45491564789781591</v>
      </c>
      <c r="I38" s="34">
        <f>VLOOKUP(I$22,heatrate!$K$5:$T$36,VLOOKUP('ELC_Gen-sdj'!$B38,'ELC_Gen-sdj'!$AA$4:$AD$19,4,FALSE))</f>
        <v>0.45540134457246989</v>
      </c>
      <c r="J38" s="34">
        <f>VLOOKUP(J$22,heatrate!$K$5:$T$36,VLOOKUP('ELC_Gen-sdj'!$B38,'ELC_Gen-sdj'!$AA$4:$AD$19,4,FALSE))</f>
        <v>0.45540134457246989</v>
      </c>
      <c r="K38" s="34">
        <f>VLOOKUP(K$22,heatrate!$K$5:$T$36,VLOOKUP('ELC_Gen-sdj'!$B38,'ELC_Gen-sdj'!$AA$4:$AD$19,4,FALSE))</f>
        <v>0.45540134457246989</v>
      </c>
      <c r="L38" s="34">
        <f>VLOOKUP(L$22,heatrate!$K$5:$T$36,VLOOKUP('ELC_Gen-sdj'!$B38,'ELC_Gen-sdj'!$AA$4:$AD$19,4,FALSE))</f>
        <v>0.45540134457246989</v>
      </c>
      <c r="M38" s="34">
        <f>VLOOKUP(M$22,heatrate!$K$5:$T$36,VLOOKUP('ELC_Gen-sdj'!$B38,'ELC_Gen-sdj'!$AA$4:$AD$19,4,FALSE))</f>
        <v>0.45540134457246989</v>
      </c>
      <c r="N38" s="34">
        <f>VLOOKUP(N$22,heatrate!$K$5:$T$36,VLOOKUP('ELC_Gen-sdj'!$B38,'ELC_Gen-sdj'!$AA$4:$AD$19,4,FALSE))</f>
        <v>0.45540134457246989</v>
      </c>
      <c r="O38" s="34">
        <f>VLOOKUP(O$22,heatrate!$K$5:$T$36,VLOOKUP('ELC_Gen-sdj'!$B38,'ELC_Gen-sdj'!$AA$4:$AD$19,4,FALSE))</f>
        <v>0.45540134457246989</v>
      </c>
      <c r="P38" s="34">
        <f>VLOOKUP(P$22,heatrate!$K$5:$T$36,VLOOKUP('ELC_Gen-sdj'!$B38,'ELC_Gen-sdj'!$AA$4:$AD$19,4,FALSE))</f>
        <v>0.45540134457246989</v>
      </c>
      <c r="Q38" s="34">
        <f>VLOOKUP(Q$22,heatrate!$K$5:$T$36,VLOOKUP('ELC_Gen-sdj'!$B38,'ELC_Gen-sdj'!$AA$4:$AD$19,4,FALSE))</f>
        <v>0.45540134457246989</v>
      </c>
      <c r="R38" s="34">
        <f>VLOOKUP(R$22,heatrate!$K$5:$T$36,VLOOKUP('ELC_Gen-sdj'!$B38,'ELC_Gen-sdj'!$AA$4:$AD$19,4,FALSE))</f>
        <v>0.45540134457246989</v>
      </c>
      <c r="S38" s="34">
        <f>VLOOKUP(S$22,heatrate!$K$5:$T$36,VLOOKUP('ELC_Gen-sdj'!$B38,'ELC_Gen-sdj'!$AA$4:$AD$19,4,FALSE))</f>
        <v>0.45540134457246989</v>
      </c>
      <c r="T38" s="34">
        <f>VLOOKUP(T$22,heatrate!$K$5:$T$36,VLOOKUP('ELC_Gen-sdj'!$B38,'ELC_Gen-sdj'!$AA$4:$AD$19,4,FALSE))</f>
        <v>0.45540134457246989</v>
      </c>
      <c r="U38" s="34">
        <f>VLOOKUP(U$22,heatrate!$K$5:$T$36,VLOOKUP('ELC_Gen-sdj'!$B38,'ELC_Gen-sdj'!$AA$4:$AD$19,4,FALSE))</f>
        <v>0.45540134457246989</v>
      </c>
      <c r="V38" s="34">
        <f>VLOOKUP(V$22,heatrate!$K$5:$T$36,VLOOKUP('ELC_Gen-sdj'!$B38,'ELC_Gen-sdj'!$AA$4:$AD$19,4,FALSE))</f>
        <v>0.45540134457246989</v>
      </c>
      <c r="W38" s="34">
        <f>VLOOKUP(W$22,heatrate!$K$5:$T$36,VLOOKUP('ELC_Gen-sdj'!$B38,'ELC_Gen-sdj'!$AA$4:$AD$19,4,FALSE))</f>
        <v>0.45540134457246989</v>
      </c>
      <c r="X38" s="34">
        <f>VLOOKUP(X$22,heatrate!$K$5:$T$36,VLOOKUP('ELC_Gen-sdj'!$B38,'ELC_Gen-sdj'!$AA$4:$AD$19,4,FALSE))</f>
        <v>0.45540134457246989</v>
      </c>
      <c r="Y38" s="34">
        <f>VLOOKUP(Y$22,heatrate!$K$5:$T$36,VLOOKUP('ELC_Gen-sdj'!$B38,'ELC_Gen-sdj'!$AA$4:$AD$19,4,FALSE))</f>
        <v>0.45540134457246989</v>
      </c>
      <c r="Z38" s="34">
        <f>VLOOKUP(Z$22,heatrate!$K$5:$T$36,VLOOKUP('ELC_Gen-sdj'!$B38,'ELC_Gen-sdj'!$AA$4:$AD$19,4,FALSE))</f>
        <v>0.45540134457246989</v>
      </c>
      <c r="AA38" s="34">
        <f>VLOOKUP(AA$22,heatrate!$K$5:$T$36,VLOOKUP('ELC_Gen-sdj'!$B38,'ELC_Gen-sdj'!$AA$4:$AD$19,4,FALSE))</f>
        <v>0.45540134457246989</v>
      </c>
      <c r="AB38" s="34">
        <f>VLOOKUP(AB$22,heatrate!$K$5:$T$36,VLOOKUP('ELC_Gen-sdj'!$B38,'ELC_Gen-sdj'!$AA$4:$AD$19,4,FALSE))</f>
        <v>0.45540134457246989</v>
      </c>
      <c r="AC38" s="34">
        <f>VLOOKUP(AC$22,heatrate!$K$5:$T$36,VLOOKUP('ELC_Gen-sdj'!$B38,'ELC_Gen-sdj'!$AA$4:$AD$19,4,FALSE))</f>
        <v>0.45540134457246989</v>
      </c>
      <c r="AD38" s="34">
        <f>VLOOKUP(AD$22,heatrate!$K$5:$T$36,VLOOKUP('ELC_Gen-sdj'!$B38,'ELC_Gen-sdj'!$AA$4:$AD$19,4,FALSE))</f>
        <v>0.45540134457246989</v>
      </c>
      <c r="AE38" s="34">
        <f>VLOOKUP(AE$22,heatrate!$K$5:$T$36,VLOOKUP('ELC_Gen-sdj'!$B38,'ELC_Gen-sdj'!$AA$4:$AD$19,4,FALSE))</f>
        <v>0.45540134457246989</v>
      </c>
      <c r="AF38" s="34">
        <f>VLOOKUP(AF$22,heatrate!$K$5:$T$36,VLOOKUP('ELC_Gen-sdj'!$B38,'ELC_Gen-sdj'!$AA$4:$AD$19,4,FALSE))</f>
        <v>0.45540134457246989</v>
      </c>
      <c r="AG38" s="34">
        <f>VLOOKUP(AG$22,heatrate!$K$5:$T$36,VLOOKUP('ELC_Gen-sdj'!$B38,'ELC_Gen-sdj'!$AA$4:$AD$19,4,FALSE))</f>
        <v>0.45540134457246989</v>
      </c>
      <c r="AH38" s="34">
        <f>VLOOKUP(AH$22,heatrate!$K$5:$T$36,VLOOKUP('ELC_Gen-sdj'!$B38,'ELC_Gen-sdj'!$AA$4:$AD$19,4,FALSE))</f>
        <v>0.45540134457246989</v>
      </c>
    </row>
    <row r="39" spans="2:34">
      <c r="B39" s="36" t="str">
        <f t="shared" si="4"/>
        <v>EN_GasCCAdv</v>
      </c>
      <c r="C39" s="34">
        <f>VLOOKUP(C$22,heatrate!$K$5:$T$36,VLOOKUP('ELC_Gen-sdj'!$B39,'ELC_Gen-sdj'!$AA$4:$AD$19,4,FALSE))</f>
        <v>0.54163845633039942</v>
      </c>
      <c r="D39" s="34">
        <f>VLOOKUP(D$22,heatrate!$K$5:$T$36,VLOOKUP('ELC_Gen-sdj'!$B39,'ELC_Gen-sdj'!$AA$4:$AD$19,4,FALSE))</f>
        <v>0.54163845633039942</v>
      </c>
      <c r="E39" s="34">
        <f>VLOOKUP(E$22,heatrate!$K$5:$T$36,VLOOKUP('ELC_Gen-sdj'!$B39,'ELC_Gen-sdj'!$AA$4:$AD$19,4,FALSE))</f>
        <v>0.54163845633039942</v>
      </c>
      <c r="F39" s="34">
        <f>VLOOKUP(F$22,heatrate!$K$5:$T$36,VLOOKUP('ELC_Gen-sdj'!$B39,'ELC_Gen-sdj'!$AA$4:$AD$19,4,FALSE))</f>
        <v>0.54379637846717399</v>
      </c>
      <c r="G39" s="34">
        <f>VLOOKUP(G$22,heatrate!$K$5:$T$36,VLOOKUP('ELC_Gen-sdj'!$B39,'ELC_Gen-sdj'!$AA$4:$AD$19,4,FALSE))</f>
        <v>0.54597156398104263</v>
      </c>
      <c r="H39" s="34">
        <f>VLOOKUP(H$22,heatrate!$K$5:$T$36,VLOOKUP('ELC_Gen-sdj'!$B39,'ELC_Gen-sdj'!$AA$4:$AD$19,4,FALSE))</f>
        <v>0.54816422086450067</v>
      </c>
      <c r="I39" s="34">
        <f>VLOOKUP(I$22,heatrate!$K$5:$T$36,VLOOKUP('ELC_Gen-sdj'!$B39,'ELC_Gen-sdj'!$AA$4:$AD$19,4,FALSE))</f>
        <v>0.55037456046476074</v>
      </c>
      <c r="J39" s="34">
        <f>VLOOKUP(J$22,heatrate!$K$5:$T$36,VLOOKUP('ELC_Gen-sdj'!$B39,'ELC_Gen-sdj'!$AA$4:$AD$19,4,FALSE))</f>
        <v>0.55037456046476074</v>
      </c>
      <c r="K39" s="34">
        <f>VLOOKUP(K$22,heatrate!$K$5:$T$36,VLOOKUP('ELC_Gen-sdj'!$B39,'ELC_Gen-sdj'!$AA$4:$AD$19,4,FALSE))</f>
        <v>0.55037456046476074</v>
      </c>
      <c r="L39" s="34">
        <f>VLOOKUP(L$22,heatrate!$K$5:$T$36,VLOOKUP('ELC_Gen-sdj'!$B39,'ELC_Gen-sdj'!$AA$4:$AD$19,4,FALSE))</f>
        <v>0.55037456046476074</v>
      </c>
      <c r="M39" s="34">
        <f>VLOOKUP(M$22,heatrate!$K$5:$T$36,VLOOKUP('ELC_Gen-sdj'!$B39,'ELC_Gen-sdj'!$AA$4:$AD$19,4,FALSE))</f>
        <v>0.55037456046476074</v>
      </c>
      <c r="N39" s="34">
        <f>VLOOKUP(N$22,heatrate!$K$5:$T$36,VLOOKUP('ELC_Gen-sdj'!$B39,'ELC_Gen-sdj'!$AA$4:$AD$19,4,FALSE))</f>
        <v>0.55037456046476074</v>
      </c>
      <c r="O39" s="34">
        <f>VLOOKUP(O$22,heatrate!$K$5:$T$36,VLOOKUP('ELC_Gen-sdj'!$B39,'ELC_Gen-sdj'!$AA$4:$AD$19,4,FALSE))</f>
        <v>0.55037456046476074</v>
      </c>
      <c r="P39" s="34">
        <f>VLOOKUP(P$22,heatrate!$K$5:$T$36,VLOOKUP('ELC_Gen-sdj'!$B39,'ELC_Gen-sdj'!$AA$4:$AD$19,4,FALSE))</f>
        <v>0.55037456046476074</v>
      </c>
      <c r="Q39" s="34">
        <f>VLOOKUP(Q$22,heatrate!$K$5:$T$36,VLOOKUP('ELC_Gen-sdj'!$B39,'ELC_Gen-sdj'!$AA$4:$AD$19,4,FALSE))</f>
        <v>0.55037456046476074</v>
      </c>
      <c r="R39" s="34">
        <f>VLOOKUP(R$22,heatrate!$K$5:$T$36,VLOOKUP('ELC_Gen-sdj'!$B39,'ELC_Gen-sdj'!$AA$4:$AD$19,4,FALSE))</f>
        <v>0.55037456046476074</v>
      </c>
      <c r="S39" s="34">
        <f>VLOOKUP(S$22,heatrate!$K$5:$T$36,VLOOKUP('ELC_Gen-sdj'!$B39,'ELC_Gen-sdj'!$AA$4:$AD$19,4,FALSE))</f>
        <v>0.55037456046476074</v>
      </c>
      <c r="T39" s="34">
        <f>VLOOKUP(T$22,heatrate!$K$5:$T$36,VLOOKUP('ELC_Gen-sdj'!$B39,'ELC_Gen-sdj'!$AA$4:$AD$19,4,FALSE))</f>
        <v>0.55037456046476074</v>
      </c>
      <c r="U39" s="34">
        <f>VLOOKUP(U$22,heatrate!$K$5:$T$36,VLOOKUP('ELC_Gen-sdj'!$B39,'ELC_Gen-sdj'!$AA$4:$AD$19,4,FALSE))</f>
        <v>0.55037456046476074</v>
      </c>
      <c r="V39" s="34">
        <f>VLOOKUP(V$22,heatrate!$K$5:$T$36,VLOOKUP('ELC_Gen-sdj'!$B39,'ELC_Gen-sdj'!$AA$4:$AD$19,4,FALSE))</f>
        <v>0.55037456046476074</v>
      </c>
      <c r="W39" s="34">
        <f>VLOOKUP(W$22,heatrate!$K$5:$T$36,VLOOKUP('ELC_Gen-sdj'!$B39,'ELC_Gen-sdj'!$AA$4:$AD$19,4,FALSE))</f>
        <v>0.55037456046476074</v>
      </c>
      <c r="X39" s="34">
        <f>VLOOKUP(X$22,heatrate!$K$5:$T$36,VLOOKUP('ELC_Gen-sdj'!$B39,'ELC_Gen-sdj'!$AA$4:$AD$19,4,FALSE))</f>
        <v>0.55037456046476074</v>
      </c>
      <c r="Y39" s="34">
        <f>VLOOKUP(Y$22,heatrate!$K$5:$T$36,VLOOKUP('ELC_Gen-sdj'!$B39,'ELC_Gen-sdj'!$AA$4:$AD$19,4,FALSE))</f>
        <v>0.55037456046476074</v>
      </c>
      <c r="Z39" s="34">
        <f>VLOOKUP(Z$22,heatrate!$K$5:$T$36,VLOOKUP('ELC_Gen-sdj'!$B39,'ELC_Gen-sdj'!$AA$4:$AD$19,4,FALSE))</f>
        <v>0.55037456046476074</v>
      </c>
      <c r="AA39" s="34">
        <f>VLOOKUP(AA$22,heatrate!$K$5:$T$36,VLOOKUP('ELC_Gen-sdj'!$B39,'ELC_Gen-sdj'!$AA$4:$AD$19,4,FALSE))</f>
        <v>0.55037456046476074</v>
      </c>
      <c r="AB39" s="34">
        <f>VLOOKUP(AB$22,heatrate!$K$5:$T$36,VLOOKUP('ELC_Gen-sdj'!$B39,'ELC_Gen-sdj'!$AA$4:$AD$19,4,FALSE))</f>
        <v>0.55037456046476074</v>
      </c>
      <c r="AC39" s="34">
        <f>VLOOKUP(AC$22,heatrate!$K$5:$T$36,VLOOKUP('ELC_Gen-sdj'!$B39,'ELC_Gen-sdj'!$AA$4:$AD$19,4,FALSE))</f>
        <v>0.55037456046476074</v>
      </c>
      <c r="AD39" s="34">
        <f>VLOOKUP(AD$22,heatrate!$K$5:$T$36,VLOOKUP('ELC_Gen-sdj'!$B39,'ELC_Gen-sdj'!$AA$4:$AD$19,4,FALSE))</f>
        <v>0.55037456046476074</v>
      </c>
      <c r="AE39" s="34">
        <f>VLOOKUP(AE$22,heatrate!$K$5:$T$36,VLOOKUP('ELC_Gen-sdj'!$B39,'ELC_Gen-sdj'!$AA$4:$AD$19,4,FALSE))</f>
        <v>0.55037456046476074</v>
      </c>
      <c r="AF39" s="34">
        <f>VLOOKUP(AF$22,heatrate!$K$5:$T$36,VLOOKUP('ELC_Gen-sdj'!$B39,'ELC_Gen-sdj'!$AA$4:$AD$19,4,FALSE))</f>
        <v>0.55037456046476074</v>
      </c>
      <c r="AG39" s="34">
        <f>VLOOKUP(AG$22,heatrate!$K$5:$T$36,VLOOKUP('ELC_Gen-sdj'!$B39,'ELC_Gen-sdj'!$AA$4:$AD$19,4,FALSE))</f>
        <v>0.55037456046476074</v>
      </c>
      <c r="AH39" s="34">
        <f>VLOOKUP(AH$22,heatrate!$K$5:$T$36,VLOOKUP('ELC_Gen-sdj'!$B39,'ELC_Gen-sdj'!$AA$4:$AD$19,4,FALSE))</f>
        <v>0.55037456046476074</v>
      </c>
    </row>
    <row r="40" spans="2:34">
      <c r="B40" s="36" t="str">
        <f t="shared" si="4"/>
        <v>EN_GasCC</v>
      </c>
      <c r="C40" s="34">
        <f>VLOOKUP(C$22,heatrate!$K$5:$T$36,VLOOKUP('ELC_Gen-sdj'!$B40,'ELC_Gen-sdj'!$AA$4:$AD$19,4,FALSE))</f>
        <v>0.51701852649719948</v>
      </c>
      <c r="D40" s="34">
        <f>VLOOKUP(D$22,heatrate!$K$5:$T$36,VLOOKUP('ELC_Gen-sdj'!$B40,'ELC_Gen-sdj'!$AA$4:$AD$19,4,FALSE))</f>
        <v>0.51701852649719948</v>
      </c>
      <c r="E40" s="34">
        <f>VLOOKUP(E$22,heatrate!$K$5:$T$36,VLOOKUP('ELC_Gen-sdj'!$B40,'ELC_Gen-sdj'!$AA$4:$AD$19,4,FALSE))</f>
        <v>0.51701852649719948</v>
      </c>
      <c r="F40" s="34">
        <f>VLOOKUP(F$22,heatrate!$K$5:$T$36,VLOOKUP('ELC_Gen-sdj'!$B40,'ELC_Gen-sdj'!$AA$4:$AD$19,4,FALSE))</f>
        <v>0.52196134223809054</v>
      </c>
      <c r="G40" s="34">
        <f>VLOOKUP(G$22,heatrate!$K$5:$T$36,VLOOKUP('ELC_Gen-sdj'!$B40,'ELC_Gen-sdj'!$AA$4:$AD$19,4,FALSE))</f>
        <v>0.52699957913228057</v>
      </c>
      <c r="H40" s="34">
        <f>VLOOKUP(H$22,heatrate!$K$5:$T$36,VLOOKUP('ELC_Gen-sdj'!$B40,'ELC_Gen-sdj'!$AA$4:$AD$19,4,FALSE))</f>
        <v>0.5321360272719714</v>
      </c>
      <c r="I40" s="34">
        <f>VLOOKUP(I$22,heatrate!$K$5:$T$36,VLOOKUP('ELC_Gen-sdj'!$B40,'ELC_Gen-sdj'!$AA$4:$AD$19,4,FALSE))</f>
        <v>0.53737358659551449</v>
      </c>
      <c r="J40" s="34">
        <f>VLOOKUP(J$22,heatrate!$K$5:$T$36,VLOOKUP('ELC_Gen-sdj'!$B40,'ELC_Gen-sdj'!$AA$4:$AD$19,4,FALSE))</f>
        <v>0.53737358659551449</v>
      </c>
      <c r="K40" s="34">
        <f>VLOOKUP(K$22,heatrate!$K$5:$T$36,VLOOKUP('ELC_Gen-sdj'!$B40,'ELC_Gen-sdj'!$AA$4:$AD$19,4,FALSE))</f>
        <v>0.53737358659551449</v>
      </c>
      <c r="L40" s="34">
        <f>VLOOKUP(L$22,heatrate!$K$5:$T$36,VLOOKUP('ELC_Gen-sdj'!$B40,'ELC_Gen-sdj'!$AA$4:$AD$19,4,FALSE))</f>
        <v>0.53737358659551449</v>
      </c>
      <c r="M40" s="34">
        <f>VLOOKUP(M$22,heatrate!$K$5:$T$36,VLOOKUP('ELC_Gen-sdj'!$B40,'ELC_Gen-sdj'!$AA$4:$AD$19,4,FALSE))</f>
        <v>0.53737358659551449</v>
      </c>
      <c r="N40" s="34">
        <f>VLOOKUP(N$22,heatrate!$K$5:$T$36,VLOOKUP('ELC_Gen-sdj'!$B40,'ELC_Gen-sdj'!$AA$4:$AD$19,4,FALSE))</f>
        <v>0.53737358659551449</v>
      </c>
      <c r="O40" s="34">
        <f>VLOOKUP(O$22,heatrate!$K$5:$T$36,VLOOKUP('ELC_Gen-sdj'!$B40,'ELC_Gen-sdj'!$AA$4:$AD$19,4,FALSE))</f>
        <v>0.53737358659551449</v>
      </c>
      <c r="P40" s="34">
        <f>VLOOKUP(P$22,heatrate!$K$5:$T$36,VLOOKUP('ELC_Gen-sdj'!$B40,'ELC_Gen-sdj'!$AA$4:$AD$19,4,FALSE))</f>
        <v>0.53737358659551449</v>
      </c>
      <c r="Q40" s="34">
        <f>VLOOKUP(Q$22,heatrate!$K$5:$T$36,VLOOKUP('ELC_Gen-sdj'!$B40,'ELC_Gen-sdj'!$AA$4:$AD$19,4,FALSE))</f>
        <v>0.53737358659551449</v>
      </c>
      <c r="R40" s="34">
        <f>VLOOKUP(R$22,heatrate!$K$5:$T$36,VLOOKUP('ELC_Gen-sdj'!$B40,'ELC_Gen-sdj'!$AA$4:$AD$19,4,FALSE))</f>
        <v>0.53737358659551449</v>
      </c>
      <c r="S40" s="34">
        <f>VLOOKUP(S$22,heatrate!$K$5:$T$36,VLOOKUP('ELC_Gen-sdj'!$B40,'ELC_Gen-sdj'!$AA$4:$AD$19,4,FALSE))</f>
        <v>0.53737358659551449</v>
      </c>
      <c r="T40" s="34">
        <f>VLOOKUP(T$22,heatrate!$K$5:$T$36,VLOOKUP('ELC_Gen-sdj'!$B40,'ELC_Gen-sdj'!$AA$4:$AD$19,4,FALSE))</f>
        <v>0.53737358659551449</v>
      </c>
      <c r="U40" s="34">
        <f>VLOOKUP(U$22,heatrate!$K$5:$T$36,VLOOKUP('ELC_Gen-sdj'!$B40,'ELC_Gen-sdj'!$AA$4:$AD$19,4,FALSE))</f>
        <v>0.53737358659551449</v>
      </c>
      <c r="V40" s="34">
        <f>VLOOKUP(V$22,heatrate!$K$5:$T$36,VLOOKUP('ELC_Gen-sdj'!$B40,'ELC_Gen-sdj'!$AA$4:$AD$19,4,FALSE))</f>
        <v>0.53737358659551449</v>
      </c>
      <c r="W40" s="34">
        <f>VLOOKUP(W$22,heatrate!$K$5:$T$36,VLOOKUP('ELC_Gen-sdj'!$B40,'ELC_Gen-sdj'!$AA$4:$AD$19,4,FALSE))</f>
        <v>0.53737358659551449</v>
      </c>
      <c r="X40" s="34">
        <f>VLOOKUP(X$22,heatrate!$K$5:$T$36,VLOOKUP('ELC_Gen-sdj'!$B40,'ELC_Gen-sdj'!$AA$4:$AD$19,4,FALSE))</f>
        <v>0.53737358659551449</v>
      </c>
      <c r="Y40" s="34">
        <f>VLOOKUP(Y$22,heatrate!$K$5:$T$36,VLOOKUP('ELC_Gen-sdj'!$B40,'ELC_Gen-sdj'!$AA$4:$AD$19,4,FALSE))</f>
        <v>0.53737358659551449</v>
      </c>
      <c r="Z40" s="34">
        <f>VLOOKUP(Z$22,heatrate!$K$5:$T$36,VLOOKUP('ELC_Gen-sdj'!$B40,'ELC_Gen-sdj'!$AA$4:$AD$19,4,FALSE))</f>
        <v>0.53737358659551449</v>
      </c>
      <c r="AA40" s="34">
        <f>VLOOKUP(AA$22,heatrate!$K$5:$T$36,VLOOKUP('ELC_Gen-sdj'!$B40,'ELC_Gen-sdj'!$AA$4:$AD$19,4,FALSE))</f>
        <v>0.53737358659551449</v>
      </c>
      <c r="AB40" s="34">
        <f>VLOOKUP(AB$22,heatrate!$K$5:$T$36,VLOOKUP('ELC_Gen-sdj'!$B40,'ELC_Gen-sdj'!$AA$4:$AD$19,4,FALSE))</f>
        <v>0.53737358659551449</v>
      </c>
      <c r="AC40" s="34">
        <f>VLOOKUP(AC$22,heatrate!$K$5:$T$36,VLOOKUP('ELC_Gen-sdj'!$B40,'ELC_Gen-sdj'!$AA$4:$AD$19,4,FALSE))</f>
        <v>0.53737358659551449</v>
      </c>
      <c r="AD40" s="34">
        <f>VLOOKUP(AD$22,heatrate!$K$5:$T$36,VLOOKUP('ELC_Gen-sdj'!$B40,'ELC_Gen-sdj'!$AA$4:$AD$19,4,FALSE))</f>
        <v>0.53737358659551449</v>
      </c>
      <c r="AE40" s="34">
        <f>VLOOKUP(AE$22,heatrate!$K$5:$T$36,VLOOKUP('ELC_Gen-sdj'!$B40,'ELC_Gen-sdj'!$AA$4:$AD$19,4,FALSE))</f>
        <v>0.53737358659551449</v>
      </c>
      <c r="AF40" s="34">
        <f>VLOOKUP(AF$22,heatrate!$K$5:$T$36,VLOOKUP('ELC_Gen-sdj'!$B40,'ELC_Gen-sdj'!$AA$4:$AD$19,4,FALSE))</f>
        <v>0.53737358659551449</v>
      </c>
      <c r="AG40" s="34">
        <f>VLOOKUP(AG$22,heatrate!$K$5:$T$36,VLOOKUP('ELC_Gen-sdj'!$B40,'ELC_Gen-sdj'!$AA$4:$AD$19,4,FALSE))</f>
        <v>0.53737358659551449</v>
      </c>
      <c r="AH40" s="34">
        <f>VLOOKUP(AH$22,heatrate!$K$5:$T$36,VLOOKUP('ELC_Gen-sdj'!$B40,'ELC_Gen-sdj'!$AA$4:$AD$19,4,FALSE))</f>
        <v>0.53737358659551449</v>
      </c>
    </row>
    <row r="41" spans="2:34">
      <c r="B41" s="36" t="str">
        <f t="shared" si="4"/>
        <v>EN_GasCTAdv</v>
      </c>
      <c r="C41" s="34">
        <f>VLOOKUP(C$22,heatrate!$K$5:$T$36,VLOOKUP('ELC_Gen-sdj'!$B41,'ELC_Gen-sdj'!$AA$4:$AD$19,4,FALSE))</f>
        <v>0.34819615049811398</v>
      </c>
      <c r="D41" s="34">
        <f>VLOOKUP(D$22,heatrate!$K$5:$T$36,VLOOKUP('ELC_Gen-sdj'!$B41,'ELC_Gen-sdj'!$AA$4:$AD$19,4,FALSE))</f>
        <v>0.34819615049811398</v>
      </c>
      <c r="E41" s="34">
        <f>VLOOKUP(E$22,heatrate!$K$5:$T$36,VLOOKUP('ELC_Gen-sdj'!$B41,'ELC_Gen-sdj'!$AA$4:$AD$19,4,FALSE))</f>
        <v>0.35731123297188655</v>
      </c>
      <c r="F41" s="34">
        <f>VLOOKUP(F$22,heatrate!$K$5:$T$36,VLOOKUP('ELC_Gen-sdj'!$B41,'ELC_Gen-sdj'!$AA$4:$AD$19,4,FALSE))</f>
        <v>0.36691637364317387</v>
      </c>
      <c r="G41" s="34">
        <f>VLOOKUP(G$22,heatrate!$K$5:$T$36,VLOOKUP('ELC_Gen-sdj'!$B41,'ELC_Gen-sdj'!$AA$4:$AD$19,4,FALSE))</f>
        <v>0.37705218506978083</v>
      </c>
      <c r="H41" s="34">
        <f>VLOOKUP(H$22,heatrate!$K$5:$T$36,VLOOKUP('ELC_Gen-sdj'!$B41,'ELC_Gen-sdj'!$AA$4:$AD$19,4,FALSE))</f>
        <v>0.38776389487289964</v>
      </c>
      <c r="I41" s="34">
        <f>VLOOKUP(I$22,heatrate!$K$5:$T$36,VLOOKUP('ELC_Gen-sdj'!$B41,'ELC_Gen-sdj'!$AA$4:$AD$19,4,FALSE))</f>
        <v>0.39910202045397852</v>
      </c>
      <c r="J41" s="34">
        <f>VLOOKUP(J$22,heatrate!$K$5:$T$36,VLOOKUP('ELC_Gen-sdj'!$B41,'ELC_Gen-sdj'!$AA$4:$AD$19,4,FALSE))</f>
        <v>0.39910202045397852</v>
      </c>
      <c r="K41" s="34">
        <f>VLOOKUP(K$22,heatrate!$K$5:$T$36,VLOOKUP('ELC_Gen-sdj'!$B41,'ELC_Gen-sdj'!$AA$4:$AD$19,4,FALSE))</f>
        <v>0.39910202045397852</v>
      </c>
      <c r="L41" s="34">
        <f>VLOOKUP(L$22,heatrate!$K$5:$T$36,VLOOKUP('ELC_Gen-sdj'!$B41,'ELC_Gen-sdj'!$AA$4:$AD$19,4,FALSE))</f>
        <v>0.39910202045397852</v>
      </c>
      <c r="M41" s="34">
        <f>VLOOKUP(M$22,heatrate!$K$5:$T$36,VLOOKUP('ELC_Gen-sdj'!$B41,'ELC_Gen-sdj'!$AA$4:$AD$19,4,FALSE))</f>
        <v>0.39910202045397852</v>
      </c>
      <c r="N41" s="34">
        <f>VLOOKUP(N$22,heatrate!$K$5:$T$36,VLOOKUP('ELC_Gen-sdj'!$B41,'ELC_Gen-sdj'!$AA$4:$AD$19,4,FALSE))</f>
        <v>0.39910202045397852</v>
      </c>
      <c r="O41" s="34">
        <f>VLOOKUP(O$22,heatrate!$K$5:$T$36,VLOOKUP('ELC_Gen-sdj'!$B41,'ELC_Gen-sdj'!$AA$4:$AD$19,4,FALSE))</f>
        <v>0.39910202045397852</v>
      </c>
      <c r="P41" s="34">
        <f>VLOOKUP(P$22,heatrate!$K$5:$T$36,VLOOKUP('ELC_Gen-sdj'!$B41,'ELC_Gen-sdj'!$AA$4:$AD$19,4,FALSE))</f>
        <v>0.39910202045397852</v>
      </c>
      <c r="Q41" s="34">
        <f>VLOOKUP(Q$22,heatrate!$K$5:$T$36,VLOOKUP('ELC_Gen-sdj'!$B41,'ELC_Gen-sdj'!$AA$4:$AD$19,4,FALSE))</f>
        <v>0.39910202045397852</v>
      </c>
      <c r="R41" s="34">
        <f>VLOOKUP(R$22,heatrate!$K$5:$T$36,VLOOKUP('ELC_Gen-sdj'!$B41,'ELC_Gen-sdj'!$AA$4:$AD$19,4,FALSE))</f>
        <v>0.39910202045397852</v>
      </c>
      <c r="S41" s="34">
        <f>VLOOKUP(S$22,heatrate!$K$5:$T$36,VLOOKUP('ELC_Gen-sdj'!$B41,'ELC_Gen-sdj'!$AA$4:$AD$19,4,FALSE))</f>
        <v>0.39910202045397852</v>
      </c>
      <c r="T41" s="34">
        <f>VLOOKUP(T$22,heatrate!$K$5:$T$36,VLOOKUP('ELC_Gen-sdj'!$B41,'ELC_Gen-sdj'!$AA$4:$AD$19,4,FALSE))</f>
        <v>0.39910202045397852</v>
      </c>
      <c r="U41" s="34">
        <f>VLOOKUP(U$22,heatrate!$K$5:$T$36,VLOOKUP('ELC_Gen-sdj'!$B41,'ELC_Gen-sdj'!$AA$4:$AD$19,4,FALSE))</f>
        <v>0.39910202045397852</v>
      </c>
      <c r="V41" s="34">
        <f>VLOOKUP(V$22,heatrate!$K$5:$T$36,VLOOKUP('ELC_Gen-sdj'!$B41,'ELC_Gen-sdj'!$AA$4:$AD$19,4,FALSE))</f>
        <v>0.39910202045397852</v>
      </c>
      <c r="W41" s="34">
        <f>VLOOKUP(W$22,heatrate!$K$5:$T$36,VLOOKUP('ELC_Gen-sdj'!$B41,'ELC_Gen-sdj'!$AA$4:$AD$19,4,FALSE))</f>
        <v>0.39910202045397852</v>
      </c>
      <c r="X41" s="34">
        <f>VLOOKUP(X$22,heatrate!$K$5:$T$36,VLOOKUP('ELC_Gen-sdj'!$B41,'ELC_Gen-sdj'!$AA$4:$AD$19,4,FALSE))</f>
        <v>0.39910202045397852</v>
      </c>
      <c r="Y41" s="34">
        <f>VLOOKUP(Y$22,heatrate!$K$5:$T$36,VLOOKUP('ELC_Gen-sdj'!$B41,'ELC_Gen-sdj'!$AA$4:$AD$19,4,FALSE))</f>
        <v>0.39910202045397852</v>
      </c>
      <c r="Z41" s="34">
        <f>VLOOKUP(Z$22,heatrate!$K$5:$T$36,VLOOKUP('ELC_Gen-sdj'!$B41,'ELC_Gen-sdj'!$AA$4:$AD$19,4,FALSE))</f>
        <v>0.39910202045397852</v>
      </c>
      <c r="AA41" s="34">
        <f>VLOOKUP(AA$22,heatrate!$K$5:$T$36,VLOOKUP('ELC_Gen-sdj'!$B41,'ELC_Gen-sdj'!$AA$4:$AD$19,4,FALSE))</f>
        <v>0.39910202045397852</v>
      </c>
      <c r="AB41" s="34">
        <f>VLOOKUP(AB$22,heatrate!$K$5:$T$36,VLOOKUP('ELC_Gen-sdj'!$B41,'ELC_Gen-sdj'!$AA$4:$AD$19,4,FALSE))</f>
        <v>0.39910202045397852</v>
      </c>
      <c r="AC41" s="34">
        <f>VLOOKUP(AC$22,heatrate!$K$5:$T$36,VLOOKUP('ELC_Gen-sdj'!$B41,'ELC_Gen-sdj'!$AA$4:$AD$19,4,FALSE))</f>
        <v>0.39910202045397852</v>
      </c>
      <c r="AD41" s="34">
        <f>VLOOKUP(AD$22,heatrate!$K$5:$T$36,VLOOKUP('ELC_Gen-sdj'!$B41,'ELC_Gen-sdj'!$AA$4:$AD$19,4,FALSE))</f>
        <v>0.39910202045397852</v>
      </c>
      <c r="AE41" s="34">
        <f>VLOOKUP(AE$22,heatrate!$K$5:$T$36,VLOOKUP('ELC_Gen-sdj'!$B41,'ELC_Gen-sdj'!$AA$4:$AD$19,4,FALSE))</f>
        <v>0.39910202045397852</v>
      </c>
      <c r="AF41" s="34">
        <f>VLOOKUP(AF$22,heatrate!$K$5:$T$36,VLOOKUP('ELC_Gen-sdj'!$B41,'ELC_Gen-sdj'!$AA$4:$AD$19,4,FALSE))</f>
        <v>0.39910202045397852</v>
      </c>
      <c r="AG41" s="34">
        <f>VLOOKUP(AG$22,heatrate!$K$5:$T$36,VLOOKUP('ELC_Gen-sdj'!$B41,'ELC_Gen-sdj'!$AA$4:$AD$19,4,FALSE))</f>
        <v>0.39910202045397852</v>
      </c>
      <c r="AH41" s="34">
        <f>VLOOKUP(AH$22,heatrate!$K$5:$T$36,VLOOKUP('ELC_Gen-sdj'!$B41,'ELC_Gen-sdj'!$AA$4:$AD$19,4,FALSE))</f>
        <v>0.39910202045397852</v>
      </c>
    </row>
    <row r="42" spans="2:34">
      <c r="B42" s="36" t="str">
        <f t="shared" si="4"/>
        <v>EN_GasCT</v>
      </c>
      <c r="C42" s="34">
        <f>VLOOKUP(C$22,heatrate!$K$5:$T$36,VLOOKUP('ELC_Gen-sdj'!$B42,'ELC_Gen-sdj'!$AA$4:$AD$19,4,FALSE))</f>
        <v>0.34678071899202406</v>
      </c>
      <c r="D42" s="34">
        <f>VLOOKUP(D$22,heatrate!$K$5:$T$36,VLOOKUP('ELC_Gen-sdj'!$B42,'ELC_Gen-sdj'!$AA$4:$AD$19,4,FALSE))</f>
        <v>0.34819615049811398</v>
      </c>
      <c r="E42" s="34">
        <f>VLOOKUP(E$22,heatrate!$K$5:$T$36,VLOOKUP('ELC_Gen-sdj'!$B42,'ELC_Gen-sdj'!$AA$4:$AD$19,4,FALSE))</f>
        <v>0.34962318390179475</v>
      </c>
      <c r="F42" s="34">
        <f>VLOOKUP(F$22,heatrate!$K$5:$T$36,VLOOKUP('ELC_Gen-sdj'!$B42,'ELC_Gen-sdj'!$AA$4:$AD$19,4,FALSE))</f>
        <v>0.35106196243637</v>
      </c>
      <c r="G42" s="34">
        <f>VLOOKUP(G$22,heatrate!$K$5:$T$36,VLOOKUP('ELC_Gen-sdj'!$B42,'ELC_Gen-sdj'!$AA$4:$AD$19,4,FALSE))</f>
        <v>0.35251263170263603</v>
      </c>
      <c r="H42" s="34">
        <f>VLOOKUP(H$22,heatrate!$K$5:$T$36,VLOOKUP('ELC_Gen-sdj'!$B42,'ELC_Gen-sdj'!$AA$4:$AD$19,4,FALSE))</f>
        <v>0.35397533971799966</v>
      </c>
      <c r="I42" s="34">
        <f>VLOOKUP(I$22,heatrate!$K$5:$T$36,VLOOKUP('ELC_Gen-sdj'!$B42,'ELC_Gen-sdj'!$AA$4:$AD$19,4,FALSE))</f>
        <v>0.35545023696682471</v>
      </c>
      <c r="J42" s="34">
        <f>VLOOKUP(J$22,heatrate!$K$5:$T$36,VLOOKUP('ELC_Gen-sdj'!$B42,'ELC_Gen-sdj'!$AA$4:$AD$19,4,FALSE))</f>
        <v>0.35545023696682471</v>
      </c>
      <c r="K42" s="34">
        <f>VLOOKUP(K$22,heatrate!$K$5:$T$36,VLOOKUP('ELC_Gen-sdj'!$B42,'ELC_Gen-sdj'!$AA$4:$AD$19,4,FALSE))</f>
        <v>0.35545023696682471</v>
      </c>
      <c r="L42" s="34">
        <f>VLOOKUP(L$22,heatrate!$K$5:$T$36,VLOOKUP('ELC_Gen-sdj'!$B42,'ELC_Gen-sdj'!$AA$4:$AD$19,4,FALSE))</f>
        <v>0.35545023696682471</v>
      </c>
      <c r="M42" s="34">
        <f>VLOOKUP(M$22,heatrate!$K$5:$T$36,VLOOKUP('ELC_Gen-sdj'!$B42,'ELC_Gen-sdj'!$AA$4:$AD$19,4,FALSE))</f>
        <v>0.35545023696682471</v>
      </c>
      <c r="N42" s="34">
        <f>VLOOKUP(N$22,heatrate!$K$5:$T$36,VLOOKUP('ELC_Gen-sdj'!$B42,'ELC_Gen-sdj'!$AA$4:$AD$19,4,FALSE))</f>
        <v>0.35545023696682471</v>
      </c>
      <c r="O42" s="34">
        <f>VLOOKUP(O$22,heatrate!$K$5:$T$36,VLOOKUP('ELC_Gen-sdj'!$B42,'ELC_Gen-sdj'!$AA$4:$AD$19,4,FALSE))</f>
        <v>0.35545023696682471</v>
      </c>
      <c r="P42" s="34">
        <f>VLOOKUP(P$22,heatrate!$K$5:$T$36,VLOOKUP('ELC_Gen-sdj'!$B42,'ELC_Gen-sdj'!$AA$4:$AD$19,4,FALSE))</f>
        <v>0.35545023696682471</v>
      </c>
      <c r="Q42" s="34">
        <f>VLOOKUP(Q$22,heatrate!$K$5:$T$36,VLOOKUP('ELC_Gen-sdj'!$B42,'ELC_Gen-sdj'!$AA$4:$AD$19,4,FALSE))</f>
        <v>0.35545023696682471</v>
      </c>
      <c r="R42" s="34">
        <f>VLOOKUP(R$22,heatrate!$K$5:$T$36,VLOOKUP('ELC_Gen-sdj'!$B42,'ELC_Gen-sdj'!$AA$4:$AD$19,4,FALSE))</f>
        <v>0.35545023696682471</v>
      </c>
      <c r="S42" s="34">
        <f>VLOOKUP(S$22,heatrate!$K$5:$T$36,VLOOKUP('ELC_Gen-sdj'!$B42,'ELC_Gen-sdj'!$AA$4:$AD$19,4,FALSE))</f>
        <v>0.35545023696682471</v>
      </c>
      <c r="T42" s="34">
        <f>VLOOKUP(T$22,heatrate!$K$5:$T$36,VLOOKUP('ELC_Gen-sdj'!$B42,'ELC_Gen-sdj'!$AA$4:$AD$19,4,FALSE))</f>
        <v>0.35545023696682471</v>
      </c>
      <c r="U42" s="34">
        <f>VLOOKUP(U$22,heatrate!$K$5:$T$36,VLOOKUP('ELC_Gen-sdj'!$B42,'ELC_Gen-sdj'!$AA$4:$AD$19,4,FALSE))</f>
        <v>0.35545023696682471</v>
      </c>
      <c r="V42" s="34">
        <f>VLOOKUP(V$22,heatrate!$K$5:$T$36,VLOOKUP('ELC_Gen-sdj'!$B42,'ELC_Gen-sdj'!$AA$4:$AD$19,4,FALSE))</f>
        <v>0.35545023696682471</v>
      </c>
      <c r="W42" s="34">
        <f>VLOOKUP(W$22,heatrate!$K$5:$T$36,VLOOKUP('ELC_Gen-sdj'!$B42,'ELC_Gen-sdj'!$AA$4:$AD$19,4,FALSE))</f>
        <v>0.35545023696682471</v>
      </c>
      <c r="X42" s="34">
        <f>VLOOKUP(X$22,heatrate!$K$5:$T$36,VLOOKUP('ELC_Gen-sdj'!$B42,'ELC_Gen-sdj'!$AA$4:$AD$19,4,FALSE))</f>
        <v>0.35545023696682471</v>
      </c>
      <c r="Y42" s="34">
        <f>VLOOKUP(Y$22,heatrate!$K$5:$T$36,VLOOKUP('ELC_Gen-sdj'!$B42,'ELC_Gen-sdj'!$AA$4:$AD$19,4,FALSE))</f>
        <v>0.35545023696682471</v>
      </c>
      <c r="Z42" s="34">
        <f>VLOOKUP(Z$22,heatrate!$K$5:$T$36,VLOOKUP('ELC_Gen-sdj'!$B42,'ELC_Gen-sdj'!$AA$4:$AD$19,4,FALSE))</f>
        <v>0.35545023696682471</v>
      </c>
      <c r="AA42" s="34">
        <f>VLOOKUP(AA$22,heatrate!$K$5:$T$36,VLOOKUP('ELC_Gen-sdj'!$B42,'ELC_Gen-sdj'!$AA$4:$AD$19,4,FALSE))</f>
        <v>0.35545023696682471</v>
      </c>
      <c r="AB42" s="34">
        <f>VLOOKUP(AB$22,heatrate!$K$5:$T$36,VLOOKUP('ELC_Gen-sdj'!$B42,'ELC_Gen-sdj'!$AA$4:$AD$19,4,FALSE))</f>
        <v>0.35545023696682471</v>
      </c>
      <c r="AC42" s="34">
        <f>VLOOKUP(AC$22,heatrate!$K$5:$T$36,VLOOKUP('ELC_Gen-sdj'!$B42,'ELC_Gen-sdj'!$AA$4:$AD$19,4,FALSE))</f>
        <v>0.35545023696682471</v>
      </c>
      <c r="AD42" s="34">
        <f>VLOOKUP(AD$22,heatrate!$K$5:$T$36,VLOOKUP('ELC_Gen-sdj'!$B42,'ELC_Gen-sdj'!$AA$4:$AD$19,4,FALSE))</f>
        <v>0.35545023696682471</v>
      </c>
      <c r="AE42" s="34">
        <f>VLOOKUP(AE$22,heatrate!$K$5:$T$36,VLOOKUP('ELC_Gen-sdj'!$B42,'ELC_Gen-sdj'!$AA$4:$AD$19,4,FALSE))</f>
        <v>0.35545023696682471</v>
      </c>
      <c r="AF42" s="34">
        <f>VLOOKUP(AF$22,heatrate!$K$5:$T$36,VLOOKUP('ELC_Gen-sdj'!$B42,'ELC_Gen-sdj'!$AA$4:$AD$19,4,FALSE))</f>
        <v>0.35545023696682471</v>
      </c>
      <c r="AG42" s="34">
        <f>VLOOKUP(AG$22,heatrate!$K$5:$T$36,VLOOKUP('ELC_Gen-sdj'!$B42,'ELC_Gen-sdj'!$AA$4:$AD$19,4,FALSE))</f>
        <v>0.35545023696682471</v>
      </c>
      <c r="AH42" s="34">
        <f>VLOOKUP(AH$22,heatrate!$K$5:$T$36,VLOOKUP('ELC_Gen-sdj'!$B42,'ELC_Gen-sdj'!$AA$4:$AD$19,4,FALSE))</f>
        <v>0.35545023696682471</v>
      </c>
    </row>
    <row r="43" spans="2:34">
      <c r="B43" s="36" t="str">
        <f>B30</f>
        <v>EN_ZBiomass</v>
      </c>
      <c r="C43" s="34">
        <f>VLOOKUP(C$22,heatrate!$K$5:$T$36,VLOOKUP('ELC_Gen-sdj'!$B43,'ELC_Gen-sdj'!$AA$4:$AD$19,4,FALSE))</f>
        <v>0.2929031995606452</v>
      </c>
      <c r="D43" s="34">
        <f>VLOOKUP(D$22,heatrate!$K$5:$T$36,VLOOKUP('ELC_Gen-sdj'!$B43,'ELC_Gen-sdj'!$AA$4:$AD$19,4,FALSE))</f>
        <v>0.2929031995606452</v>
      </c>
      <c r="E43" s="34">
        <f>VLOOKUP(E$22,heatrate!$K$5:$T$36,VLOOKUP('ELC_Gen-sdj'!$B43,'ELC_Gen-sdj'!$AA$4:$AD$19,4,FALSE))</f>
        <v>0.2929031995606452</v>
      </c>
      <c r="F43" s="34">
        <f>VLOOKUP(F$22,heatrate!$K$5:$T$36,VLOOKUP('ELC_Gen-sdj'!$B43,'ELC_Gen-sdj'!$AA$4:$AD$19,4,FALSE))</f>
        <v>0.2929031995606452</v>
      </c>
      <c r="G43" s="34">
        <f>VLOOKUP(G$22,heatrate!$K$5:$T$36,VLOOKUP('ELC_Gen-sdj'!$B43,'ELC_Gen-sdj'!$AA$4:$AD$19,4,FALSE))</f>
        <v>0.31443212903397061</v>
      </c>
      <c r="H43" s="34">
        <f>VLOOKUP(H$22,heatrate!$K$5:$T$36,VLOOKUP('ELC_Gen-sdj'!$B43,'ELC_Gen-sdj'!$AA$4:$AD$19,4,FALSE))</f>
        <v>0.3393769667254069</v>
      </c>
      <c r="I43" s="34">
        <f>VLOOKUP(I$22,heatrate!$K$5:$T$36,VLOOKUP('ELC_Gen-sdj'!$B43,'ELC_Gen-sdj'!$AA$4:$AD$19,4,FALSE))</f>
        <v>0.36862074914999637</v>
      </c>
      <c r="J43" s="34">
        <f>VLOOKUP(J$22,heatrate!$K$5:$T$36,VLOOKUP('ELC_Gen-sdj'!$B43,'ELC_Gen-sdj'!$AA$4:$AD$19,4,FALSE))</f>
        <v>0.36862074914999637</v>
      </c>
      <c r="K43" s="34">
        <f>VLOOKUP(K$22,heatrate!$K$5:$T$36,VLOOKUP('ELC_Gen-sdj'!$B43,'ELC_Gen-sdj'!$AA$4:$AD$19,4,FALSE))</f>
        <v>0.36862074914999637</v>
      </c>
      <c r="L43" s="34">
        <f>VLOOKUP(L$22,heatrate!$K$5:$T$36,VLOOKUP('ELC_Gen-sdj'!$B43,'ELC_Gen-sdj'!$AA$4:$AD$19,4,FALSE))</f>
        <v>0.36862074914999637</v>
      </c>
      <c r="M43" s="34">
        <f>VLOOKUP(M$22,heatrate!$K$5:$T$36,VLOOKUP('ELC_Gen-sdj'!$B43,'ELC_Gen-sdj'!$AA$4:$AD$19,4,FALSE))</f>
        <v>0.36862074914999637</v>
      </c>
      <c r="N43" s="34">
        <f>VLOOKUP(N$22,heatrate!$K$5:$T$36,VLOOKUP('ELC_Gen-sdj'!$B43,'ELC_Gen-sdj'!$AA$4:$AD$19,4,FALSE))</f>
        <v>0.36862074914999637</v>
      </c>
      <c r="O43" s="34">
        <f>VLOOKUP(O$22,heatrate!$K$5:$T$36,VLOOKUP('ELC_Gen-sdj'!$B43,'ELC_Gen-sdj'!$AA$4:$AD$19,4,FALSE))</f>
        <v>0.36862074914999637</v>
      </c>
      <c r="P43" s="34">
        <f>VLOOKUP(P$22,heatrate!$K$5:$T$36,VLOOKUP('ELC_Gen-sdj'!$B43,'ELC_Gen-sdj'!$AA$4:$AD$19,4,FALSE))</f>
        <v>0.36862074914999637</v>
      </c>
      <c r="Q43" s="34">
        <f>VLOOKUP(Q$22,heatrate!$K$5:$T$36,VLOOKUP('ELC_Gen-sdj'!$B43,'ELC_Gen-sdj'!$AA$4:$AD$19,4,FALSE))</f>
        <v>0.36862074914999637</v>
      </c>
      <c r="R43" s="34">
        <f>VLOOKUP(R$22,heatrate!$K$5:$T$36,VLOOKUP('ELC_Gen-sdj'!$B43,'ELC_Gen-sdj'!$AA$4:$AD$19,4,FALSE))</f>
        <v>0.36862074914999637</v>
      </c>
      <c r="S43" s="34">
        <f>VLOOKUP(S$22,heatrate!$K$5:$T$36,VLOOKUP('ELC_Gen-sdj'!$B43,'ELC_Gen-sdj'!$AA$4:$AD$19,4,FALSE))</f>
        <v>0.36862074914999637</v>
      </c>
      <c r="T43" s="34">
        <f>VLOOKUP(T$22,heatrate!$K$5:$T$36,VLOOKUP('ELC_Gen-sdj'!$B43,'ELC_Gen-sdj'!$AA$4:$AD$19,4,FALSE))</f>
        <v>0.36862074914999637</v>
      </c>
      <c r="U43" s="34">
        <f>VLOOKUP(U$22,heatrate!$K$5:$T$36,VLOOKUP('ELC_Gen-sdj'!$B43,'ELC_Gen-sdj'!$AA$4:$AD$19,4,FALSE))</f>
        <v>0.36862074914999637</v>
      </c>
      <c r="V43" s="34">
        <f>VLOOKUP(V$22,heatrate!$K$5:$T$36,VLOOKUP('ELC_Gen-sdj'!$B43,'ELC_Gen-sdj'!$AA$4:$AD$19,4,FALSE))</f>
        <v>0.36862074914999637</v>
      </c>
      <c r="W43" s="34">
        <f>VLOOKUP(W$22,heatrate!$K$5:$T$36,VLOOKUP('ELC_Gen-sdj'!$B43,'ELC_Gen-sdj'!$AA$4:$AD$19,4,FALSE))</f>
        <v>0.36862074914999637</v>
      </c>
      <c r="X43" s="34">
        <f>VLOOKUP(X$22,heatrate!$K$5:$T$36,VLOOKUP('ELC_Gen-sdj'!$B43,'ELC_Gen-sdj'!$AA$4:$AD$19,4,FALSE))</f>
        <v>0.36862074914999637</v>
      </c>
      <c r="Y43" s="34">
        <f>VLOOKUP(Y$22,heatrate!$K$5:$T$36,VLOOKUP('ELC_Gen-sdj'!$B43,'ELC_Gen-sdj'!$AA$4:$AD$19,4,FALSE))</f>
        <v>0.36862074914999637</v>
      </c>
      <c r="Z43" s="34">
        <f>VLOOKUP(Z$22,heatrate!$K$5:$T$36,VLOOKUP('ELC_Gen-sdj'!$B43,'ELC_Gen-sdj'!$AA$4:$AD$19,4,FALSE))</f>
        <v>0.36862074914999637</v>
      </c>
      <c r="AA43" s="34">
        <f>VLOOKUP(AA$22,heatrate!$K$5:$T$36,VLOOKUP('ELC_Gen-sdj'!$B43,'ELC_Gen-sdj'!$AA$4:$AD$19,4,FALSE))</f>
        <v>0.36862074914999637</v>
      </c>
      <c r="AB43" s="34">
        <f>VLOOKUP(AB$22,heatrate!$K$5:$T$36,VLOOKUP('ELC_Gen-sdj'!$B43,'ELC_Gen-sdj'!$AA$4:$AD$19,4,FALSE))</f>
        <v>0.36862074914999637</v>
      </c>
      <c r="AC43" s="34">
        <f>VLOOKUP(AC$22,heatrate!$K$5:$T$36,VLOOKUP('ELC_Gen-sdj'!$B43,'ELC_Gen-sdj'!$AA$4:$AD$19,4,FALSE))</f>
        <v>0.36862074914999637</v>
      </c>
      <c r="AD43" s="34">
        <f>VLOOKUP(AD$22,heatrate!$K$5:$T$36,VLOOKUP('ELC_Gen-sdj'!$B43,'ELC_Gen-sdj'!$AA$4:$AD$19,4,FALSE))</f>
        <v>0.36862074914999637</v>
      </c>
      <c r="AE43" s="34">
        <f>VLOOKUP(AE$22,heatrate!$K$5:$T$36,VLOOKUP('ELC_Gen-sdj'!$B43,'ELC_Gen-sdj'!$AA$4:$AD$19,4,FALSE))</f>
        <v>0.36862074914999637</v>
      </c>
      <c r="AF43" s="34">
        <f>VLOOKUP(AF$22,heatrate!$K$5:$T$36,VLOOKUP('ELC_Gen-sdj'!$B43,'ELC_Gen-sdj'!$AA$4:$AD$19,4,FALSE))</f>
        <v>0.36862074914999637</v>
      </c>
      <c r="AG43" s="34">
        <f>VLOOKUP(AG$22,heatrate!$K$5:$T$36,VLOOKUP('ELC_Gen-sdj'!$B43,'ELC_Gen-sdj'!$AA$4:$AD$19,4,FALSE))</f>
        <v>0.36862074914999637</v>
      </c>
      <c r="AH43" s="34">
        <f>VLOOKUP(AH$22,heatrate!$K$5:$T$36,VLOOKUP('ELC_Gen-sdj'!$B43,'ELC_Gen-sdj'!$AA$4:$AD$19,4,FALSE))</f>
        <v>0.36862074914999637</v>
      </c>
    </row>
    <row r="44" spans="2:34">
      <c r="B44" s="36" t="str">
        <f>B31</f>
        <v>EN_OilCCAdv</v>
      </c>
      <c r="C44" s="34">
        <f>VLOOKUP(C$22,heatrate!$K$5:$T$36,VLOOKUP('ELC_Gen-sdj'!$B44,'ELC_Gen-sdj'!$AA$4:$AD$19,4,FALSE))</f>
        <v>0.34819615049811398</v>
      </c>
      <c r="D44" s="34">
        <f>VLOOKUP(D$22,heatrate!$K$5:$T$36,VLOOKUP('ELC_Gen-sdj'!$B44,'ELC_Gen-sdj'!$AA$4:$AD$19,4,FALSE))</f>
        <v>0.34819615049811398</v>
      </c>
      <c r="E44" s="34">
        <f>VLOOKUP(E$22,heatrate!$K$5:$T$36,VLOOKUP('ELC_Gen-sdj'!$B44,'ELC_Gen-sdj'!$AA$4:$AD$19,4,FALSE))</f>
        <v>0.35731123297188655</v>
      </c>
      <c r="F44" s="34">
        <f>VLOOKUP(F$22,heatrate!$K$5:$T$36,VLOOKUP('ELC_Gen-sdj'!$B44,'ELC_Gen-sdj'!$AA$4:$AD$19,4,FALSE))</f>
        <v>0.36691637364317387</v>
      </c>
      <c r="G44" s="34">
        <f>VLOOKUP(G$22,heatrate!$K$5:$T$36,VLOOKUP('ELC_Gen-sdj'!$B44,'ELC_Gen-sdj'!$AA$4:$AD$19,4,FALSE))</f>
        <v>0.37705218506978083</v>
      </c>
      <c r="H44" s="34">
        <f>VLOOKUP(H$22,heatrate!$K$5:$T$36,VLOOKUP('ELC_Gen-sdj'!$B44,'ELC_Gen-sdj'!$AA$4:$AD$19,4,FALSE))</f>
        <v>0.38776389487289964</v>
      </c>
      <c r="I44" s="34">
        <f>VLOOKUP(I$22,heatrate!$K$5:$T$36,VLOOKUP('ELC_Gen-sdj'!$B44,'ELC_Gen-sdj'!$AA$4:$AD$19,4,FALSE))</f>
        <v>0.39910202045397852</v>
      </c>
      <c r="J44" s="34">
        <f>VLOOKUP(J$22,heatrate!$K$5:$T$36,VLOOKUP('ELC_Gen-sdj'!$B44,'ELC_Gen-sdj'!$AA$4:$AD$19,4,FALSE))</f>
        <v>0.39910202045397852</v>
      </c>
      <c r="K44" s="34">
        <f>VLOOKUP(K$22,heatrate!$K$5:$T$36,VLOOKUP('ELC_Gen-sdj'!$B44,'ELC_Gen-sdj'!$AA$4:$AD$19,4,FALSE))</f>
        <v>0.39910202045397852</v>
      </c>
      <c r="L44" s="34">
        <f>VLOOKUP(L$22,heatrate!$K$5:$T$36,VLOOKUP('ELC_Gen-sdj'!$B44,'ELC_Gen-sdj'!$AA$4:$AD$19,4,FALSE))</f>
        <v>0.39910202045397852</v>
      </c>
      <c r="M44" s="34">
        <f>VLOOKUP(M$22,heatrate!$K$5:$T$36,VLOOKUP('ELC_Gen-sdj'!$B44,'ELC_Gen-sdj'!$AA$4:$AD$19,4,FALSE))</f>
        <v>0.39910202045397852</v>
      </c>
      <c r="N44" s="34">
        <f>VLOOKUP(N$22,heatrate!$K$5:$T$36,VLOOKUP('ELC_Gen-sdj'!$B44,'ELC_Gen-sdj'!$AA$4:$AD$19,4,FALSE))</f>
        <v>0.39910202045397852</v>
      </c>
      <c r="O44" s="34">
        <f>VLOOKUP(O$22,heatrate!$K$5:$T$36,VLOOKUP('ELC_Gen-sdj'!$B44,'ELC_Gen-sdj'!$AA$4:$AD$19,4,FALSE))</f>
        <v>0.39910202045397852</v>
      </c>
      <c r="P44" s="34">
        <f>VLOOKUP(P$22,heatrate!$K$5:$T$36,VLOOKUP('ELC_Gen-sdj'!$B44,'ELC_Gen-sdj'!$AA$4:$AD$19,4,FALSE))</f>
        <v>0.39910202045397852</v>
      </c>
      <c r="Q44" s="34">
        <f>VLOOKUP(Q$22,heatrate!$K$5:$T$36,VLOOKUP('ELC_Gen-sdj'!$B44,'ELC_Gen-sdj'!$AA$4:$AD$19,4,FALSE))</f>
        <v>0.39910202045397852</v>
      </c>
      <c r="R44" s="34">
        <f>VLOOKUP(R$22,heatrate!$K$5:$T$36,VLOOKUP('ELC_Gen-sdj'!$B44,'ELC_Gen-sdj'!$AA$4:$AD$19,4,FALSE))</f>
        <v>0.39910202045397852</v>
      </c>
      <c r="S44" s="34">
        <f>VLOOKUP(S$22,heatrate!$K$5:$T$36,VLOOKUP('ELC_Gen-sdj'!$B44,'ELC_Gen-sdj'!$AA$4:$AD$19,4,FALSE))</f>
        <v>0.39910202045397852</v>
      </c>
      <c r="T44" s="34">
        <f>VLOOKUP(T$22,heatrate!$K$5:$T$36,VLOOKUP('ELC_Gen-sdj'!$B44,'ELC_Gen-sdj'!$AA$4:$AD$19,4,FALSE))</f>
        <v>0.39910202045397852</v>
      </c>
      <c r="U44" s="34">
        <f>VLOOKUP(U$22,heatrate!$K$5:$T$36,VLOOKUP('ELC_Gen-sdj'!$B44,'ELC_Gen-sdj'!$AA$4:$AD$19,4,FALSE))</f>
        <v>0.39910202045397852</v>
      </c>
      <c r="V44" s="34">
        <f>VLOOKUP(V$22,heatrate!$K$5:$T$36,VLOOKUP('ELC_Gen-sdj'!$B44,'ELC_Gen-sdj'!$AA$4:$AD$19,4,FALSE))</f>
        <v>0.39910202045397852</v>
      </c>
      <c r="W44" s="34">
        <f>VLOOKUP(W$22,heatrate!$K$5:$T$36,VLOOKUP('ELC_Gen-sdj'!$B44,'ELC_Gen-sdj'!$AA$4:$AD$19,4,FALSE))</f>
        <v>0.39910202045397852</v>
      </c>
      <c r="X44" s="34">
        <f>VLOOKUP(X$22,heatrate!$K$5:$T$36,VLOOKUP('ELC_Gen-sdj'!$B44,'ELC_Gen-sdj'!$AA$4:$AD$19,4,FALSE))</f>
        <v>0.39910202045397852</v>
      </c>
      <c r="Y44" s="34">
        <f>VLOOKUP(Y$22,heatrate!$K$5:$T$36,VLOOKUP('ELC_Gen-sdj'!$B44,'ELC_Gen-sdj'!$AA$4:$AD$19,4,FALSE))</f>
        <v>0.39910202045397852</v>
      </c>
      <c r="Z44" s="34">
        <f>VLOOKUP(Z$22,heatrate!$K$5:$T$36,VLOOKUP('ELC_Gen-sdj'!$B44,'ELC_Gen-sdj'!$AA$4:$AD$19,4,FALSE))</f>
        <v>0.39910202045397852</v>
      </c>
      <c r="AA44" s="34">
        <f>VLOOKUP(AA$22,heatrate!$K$5:$T$36,VLOOKUP('ELC_Gen-sdj'!$B44,'ELC_Gen-sdj'!$AA$4:$AD$19,4,FALSE))</f>
        <v>0.39910202045397852</v>
      </c>
      <c r="AB44" s="34">
        <f>VLOOKUP(AB$22,heatrate!$K$5:$T$36,VLOOKUP('ELC_Gen-sdj'!$B44,'ELC_Gen-sdj'!$AA$4:$AD$19,4,FALSE))</f>
        <v>0.39910202045397852</v>
      </c>
      <c r="AC44" s="34">
        <f>VLOOKUP(AC$22,heatrate!$K$5:$T$36,VLOOKUP('ELC_Gen-sdj'!$B44,'ELC_Gen-sdj'!$AA$4:$AD$19,4,FALSE))</f>
        <v>0.39910202045397852</v>
      </c>
      <c r="AD44" s="34">
        <f>VLOOKUP(AD$22,heatrate!$K$5:$T$36,VLOOKUP('ELC_Gen-sdj'!$B44,'ELC_Gen-sdj'!$AA$4:$AD$19,4,FALSE))</f>
        <v>0.39910202045397852</v>
      </c>
      <c r="AE44" s="34">
        <f>VLOOKUP(AE$22,heatrate!$K$5:$T$36,VLOOKUP('ELC_Gen-sdj'!$B44,'ELC_Gen-sdj'!$AA$4:$AD$19,4,FALSE))</f>
        <v>0.39910202045397852</v>
      </c>
      <c r="AF44" s="34">
        <f>VLOOKUP(AF$22,heatrate!$K$5:$T$36,VLOOKUP('ELC_Gen-sdj'!$B44,'ELC_Gen-sdj'!$AA$4:$AD$19,4,FALSE))</f>
        <v>0.39910202045397852</v>
      </c>
      <c r="AG44" s="34">
        <f>VLOOKUP(AG$22,heatrate!$K$5:$T$36,VLOOKUP('ELC_Gen-sdj'!$B44,'ELC_Gen-sdj'!$AA$4:$AD$19,4,FALSE))</f>
        <v>0.39910202045397852</v>
      </c>
      <c r="AH44" s="34">
        <f>VLOOKUP(AH$22,heatrate!$K$5:$T$36,VLOOKUP('ELC_Gen-sdj'!$B44,'ELC_Gen-sdj'!$AA$4:$AD$19,4,FALSE))</f>
        <v>0.39910202045397852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6"/>
  <sheetViews>
    <sheetView workbookViewId="0"/>
  </sheetViews>
  <sheetFormatPr defaultColWidth="8.88671875" defaultRowHeight="14.4"/>
  <sheetData>
    <row r="1" spans="1:23">
      <c r="A1" s="16" t="s">
        <v>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2" t="s">
        <v>97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2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</row>
    <row r="4" spans="1:23" ht="43.2">
      <c r="A4" s="17" t="s">
        <v>98</v>
      </c>
      <c r="B4" s="17" t="s">
        <v>99</v>
      </c>
      <c r="C4" s="17" t="s">
        <v>100</v>
      </c>
      <c r="D4" s="17" t="s">
        <v>101</v>
      </c>
      <c r="E4" s="17" t="s">
        <v>102</v>
      </c>
      <c r="F4" s="17" t="s">
        <v>103</v>
      </c>
      <c r="G4" s="17" t="s">
        <v>104</v>
      </c>
      <c r="H4" s="17" t="s">
        <v>105</v>
      </c>
      <c r="I4" s="17" t="s">
        <v>106</v>
      </c>
      <c r="J4" s="17" t="s">
        <v>107</v>
      </c>
      <c r="K4" s="17" t="s">
        <v>108</v>
      </c>
      <c r="L4" s="17" t="s">
        <v>109</v>
      </c>
      <c r="M4" s="17" t="s">
        <v>110</v>
      </c>
      <c r="N4" s="17" t="s">
        <v>111</v>
      </c>
      <c r="O4" s="17" t="s">
        <v>112</v>
      </c>
      <c r="P4" s="17" t="s">
        <v>113</v>
      </c>
      <c r="Q4" s="17" t="s">
        <v>114</v>
      </c>
      <c r="R4" s="17" t="s">
        <v>115</v>
      </c>
      <c r="S4" s="17" t="s">
        <v>116</v>
      </c>
      <c r="T4" s="17" t="s">
        <v>117</v>
      </c>
      <c r="U4" s="17" t="s">
        <v>118</v>
      </c>
      <c r="V4" s="17" t="s">
        <v>119</v>
      </c>
      <c r="W4" s="17" t="s">
        <v>120</v>
      </c>
    </row>
    <row r="5" spans="1:23">
      <c r="A5" s="18">
        <v>2019</v>
      </c>
      <c r="B5" s="19">
        <v>5168.6426178861784</v>
      </c>
      <c r="C5" s="19">
        <v>5715.7879928716911</v>
      </c>
      <c r="D5" s="19">
        <v>1371.3094454726163</v>
      </c>
      <c r="E5" s="19">
        <v>1126.002408681185</v>
      </c>
      <c r="F5" s="19">
        <v>691.0768157887843</v>
      </c>
      <c r="G5" s="19">
        <v>999.32722103014635</v>
      </c>
      <c r="H5" s="19">
        <v>794.43951592145902</v>
      </c>
      <c r="I5" s="19">
        <v>2204.7527264537057</v>
      </c>
      <c r="J5" s="19">
        <v>7197.3475813953482</v>
      </c>
      <c r="K5" s="19">
        <v>6034.2658544366905</v>
      </c>
      <c r="L5" s="19">
        <v>3899.5782844311379</v>
      </c>
      <c r="M5" s="19">
        <v>2786.5502933333337</v>
      </c>
      <c r="N5" s="19">
        <v>8894.7868268839102</v>
      </c>
      <c r="O5" s="19">
        <v>2947.7592770000001</v>
      </c>
      <c r="P5" s="19">
        <v>1950.3365679727831</v>
      </c>
      <c r="Q5" s="19">
        <v>1919.9304789039093</v>
      </c>
      <c r="R5" s="19">
        <v>6541.9375379640042</v>
      </c>
      <c r="S5" s="19">
        <v>4291.3345329670328</v>
      </c>
      <c r="T5" s="19">
        <v>2160.2096522704924</v>
      </c>
      <c r="U5" s="19">
        <v>2024.4633266392557</v>
      </c>
      <c r="V5" s="19">
        <v>1576.4641665014869</v>
      </c>
      <c r="W5" s="19">
        <v>1893.7525848912082</v>
      </c>
    </row>
    <row r="6" spans="1:23">
      <c r="A6" s="18">
        <v>2020</v>
      </c>
      <c r="B6" s="19">
        <v>5110.677083333333</v>
      </c>
      <c r="C6" s="19">
        <v>5651.6864103869648</v>
      </c>
      <c r="D6" s="19">
        <v>1358.5377701975299</v>
      </c>
      <c r="E6" s="19">
        <v>1115.5153164235383</v>
      </c>
      <c r="F6" s="19">
        <v>683.76621123055679</v>
      </c>
      <c r="G6" s="19">
        <v>990.01963397384725</v>
      </c>
      <c r="H6" s="19">
        <v>786.43841465656715</v>
      </c>
      <c r="I6" s="19">
        <v>2176.3550779414863</v>
      </c>
      <c r="J6" s="19">
        <v>7055.6867735085943</v>
      </c>
      <c r="K6" s="19">
        <v>5962.7387367896317</v>
      </c>
      <c r="L6" s="19">
        <v>3858.2388443113769</v>
      </c>
      <c r="M6" s="19">
        <v>2753.5199655555557</v>
      </c>
      <c r="N6" s="19">
        <v>8811.9450896130365</v>
      </c>
      <c r="O6" s="19">
        <v>2920.303711</v>
      </c>
      <c r="P6" s="19">
        <v>1858.2925180646389</v>
      </c>
      <c r="Q6" s="19">
        <v>1902.0490225218844</v>
      </c>
      <c r="R6" s="19">
        <v>6455.9898762654666</v>
      </c>
      <c r="S6" s="19">
        <v>4240.3061061307117</v>
      </c>
      <c r="T6" s="19">
        <v>2065.7620066267782</v>
      </c>
      <c r="U6" s="19">
        <v>1935.950554494786</v>
      </c>
      <c r="V6" s="19">
        <v>1557.7777294350842</v>
      </c>
      <c r="W6" s="19">
        <v>1871.3051088490861</v>
      </c>
    </row>
    <row r="7" spans="1:23">
      <c r="A7" s="18">
        <v>2021</v>
      </c>
      <c r="B7" s="19">
        <v>4985.7177733739845</v>
      </c>
      <c r="C7" s="19">
        <v>5513.4993360488797</v>
      </c>
      <c r="D7" s="19">
        <v>1327.8869313302123</v>
      </c>
      <c r="E7" s="19">
        <v>1090.3474355472445</v>
      </c>
      <c r="F7" s="19">
        <v>667.48039872330708</v>
      </c>
      <c r="G7" s="19">
        <v>967.68334022919942</v>
      </c>
      <c r="H7" s="19">
        <v>768.10346098690979</v>
      </c>
      <c r="I7" s="19">
        <v>2119.527684065833</v>
      </c>
      <c r="J7" s="19">
        <v>6629.8438088978764</v>
      </c>
      <c r="K7" s="19">
        <v>5813.1538005982065</v>
      </c>
      <c r="L7" s="19">
        <v>3756.4370768463073</v>
      </c>
      <c r="M7" s="19">
        <v>2684.4433588888887</v>
      </c>
      <c r="N7" s="19">
        <v>8613.1330753564162</v>
      </c>
      <c r="O7" s="19">
        <v>2854.4155270000001</v>
      </c>
      <c r="P7" s="19">
        <v>1795.5102107948242</v>
      </c>
      <c r="Q7" s="19">
        <v>1859.1356729050947</v>
      </c>
      <c r="R7" s="19">
        <v>6285.7541312681305</v>
      </c>
      <c r="S7" s="19">
        <v>4133.7727530364373</v>
      </c>
      <c r="T7" s="19">
        <v>1979.5231836919338</v>
      </c>
      <c r="U7" s="19">
        <v>1855.1309970304312</v>
      </c>
      <c r="V7" s="19">
        <v>1518.6982923686821</v>
      </c>
      <c r="W7" s="19">
        <v>1824.3604684034894</v>
      </c>
    </row>
    <row r="8" spans="1:23">
      <c r="A8" s="18">
        <v>2022</v>
      </c>
      <c r="B8" s="19">
        <v>4908.066664634146</v>
      </c>
      <c r="C8" s="19">
        <v>5427.627470468432</v>
      </c>
      <c r="D8" s="19">
        <v>1309.7542870736615</v>
      </c>
      <c r="E8" s="19">
        <v>1075.4584258953284</v>
      </c>
      <c r="F8" s="19">
        <v>657.5143656011345</v>
      </c>
      <c r="G8" s="19">
        <v>954.4694025614134</v>
      </c>
      <c r="H8" s="19">
        <v>757.02855199294015</v>
      </c>
      <c r="I8" s="19">
        <v>2082.9271460250129</v>
      </c>
      <c r="J8" s="19">
        <v>6485.3510687563194</v>
      </c>
      <c r="K8" s="19">
        <v>5718.8483379860418</v>
      </c>
      <c r="L8" s="19">
        <v>3698.7399710578843</v>
      </c>
      <c r="M8" s="19">
        <v>2607.0372177777781</v>
      </c>
      <c r="N8" s="19">
        <v>8495.518950101834</v>
      </c>
      <c r="O8" s="19">
        <v>2815.436279</v>
      </c>
      <c r="P8" s="19">
        <v>1746.7542670825344</v>
      </c>
      <c r="Q8" s="19">
        <v>1833.7487770078617</v>
      </c>
      <c r="R8" s="19">
        <v>6175.5557470712492</v>
      </c>
      <c r="S8" s="19">
        <v>4066.5532432041646</v>
      </c>
      <c r="T8" s="19">
        <v>1890.4494331716098</v>
      </c>
      <c r="U8" s="19">
        <v>1771.6546565376239</v>
      </c>
      <c r="V8" s="19">
        <v>1494.0607770069375</v>
      </c>
      <c r="W8" s="19">
        <v>1757.7585913130845</v>
      </c>
    </row>
    <row r="9" spans="1:23">
      <c r="A9" s="18">
        <v>2023</v>
      </c>
      <c r="B9" s="19">
        <v>4853.1345274390242</v>
      </c>
      <c r="C9" s="19">
        <v>5366.8807077393076</v>
      </c>
      <c r="D9" s="19">
        <v>1297.6384594759145</v>
      </c>
      <c r="E9" s="19">
        <v>1065.5099575376823</v>
      </c>
      <c r="F9" s="19">
        <v>625.44563297699176</v>
      </c>
      <c r="G9" s="19">
        <v>945.63998672144874</v>
      </c>
      <c r="H9" s="19">
        <v>732.12888568171775</v>
      </c>
      <c r="I9" s="19">
        <v>2023.7324353742019</v>
      </c>
      <c r="J9" s="19">
        <v>6369.8668756319521</v>
      </c>
      <c r="K9" s="19">
        <v>5651.0838574277177</v>
      </c>
      <c r="L9" s="19">
        <v>3659.7218163672655</v>
      </c>
      <c r="M9" s="19">
        <v>2561.7673066666666</v>
      </c>
      <c r="N9" s="19">
        <v>8416.9305305498983</v>
      </c>
      <c r="O9" s="19">
        <v>2789.3908689999998</v>
      </c>
      <c r="P9" s="19">
        <v>1672.8367279603428</v>
      </c>
      <c r="Q9" s="19">
        <v>1816.7858302685031</v>
      </c>
      <c r="R9" s="19">
        <v>6094.1664761542588</v>
      </c>
      <c r="S9" s="19">
        <v>4018.2097975708507</v>
      </c>
      <c r="T9" s="19">
        <v>1819.6350646912347</v>
      </c>
      <c r="U9" s="19">
        <v>1705.290218796878</v>
      </c>
      <c r="V9" s="19">
        <v>1476.3570733399408</v>
      </c>
      <c r="W9" s="19">
        <v>1658.6332243282532</v>
      </c>
    </row>
    <row r="10" spans="1:23">
      <c r="A10" s="18">
        <v>2024</v>
      </c>
      <c r="B10" s="19">
        <v>4808.8825508130076</v>
      </c>
      <c r="C10" s="19">
        <v>5317.9441863543789</v>
      </c>
      <c r="D10" s="19">
        <v>1288.3490512594099</v>
      </c>
      <c r="E10" s="19">
        <v>1057.8823556940195</v>
      </c>
      <c r="F10" s="19">
        <v>612.36512873569245</v>
      </c>
      <c r="G10" s="19">
        <v>938.87054374705326</v>
      </c>
      <c r="H10" s="19">
        <v>720.96291458302687</v>
      </c>
      <c r="I10" s="19">
        <v>1991.6680541404785</v>
      </c>
      <c r="J10" s="19">
        <v>6268.8923862487363</v>
      </c>
      <c r="K10" s="19">
        <v>5595.7970817547366</v>
      </c>
      <c r="L10" s="19">
        <v>3628.7298453093813</v>
      </c>
      <c r="M10" s="19">
        <v>2498.3132599999999</v>
      </c>
      <c r="N10" s="19">
        <v>8356.6770224032589</v>
      </c>
      <c r="O10" s="19">
        <v>2769.421143</v>
      </c>
      <c r="P10" s="19">
        <v>1616.8542966877092</v>
      </c>
      <c r="Q10" s="19">
        <v>1803.7799403528486</v>
      </c>
      <c r="R10" s="19">
        <v>6026.3287401574798</v>
      </c>
      <c r="S10" s="19">
        <v>3978.7404363472788</v>
      </c>
      <c r="T10" s="19">
        <v>1798.8233095927874</v>
      </c>
      <c r="U10" s="19">
        <v>1685.7860522278879</v>
      </c>
      <c r="V10" s="19">
        <v>1461.9132160555007</v>
      </c>
      <c r="W10" s="19">
        <v>1568.4124202757093</v>
      </c>
    </row>
    <row r="11" spans="1:23">
      <c r="A11" s="18">
        <v>2025</v>
      </c>
      <c r="B11" s="19">
        <v>4772.849478658537</v>
      </c>
      <c r="C11" s="19">
        <v>5278.0965580448074</v>
      </c>
      <c r="D11" s="19">
        <v>1281.2421506130725</v>
      </c>
      <c r="E11" s="19">
        <v>1052.0467887752784</v>
      </c>
      <c r="F11" s="19">
        <v>599.88018282301789</v>
      </c>
      <c r="G11" s="19">
        <v>933.69142090120965</v>
      </c>
      <c r="H11" s="19">
        <v>710.71389634505078</v>
      </c>
      <c r="I11" s="19">
        <v>1962.4599814015355</v>
      </c>
      <c r="J11" s="19">
        <v>6178.963717896866</v>
      </c>
      <c r="K11" s="19">
        <v>5550.1031086739786</v>
      </c>
      <c r="L11" s="19">
        <v>3603.9215518962073</v>
      </c>
      <c r="M11" s="19">
        <v>2445.8588322222222</v>
      </c>
      <c r="N11" s="19">
        <v>8310.5786975560077</v>
      </c>
      <c r="O11" s="19">
        <v>2754.1423340000001</v>
      </c>
      <c r="P11" s="19">
        <v>1572.9773784568029</v>
      </c>
      <c r="Q11" s="19">
        <v>1793.829646312277</v>
      </c>
      <c r="R11" s="19">
        <v>5968.8836043307092</v>
      </c>
      <c r="S11" s="19">
        <v>3946.0933547008544</v>
      </c>
      <c r="T11" s="19">
        <v>1782.1759090208</v>
      </c>
      <c r="U11" s="19">
        <v>1670.184829014026</v>
      </c>
      <c r="V11" s="19">
        <v>1449.975610505451</v>
      </c>
      <c r="W11" s="19">
        <v>1485.5622637400841</v>
      </c>
    </row>
    <row r="12" spans="1:23">
      <c r="A12" s="18">
        <v>2026</v>
      </c>
      <c r="B12" s="19">
        <v>4725.3566839430896</v>
      </c>
      <c r="C12" s="19">
        <v>5225.5754959266806</v>
      </c>
      <c r="D12" s="19">
        <v>1271.0375091225055</v>
      </c>
      <c r="E12" s="19">
        <v>1043.6674434552065</v>
      </c>
      <c r="F12" s="19">
        <v>586.79665335842799</v>
      </c>
      <c r="G12" s="19">
        <v>926.25481828591228</v>
      </c>
      <c r="H12" s="19">
        <v>699.33326132519483</v>
      </c>
      <c r="I12" s="19">
        <v>1929.6563305345417</v>
      </c>
      <c r="J12" s="19">
        <v>6074.5643488372098</v>
      </c>
      <c r="K12" s="19">
        <v>5491.1155204386851</v>
      </c>
      <c r="L12" s="19">
        <v>3570.4401746506987</v>
      </c>
      <c r="M12" s="19">
        <v>2378.4936522222224</v>
      </c>
      <c r="N12" s="19">
        <v>8244.3872515274943</v>
      </c>
      <c r="O12" s="19">
        <v>2732.205078</v>
      </c>
      <c r="P12" s="19">
        <v>1531.6347010525287</v>
      </c>
      <c r="Q12" s="19">
        <v>1779.5424144588319</v>
      </c>
      <c r="R12" s="19">
        <v>5897.2115108267717</v>
      </c>
      <c r="S12" s="19">
        <v>3903.99529577148</v>
      </c>
      <c r="T12" s="19">
        <v>1768.2436562248015</v>
      </c>
      <c r="U12" s="19">
        <v>1657.1283170526704</v>
      </c>
      <c r="V12" s="19">
        <v>1434.5649890981169</v>
      </c>
      <c r="W12" s="19">
        <v>1403.6335987148607</v>
      </c>
    </row>
    <row r="13" spans="1:23">
      <c r="A13" s="18">
        <v>2027</v>
      </c>
      <c r="B13" s="19">
        <v>4668.5433739837399</v>
      </c>
      <c r="C13" s="19">
        <v>5162.7493116089618</v>
      </c>
      <c r="D13" s="19">
        <v>1258.2927810235753</v>
      </c>
      <c r="E13" s="19">
        <v>1033.2027351233853</v>
      </c>
      <c r="F13" s="19">
        <v>573.38688246717516</v>
      </c>
      <c r="G13" s="19">
        <v>916.96743483406635</v>
      </c>
      <c r="H13" s="19">
        <v>687.13795686865717</v>
      </c>
      <c r="I13" s="19">
        <v>1894.1682958045187</v>
      </c>
      <c r="J13" s="19">
        <v>5958.7454186046516</v>
      </c>
      <c r="K13" s="19">
        <v>5421.3467996011968</v>
      </c>
      <c r="L13" s="19">
        <v>3529.88627245509</v>
      </c>
      <c r="M13" s="19">
        <v>2256.5214033333332</v>
      </c>
      <c r="N13" s="19">
        <v>8161.7215346232178</v>
      </c>
      <c r="O13" s="19">
        <v>2704.8083499999998</v>
      </c>
      <c r="P13" s="19">
        <v>1495.6825956461453</v>
      </c>
      <c r="Q13" s="19">
        <v>1761.6990964988777</v>
      </c>
      <c r="R13" s="19">
        <v>5814.0691318897634</v>
      </c>
      <c r="S13" s="19">
        <v>3854.2347582096268</v>
      </c>
      <c r="T13" s="19">
        <v>1750.8764143020162</v>
      </c>
      <c r="U13" s="19">
        <v>1640.8524684303957</v>
      </c>
      <c r="V13" s="19">
        <v>1416.33767789891</v>
      </c>
      <c r="W13" s="19">
        <v>1384.1294384391899</v>
      </c>
    </row>
    <row r="14" spans="1:23">
      <c r="A14" s="18">
        <v>2028</v>
      </c>
      <c r="B14" s="19">
        <v>4605.1159369918696</v>
      </c>
      <c r="C14" s="19">
        <v>5092.6073625254576</v>
      </c>
      <c r="D14" s="19">
        <v>1243.7232473700974</v>
      </c>
      <c r="E14" s="19">
        <v>1021.239437426818</v>
      </c>
      <c r="F14" s="19">
        <v>563.08421888622388</v>
      </c>
      <c r="G14" s="19">
        <v>906.34990041086542</v>
      </c>
      <c r="H14" s="19">
        <v>676.65861983379909</v>
      </c>
      <c r="I14" s="19">
        <v>1861.101622629034</v>
      </c>
      <c r="J14" s="19">
        <v>5835.1979191102128</v>
      </c>
      <c r="K14" s="19">
        <v>5343.9588464606186</v>
      </c>
      <c r="L14" s="19">
        <v>3484.2914271457084</v>
      </c>
      <c r="M14" s="19">
        <v>2199.7974988888891</v>
      </c>
      <c r="N14" s="19">
        <v>8067.2182291242361</v>
      </c>
      <c r="O14" s="19">
        <v>2673.4880370000001</v>
      </c>
      <c r="P14" s="19">
        <v>1457.9030904014442</v>
      </c>
      <c r="Q14" s="19">
        <v>1741.3005466776151</v>
      </c>
      <c r="R14" s="19">
        <v>5722.8907785433066</v>
      </c>
      <c r="S14" s="19">
        <v>3799.0598549257761</v>
      </c>
      <c r="T14" s="19">
        <v>1731.4284489372933</v>
      </c>
      <c r="U14" s="19">
        <v>1622.6265293253155</v>
      </c>
      <c r="V14" s="19">
        <v>1396.1201000991082</v>
      </c>
      <c r="W14" s="19">
        <v>1362.7080309747614</v>
      </c>
    </row>
    <row r="15" spans="1:23">
      <c r="A15" s="18">
        <v>2029</v>
      </c>
      <c r="B15" s="19">
        <v>4540.040054878049</v>
      </c>
      <c r="C15" s="19">
        <v>5020.642065173116</v>
      </c>
      <c r="D15" s="19">
        <v>1228.6607818944974</v>
      </c>
      <c r="E15" s="19">
        <v>1008.8713552222156</v>
      </c>
      <c r="F15" s="19">
        <v>552.68940292531795</v>
      </c>
      <c r="G15" s="19">
        <v>895.37335629817096</v>
      </c>
      <c r="H15" s="19">
        <v>666.00142576114126</v>
      </c>
      <c r="I15" s="19">
        <v>1827.5859589325796</v>
      </c>
      <c r="J15" s="19">
        <v>5710.3623255813955</v>
      </c>
      <c r="K15" s="19">
        <v>5264.7273020937191</v>
      </c>
      <c r="L15" s="19">
        <v>3437.404000998004</v>
      </c>
      <c r="M15" s="19">
        <v>2141.3781733333335</v>
      </c>
      <c r="N15" s="19">
        <v>7969.5182230142564</v>
      </c>
      <c r="O15" s="19">
        <v>2641.108643</v>
      </c>
      <c r="P15" s="19">
        <v>1419.9291399646929</v>
      </c>
      <c r="Q15" s="19">
        <v>1720.2120704836609</v>
      </c>
      <c r="R15" s="19">
        <v>5629.8919438976382</v>
      </c>
      <c r="S15" s="19">
        <v>3742.5772132253705</v>
      </c>
      <c r="T15" s="19">
        <v>1711.2788866171686</v>
      </c>
      <c r="U15" s="19">
        <v>1603.7432072191759</v>
      </c>
      <c r="V15" s="19">
        <v>1375.4206521308226</v>
      </c>
      <c r="W15" s="19">
        <v>1340.847562571272</v>
      </c>
    </row>
    <row r="16" spans="1:23">
      <c r="A16" s="18">
        <v>2030</v>
      </c>
      <c r="B16" s="19">
        <v>4482.7057134146344</v>
      </c>
      <c r="C16" s="19">
        <v>4957.238097759674</v>
      </c>
      <c r="D16" s="19">
        <v>1215.648915581038</v>
      </c>
      <c r="E16" s="19">
        <v>998.18723246161107</v>
      </c>
      <c r="F16" s="19">
        <v>545.18176316075028</v>
      </c>
      <c r="G16" s="19">
        <v>885.89111010613226</v>
      </c>
      <c r="H16" s="19">
        <v>657.80877518752743</v>
      </c>
      <c r="I16" s="19">
        <v>1799.7582499270172</v>
      </c>
      <c r="J16" s="19">
        <v>5596.0191011122351</v>
      </c>
      <c r="K16" s="19">
        <v>5194.5399152542377</v>
      </c>
      <c r="L16" s="19">
        <v>3396.336721556886</v>
      </c>
      <c r="M16" s="19">
        <v>2094.6308055555555</v>
      </c>
      <c r="N16" s="19">
        <v>7885.118658859471</v>
      </c>
      <c r="O16" s="19">
        <v>2613.1372070000002</v>
      </c>
      <c r="P16" s="19">
        <v>1384.6848494272842</v>
      </c>
      <c r="Q16" s="19">
        <v>1701.9945554671226</v>
      </c>
      <c r="R16" s="19">
        <v>5546.7101574803146</v>
      </c>
      <c r="S16" s="19">
        <v>3692.5267375168692</v>
      </c>
      <c r="T16" s="19">
        <v>1693.9711972787975</v>
      </c>
      <c r="U16" s="19">
        <v>1587.522899943938</v>
      </c>
      <c r="V16" s="19">
        <v>1357.0838523290388</v>
      </c>
      <c r="W16" s="19">
        <v>1321.3199687501792</v>
      </c>
    </row>
    <row r="17" spans="1:23">
      <c r="A17" s="18">
        <v>2031</v>
      </c>
      <c r="B17" s="19">
        <v>4425.6626534552843</v>
      </c>
      <c r="C17" s="19">
        <v>4894.1573319755598</v>
      </c>
      <c r="D17" s="19">
        <v>1202.6754414083132</v>
      </c>
      <c r="E17" s="19">
        <v>987.53447221994065</v>
      </c>
      <c r="F17" s="19">
        <v>538.1821541760055</v>
      </c>
      <c r="G17" s="19">
        <v>876.43693554129345</v>
      </c>
      <c r="H17" s="19">
        <v>649.97504044712446</v>
      </c>
      <c r="I17" s="19">
        <v>1772.7205513033425</v>
      </c>
      <c r="J17" s="19">
        <v>5482.7304448938321</v>
      </c>
      <c r="K17" s="19">
        <v>5124.7502612163516</v>
      </c>
      <c r="L17" s="19">
        <v>3355.4529121756486</v>
      </c>
      <c r="M17" s="19">
        <v>2048.7344022222223</v>
      </c>
      <c r="N17" s="19">
        <v>7800.9682087576375</v>
      </c>
      <c r="O17" s="19">
        <v>2585.2482909999999</v>
      </c>
      <c r="P17" s="19">
        <v>1349.8124148352827</v>
      </c>
      <c r="Q17" s="19">
        <v>1683.830965390189</v>
      </c>
      <c r="R17" s="19">
        <v>5464.0858562992125</v>
      </c>
      <c r="S17" s="19">
        <v>3642.7618072424648</v>
      </c>
      <c r="T17" s="19">
        <v>1675.2431734636773</v>
      </c>
      <c r="U17" s="19">
        <v>1569.9715878898737</v>
      </c>
      <c r="V17" s="19">
        <v>1338.8514598612489</v>
      </c>
      <c r="W17" s="19">
        <v>1301.9206185783623</v>
      </c>
    </row>
    <row r="18" spans="1:23">
      <c r="A18" s="18">
        <v>2032</v>
      </c>
      <c r="B18" s="19">
        <v>4368.7987286585367</v>
      </c>
      <c r="C18" s="19">
        <v>4831.2734694501023</v>
      </c>
      <c r="D18" s="19">
        <v>1189.7095958679586</v>
      </c>
      <c r="E18" s="19">
        <v>976.88806508978598</v>
      </c>
      <c r="F18" s="19">
        <v>530.05109484271452</v>
      </c>
      <c r="G18" s="19">
        <v>866.98804737941066</v>
      </c>
      <c r="H18" s="19">
        <v>641.36372168701268</v>
      </c>
      <c r="I18" s="19">
        <v>1744.3398946731445</v>
      </c>
      <c r="J18" s="19">
        <v>5370.357624873609</v>
      </c>
      <c r="K18" s="19">
        <v>5055.228844466601</v>
      </c>
      <c r="L18" s="19">
        <v>3314.6660778443115</v>
      </c>
      <c r="M18" s="19">
        <v>2004.6373155555555</v>
      </c>
      <c r="N18" s="19">
        <v>7716.8669847250512</v>
      </c>
      <c r="O18" s="19">
        <v>2557.3754880000001</v>
      </c>
      <c r="P18" s="19">
        <v>1315.2784959773842</v>
      </c>
      <c r="Q18" s="19">
        <v>1665.6776051504251</v>
      </c>
      <c r="R18" s="19">
        <v>5381.879190944881</v>
      </c>
      <c r="S18" s="19">
        <v>3593.1896187584348</v>
      </c>
      <c r="T18" s="19">
        <v>1657.9845092648577</v>
      </c>
      <c r="U18" s="19">
        <v>1553.7974985450642</v>
      </c>
      <c r="V18" s="19">
        <v>1320.6886313181369</v>
      </c>
      <c r="W18" s="19">
        <v>1282.6162861994601</v>
      </c>
    </row>
    <row r="19" spans="1:23">
      <c r="A19" s="18">
        <v>2033</v>
      </c>
      <c r="B19" s="19">
        <v>4314.4918302845526</v>
      </c>
      <c r="C19" s="19">
        <v>4771.2183564154784</v>
      </c>
      <c r="D19" s="19">
        <v>1177.399966937217</v>
      </c>
      <c r="E19" s="19">
        <v>966.78039933298066</v>
      </c>
      <c r="F19" s="19">
        <v>523.25171840914777</v>
      </c>
      <c r="G19" s="19">
        <v>858.01756425183066</v>
      </c>
      <c r="H19" s="19">
        <v>633.8220216208266</v>
      </c>
      <c r="I19" s="19">
        <v>1718.3577062795916</v>
      </c>
      <c r="J19" s="19">
        <v>5261.806137512639</v>
      </c>
      <c r="K19" s="19">
        <v>4988.7247437686947</v>
      </c>
      <c r="L19" s="19">
        <v>3275.7814451097806</v>
      </c>
      <c r="M19" s="19">
        <v>1963.2904733333335</v>
      </c>
      <c r="N19" s="19">
        <v>7637.0225580448068</v>
      </c>
      <c r="O19" s="19">
        <v>2530.913818</v>
      </c>
      <c r="P19" s="19">
        <v>1281.7910293330463</v>
      </c>
      <c r="Q19" s="19">
        <v>1648.4432604585031</v>
      </c>
      <c r="R19" s="19">
        <v>5303.0169625984254</v>
      </c>
      <c r="S19" s="19">
        <v>3545.7650551057131</v>
      </c>
      <c r="T19" s="19">
        <v>1641.6278527708337</v>
      </c>
      <c r="U19" s="19">
        <v>1538.4687733711658</v>
      </c>
      <c r="V19" s="19">
        <v>1303.3144816650149</v>
      </c>
      <c r="W19" s="19">
        <v>1264.1042676253003</v>
      </c>
    </row>
    <row r="20" spans="1:23">
      <c r="A20" s="18">
        <v>2034</v>
      </c>
      <c r="B20" s="19">
        <v>4260.8831138211381</v>
      </c>
      <c r="C20" s="19">
        <v>4711.9339521384927</v>
      </c>
      <c r="D20" s="19">
        <v>1165.2419338905622</v>
      </c>
      <c r="E20" s="19">
        <v>956.79718847118465</v>
      </c>
      <c r="F20" s="19">
        <v>515.81087957852662</v>
      </c>
      <c r="G20" s="19">
        <v>849.15749131602001</v>
      </c>
      <c r="H20" s="19">
        <v>625.87377279747011</v>
      </c>
      <c r="I20" s="19">
        <v>1691.7835125191639</v>
      </c>
      <c r="J20" s="19">
        <v>5154.760470171891</v>
      </c>
      <c r="K20" s="19">
        <v>4923.0847497507484</v>
      </c>
      <c r="L20" s="19">
        <v>3237.3902095808385</v>
      </c>
      <c r="M20" s="19">
        <v>1926.5858288888887</v>
      </c>
      <c r="N20" s="19">
        <v>7558.1606619144604</v>
      </c>
      <c r="O20" s="19">
        <v>2504.7773440000001</v>
      </c>
      <c r="P20" s="19">
        <v>1245.6897437507662</v>
      </c>
      <c r="Q20" s="19">
        <v>1631.4210834999078</v>
      </c>
      <c r="R20" s="19">
        <v>5225.1985807086612</v>
      </c>
      <c r="S20" s="19">
        <v>3498.9568837156999</v>
      </c>
      <c r="T20" s="19">
        <v>1625.4700054879377</v>
      </c>
      <c r="U20" s="19">
        <v>1523.3262241460393</v>
      </c>
      <c r="V20" s="19">
        <v>1286.1659613478694</v>
      </c>
      <c r="W20" s="19">
        <v>1245.8367292363471</v>
      </c>
    </row>
    <row r="21" spans="1:23">
      <c r="A21" s="18">
        <v>2035</v>
      </c>
      <c r="B21" s="19">
        <v>4204.6434359756104</v>
      </c>
      <c r="C21" s="19">
        <v>4649.7412403258659</v>
      </c>
      <c r="D21" s="19">
        <v>1152.3240767621051</v>
      </c>
      <c r="E21" s="19">
        <v>946.19030395990262</v>
      </c>
      <c r="F21" s="19">
        <v>508.97975794471898</v>
      </c>
      <c r="G21" s="19">
        <v>839.74384038796472</v>
      </c>
      <c r="H21" s="19">
        <v>618.16891454625681</v>
      </c>
      <c r="I21" s="19">
        <v>1665.4230155032312</v>
      </c>
      <c r="J21" s="19">
        <v>5045.2176086956524</v>
      </c>
      <c r="K21" s="19">
        <v>4854.4663858424728</v>
      </c>
      <c r="L21" s="19">
        <v>3196.9632514970062</v>
      </c>
      <c r="M21" s="19">
        <v>1894.3737788888889</v>
      </c>
      <c r="N21" s="19">
        <v>7474.3712016293275</v>
      </c>
      <c r="O21" s="19">
        <v>2477.0083009999998</v>
      </c>
      <c r="P21" s="19">
        <v>1212.2124983677281</v>
      </c>
      <c r="Q21" s="19">
        <v>1613.3352890172125</v>
      </c>
      <c r="R21" s="19">
        <v>5144.3500669291343</v>
      </c>
      <c r="S21" s="19">
        <v>3450.0340350877195</v>
      </c>
      <c r="T21" s="19">
        <v>1608.2392129827426</v>
      </c>
      <c r="U21" s="19">
        <v>1507.1783014725775</v>
      </c>
      <c r="V21" s="19">
        <v>1268.2390465807732</v>
      </c>
      <c r="W21" s="19">
        <v>1226.8420480093521</v>
      </c>
    </row>
    <row r="22" spans="1:23">
      <c r="A22" s="18">
        <v>2036</v>
      </c>
      <c r="B22" s="19">
        <v>4151.1108892276425</v>
      </c>
      <c r="C22" s="19">
        <v>4590.5418625254579</v>
      </c>
      <c r="D22" s="19">
        <v>1140.1072262341086</v>
      </c>
      <c r="E22" s="19">
        <v>936.1588850919635</v>
      </c>
      <c r="F22" s="19">
        <v>501.93412983203177</v>
      </c>
      <c r="G22" s="19">
        <v>830.84095470859359</v>
      </c>
      <c r="H22" s="19">
        <v>610.47914950728045</v>
      </c>
      <c r="I22" s="19">
        <v>1639.504900946743</v>
      </c>
      <c r="J22" s="19">
        <v>4939.6441911021238</v>
      </c>
      <c r="K22" s="19">
        <v>4789.0337776669994</v>
      </c>
      <c r="L22" s="19">
        <v>3158.5559351297406</v>
      </c>
      <c r="M22" s="19">
        <v>2902.0754666666667</v>
      </c>
      <c r="N22" s="19">
        <v>7395.1294195519349</v>
      </c>
      <c r="O22" s="19">
        <v>2450.7460940000001</v>
      </c>
      <c r="P22" s="19">
        <v>1179.7993496829654</v>
      </c>
      <c r="Q22" s="19">
        <v>1596.2307705597948</v>
      </c>
      <c r="R22" s="19">
        <v>5067.01179527559</v>
      </c>
      <c r="S22" s="19">
        <v>3403.3779700854702</v>
      </c>
      <c r="T22" s="19">
        <v>1591.9738901627279</v>
      </c>
      <c r="U22" s="19">
        <v>1491.9348947592248</v>
      </c>
      <c r="V22" s="19">
        <v>1251.1446055500498</v>
      </c>
      <c r="W22" s="19">
        <v>1208.6795527608147</v>
      </c>
    </row>
    <row r="23" spans="1:23">
      <c r="A23" s="18">
        <v>2037</v>
      </c>
      <c r="B23" s="19">
        <v>4098.4586392276424</v>
      </c>
      <c r="C23" s="19">
        <v>4532.315069246436</v>
      </c>
      <c r="D23" s="19">
        <v>1128.0925445440359</v>
      </c>
      <c r="E23" s="19">
        <v>926.29330898546959</v>
      </c>
      <c r="F23" s="19">
        <v>496.13037458887266</v>
      </c>
      <c r="G23" s="19">
        <v>822.08535991609494</v>
      </c>
      <c r="H23" s="19">
        <v>603.6915805633181</v>
      </c>
      <c r="I23" s="19">
        <v>1615.4570872329855</v>
      </c>
      <c r="J23" s="19">
        <v>4835.8170343781594</v>
      </c>
      <c r="K23" s="19">
        <v>4724.6736350947167</v>
      </c>
      <c r="L23" s="19">
        <v>3120.7811427145707</v>
      </c>
      <c r="M23" s="19">
        <v>2855.8672422222221</v>
      </c>
      <c r="N23" s="19">
        <v>7317.1978421588592</v>
      </c>
      <c r="O23" s="19">
        <v>2424.9179690000001</v>
      </c>
      <c r="P23" s="19">
        <v>1146.0479583892791</v>
      </c>
      <c r="Q23" s="19">
        <v>1579.4093945039247</v>
      </c>
      <c r="R23" s="19">
        <v>4990.9365196850395</v>
      </c>
      <c r="S23" s="19">
        <v>3357.4871108861898</v>
      </c>
      <c r="T23" s="19">
        <v>1575.9781579747489</v>
      </c>
      <c r="U23" s="19">
        <v>1476.9445360195812</v>
      </c>
      <c r="V23" s="19">
        <v>1234.330478691774</v>
      </c>
      <c r="W23" s="19">
        <v>1190.814350085861</v>
      </c>
    </row>
    <row r="24" spans="1:23">
      <c r="A24" s="18">
        <v>2038</v>
      </c>
      <c r="B24" s="19">
        <v>4047.6466229674797</v>
      </c>
      <c r="C24" s="19">
        <v>4476.1254338085537</v>
      </c>
      <c r="D24" s="19">
        <v>1116.5463070484207</v>
      </c>
      <c r="E24" s="19">
        <v>916.81252304101258</v>
      </c>
      <c r="F24" s="19">
        <v>491.60428881995716</v>
      </c>
      <c r="G24" s="19">
        <v>813.67103928719212</v>
      </c>
      <c r="H24" s="19">
        <v>597.89283626268559</v>
      </c>
      <c r="I24" s="19">
        <v>1593.5526257281338</v>
      </c>
      <c r="J24" s="19">
        <v>4734.8247714863501</v>
      </c>
      <c r="K24" s="19">
        <v>4662.4929900299112</v>
      </c>
      <c r="L24" s="19">
        <v>3084.3722714570858</v>
      </c>
      <c r="M24" s="19">
        <v>2809.4737411111109</v>
      </c>
      <c r="N24" s="19">
        <v>7242.3038523421583</v>
      </c>
      <c r="O24" s="19">
        <v>2400.0971679999998</v>
      </c>
      <c r="P24" s="19">
        <v>1118.2963926543282</v>
      </c>
      <c r="Q24" s="19">
        <v>1563.2438453635134</v>
      </c>
      <c r="R24" s="19">
        <v>4917.2891929133857</v>
      </c>
      <c r="S24" s="19">
        <v>3313.1469781826358</v>
      </c>
      <c r="T24" s="19">
        <v>1563.1892310267406</v>
      </c>
      <c r="U24" s="19">
        <v>1464.9592659008522</v>
      </c>
      <c r="V24" s="19">
        <v>1218.0856907829534</v>
      </c>
      <c r="W24" s="19">
        <v>1173.5235643897213</v>
      </c>
    </row>
    <row r="25" spans="1:23">
      <c r="A25" s="18">
        <v>2039</v>
      </c>
      <c r="B25" s="19">
        <v>3996.4190223577234</v>
      </c>
      <c r="C25" s="19">
        <v>4419.474366598778</v>
      </c>
      <c r="D25" s="19">
        <v>1104.8469979396241</v>
      </c>
      <c r="E25" s="19">
        <v>907.20611701873656</v>
      </c>
      <c r="F25" s="19">
        <v>487.00232364089447</v>
      </c>
      <c r="G25" s="19">
        <v>805.14542804083646</v>
      </c>
      <c r="H25" s="19">
        <v>592.00617370201508</v>
      </c>
      <c r="I25" s="19">
        <v>1571.5137622837831</v>
      </c>
      <c r="J25" s="19">
        <v>4633.9919777553077</v>
      </c>
      <c r="K25" s="19">
        <v>4599.8883230309075</v>
      </c>
      <c r="L25" s="19">
        <v>3047.6105898203591</v>
      </c>
      <c r="M25" s="19">
        <v>2769.2054577777776</v>
      </c>
      <c r="N25" s="19">
        <v>7166.4198737270872</v>
      </c>
      <c r="O25" s="19">
        <v>2374.94751</v>
      </c>
      <c r="P25" s="19">
        <v>1109.5140973462001</v>
      </c>
      <c r="Q25" s="19">
        <v>1546.8641079727861</v>
      </c>
      <c r="R25" s="19">
        <v>4843.3198700787398</v>
      </c>
      <c r="S25" s="19">
        <v>3268.5083963112907</v>
      </c>
      <c r="T25" s="19">
        <v>1550.9130180750433</v>
      </c>
      <c r="U25" s="19">
        <v>1453.4545262510192</v>
      </c>
      <c r="V25" s="19">
        <v>1201.7302041625371</v>
      </c>
      <c r="W25" s="19">
        <v>1156.1516351717116</v>
      </c>
    </row>
    <row r="26" spans="1:23">
      <c r="A26" s="18">
        <v>2040</v>
      </c>
      <c r="B26" s="19">
        <v>3946.9152926829265</v>
      </c>
      <c r="C26" s="19">
        <v>4364.7306792260697</v>
      </c>
      <c r="D26" s="19">
        <v>1093.5867242846139</v>
      </c>
      <c r="E26" s="19">
        <v>897.96013355669197</v>
      </c>
      <c r="F26" s="19">
        <v>482.58534609527305</v>
      </c>
      <c r="G26" s="19">
        <v>796.93953640536154</v>
      </c>
      <c r="H26" s="19">
        <v>586.3488748345344</v>
      </c>
      <c r="I26" s="19">
        <v>1550.1819546560928</v>
      </c>
      <c r="J26" s="19">
        <v>4535.7941263902931</v>
      </c>
      <c r="K26" s="19">
        <v>4539.3253828514462</v>
      </c>
      <c r="L26" s="19">
        <v>3012.1285748502996</v>
      </c>
      <c r="M26" s="19">
        <v>2730.2053488888891</v>
      </c>
      <c r="N26" s="19">
        <v>7093.3810539714868</v>
      </c>
      <c r="O26" s="19">
        <v>2350.741211</v>
      </c>
      <c r="P26" s="19">
        <v>1101.1270211512526</v>
      </c>
      <c r="Q26" s="19">
        <v>1531.0988984613139</v>
      </c>
      <c r="R26" s="19">
        <v>4771.6223051181105</v>
      </c>
      <c r="S26" s="19">
        <v>3225.3222480881691</v>
      </c>
      <c r="T26" s="19">
        <v>1539.1892175573932</v>
      </c>
      <c r="U26" s="19">
        <v>1442.467410338907</v>
      </c>
      <c r="V26" s="19">
        <v>1185.9080049554016</v>
      </c>
      <c r="W26" s="19">
        <v>1139.3177482173658</v>
      </c>
    </row>
    <row r="27" spans="1:23">
      <c r="A27" s="18">
        <v>2041</v>
      </c>
      <c r="B27" s="19">
        <v>3898.5977794715445</v>
      </c>
      <c r="C27" s="19">
        <v>4311.2981914460288</v>
      </c>
      <c r="D27" s="19">
        <v>1082.6184454040715</v>
      </c>
      <c r="E27" s="19">
        <v>888.95396763848021</v>
      </c>
      <c r="F27" s="19">
        <v>478.28898178879183</v>
      </c>
      <c r="G27" s="19">
        <v>788.94659520625066</v>
      </c>
      <c r="H27" s="19">
        <v>580.84255956758341</v>
      </c>
      <c r="I27" s="19">
        <v>1529.3439768621179</v>
      </c>
      <c r="J27" s="19">
        <v>4439.5805025278059</v>
      </c>
      <c r="K27" s="19">
        <v>4480.1800648055842</v>
      </c>
      <c r="L27" s="19">
        <v>2977.5176207584827</v>
      </c>
      <c r="M27" s="19">
        <v>2692.0966255555554</v>
      </c>
      <c r="N27" s="19">
        <v>7022.2376802443996</v>
      </c>
      <c r="O27" s="19">
        <v>2327.163086</v>
      </c>
      <c r="P27" s="19">
        <v>1092.9899980362898</v>
      </c>
      <c r="Q27" s="19">
        <v>1515.7426186210555</v>
      </c>
      <c r="R27" s="19">
        <v>4701.5352027559056</v>
      </c>
      <c r="S27" s="19">
        <v>3183.1462134502922</v>
      </c>
      <c r="T27" s="19">
        <v>1527.8152110654962</v>
      </c>
      <c r="U27" s="19">
        <v>1431.8081334161864</v>
      </c>
      <c r="V27" s="19">
        <v>1170.4561288404363</v>
      </c>
      <c r="W27" s="19">
        <v>1124.8231472160728</v>
      </c>
    </row>
    <row r="28" spans="1:23">
      <c r="A28" s="18">
        <v>2042</v>
      </c>
      <c r="B28" s="19">
        <v>3847.4669420731707</v>
      </c>
      <c r="C28" s="19">
        <v>4254.7545264765786</v>
      </c>
      <c r="D28" s="19">
        <v>1070.8306641184131</v>
      </c>
      <c r="E28" s="19">
        <v>879.27486948997478</v>
      </c>
      <c r="F28" s="19">
        <v>473.62192940771479</v>
      </c>
      <c r="G28" s="19">
        <v>780.35638188343751</v>
      </c>
      <c r="H28" s="19">
        <v>574.89064384468304</v>
      </c>
      <c r="I28" s="19">
        <v>1507.4316090765146</v>
      </c>
      <c r="J28" s="19">
        <v>4340.8030323559151</v>
      </c>
      <c r="K28" s="19">
        <v>4417.8577547357927</v>
      </c>
      <c r="L28" s="19">
        <v>2940.7213403193609</v>
      </c>
      <c r="M28" s="19">
        <v>2652.1183266666662</v>
      </c>
      <c r="N28" s="19">
        <v>6945.7774114052954</v>
      </c>
      <c r="O28" s="19">
        <v>2301.8227539999998</v>
      </c>
      <c r="P28" s="19">
        <v>1083.9797947175198</v>
      </c>
      <c r="Q28" s="19">
        <v>1499.2387368592681</v>
      </c>
      <c r="R28" s="19">
        <v>4628.2391889763776</v>
      </c>
      <c r="S28" s="19">
        <v>3138.7149257759779</v>
      </c>
      <c r="T28" s="19">
        <v>1515.2205827398197</v>
      </c>
      <c r="U28" s="19">
        <v>1420.0049294526502</v>
      </c>
      <c r="V28" s="19">
        <v>1154.1742001982161</v>
      </c>
      <c r="W28" s="19">
        <v>1115.5504084825309</v>
      </c>
    </row>
    <row r="29" spans="1:23">
      <c r="A29" s="18">
        <v>2043</v>
      </c>
      <c r="B29" s="19">
        <v>3802.2220274390243</v>
      </c>
      <c r="C29" s="19">
        <v>4204.7201181262726</v>
      </c>
      <c r="D29" s="19">
        <v>1060.6446033070847</v>
      </c>
      <c r="E29" s="19">
        <v>870.9108558745271</v>
      </c>
      <c r="F29" s="19">
        <v>469.65517412339614</v>
      </c>
      <c r="G29" s="19">
        <v>772.93328682633012</v>
      </c>
      <c r="H29" s="19">
        <v>569.7928978526254</v>
      </c>
      <c r="I29" s="19">
        <v>1487.8542263174072</v>
      </c>
      <c r="J29" s="19">
        <v>4249.2865864509613</v>
      </c>
      <c r="K29" s="19">
        <v>4362.3494745762719</v>
      </c>
      <c r="L29" s="19">
        <v>2908.3909820359286</v>
      </c>
      <c r="M29" s="19">
        <v>2616.2695311111111</v>
      </c>
      <c r="N29" s="19">
        <v>6879.7072902240334</v>
      </c>
      <c r="O29" s="19">
        <v>2279.9260250000002</v>
      </c>
      <c r="P29" s="19">
        <v>1076.5473019917204</v>
      </c>
      <c r="Q29" s="19">
        <v>1484.9775203259558</v>
      </c>
      <c r="R29" s="19">
        <v>4562.2020334645667</v>
      </c>
      <c r="S29" s="19">
        <v>3099.1271884840307</v>
      </c>
      <c r="T29" s="19">
        <v>1504.8308948065319</v>
      </c>
      <c r="U29" s="19">
        <v>1410.2681139316253</v>
      </c>
      <c r="V29" s="19">
        <v>1139.6723914767097</v>
      </c>
      <c r="W29" s="19">
        <v>1107.9013548592898</v>
      </c>
    </row>
    <row r="30" spans="1:23">
      <c r="A30" s="18">
        <v>2044</v>
      </c>
      <c r="B30" s="19">
        <v>3752.2096707317073</v>
      </c>
      <c r="C30" s="19">
        <v>4149.4130682281057</v>
      </c>
      <c r="D30" s="19">
        <v>1049.091966953345</v>
      </c>
      <c r="E30" s="19">
        <v>861.42476548308298</v>
      </c>
      <c r="F30" s="19">
        <v>465.07507586444302</v>
      </c>
      <c r="G30" s="19">
        <v>764.51450248732283</v>
      </c>
      <c r="H30" s="19">
        <v>563.95538406383287</v>
      </c>
      <c r="I30" s="19">
        <v>1466.4389923962826</v>
      </c>
      <c r="J30" s="19">
        <v>4153.0561769464111</v>
      </c>
      <c r="K30" s="19">
        <v>4301.4243399800598</v>
      </c>
      <c r="L30" s="19">
        <v>2872.3790209580839</v>
      </c>
      <c r="M30" s="19">
        <v>2577.2105577777775</v>
      </c>
      <c r="N30" s="19">
        <v>6804.7720295315676</v>
      </c>
      <c r="O30" s="19">
        <v>2255.0913089999999</v>
      </c>
      <c r="P30" s="19">
        <v>1067.6836034182513</v>
      </c>
      <c r="Q30" s="19">
        <v>1468.8028783418063</v>
      </c>
      <c r="R30" s="19">
        <v>4490.6198100393694</v>
      </c>
      <c r="S30" s="19">
        <v>3055.6939349977506</v>
      </c>
      <c r="T30" s="19">
        <v>1492.4411911042516</v>
      </c>
      <c r="U30" s="19">
        <v>1398.6570009315205</v>
      </c>
      <c r="V30" s="19">
        <v>1123.7558265609516</v>
      </c>
      <c r="W30" s="19">
        <v>1098.7797097739735</v>
      </c>
    </row>
    <row r="31" spans="1:23">
      <c r="A31" s="18">
        <v>2045</v>
      </c>
      <c r="B31" s="19">
        <v>3707.1667184959347</v>
      </c>
      <c r="C31" s="19">
        <v>4099.6024134419549</v>
      </c>
      <c r="D31" s="19">
        <v>1038.8915087112368</v>
      </c>
      <c r="E31" s="19">
        <v>853.04909335406467</v>
      </c>
      <c r="F31" s="19">
        <v>461.08628247391044</v>
      </c>
      <c r="G31" s="19">
        <v>757.08101263386811</v>
      </c>
      <c r="H31" s="19">
        <v>558.83923463009262</v>
      </c>
      <c r="I31" s="19">
        <v>1446.9943585946364</v>
      </c>
      <c r="J31" s="19">
        <v>4062.9492780586452</v>
      </c>
      <c r="K31" s="19">
        <v>4246.250993020938</v>
      </c>
      <c r="L31" s="19">
        <v>2840.1363772455093</v>
      </c>
      <c r="M31" s="19">
        <v>2541.6370988888889</v>
      </c>
      <c r="N31" s="19">
        <v>6738.6094226069245</v>
      </c>
      <c r="O31" s="19">
        <v>2233.1635740000002</v>
      </c>
      <c r="P31" s="19">
        <v>1060.1524277738404</v>
      </c>
      <c r="Q31" s="19">
        <v>1454.521834256981</v>
      </c>
      <c r="R31" s="19">
        <v>4425.1641702755905</v>
      </c>
      <c r="S31" s="19">
        <v>3016.3486358524519</v>
      </c>
      <c r="T31" s="19">
        <v>1481.9138513677219</v>
      </c>
      <c r="U31" s="19">
        <v>1388.7911539896293</v>
      </c>
      <c r="V31" s="19">
        <v>1109.3417304261648</v>
      </c>
      <c r="W31" s="19">
        <v>1091.0289939506001</v>
      </c>
    </row>
    <row r="32" spans="1:23">
      <c r="A32" s="18">
        <v>2046</v>
      </c>
      <c r="B32" s="19">
        <v>3658.2773099593496</v>
      </c>
      <c r="C32" s="19">
        <v>4045.5374470468432</v>
      </c>
      <c r="D32" s="19">
        <v>1027.5766643280795</v>
      </c>
      <c r="E32" s="19">
        <v>843.75828282616067</v>
      </c>
      <c r="F32" s="19">
        <v>456.59451063224731</v>
      </c>
      <c r="G32" s="19">
        <v>748.83530266437026</v>
      </c>
      <c r="H32" s="19">
        <v>553.11769377849669</v>
      </c>
      <c r="I32" s="19">
        <v>1426.0769670969578</v>
      </c>
      <c r="J32" s="19">
        <v>3969.2471678463098</v>
      </c>
      <c r="K32" s="19">
        <v>4186.7269282153538</v>
      </c>
      <c r="L32" s="19">
        <v>2804.9126357285431</v>
      </c>
      <c r="M32" s="19">
        <v>2503.4977211111113</v>
      </c>
      <c r="N32" s="19">
        <v>6665.2160773930755</v>
      </c>
      <c r="O32" s="19">
        <v>2208.8400879999999</v>
      </c>
      <c r="P32" s="19">
        <v>1051.4399767544555</v>
      </c>
      <c r="Q32" s="19">
        <v>1438.679840961621</v>
      </c>
      <c r="R32" s="19">
        <v>4355.295255905512</v>
      </c>
      <c r="S32" s="19">
        <v>2973.9147874493929</v>
      </c>
      <c r="T32" s="19">
        <v>1469.735187701106</v>
      </c>
      <c r="U32" s="19">
        <v>1377.3777480138051</v>
      </c>
      <c r="V32" s="19">
        <v>1093.7908919722499</v>
      </c>
      <c r="W32" s="19">
        <v>1082.0627575101762</v>
      </c>
    </row>
    <row r="33" spans="1:23">
      <c r="A33" s="18">
        <v>2047</v>
      </c>
      <c r="B33" s="19">
        <v>3612.8366361788617</v>
      </c>
      <c r="C33" s="19">
        <v>3995.2867433808556</v>
      </c>
      <c r="D33" s="19">
        <v>1017.1923719724368</v>
      </c>
      <c r="E33" s="19">
        <v>835.23163261212983</v>
      </c>
      <c r="F33" s="19">
        <v>452.50808410008494</v>
      </c>
      <c r="G33" s="19">
        <v>741.2680881772784</v>
      </c>
      <c r="H33" s="19">
        <v>547.89168811589946</v>
      </c>
      <c r="I33" s="19">
        <v>1406.5328605095826</v>
      </c>
      <c r="J33" s="19">
        <v>3879.9198412537917</v>
      </c>
      <c r="K33" s="19">
        <v>4131.205504486541</v>
      </c>
      <c r="L33" s="19">
        <v>2772.2981766467065</v>
      </c>
      <c r="M33" s="19">
        <v>2467.7910699999998</v>
      </c>
      <c r="N33" s="19">
        <v>6597.8616069246436</v>
      </c>
      <c r="O33" s="19">
        <v>2186.517578</v>
      </c>
      <c r="P33" s="19">
        <v>1043.6353848622859</v>
      </c>
      <c r="Q33" s="19">
        <v>1424.1415425431594</v>
      </c>
      <c r="R33" s="19">
        <v>4289.7132214566927</v>
      </c>
      <c r="S33" s="19">
        <v>2934.3265013495279</v>
      </c>
      <c r="T33" s="19">
        <v>1458.8256700137997</v>
      </c>
      <c r="U33" s="19">
        <v>1367.1538858163995</v>
      </c>
      <c r="V33" s="19">
        <v>1079.2855758176415</v>
      </c>
      <c r="W33" s="19">
        <v>1074.0309537498831</v>
      </c>
    </row>
    <row r="34" spans="1:23">
      <c r="A34" s="18">
        <v>2048</v>
      </c>
      <c r="B34" s="19">
        <v>3567.4125853658534</v>
      </c>
      <c r="C34" s="19">
        <v>3945.0531934826881</v>
      </c>
      <c r="D34" s="19">
        <v>1006.777072169604</v>
      </c>
      <c r="E34" s="19">
        <v>826.67939135434369</v>
      </c>
      <c r="F34" s="19">
        <v>448.39967652374338</v>
      </c>
      <c r="G34" s="19">
        <v>733.67790949416428</v>
      </c>
      <c r="H34" s="19">
        <v>542.64318282100305</v>
      </c>
      <c r="I34" s="19">
        <v>1387.022382923439</v>
      </c>
      <c r="J34" s="19">
        <v>3789.208885743175</v>
      </c>
      <c r="K34" s="19">
        <v>4075.7544257228319</v>
      </c>
      <c r="L34" s="19">
        <v>2739.6620329341317</v>
      </c>
      <c r="M34" s="19">
        <v>2432.1652555555556</v>
      </c>
      <c r="N34" s="19">
        <v>6530.3032708757637</v>
      </c>
      <c r="O34" s="19">
        <v>2164.1274410000001</v>
      </c>
      <c r="P34" s="19">
        <v>1035.7560812716868</v>
      </c>
      <c r="Q34" s="19">
        <v>1409.5589549716462</v>
      </c>
      <c r="R34" s="19">
        <v>4224.3243838582675</v>
      </c>
      <c r="S34" s="19">
        <v>2894.7912055780475</v>
      </c>
      <c r="T34" s="19">
        <v>1447.8117862375138</v>
      </c>
      <c r="U34" s="19">
        <v>1356.8320735386949</v>
      </c>
      <c r="V34" s="19">
        <v>1064.7991318136769</v>
      </c>
      <c r="W34" s="19">
        <v>1065.9220874727566</v>
      </c>
    </row>
    <row r="35" spans="1:23">
      <c r="A35" s="18">
        <v>2049</v>
      </c>
      <c r="B35" s="19">
        <v>3522.0711565040651</v>
      </c>
      <c r="C35" s="19">
        <v>3894.9128747454174</v>
      </c>
      <c r="D35" s="19">
        <v>996.34860471023694</v>
      </c>
      <c r="E35" s="19">
        <v>818.11654120258322</v>
      </c>
      <c r="F35" s="19">
        <v>444.27762270208376</v>
      </c>
      <c r="G35" s="19">
        <v>726.07845218278214</v>
      </c>
      <c r="H35" s="19">
        <v>537.38222165024263</v>
      </c>
      <c r="I35" s="19">
        <v>1367.572676110253</v>
      </c>
      <c r="J35" s="19">
        <v>3699.5369474216382</v>
      </c>
      <c r="K35" s="19">
        <v>4020.4532881355935</v>
      </c>
      <c r="L35" s="19">
        <v>2707.0561027944109</v>
      </c>
      <c r="M35" s="19">
        <v>2396.6666666666665</v>
      </c>
      <c r="N35" s="19">
        <v>6462.6614012219961</v>
      </c>
      <c r="O35" s="19">
        <v>2141.709961</v>
      </c>
      <c r="P35" s="19">
        <v>1027.8205617407443</v>
      </c>
      <c r="Q35" s="19">
        <v>1394.9586622708439</v>
      </c>
      <c r="R35" s="19">
        <v>4159.2094842519682</v>
      </c>
      <c r="S35" s="19">
        <v>2855.3643612235714</v>
      </c>
      <c r="T35" s="19">
        <v>1436.7193006057757</v>
      </c>
      <c r="U35" s="19">
        <v>1346.436570789552</v>
      </c>
      <c r="V35" s="19">
        <v>1050.3515242814669</v>
      </c>
      <c r="W35" s="19">
        <v>1057.7555112191824</v>
      </c>
    </row>
    <row r="36" spans="1:23">
      <c r="A36" s="18">
        <v>2050</v>
      </c>
      <c r="B36" s="19">
        <v>3477.1363790650403</v>
      </c>
      <c r="C36" s="19">
        <v>3845.2213075356417</v>
      </c>
      <c r="D36" s="19">
        <v>985.99858172757069</v>
      </c>
      <c r="E36" s="19">
        <v>809.61792891620826</v>
      </c>
      <c r="F36" s="19">
        <v>440.18226175197276</v>
      </c>
      <c r="G36" s="19">
        <v>718.53584439077429</v>
      </c>
      <c r="H36" s="19">
        <v>532.15789913957929</v>
      </c>
      <c r="I36" s="19">
        <v>1348.3088186108378</v>
      </c>
      <c r="J36" s="19">
        <v>3612.6633690596559</v>
      </c>
      <c r="K36" s="19">
        <v>3965.6701286141583</v>
      </c>
      <c r="L36" s="19">
        <v>2674.7279371257487</v>
      </c>
      <c r="M36" s="19">
        <v>2690.8333333333335</v>
      </c>
      <c r="N36" s="19">
        <v>6395.5272046843183</v>
      </c>
      <c r="O36" s="19">
        <v>2119.460693</v>
      </c>
      <c r="P36" s="19">
        <v>1019.9225799763358</v>
      </c>
      <c r="Q36" s="19">
        <v>1380.4678364835845</v>
      </c>
      <c r="R36" s="19">
        <v>4094.751553149606</v>
      </c>
      <c r="S36" s="19">
        <v>2816.3073526765634</v>
      </c>
      <c r="T36" s="19">
        <v>1425.6792501581417</v>
      </c>
      <c r="U36" s="19">
        <v>1336.0903954189764</v>
      </c>
      <c r="V36" s="19">
        <v>1036.039293359762</v>
      </c>
      <c r="W36" s="19">
        <v>1049.6275244831652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workbookViewId="0"/>
  </sheetViews>
  <sheetFormatPr defaultColWidth="8.88671875" defaultRowHeight="14.4"/>
  <sheetData>
    <row r="1" spans="1:20">
      <c r="A1" s="16" t="s">
        <v>121</v>
      </c>
      <c r="B1" s="12"/>
      <c r="C1" s="12"/>
      <c r="D1" s="12"/>
      <c r="E1" s="12"/>
      <c r="F1" s="12"/>
      <c r="G1" s="12"/>
      <c r="H1" s="12"/>
      <c r="I1" s="12"/>
      <c r="J1" s="12"/>
    </row>
    <row r="2" spans="1:20">
      <c r="A2" s="7" t="s">
        <v>122</v>
      </c>
      <c r="B2" s="12"/>
      <c r="C2" s="12"/>
      <c r="D2" s="12"/>
      <c r="E2" s="12"/>
      <c r="F2" s="12"/>
      <c r="G2" s="12"/>
      <c r="H2" s="12"/>
      <c r="I2" s="12"/>
      <c r="J2" s="12"/>
    </row>
    <row r="3" spans="1:20">
      <c r="A3" s="12"/>
      <c r="B3" s="12"/>
      <c r="C3" s="12"/>
      <c r="D3" s="12"/>
      <c r="E3" s="12"/>
      <c r="F3" s="12"/>
      <c r="G3" s="12"/>
      <c r="H3" s="12"/>
      <c r="I3" s="12"/>
      <c r="J3" s="12"/>
      <c r="L3" s="25">
        <f>3.6/1.055</f>
        <v>3.4123222748815167</v>
      </c>
    </row>
    <row r="4" spans="1:20" ht="43.2">
      <c r="A4" s="17" t="s">
        <v>98</v>
      </c>
      <c r="B4" s="17" t="s">
        <v>99</v>
      </c>
      <c r="C4" s="20" t="s">
        <v>100</v>
      </c>
      <c r="D4" s="20" t="s">
        <v>101</v>
      </c>
      <c r="E4" s="20" t="s">
        <v>102</v>
      </c>
      <c r="F4" s="20" t="s">
        <v>103</v>
      </c>
      <c r="G4" s="20" t="s">
        <v>104</v>
      </c>
      <c r="H4" s="20" t="s">
        <v>105</v>
      </c>
      <c r="I4" s="20" t="s">
        <v>106</v>
      </c>
      <c r="J4" s="20" t="s">
        <v>107</v>
      </c>
      <c r="K4" s="23" t="str">
        <f>A4</f>
        <v>Online Year</v>
      </c>
      <c r="L4" s="12" t="str">
        <f>B4</f>
        <v>Coal with 30% CCS</v>
      </c>
      <c r="M4" s="12" t="str">
        <f t="shared" ref="M4:T4" si="0">C4</f>
        <v>Coal with 90% CCS</v>
      </c>
      <c r="N4" s="12" t="str">
        <f t="shared" si="0"/>
        <v>Internal Combustion</v>
      </c>
      <c r="O4" s="12" t="str">
        <f t="shared" si="0"/>
        <v>Comb. Turb</v>
      </c>
      <c r="P4" s="12" t="str">
        <f t="shared" si="0"/>
        <v>Adv. CT</v>
      </c>
      <c r="Q4" s="12" t="str">
        <f t="shared" si="0"/>
        <v>Comb. Cyc</v>
      </c>
      <c r="R4" s="12" t="str">
        <f t="shared" si="0"/>
        <v>Adv CC</v>
      </c>
      <c r="S4" s="12" t="str">
        <f t="shared" si="0"/>
        <v>Adv CC w/seq</v>
      </c>
      <c r="T4" s="12" t="str">
        <f t="shared" si="0"/>
        <v>Fuel Cell</v>
      </c>
    </row>
    <row r="5" spans="1:20">
      <c r="A5" s="18">
        <v>2019</v>
      </c>
      <c r="B5" s="21">
        <v>9750</v>
      </c>
      <c r="C5" s="21">
        <v>11650</v>
      </c>
      <c r="D5" s="21">
        <v>8500</v>
      </c>
      <c r="E5" s="21">
        <v>9840</v>
      </c>
      <c r="F5" s="21">
        <v>9800</v>
      </c>
      <c r="G5" s="21">
        <v>6600</v>
      </c>
      <c r="H5" s="21">
        <v>6300</v>
      </c>
      <c r="I5" s="21">
        <v>7525</v>
      </c>
      <c r="J5" s="21">
        <v>9500</v>
      </c>
      <c r="K5" s="24">
        <f>A5</f>
        <v>2019</v>
      </c>
      <c r="L5" s="22">
        <f>1000/(B5/$L$3)</f>
        <v>0.34998177178271966</v>
      </c>
      <c r="M5" s="22">
        <f t="shared" ref="M5:R5" si="1">1000/(C5/$L$3)</f>
        <v>0.2929031995606452</v>
      </c>
      <c r="N5" s="22">
        <f t="shared" si="1"/>
        <v>0.4014496793978255</v>
      </c>
      <c r="O5" s="22">
        <f t="shared" si="1"/>
        <v>0.34678071899202406</v>
      </c>
      <c r="P5" s="22">
        <f t="shared" si="1"/>
        <v>0.34819615049811398</v>
      </c>
      <c r="Q5" s="22">
        <f t="shared" si="1"/>
        <v>0.51701852649719948</v>
      </c>
      <c r="R5" s="22">
        <f t="shared" si="1"/>
        <v>0.54163845633039942</v>
      </c>
      <c r="S5" s="22">
        <f>1000/(I5/$L$3)</f>
        <v>0.4534647541370786</v>
      </c>
      <c r="T5" s="22">
        <f t="shared" ref="T5" si="2">1000/(J5/$L$3)</f>
        <v>0.35919181840858067</v>
      </c>
    </row>
    <row r="6" spans="1:20">
      <c r="A6" s="18">
        <v>2020</v>
      </c>
      <c r="B6" s="21">
        <v>9750</v>
      </c>
      <c r="C6" s="21">
        <v>11650</v>
      </c>
      <c r="D6" s="21">
        <v>8500</v>
      </c>
      <c r="E6" s="21">
        <v>9800</v>
      </c>
      <c r="F6" s="21">
        <v>9800</v>
      </c>
      <c r="G6" s="21">
        <v>6600</v>
      </c>
      <c r="H6" s="21">
        <v>6300</v>
      </c>
      <c r="I6" s="21">
        <v>7525</v>
      </c>
      <c r="J6" s="21">
        <v>9500</v>
      </c>
      <c r="K6" s="24">
        <f t="shared" ref="K6:K36" si="3">A6</f>
        <v>2020</v>
      </c>
      <c r="L6" s="22">
        <f t="shared" ref="L6:L36" si="4">1000/(B6/$L$3)</f>
        <v>0.34998177178271966</v>
      </c>
      <c r="M6" s="22">
        <f t="shared" ref="M6:M36" si="5">1000/(C6/$L$3)</f>
        <v>0.2929031995606452</v>
      </c>
      <c r="N6" s="22">
        <f t="shared" ref="N6:N36" si="6">1000/(D6/$L$3)</f>
        <v>0.4014496793978255</v>
      </c>
      <c r="O6" s="22">
        <f t="shared" ref="O6:O36" si="7">1000/(E6/$L$3)</f>
        <v>0.34819615049811398</v>
      </c>
      <c r="P6" s="22">
        <f t="shared" ref="P6:P36" si="8">1000/(F6/$L$3)</f>
        <v>0.34819615049811398</v>
      </c>
      <c r="Q6" s="22">
        <f t="shared" ref="Q6:Q36" si="9">1000/(G6/$L$3)</f>
        <v>0.51701852649719948</v>
      </c>
      <c r="R6" s="22">
        <f t="shared" ref="R6:R36" si="10">1000/(H6/$L$3)</f>
        <v>0.54163845633039942</v>
      </c>
      <c r="S6" s="22">
        <f t="shared" ref="S6:S36" si="11">1000/(I6/$L$3)</f>
        <v>0.4534647541370786</v>
      </c>
      <c r="T6" s="22">
        <f t="shared" ref="T6:T36" si="12">1000/(J6/$L$3)</f>
        <v>0.35919181840858067</v>
      </c>
    </row>
    <row r="7" spans="1:20">
      <c r="A7" s="18">
        <v>2021</v>
      </c>
      <c r="B7" s="21">
        <v>9750</v>
      </c>
      <c r="C7" s="21">
        <v>11650</v>
      </c>
      <c r="D7" s="21">
        <v>8432</v>
      </c>
      <c r="E7" s="21">
        <v>9760</v>
      </c>
      <c r="F7" s="21">
        <v>9550</v>
      </c>
      <c r="G7" s="21">
        <v>6600</v>
      </c>
      <c r="H7" s="21">
        <v>6300</v>
      </c>
      <c r="I7" s="21">
        <v>7525</v>
      </c>
      <c r="J7" s="21">
        <v>9500</v>
      </c>
      <c r="K7" s="24">
        <f t="shared" si="3"/>
        <v>2021</v>
      </c>
      <c r="L7" s="22">
        <f t="shared" si="4"/>
        <v>0.34998177178271966</v>
      </c>
      <c r="M7" s="22">
        <f t="shared" si="5"/>
        <v>0.2929031995606452</v>
      </c>
      <c r="N7" s="22">
        <f t="shared" si="6"/>
        <v>0.40468717681232408</v>
      </c>
      <c r="O7" s="22">
        <f t="shared" si="7"/>
        <v>0.34962318390179475</v>
      </c>
      <c r="P7" s="22">
        <f t="shared" si="8"/>
        <v>0.35731123297188655</v>
      </c>
      <c r="Q7" s="22">
        <f t="shared" si="9"/>
        <v>0.51701852649719948</v>
      </c>
      <c r="R7" s="22">
        <f t="shared" si="10"/>
        <v>0.54163845633039942</v>
      </c>
      <c r="S7" s="22">
        <f t="shared" si="11"/>
        <v>0.4534647541370786</v>
      </c>
      <c r="T7" s="22">
        <f t="shared" si="12"/>
        <v>0.35919181840858067</v>
      </c>
    </row>
    <row r="8" spans="1:20">
      <c r="A8" s="18">
        <v>2022</v>
      </c>
      <c r="B8" s="21">
        <v>9750</v>
      </c>
      <c r="C8" s="21">
        <v>11650</v>
      </c>
      <c r="D8" s="21">
        <v>8364</v>
      </c>
      <c r="E8" s="21">
        <v>9720</v>
      </c>
      <c r="F8" s="21">
        <v>9300</v>
      </c>
      <c r="G8" s="21">
        <v>6537.5</v>
      </c>
      <c r="H8" s="21">
        <v>6275</v>
      </c>
      <c r="I8" s="21">
        <v>7517</v>
      </c>
      <c r="J8" s="21">
        <v>8865</v>
      </c>
      <c r="K8" s="24">
        <f t="shared" si="3"/>
        <v>2022</v>
      </c>
      <c r="L8" s="22">
        <f t="shared" si="4"/>
        <v>0.34998177178271966</v>
      </c>
      <c r="M8" s="22">
        <f t="shared" si="5"/>
        <v>0.2929031995606452</v>
      </c>
      <c r="N8" s="22">
        <f t="shared" si="6"/>
        <v>0.40797731646120483</v>
      </c>
      <c r="O8" s="22">
        <f t="shared" si="7"/>
        <v>0.35106196243637</v>
      </c>
      <c r="P8" s="22">
        <f t="shared" si="8"/>
        <v>0.36691637364317387</v>
      </c>
      <c r="Q8" s="22">
        <f t="shared" si="9"/>
        <v>0.52196134223809054</v>
      </c>
      <c r="R8" s="22">
        <f t="shared" si="10"/>
        <v>0.54379637846717399</v>
      </c>
      <c r="S8" s="22">
        <f t="shared" si="11"/>
        <v>0.45394735597732028</v>
      </c>
      <c r="T8" s="22">
        <f t="shared" si="12"/>
        <v>0.38492073038708591</v>
      </c>
    </row>
    <row r="9" spans="1:20">
      <c r="A9" s="18">
        <v>2023</v>
      </c>
      <c r="B9" s="21">
        <v>9573.6666669999995</v>
      </c>
      <c r="C9" s="21">
        <v>10852.333333</v>
      </c>
      <c r="D9" s="21">
        <v>8296</v>
      </c>
      <c r="E9" s="21">
        <v>9680</v>
      </c>
      <c r="F9" s="21">
        <v>9050</v>
      </c>
      <c r="G9" s="21">
        <v>6475</v>
      </c>
      <c r="H9" s="21">
        <v>6250</v>
      </c>
      <c r="I9" s="21">
        <v>7509</v>
      </c>
      <c r="J9" s="21">
        <v>8230</v>
      </c>
      <c r="K9" s="24">
        <f t="shared" si="3"/>
        <v>2023</v>
      </c>
      <c r="L9" s="22">
        <f t="shared" si="4"/>
        <v>0.35642793859155752</v>
      </c>
      <c r="M9" s="22">
        <f t="shared" si="5"/>
        <v>0.31443212903397061</v>
      </c>
      <c r="N9" s="22">
        <f t="shared" si="6"/>
        <v>0.41132139282564084</v>
      </c>
      <c r="O9" s="22">
        <f t="shared" si="7"/>
        <v>0.35251263170263603</v>
      </c>
      <c r="P9" s="22">
        <f t="shared" si="8"/>
        <v>0.37705218506978083</v>
      </c>
      <c r="Q9" s="22">
        <f t="shared" si="9"/>
        <v>0.52699957913228057</v>
      </c>
      <c r="R9" s="22">
        <f t="shared" si="10"/>
        <v>0.54597156398104263</v>
      </c>
      <c r="S9" s="22">
        <f t="shared" si="11"/>
        <v>0.45443098613417449</v>
      </c>
      <c r="T9" s="22">
        <f t="shared" si="12"/>
        <v>0.41461996049593153</v>
      </c>
    </row>
    <row r="10" spans="1:20">
      <c r="A10" s="18">
        <v>2024</v>
      </c>
      <c r="B10" s="21">
        <v>9397.3333330000005</v>
      </c>
      <c r="C10" s="21">
        <v>10054.666667</v>
      </c>
      <c r="D10" s="21">
        <v>8228</v>
      </c>
      <c r="E10" s="21">
        <v>9640</v>
      </c>
      <c r="F10" s="21">
        <v>8800</v>
      </c>
      <c r="G10" s="21">
        <v>6412.5</v>
      </c>
      <c r="H10" s="21">
        <v>6225</v>
      </c>
      <c r="I10" s="21">
        <v>7501</v>
      </c>
      <c r="J10" s="21">
        <v>7595</v>
      </c>
      <c r="K10" s="24">
        <f t="shared" si="3"/>
        <v>2024</v>
      </c>
      <c r="L10" s="22">
        <f t="shared" si="4"/>
        <v>0.36311601961576567</v>
      </c>
      <c r="M10" s="22">
        <f t="shared" si="5"/>
        <v>0.3393769667254069</v>
      </c>
      <c r="N10" s="22">
        <f t="shared" si="6"/>
        <v>0.4147207431795718</v>
      </c>
      <c r="O10" s="22">
        <f t="shared" si="7"/>
        <v>0.35397533971799966</v>
      </c>
      <c r="P10" s="22">
        <f t="shared" si="8"/>
        <v>0.38776389487289964</v>
      </c>
      <c r="Q10" s="22">
        <f t="shared" si="9"/>
        <v>0.5321360272719714</v>
      </c>
      <c r="R10" s="22">
        <f t="shared" si="10"/>
        <v>0.54816422086450067</v>
      </c>
      <c r="S10" s="22">
        <f t="shared" si="11"/>
        <v>0.45491564789781591</v>
      </c>
      <c r="T10" s="22">
        <f t="shared" si="12"/>
        <v>0.44928535548143733</v>
      </c>
    </row>
    <row r="11" spans="1:20">
      <c r="A11" s="18">
        <v>2025</v>
      </c>
      <c r="B11" s="21">
        <v>9221</v>
      </c>
      <c r="C11" s="21">
        <v>9257</v>
      </c>
      <c r="D11" s="21">
        <v>8160</v>
      </c>
      <c r="E11" s="21">
        <v>9600</v>
      </c>
      <c r="F11" s="21">
        <v>8550</v>
      </c>
      <c r="G11" s="21">
        <v>6350</v>
      </c>
      <c r="H11" s="21">
        <v>6200</v>
      </c>
      <c r="I11" s="21">
        <v>7493</v>
      </c>
      <c r="J11" s="21">
        <v>6960</v>
      </c>
      <c r="K11" s="24">
        <f t="shared" si="3"/>
        <v>2025</v>
      </c>
      <c r="L11" s="22">
        <f t="shared" si="4"/>
        <v>0.37005989316576476</v>
      </c>
      <c r="M11" s="22">
        <f t="shared" si="5"/>
        <v>0.36862074914999637</v>
      </c>
      <c r="N11" s="22">
        <f t="shared" si="6"/>
        <v>0.41817674937273491</v>
      </c>
      <c r="O11" s="22">
        <f t="shared" si="7"/>
        <v>0.35545023696682471</v>
      </c>
      <c r="P11" s="22">
        <f t="shared" si="8"/>
        <v>0.39910202045397852</v>
      </c>
      <c r="Q11" s="22">
        <f t="shared" si="9"/>
        <v>0.53737358659551449</v>
      </c>
      <c r="R11" s="22">
        <f t="shared" si="10"/>
        <v>0.55037456046476074</v>
      </c>
      <c r="S11" s="22">
        <f t="shared" si="11"/>
        <v>0.45540134457246989</v>
      </c>
      <c r="T11" s="22">
        <f t="shared" si="12"/>
        <v>0.49027618891975816</v>
      </c>
    </row>
    <row r="12" spans="1:20">
      <c r="A12" s="18">
        <v>2026</v>
      </c>
      <c r="B12" s="21">
        <v>9221</v>
      </c>
      <c r="C12" s="21">
        <v>9257</v>
      </c>
      <c r="D12" s="21">
        <v>8160</v>
      </c>
      <c r="E12" s="21">
        <v>9600</v>
      </c>
      <c r="F12" s="21">
        <v>8550</v>
      </c>
      <c r="G12" s="21">
        <v>6350</v>
      </c>
      <c r="H12" s="21">
        <v>6200</v>
      </c>
      <c r="I12" s="21">
        <v>7493</v>
      </c>
      <c r="J12" s="21">
        <v>6960</v>
      </c>
      <c r="K12" s="24">
        <f t="shared" si="3"/>
        <v>2026</v>
      </c>
      <c r="L12" s="22">
        <f t="shared" si="4"/>
        <v>0.37005989316576476</v>
      </c>
      <c r="M12" s="22">
        <f t="shared" si="5"/>
        <v>0.36862074914999637</v>
      </c>
      <c r="N12" s="22">
        <f t="shared" si="6"/>
        <v>0.41817674937273491</v>
      </c>
      <c r="O12" s="22">
        <f t="shared" si="7"/>
        <v>0.35545023696682471</v>
      </c>
      <c r="P12" s="22">
        <f t="shared" si="8"/>
        <v>0.39910202045397852</v>
      </c>
      <c r="Q12" s="22">
        <f t="shared" si="9"/>
        <v>0.53737358659551449</v>
      </c>
      <c r="R12" s="22">
        <f t="shared" si="10"/>
        <v>0.55037456046476074</v>
      </c>
      <c r="S12" s="22">
        <f t="shared" si="11"/>
        <v>0.45540134457246989</v>
      </c>
      <c r="T12" s="22">
        <f t="shared" si="12"/>
        <v>0.49027618891975816</v>
      </c>
    </row>
    <row r="13" spans="1:20">
      <c r="A13" s="18">
        <v>2027</v>
      </c>
      <c r="B13" s="21">
        <v>9221</v>
      </c>
      <c r="C13" s="21">
        <v>9257</v>
      </c>
      <c r="D13" s="21">
        <v>8160</v>
      </c>
      <c r="E13" s="21">
        <v>9600</v>
      </c>
      <c r="F13" s="21">
        <v>8550</v>
      </c>
      <c r="G13" s="21">
        <v>6350</v>
      </c>
      <c r="H13" s="21">
        <v>6200</v>
      </c>
      <c r="I13" s="21">
        <v>7493</v>
      </c>
      <c r="J13" s="21">
        <v>6960</v>
      </c>
      <c r="K13" s="24">
        <f t="shared" si="3"/>
        <v>2027</v>
      </c>
      <c r="L13" s="22">
        <f t="shared" si="4"/>
        <v>0.37005989316576476</v>
      </c>
      <c r="M13" s="22">
        <f t="shared" si="5"/>
        <v>0.36862074914999637</v>
      </c>
      <c r="N13" s="22">
        <f t="shared" si="6"/>
        <v>0.41817674937273491</v>
      </c>
      <c r="O13" s="22">
        <f t="shared" si="7"/>
        <v>0.35545023696682471</v>
      </c>
      <c r="P13" s="22">
        <f t="shared" si="8"/>
        <v>0.39910202045397852</v>
      </c>
      <c r="Q13" s="22">
        <f t="shared" si="9"/>
        <v>0.53737358659551449</v>
      </c>
      <c r="R13" s="22">
        <f t="shared" si="10"/>
        <v>0.55037456046476074</v>
      </c>
      <c r="S13" s="22">
        <f t="shared" si="11"/>
        <v>0.45540134457246989</v>
      </c>
      <c r="T13" s="22">
        <f t="shared" si="12"/>
        <v>0.49027618891975816</v>
      </c>
    </row>
    <row r="14" spans="1:20">
      <c r="A14" s="18">
        <v>2028</v>
      </c>
      <c r="B14" s="21">
        <v>9221</v>
      </c>
      <c r="C14" s="21">
        <v>9257</v>
      </c>
      <c r="D14" s="21">
        <v>8160</v>
      </c>
      <c r="E14" s="21">
        <v>9600</v>
      </c>
      <c r="F14" s="21">
        <v>8550</v>
      </c>
      <c r="G14" s="21">
        <v>6350</v>
      </c>
      <c r="H14" s="21">
        <v>6200</v>
      </c>
      <c r="I14" s="21">
        <v>7493</v>
      </c>
      <c r="J14" s="21">
        <v>6960</v>
      </c>
      <c r="K14" s="24">
        <f t="shared" si="3"/>
        <v>2028</v>
      </c>
      <c r="L14" s="22">
        <f t="shared" si="4"/>
        <v>0.37005989316576476</v>
      </c>
      <c r="M14" s="22">
        <f t="shared" si="5"/>
        <v>0.36862074914999637</v>
      </c>
      <c r="N14" s="22">
        <f t="shared" si="6"/>
        <v>0.41817674937273491</v>
      </c>
      <c r="O14" s="22">
        <f t="shared" si="7"/>
        <v>0.35545023696682471</v>
      </c>
      <c r="P14" s="22">
        <f t="shared" si="8"/>
        <v>0.39910202045397852</v>
      </c>
      <c r="Q14" s="22">
        <f t="shared" si="9"/>
        <v>0.53737358659551449</v>
      </c>
      <c r="R14" s="22">
        <f t="shared" si="10"/>
        <v>0.55037456046476074</v>
      </c>
      <c r="S14" s="22">
        <f t="shared" si="11"/>
        <v>0.45540134457246989</v>
      </c>
      <c r="T14" s="22">
        <f t="shared" si="12"/>
        <v>0.49027618891975816</v>
      </c>
    </row>
    <row r="15" spans="1:20">
      <c r="A15" s="18">
        <v>2029</v>
      </c>
      <c r="B15" s="21">
        <v>9221</v>
      </c>
      <c r="C15" s="21">
        <v>9257</v>
      </c>
      <c r="D15" s="21">
        <v>8160</v>
      </c>
      <c r="E15" s="21">
        <v>9600</v>
      </c>
      <c r="F15" s="21">
        <v>8550</v>
      </c>
      <c r="G15" s="21">
        <v>6350</v>
      </c>
      <c r="H15" s="21">
        <v>6200</v>
      </c>
      <c r="I15" s="21">
        <v>7493</v>
      </c>
      <c r="J15" s="21">
        <v>6960</v>
      </c>
      <c r="K15" s="24">
        <f t="shared" si="3"/>
        <v>2029</v>
      </c>
      <c r="L15" s="22">
        <f t="shared" si="4"/>
        <v>0.37005989316576476</v>
      </c>
      <c r="M15" s="22">
        <f t="shared" si="5"/>
        <v>0.36862074914999637</v>
      </c>
      <c r="N15" s="22">
        <f t="shared" si="6"/>
        <v>0.41817674937273491</v>
      </c>
      <c r="O15" s="22">
        <f t="shared" si="7"/>
        <v>0.35545023696682471</v>
      </c>
      <c r="P15" s="22">
        <f t="shared" si="8"/>
        <v>0.39910202045397852</v>
      </c>
      <c r="Q15" s="22">
        <f t="shared" si="9"/>
        <v>0.53737358659551449</v>
      </c>
      <c r="R15" s="22">
        <f t="shared" si="10"/>
        <v>0.55037456046476074</v>
      </c>
      <c r="S15" s="22">
        <f t="shared" si="11"/>
        <v>0.45540134457246989</v>
      </c>
      <c r="T15" s="22">
        <f t="shared" si="12"/>
        <v>0.49027618891975816</v>
      </c>
    </row>
    <row r="16" spans="1:20">
      <c r="A16" s="18">
        <v>2030</v>
      </c>
      <c r="B16" s="21">
        <v>9221</v>
      </c>
      <c r="C16" s="21">
        <v>9257</v>
      </c>
      <c r="D16" s="21">
        <v>8160</v>
      </c>
      <c r="E16" s="21">
        <v>9600</v>
      </c>
      <c r="F16" s="21">
        <v>8550</v>
      </c>
      <c r="G16" s="21">
        <v>6350</v>
      </c>
      <c r="H16" s="21">
        <v>6200</v>
      </c>
      <c r="I16" s="21">
        <v>7493</v>
      </c>
      <c r="J16" s="21">
        <v>6960</v>
      </c>
      <c r="K16" s="24">
        <f t="shared" si="3"/>
        <v>2030</v>
      </c>
      <c r="L16" s="22">
        <f t="shared" si="4"/>
        <v>0.37005989316576476</v>
      </c>
      <c r="M16" s="22">
        <f t="shared" si="5"/>
        <v>0.36862074914999637</v>
      </c>
      <c r="N16" s="22">
        <f t="shared" si="6"/>
        <v>0.41817674937273491</v>
      </c>
      <c r="O16" s="22">
        <f t="shared" si="7"/>
        <v>0.35545023696682471</v>
      </c>
      <c r="P16" s="22">
        <f t="shared" si="8"/>
        <v>0.39910202045397852</v>
      </c>
      <c r="Q16" s="22">
        <f t="shared" si="9"/>
        <v>0.53737358659551449</v>
      </c>
      <c r="R16" s="22">
        <f t="shared" si="10"/>
        <v>0.55037456046476074</v>
      </c>
      <c r="S16" s="22">
        <f t="shared" si="11"/>
        <v>0.45540134457246989</v>
      </c>
      <c r="T16" s="22">
        <f t="shared" si="12"/>
        <v>0.49027618891975816</v>
      </c>
    </row>
    <row r="17" spans="1:20">
      <c r="A17" s="18">
        <v>2031</v>
      </c>
      <c r="B17" s="21">
        <v>9221</v>
      </c>
      <c r="C17" s="21">
        <v>9257</v>
      </c>
      <c r="D17" s="21">
        <v>8160</v>
      </c>
      <c r="E17" s="21">
        <v>9600</v>
      </c>
      <c r="F17" s="21">
        <v>8550</v>
      </c>
      <c r="G17" s="21">
        <v>6350</v>
      </c>
      <c r="H17" s="21">
        <v>6200</v>
      </c>
      <c r="I17" s="21">
        <v>7493</v>
      </c>
      <c r="J17" s="21">
        <v>6960</v>
      </c>
      <c r="K17" s="24">
        <f t="shared" si="3"/>
        <v>2031</v>
      </c>
      <c r="L17" s="22">
        <f t="shared" si="4"/>
        <v>0.37005989316576476</v>
      </c>
      <c r="M17" s="22">
        <f t="shared" si="5"/>
        <v>0.36862074914999637</v>
      </c>
      <c r="N17" s="22">
        <f t="shared" si="6"/>
        <v>0.41817674937273491</v>
      </c>
      <c r="O17" s="22">
        <f t="shared" si="7"/>
        <v>0.35545023696682471</v>
      </c>
      <c r="P17" s="22">
        <f t="shared" si="8"/>
        <v>0.39910202045397852</v>
      </c>
      <c r="Q17" s="22">
        <f t="shared" si="9"/>
        <v>0.53737358659551449</v>
      </c>
      <c r="R17" s="22">
        <f t="shared" si="10"/>
        <v>0.55037456046476074</v>
      </c>
      <c r="S17" s="22">
        <f t="shared" si="11"/>
        <v>0.45540134457246989</v>
      </c>
      <c r="T17" s="22">
        <f t="shared" si="12"/>
        <v>0.49027618891975816</v>
      </c>
    </row>
    <row r="18" spans="1:20">
      <c r="A18" s="18">
        <v>2032</v>
      </c>
      <c r="B18" s="21">
        <v>9221</v>
      </c>
      <c r="C18" s="21">
        <v>9257</v>
      </c>
      <c r="D18" s="21">
        <v>8160</v>
      </c>
      <c r="E18" s="21">
        <v>9600</v>
      </c>
      <c r="F18" s="21">
        <v>8550</v>
      </c>
      <c r="G18" s="21">
        <v>6350</v>
      </c>
      <c r="H18" s="21">
        <v>6200</v>
      </c>
      <c r="I18" s="21">
        <v>7493</v>
      </c>
      <c r="J18" s="21">
        <v>6960</v>
      </c>
      <c r="K18" s="24">
        <f t="shared" si="3"/>
        <v>2032</v>
      </c>
      <c r="L18" s="22">
        <f t="shared" si="4"/>
        <v>0.37005989316576476</v>
      </c>
      <c r="M18" s="22">
        <f t="shared" si="5"/>
        <v>0.36862074914999637</v>
      </c>
      <c r="N18" s="22">
        <f t="shared" si="6"/>
        <v>0.41817674937273491</v>
      </c>
      <c r="O18" s="22">
        <f t="shared" si="7"/>
        <v>0.35545023696682471</v>
      </c>
      <c r="P18" s="22">
        <f t="shared" si="8"/>
        <v>0.39910202045397852</v>
      </c>
      <c r="Q18" s="22">
        <f t="shared" si="9"/>
        <v>0.53737358659551449</v>
      </c>
      <c r="R18" s="22">
        <f t="shared" si="10"/>
        <v>0.55037456046476074</v>
      </c>
      <c r="S18" s="22">
        <f t="shared" si="11"/>
        <v>0.45540134457246989</v>
      </c>
      <c r="T18" s="22">
        <f t="shared" si="12"/>
        <v>0.49027618891975816</v>
      </c>
    </row>
    <row r="19" spans="1:20">
      <c r="A19" s="18">
        <v>2033</v>
      </c>
      <c r="B19" s="21">
        <v>9221</v>
      </c>
      <c r="C19" s="21">
        <v>9257</v>
      </c>
      <c r="D19" s="21">
        <v>8160</v>
      </c>
      <c r="E19" s="21">
        <v>9600</v>
      </c>
      <c r="F19" s="21">
        <v>8550</v>
      </c>
      <c r="G19" s="21">
        <v>6350</v>
      </c>
      <c r="H19" s="21">
        <v>6200</v>
      </c>
      <c r="I19" s="21">
        <v>7493</v>
      </c>
      <c r="J19" s="21">
        <v>6960</v>
      </c>
      <c r="K19" s="24">
        <f t="shared" si="3"/>
        <v>2033</v>
      </c>
      <c r="L19" s="22">
        <f t="shared" si="4"/>
        <v>0.37005989316576476</v>
      </c>
      <c r="M19" s="22">
        <f t="shared" si="5"/>
        <v>0.36862074914999637</v>
      </c>
      <c r="N19" s="22">
        <f t="shared" si="6"/>
        <v>0.41817674937273491</v>
      </c>
      <c r="O19" s="22">
        <f t="shared" si="7"/>
        <v>0.35545023696682471</v>
      </c>
      <c r="P19" s="22">
        <f t="shared" si="8"/>
        <v>0.39910202045397852</v>
      </c>
      <c r="Q19" s="22">
        <f t="shared" si="9"/>
        <v>0.53737358659551449</v>
      </c>
      <c r="R19" s="22">
        <f t="shared" si="10"/>
        <v>0.55037456046476074</v>
      </c>
      <c r="S19" s="22">
        <f t="shared" si="11"/>
        <v>0.45540134457246989</v>
      </c>
      <c r="T19" s="22">
        <f t="shared" si="12"/>
        <v>0.49027618891975816</v>
      </c>
    </row>
    <row r="20" spans="1:20">
      <c r="A20" s="18">
        <v>2034</v>
      </c>
      <c r="B20" s="21">
        <v>9221</v>
      </c>
      <c r="C20" s="21">
        <v>9257</v>
      </c>
      <c r="D20" s="21">
        <v>8160</v>
      </c>
      <c r="E20" s="21">
        <v>9600</v>
      </c>
      <c r="F20" s="21">
        <v>8550</v>
      </c>
      <c r="G20" s="21">
        <v>6350</v>
      </c>
      <c r="H20" s="21">
        <v>6200</v>
      </c>
      <c r="I20" s="21">
        <v>7493</v>
      </c>
      <c r="J20" s="21">
        <v>6960</v>
      </c>
      <c r="K20" s="24">
        <f t="shared" si="3"/>
        <v>2034</v>
      </c>
      <c r="L20" s="22">
        <f t="shared" si="4"/>
        <v>0.37005989316576476</v>
      </c>
      <c r="M20" s="22">
        <f t="shared" si="5"/>
        <v>0.36862074914999637</v>
      </c>
      <c r="N20" s="22">
        <f t="shared" si="6"/>
        <v>0.41817674937273491</v>
      </c>
      <c r="O20" s="22">
        <f t="shared" si="7"/>
        <v>0.35545023696682471</v>
      </c>
      <c r="P20" s="22">
        <f t="shared" si="8"/>
        <v>0.39910202045397852</v>
      </c>
      <c r="Q20" s="22">
        <f t="shared" si="9"/>
        <v>0.53737358659551449</v>
      </c>
      <c r="R20" s="22">
        <f t="shared" si="10"/>
        <v>0.55037456046476074</v>
      </c>
      <c r="S20" s="22">
        <f t="shared" si="11"/>
        <v>0.45540134457246989</v>
      </c>
      <c r="T20" s="22">
        <f t="shared" si="12"/>
        <v>0.49027618891975816</v>
      </c>
    </row>
    <row r="21" spans="1:20">
      <c r="A21" s="18">
        <v>2035</v>
      </c>
      <c r="B21" s="21">
        <v>9221</v>
      </c>
      <c r="C21" s="21">
        <v>9257</v>
      </c>
      <c r="D21" s="21">
        <v>8160</v>
      </c>
      <c r="E21" s="21">
        <v>9600</v>
      </c>
      <c r="F21" s="21">
        <v>8550</v>
      </c>
      <c r="G21" s="21">
        <v>6350</v>
      </c>
      <c r="H21" s="21">
        <v>6200</v>
      </c>
      <c r="I21" s="21">
        <v>7493</v>
      </c>
      <c r="J21" s="21">
        <v>6960</v>
      </c>
      <c r="K21" s="24">
        <f t="shared" si="3"/>
        <v>2035</v>
      </c>
      <c r="L21" s="22">
        <f t="shared" si="4"/>
        <v>0.37005989316576476</v>
      </c>
      <c r="M21" s="22">
        <f t="shared" si="5"/>
        <v>0.36862074914999637</v>
      </c>
      <c r="N21" s="22">
        <f t="shared" si="6"/>
        <v>0.41817674937273491</v>
      </c>
      <c r="O21" s="22">
        <f t="shared" si="7"/>
        <v>0.35545023696682471</v>
      </c>
      <c r="P21" s="22">
        <f t="shared" si="8"/>
        <v>0.39910202045397852</v>
      </c>
      <c r="Q21" s="22">
        <f t="shared" si="9"/>
        <v>0.53737358659551449</v>
      </c>
      <c r="R21" s="22">
        <f t="shared" si="10"/>
        <v>0.55037456046476074</v>
      </c>
      <c r="S21" s="22">
        <f t="shared" si="11"/>
        <v>0.45540134457246989</v>
      </c>
      <c r="T21" s="22">
        <f t="shared" si="12"/>
        <v>0.49027618891975816</v>
      </c>
    </row>
    <row r="22" spans="1:20">
      <c r="A22" s="18">
        <v>2036</v>
      </c>
      <c r="B22" s="21">
        <v>9221</v>
      </c>
      <c r="C22" s="21">
        <v>9257</v>
      </c>
      <c r="D22" s="21">
        <v>8160</v>
      </c>
      <c r="E22" s="21">
        <v>9600</v>
      </c>
      <c r="F22" s="21">
        <v>8550</v>
      </c>
      <c r="G22" s="21">
        <v>6350</v>
      </c>
      <c r="H22" s="21">
        <v>6200</v>
      </c>
      <c r="I22" s="21">
        <v>7493</v>
      </c>
      <c r="J22" s="21">
        <v>6960</v>
      </c>
      <c r="K22" s="24">
        <f t="shared" si="3"/>
        <v>2036</v>
      </c>
      <c r="L22" s="22">
        <f t="shared" si="4"/>
        <v>0.37005989316576476</v>
      </c>
      <c r="M22" s="22">
        <f t="shared" si="5"/>
        <v>0.36862074914999637</v>
      </c>
      <c r="N22" s="22">
        <f t="shared" si="6"/>
        <v>0.41817674937273491</v>
      </c>
      <c r="O22" s="22">
        <f t="shared" si="7"/>
        <v>0.35545023696682471</v>
      </c>
      <c r="P22" s="22">
        <f t="shared" si="8"/>
        <v>0.39910202045397852</v>
      </c>
      <c r="Q22" s="22">
        <f t="shared" si="9"/>
        <v>0.53737358659551449</v>
      </c>
      <c r="R22" s="22">
        <f t="shared" si="10"/>
        <v>0.55037456046476074</v>
      </c>
      <c r="S22" s="22">
        <f t="shared" si="11"/>
        <v>0.45540134457246989</v>
      </c>
      <c r="T22" s="22">
        <f t="shared" si="12"/>
        <v>0.49027618891975816</v>
      </c>
    </row>
    <row r="23" spans="1:20">
      <c r="A23" s="18">
        <v>2037</v>
      </c>
      <c r="B23" s="21">
        <v>9221</v>
      </c>
      <c r="C23" s="21">
        <v>9257</v>
      </c>
      <c r="D23" s="21">
        <v>8160</v>
      </c>
      <c r="E23" s="21">
        <v>9600</v>
      </c>
      <c r="F23" s="21">
        <v>8550</v>
      </c>
      <c r="G23" s="21">
        <v>6350</v>
      </c>
      <c r="H23" s="21">
        <v>6200</v>
      </c>
      <c r="I23" s="21">
        <v>7493</v>
      </c>
      <c r="J23" s="21">
        <v>6960</v>
      </c>
      <c r="K23" s="24">
        <f t="shared" si="3"/>
        <v>2037</v>
      </c>
      <c r="L23" s="22">
        <f t="shared" si="4"/>
        <v>0.37005989316576476</v>
      </c>
      <c r="M23" s="22">
        <f t="shared" si="5"/>
        <v>0.36862074914999637</v>
      </c>
      <c r="N23" s="22">
        <f t="shared" si="6"/>
        <v>0.41817674937273491</v>
      </c>
      <c r="O23" s="22">
        <f t="shared" si="7"/>
        <v>0.35545023696682471</v>
      </c>
      <c r="P23" s="22">
        <f t="shared" si="8"/>
        <v>0.39910202045397852</v>
      </c>
      <c r="Q23" s="22">
        <f t="shared" si="9"/>
        <v>0.53737358659551449</v>
      </c>
      <c r="R23" s="22">
        <f t="shared" si="10"/>
        <v>0.55037456046476074</v>
      </c>
      <c r="S23" s="22">
        <f t="shared" si="11"/>
        <v>0.45540134457246989</v>
      </c>
      <c r="T23" s="22">
        <f t="shared" si="12"/>
        <v>0.49027618891975816</v>
      </c>
    </row>
    <row r="24" spans="1:20">
      <c r="A24" s="18">
        <v>2038</v>
      </c>
      <c r="B24" s="21">
        <v>9221</v>
      </c>
      <c r="C24" s="21">
        <v>9257</v>
      </c>
      <c r="D24" s="21">
        <v>8160</v>
      </c>
      <c r="E24" s="21">
        <v>9600</v>
      </c>
      <c r="F24" s="21">
        <v>8550</v>
      </c>
      <c r="G24" s="21">
        <v>6350</v>
      </c>
      <c r="H24" s="21">
        <v>6200</v>
      </c>
      <c r="I24" s="21">
        <v>7493</v>
      </c>
      <c r="J24" s="21">
        <v>6960</v>
      </c>
      <c r="K24" s="24">
        <f t="shared" si="3"/>
        <v>2038</v>
      </c>
      <c r="L24" s="22">
        <f t="shared" si="4"/>
        <v>0.37005989316576476</v>
      </c>
      <c r="M24" s="22">
        <f t="shared" si="5"/>
        <v>0.36862074914999637</v>
      </c>
      <c r="N24" s="22">
        <f t="shared" si="6"/>
        <v>0.41817674937273491</v>
      </c>
      <c r="O24" s="22">
        <f t="shared" si="7"/>
        <v>0.35545023696682471</v>
      </c>
      <c r="P24" s="22">
        <f t="shared" si="8"/>
        <v>0.39910202045397852</v>
      </c>
      <c r="Q24" s="22">
        <f t="shared" si="9"/>
        <v>0.53737358659551449</v>
      </c>
      <c r="R24" s="22">
        <f t="shared" si="10"/>
        <v>0.55037456046476074</v>
      </c>
      <c r="S24" s="22">
        <f t="shared" si="11"/>
        <v>0.45540134457246989</v>
      </c>
      <c r="T24" s="22">
        <f t="shared" si="12"/>
        <v>0.49027618891975816</v>
      </c>
    </row>
    <row r="25" spans="1:20">
      <c r="A25" s="18">
        <v>2039</v>
      </c>
      <c r="B25" s="21">
        <v>9221</v>
      </c>
      <c r="C25" s="21">
        <v>9257</v>
      </c>
      <c r="D25" s="21">
        <v>8160</v>
      </c>
      <c r="E25" s="21">
        <v>9600</v>
      </c>
      <c r="F25" s="21">
        <v>8550</v>
      </c>
      <c r="G25" s="21">
        <v>6350</v>
      </c>
      <c r="H25" s="21">
        <v>6200</v>
      </c>
      <c r="I25" s="21">
        <v>7493</v>
      </c>
      <c r="J25" s="21">
        <v>6960</v>
      </c>
      <c r="K25" s="24">
        <f t="shared" si="3"/>
        <v>2039</v>
      </c>
      <c r="L25" s="22">
        <f t="shared" si="4"/>
        <v>0.37005989316576476</v>
      </c>
      <c r="M25" s="22">
        <f t="shared" si="5"/>
        <v>0.36862074914999637</v>
      </c>
      <c r="N25" s="22">
        <f t="shared" si="6"/>
        <v>0.41817674937273491</v>
      </c>
      <c r="O25" s="22">
        <f t="shared" si="7"/>
        <v>0.35545023696682471</v>
      </c>
      <c r="P25" s="22">
        <f t="shared" si="8"/>
        <v>0.39910202045397852</v>
      </c>
      <c r="Q25" s="22">
        <f t="shared" si="9"/>
        <v>0.53737358659551449</v>
      </c>
      <c r="R25" s="22">
        <f t="shared" si="10"/>
        <v>0.55037456046476074</v>
      </c>
      <c r="S25" s="22">
        <f t="shared" si="11"/>
        <v>0.45540134457246989</v>
      </c>
      <c r="T25" s="22">
        <f t="shared" si="12"/>
        <v>0.49027618891975816</v>
      </c>
    </row>
    <row r="26" spans="1:20">
      <c r="A26" s="18">
        <v>2040</v>
      </c>
      <c r="B26" s="21">
        <v>9221</v>
      </c>
      <c r="C26" s="21">
        <v>9257</v>
      </c>
      <c r="D26" s="21">
        <v>8160</v>
      </c>
      <c r="E26" s="21">
        <v>9600</v>
      </c>
      <c r="F26" s="21">
        <v>8550</v>
      </c>
      <c r="G26" s="21">
        <v>6350</v>
      </c>
      <c r="H26" s="21">
        <v>6200</v>
      </c>
      <c r="I26" s="21">
        <v>7493</v>
      </c>
      <c r="J26" s="21">
        <v>6960</v>
      </c>
      <c r="K26" s="24">
        <f t="shared" si="3"/>
        <v>2040</v>
      </c>
      <c r="L26" s="22">
        <f t="shared" si="4"/>
        <v>0.37005989316576476</v>
      </c>
      <c r="M26" s="22">
        <f t="shared" si="5"/>
        <v>0.36862074914999637</v>
      </c>
      <c r="N26" s="22">
        <f t="shared" si="6"/>
        <v>0.41817674937273491</v>
      </c>
      <c r="O26" s="22">
        <f t="shared" si="7"/>
        <v>0.35545023696682471</v>
      </c>
      <c r="P26" s="22">
        <f t="shared" si="8"/>
        <v>0.39910202045397852</v>
      </c>
      <c r="Q26" s="22">
        <f t="shared" si="9"/>
        <v>0.53737358659551449</v>
      </c>
      <c r="R26" s="22">
        <f t="shared" si="10"/>
        <v>0.55037456046476074</v>
      </c>
      <c r="S26" s="22">
        <f t="shared" si="11"/>
        <v>0.45540134457246989</v>
      </c>
      <c r="T26" s="22">
        <f t="shared" si="12"/>
        <v>0.49027618891975816</v>
      </c>
    </row>
    <row r="27" spans="1:20">
      <c r="A27" s="18">
        <v>2041</v>
      </c>
      <c r="B27" s="21">
        <v>9221</v>
      </c>
      <c r="C27" s="21">
        <v>9257</v>
      </c>
      <c r="D27" s="21">
        <v>8160</v>
      </c>
      <c r="E27" s="21">
        <v>9600</v>
      </c>
      <c r="F27" s="21">
        <v>8550</v>
      </c>
      <c r="G27" s="21">
        <v>6350</v>
      </c>
      <c r="H27" s="21">
        <v>6200</v>
      </c>
      <c r="I27" s="21">
        <v>7493</v>
      </c>
      <c r="J27" s="21">
        <v>6960</v>
      </c>
      <c r="K27" s="24">
        <f t="shared" si="3"/>
        <v>2041</v>
      </c>
      <c r="L27" s="22">
        <f t="shared" si="4"/>
        <v>0.37005989316576476</v>
      </c>
      <c r="M27" s="22">
        <f t="shared" si="5"/>
        <v>0.36862074914999637</v>
      </c>
      <c r="N27" s="22">
        <f t="shared" si="6"/>
        <v>0.41817674937273491</v>
      </c>
      <c r="O27" s="22">
        <f t="shared" si="7"/>
        <v>0.35545023696682471</v>
      </c>
      <c r="P27" s="22">
        <f t="shared" si="8"/>
        <v>0.39910202045397852</v>
      </c>
      <c r="Q27" s="22">
        <f t="shared" si="9"/>
        <v>0.53737358659551449</v>
      </c>
      <c r="R27" s="22">
        <f t="shared" si="10"/>
        <v>0.55037456046476074</v>
      </c>
      <c r="S27" s="22">
        <f t="shared" si="11"/>
        <v>0.45540134457246989</v>
      </c>
      <c r="T27" s="22">
        <f t="shared" si="12"/>
        <v>0.49027618891975816</v>
      </c>
    </row>
    <row r="28" spans="1:20">
      <c r="A28" s="18">
        <v>2042</v>
      </c>
      <c r="B28" s="21">
        <v>9221</v>
      </c>
      <c r="C28" s="21">
        <v>9257</v>
      </c>
      <c r="D28" s="21">
        <v>8160</v>
      </c>
      <c r="E28" s="21">
        <v>9600</v>
      </c>
      <c r="F28" s="21">
        <v>8550</v>
      </c>
      <c r="G28" s="21">
        <v>6350</v>
      </c>
      <c r="H28" s="21">
        <v>6200</v>
      </c>
      <c r="I28" s="21">
        <v>7493</v>
      </c>
      <c r="J28" s="21">
        <v>6960</v>
      </c>
      <c r="K28" s="24">
        <f t="shared" si="3"/>
        <v>2042</v>
      </c>
      <c r="L28" s="22">
        <f t="shared" si="4"/>
        <v>0.37005989316576476</v>
      </c>
      <c r="M28" s="22">
        <f t="shared" si="5"/>
        <v>0.36862074914999637</v>
      </c>
      <c r="N28" s="22">
        <f t="shared" si="6"/>
        <v>0.41817674937273491</v>
      </c>
      <c r="O28" s="22">
        <f t="shared" si="7"/>
        <v>0.35545023696682471</v>
      </c>
      <c r="P28" s="22">
        <f t="shared" si="8"/>
        <v>0.39910202045397852</v>
      </c>
      <c r="Q28" s="22">
        <f t="shared" si="9"/>
        <v>0.53737358659551449</v>
      </c>
      <c r="R28" s="22">
        <f t="shared" si="10"/>
        <v>0.55037456046476074</v>
      </c>
      <c r="S28" s="22">
        <f t="shared" si="11"/>
        <v>0.45540134457246989</v>
      </c>
      <c r="T28" s="22">
        <f t="shared" si="12"/>
        <v>0.49027618891975816</v>
      </c>
    </row>
    <row r="29" spans="1:20">
      <c r="A29" s="18">
        <v>2043</v>
      </c>
      <c r="B29" s="21">
        <v>9221</v>
      </c>
      <c r="C29" s="21">
        <v>9257</v>
      </c>
      <c r="D29" s="21">
        <v>8160</v>
      </c>
      <c r="E29" s="21">
        <v>9600</v>
      </c>
      <c r="F29" s="21">
        <v>8550</v>
      </c>
      <c r="G29" s="21">
        <v>6350</v>
      </c>
      <c r="H29" s="21">
        <v>6200</v>
      </c>
      <c r="I29" s="21">
        <v>7493</v>
      </c>
      <c r="J29" s="21">
        <v>6960</v>
      </c>
      <c r="K29" s="24">
        <f t="shared" si="3"/>
        <v>2043</v>
      </c>
      <c r="L29" s="22">
        <f t="shared" si="4"/>
        <v>0.37005989316576476</v>
      </c>
      <c r="M29" s="22">
        <f t="shared" si="5"/>
        <v>0.36862074914999637</v>
      </c>
      <c r="N29" s="22">
        <f t="shared" si="6"/>
        <v>0.41817674937273491</v>
      </c>
      <c r="O29" s="22">
        <f t="shared" si="7"/>
        <v>0.35545023696682471</v>
      </c>
      <c r="P29" s="22">
        <f t="shared" si="8"/>
        <v>0.39910202045397852</v>
      </c>
      <c r="Q29" s="22">
        <f t="shared" si="9"/>
        <v>0.53737358659551449</v>
      </c>
      <c r="R29" s="22">
        <f t="shared" si="10"/>
        <v>0.55037456046476074</v>
      </c>
      <c r="S29" s="22">
        <f t="shared" si="11"/>
        <v>0.45540134457246989</v>
      </c>
      <c r="T29" s="22">
        <f t="shared" si="12"/>
        <v>0.49027618891975816</v>
      </c>
    </row>
    <row r="30" spans="1:20">
      <c r="A30" s="18">
        <v>2044</v>
      </c>
      <c r="B30" s="21">
        <v>9221</v>
      </c>
      <c r="C30" s="21">
        <v>9257</v>
      </c>
      <c r="D30" s="21">
        <v>8160</v>
      </c>
      <c r="E30" s="21">
        <v>9600</v>
      </c>
      <c r="F30" s="21">
        <v>8550</v>
      </c>
      <c r="G30" s="21">
        <v>6350</v>
      </c>
      <c r="H30" s="21">
        <v>6200</v>
      </c>
      <c r="I30" s="21">
        <v>7493</v>
      </c>
      <c r="J30" s="21">
        <v>6960</v>
      </c>
      <c r="K30" s="24">
        <f t="shared" si="3"/>
        <v>2044</v>
      </c>
      <c r="L30" s="22">
        <f t="shared" si="4"/>
        <v>0.37005989316576476</v>
      </c>
      <c r="M30" s="22">
        <f t="shared" si="5"/>
        <v>0.36862074914999637</v>
      </c>
      <c r="N30" s="22">
        <f t="shared" si="6"/>
        <v>0.41817674937273491</v>
      </c>
      <c r="O30" s="22">
        <f t="shared" si="7"/>
        <v>0.35545023696682471</v>
      </c>
      <c r="P30" s="22">
        <f t="shared" si="8"/>
        <v>0.39910202045397852</v>
      </c>
      <c r="Q30" s="22">
        <f t="shared" si="9"/>
        <v>0.53737358659551449</v>
      </c>
      <c r="R30" s="22">
        <f t="shared" si="10"/>
        <v>0.55037456046476074</v>
      </c>
      <c r="S30" s="22">
        <f t="shared" si="11"/>
        <v>0.45540134457246989</v>
      </c>
      <c r="T30" s="22">
        <f t="shared" si="12"/>
        <v>0.49027618891975816</v>
      </c>
    </row>
    <row r="31" spans="1:20">
      <c r="A31" s="18">
        <v>2045</v>
      </c>
      <c r="B31" s="21">
        <v>9221</v>
      </c>
      <c r="C31" s="21">
        <v>9257</v>
      </c>
      <c r="D31" s="21">
        <v>8160</v>
      </c>
      <c r="E31" s="21">
        <v>9600</v>
      </c>
      <c r="F31" s="21">
        <v>8550</v>
      </c>
      <c r="G31" s="21">
        <v>6350</v>
      </c>
      <c r="H31" s="21">
        <v>6200</v>
      </c>
      <c r="I31" s="21">
        <v>7493</v>
      </c>
      <c r="J31" s="21">
        <v>6960</v>
      </c>
      <c r="K31" s="24">
        <f t="shared" si="3"/>
        <v>2045</v>
      </c>
      <c r="L31" s="22">
        <f t="shared" si="4"/>
        <v>0.37005989316576476</v>
      </c>
      <c r="M31" s="22">
        <f t="shared" si="5"/>
        <v>0.36862074914999637</v>
      </c>
      <c r="N31" s="22">
        <f t="shared" si="6"/>
        <v>0.41817674937273491</v>
      </c>
      <c r="O31" s="22">
        <f t="shared" si="7"/>
        <v>0.35545023696682471</v>
      </c>
      <c r="P31" s="22">
        <f t="shared" si="8"/>
        <v>0.39910202045397852</v>
      </c>
      <c r="Q31" s="22">
        <f t="shared" si="9"/>
        <v>0.53737358659551449</v>
      </c>
      <c r="R31" s="22">
        <f t="shared" si="10"/>
        <v>0.55037456046476074</v>
      </c>
      <c r="S31" s="22">
        <f t="shared" si="11"/>
        <v>0.45540134457246989</v>
      </c>
      <c r="T31" s="22">
        <f t="shared" si="12"/>
        <v>0.49027618891975816</v>
      </c>
    </row>
    <row r="32" spans="1:20">
      <c r="A32" s="18">
        <v>2046</v>
      </c>
      <c r="B32" s="21">
        <v>9221</v>
      </c>
      <c r="C32" s="21">
        <v>9257</v>
      </c>
      <c r="D32" s="21">
        <v>8160</v>
      </c>
      <c r="E32" s="21">
        <v>9600</v>
      </c>
      <c r="F32" s="21">
        <v>8550</v>
      </c>
      <c r="G32" s="21">
        <v>6350</v>
      </c>
      <c r="H32" s="21">
        <v>6200</v>
      </c>
      <c r="I32" s="21">
        <v>7493</v>
      </c>
      <c r="J32" s="21">
        <v>6960</v>
      </c>
      <c r="K32" s="24">
        <f t="shared" si="3"/>
        <v>2046</v>
      </c>
      <c r="L32" s="22">
        <f t="shared" si="4"/>
        <v>0.37005989316576476</v>
      </c>
      <c r="M32" s="22">
        <f t="shared" si="5"/>
        <v>0.36862074914999637</v>
      </c>
      <c r="N32" s="22">
        <f t="shared" si="6"/>
        <v>0.41817674937273491</v>
      </c>
      <c r="O32" s="22">
        <f t="shared" si="7"/>
        <v>0.35545023696682471</v>
      </c>
      <c r="P32" s="22">
        <f t="shared" si="8"/>
        <v>0.39910202045397852</v>
      </c>
      <c r="Q32" s="22">
        <f t="shared" si="9"/>
        <v>0.53737358659551449</v>
      </c>
      <c r="R32" s="22">
        <f t="shared" si="10"/>
        <v>0.55037456046476074</v>
      </c>
      <c r="S32" s="22">
        <f t="shared" si="11"/>
        <v>0.45540134457246989</v>
      </c>
      <c r="T32" s="22">
        <f t="shared" si="12"/>
        <v>0.49027618891975816</v>
      </c>
    </row>
    <row r="33" spans="1:20">
      <c r="A33" s="18">
        <v>2047</v>
      </c>
      <c r="B33" s="21">
        <v>9221</v>
      </c>
      <c r="C33" s="21">
        <v>9257</v>
      </c>
      <c r="D33" s="21">
        <v>8160</v>
      </c>
      <c r="E33" s="21">
        <v>9600</v>
      </c>
      <c r="F33" s="21">
        <v>8550</v>
      </c>
      <c r="G33" s="21">
        <v>6350</v>
      </c>
      <c r="H33" s="21">
        <v>6200</v>
      </c>
      <c r="I33" s="21">
        <v>7493</v>
      </c>
      <c r="J33" s="21">
        <v>6960</v>
      </c>
      <c r="K33" s="24">
        <f t="shared" si="3"/>
        <v>2047</v>
      </c>
      <c r="L33" s="22">
        <f t="shared" si="4"/>
        <v>0.37005989316576476</v>
      </c>
      <c r="M33" s="22">
        <f t="shared" si="5"/>
        <v>0.36862074914999637</v>
      </c>
      <c r="N33" s="22">
        <f t="shared" si="6"/>
        <v>0.41817674937273491</v>
      </c>
      <c r="O33" s="22">
        <f t="shared" si="7"/>
        <v>0.35545023696682471</v>
      </c>
      <c r="P33" s="22">
        <f t="shared" si="8"/>
        <v>0.39910202045397852</v>
      </c>
      <c r="Q33" s="22">
        <f t="shared" si="9"/>
        <v>0.53737358659551449</v>
      </c>
      <c r="R33" s="22">
        <f t="shared" si="10"/>
        <v>0.55037456046476074</v>
      </c>
      <c r="S33" s="22">
        <f t="shared" si="11"/>
        <v>0.45540134457246989</v>
      </c>
      <c r="T33" s="22">
        <f t="shared" si="12"/>
        <v>0.49027618891975816</v>
      </c>
    </row>
    <row r="34" spans="1:20">
      <c r="A34" s="18">
        <v>2048</v>
      </c>
      <c r="B34" s="21">
        <v>9221</v>
      </c>
      <c r="C34" s="21">
        <v>9257</v>
      </c>
      <c r="D34" s="21">
        <v>8160</v>
      </c>
      <c r="E34" s="21">
        <v>9600</v>
      </c>
      <c r="F34" s="21">
        <v>8550</v>
      </c>
      <c r="G34" s="21">
        <v>6350</v>
      </c>
      <c r="H34" s="21">
        <v>6200</v>
      </c>
      <c r="I34" s="21">
        <v>7493</v>
      </c>
      <c r="J34" s="21">
        <v>6960</v>
      </c>
      <c r="K34" s="24">
        <f t="shared" si="3"/>
        <v>2048</v>
      </c>
      <c r="L34" s="22">
        <f t="shared" si="4"/>
        <v>0.37005989316576476</v>
      </c>
      <c r="M34" s="22">
        <f t="shared" si="5"/>
        <v>0.36862074914999637</v>
      </c>
      <c r="N34" s="22">
        <f t="shared" si="6"/>
        <v>0.41817674937273491</v>
      </c>
      <c r="O34" s="22">
        <f t="shared" si="7"/>
        <v>0.35545023696682471</v>
      </c>
      <c r="P34" s="22">
        <f t="shared" si="8"/>
        <v>0.39910202045397852</v>
      </c>
      <c r="Q34" s="22">
        <f t="shared" si="9"/>
        <v>0.53737358659551449</v>
      </c>
      <c r="R34" s="22">
        <f t="shared" si="10"/>
        <v>0.55037456046476074</v>
      </c>
      <c r="S34" s="22">
        <f t="shared" si="11"/>
        <v>0.45540134457246989</v>
      </c>
      <c r="T34" s="22">
        <f t="shared" si="12"/>
        <v>0.49027618891975816</v>
      </c>
    </row>
    <row r="35" spans="1:20">
      <c r="A35" s="18">
        <v>2049</v>
      </c>
      <c r="B35" s="21">
        <v>9221</v>
      </c>
      <c r="C35" s="21">
        <v>9257</v>
      </c>
      <c r="D35" s="21">
        <v>8160</v>
      </c>
      <c r="E35" s="21">
        <v>9600</v>
      </c>
      <c r="F35" s="21">
        <v>8550</v>
      </c>
      <c r="G35" s="21">
        <v>6350</v>
      </c>
      <c r="H35" s="21">
        <v>6200</v>
      </c>
      <c r="I35" s="21">
        <v>7493</v>
      </c>
      <c r="J35" s="21">
        <v>6960</v>
      </c>
      <c r="K35" s="24">
        <f t="shared" si="3"/>
        <v>2049</v>
      </c>
      <c r="L35" s="22">
        <f t="shared" si="4"/>
        <v>0.37005989316576476</v>
      </c>
      <c r="M35" s="22">
        <f t="shared" si="5"/>
        <v>0.36862074914999637</v>
      </c>
      <c r="N35" s="22">
        <f t="shared" si="6"/>
        <v>0.41817674937273491</v>
      </c>
      <c r="O35" s="22">
        <f t="shared" si="7"/>
        <v>0.35545023696682471</v>
      </c>
      <c r="P35" s="22">
        <f t="shared" si="8"/>
        <v>0.39910202045397852</v>
      </c>
      <c r="Q35" s="22">
        <f t="shared" si="9"/>
        <v>0.53737358659551449</v>
      </c>
      <c r="R35" s="22">
        <f t="shared" si="10"/>
        <v>0.55037456046476074</v>
      </c>
      <c r="S35" s="22">
        <f t="shared" si="11"/>
        <v>0.45540134457246989</v>
      </c>
      <c r="T35" s="22">
        <f t="shared" si="12"/>
        <v>0.49027618891975816</v>
      </c>
    </row>
    <row r="36" spans="1:20">
      <c r="A36" s="18">
        <v>2050</v>
      </c>
      <c r="B36" s="21">
        <v>9221</v>
      </c>
      <c r="C36" s="21">
        <v>9257</v>
      </c>
      <c r="D36" s="21">
        <v>8160</v>
      </c>
      <c r="E36" s="21">
        <v>9600</v>
      </c>
      <c r="F36" s="21">
        <v>8550</v>
      </c>
      <c r="G36" s="21">
        <v>6350</v>
      </c>
      <c r="H36" s="21">
        <v>6200</v>
      </c>
      <c r="I36" s="21">
        <v>7493</v>
      </c>
      <c r="J36" s="21">
        <v>6960</v>
      </c>
      <c r="K36" s="24">
        <f t="shared" si="3"/>
        <v>2050</v>
      </c>
      <c r="L36" s="22">
        <f t="shared" si="4"/>
        <v>0.37005989316576476</v>
      </c>
      <c r="M36" s="22">
        <f t="shared" si="5"/>
        <v>0.36862074914999637</v>
      </c>
      <c r="N36" s="22">
        <f t="shared" si="6"/>
        <v>0.41817674937273491</v>
      </c>
      <c r="O36" s="22">
        <f t="shared" si="7"/>
        <v>0.35545023696682471</v>
      </c>
      <c r="P36" s="22">
        <f t="shared" si="8"/>
        <v>0.39910202045397852</v>
      </c>
      <c r="Q36" s="22">
        <f t="shared" si="9"/>
        <v>0.53737358659551449</v>
      </c>
      <c r="R36" s="22">
        <f t="shared" si="10"/>
        <v>0.55037456046476074</v>
      </c>
      <c r="S36" s="22">
        <f t="shared" si="11"/>
        <v>0.45540134457246989</v>
      </c>
      <c r="T36" s="22">
        <f t="shared" si="12"/>
        <v>0.49027618891975816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10"/>
  <sheetViews>
    <sheetView zoomScaleNormal="100" workbookViewId="0"/>
  </sheetViews>
  <sheetFormatPr defaultColWidth="8.88671875" defaultRowHeight="14.4"/>
  <cols>
    <col min="1" max="1" width="2.33203125" customWidth="1"/>
    <col min="2" max="2" width="12.109375" bestFit="1" customWidth="1"/>
    <col min="3" max="3" width="21.88671875" bestFit="1" customWidth="1"/>
    <col min="4" max="4" width="21.88671875" customWidth="1"/>
    <col min="5" max="5" width="7.88671875" bestFit="1" customWidth="1"/>
    <col min="6" max="6" width="9.44140625" bestFit="1" customWidth="1"/>
    <col min="7" max="7" width="6" bestFit="1" customWidth="1"/>
    <col min="8" max="8" width="2" bestFit="1" customWidth="1"/>
    <col min="9" max="9" width="4" bestFit="1" customWidth="1"/>
    <col min="10" max="10" width="10.44140625" customWidth="1"/>
    <col min="11" max="11" width="11.33203125" bestFit="1" customWidth="1"/>
    <col min="12" max="12" width="12.109375" bestFit="1" customWidth="1"/>
    <col min="13" max="13" width="31.44140625" bestFit="1" customWidth="1"/>
    <col min="14" max="14" width="5" bestFit="1" customWidth="1"/>
    <col min="15" max="15" width="4.44140625" bestFit="1" customWidth="1"/>
    <col min="16" max="16" width="5.109375" bestFit="1" customWidth="1"/>
    <col min="17" max="17" width="10.33203125" bestFit="1" customWidth="1"/>
    <col min="18" max="18" width="7.88671875" bestFit="1" customWidth="1"/>
  </cols>
  <sheetData>
    <row r="2" spans="1:18">
      <c r="G2" s="6"/>
      <c r="H2" s="2"/>
    </row>
    <row r="3" spans="1:18">
      <c r="A3" s="3"/>
      <c r="B3" s="3"/>
      <c r="D3" s="7" t="s">
        <v>64</v>
      </c>
      <c r="I3" s="2"/>
      <c r="J3" s="2"/>
      <c r="K3" s="9" t="s">
        <v>4</v>
      </c>
      <c r="L3" s="9"/>
      <c r="M3" s="9"/>
      <c r="N3" s="9"/>
      <c r="O3" s="9"/>
      <c r="P3" s="9"/>
      <c r="Q3" s="9"/>
    </row>
    <row r="4" spans="1:18">
      <c r="A4" s="4"/>
      <c r="B4" s="7" t="s">
        <v>0</v>
      </c>
      <c r="C4" s="7" t="s">
        <v>1</v>
      </c>
      <c r="D4" s="7" t="s">
        <v>2</v>
      </c>
      <c r="E4" t="s">
        <v>18</v>
      </c>
      <c r="F4" t="s">
        <v>63</v>
      </c>
      <c r="G4">
        <v>2020</v>
      </c>
      <c r="H4">
        <v>0</v>
      </c>
      <c r="I4" t="s">
        <v>70</v>
      </c>
      <c r="J4" s="3"/>
      <c r="K4" s="9" t="s">
        <v>5</v>
      </c>
      <c r="L4" s="9" t="s">
        <v>0</v>
      </c>
      <c r="M4" s="9" t="s">
        <v>6</v>
      </c>
      <c r="N4" s="9" t="s">
        <v>7</v>
      </c>
      <c r="O4" s="9" t="s">
        <v>8</v>
      </c>
      <c r="P4" s="9" t="s">
        <v>9</v>
      </c>
      <c r="Q4" s="9" t="s">
        <v>10</v>
      </c>
      <c r="R4" s="9" t="s">
        <v>11</v>
      </c>
    </row>
    <row r="5" spans="1:18">
      <c r="B5" s="13" t="str">
        <f>L5</f>
        <v>StoCO2-DOF</v>
      </c>
      <c r="C5" s="12" t="s">
        <v>68</v>
      </c>
      <c r="D5" s="12"/>
      <c r="E5" s="14">
        <f>20/1000</f>
        <v>0.02</v>
      </c>
      <c r="F5" s="15">
        <v>999999</v>
      </c>
      <c r="G5" s="15">
        <v>99999</v>
      </c>
      <c r="H5" s="15">
        <v>3</v>
      </c>
      <c r="I5" s="10"/>
      <c r="K5" s="9" t="s">
        <v>53</v>
      </c>
      <c r="L5" s="9" t="s">
        <v>57</v>
      </c>
      <c r="M5" s="9" t="s">
        <v>52</v>
      </c>
      <c r="N5" s="9"/>
      <c r="O5" s="9" t="s">
        <v>61</v>
      </c>
      <c r="P5" s="9" t="s">
        <v>62</v>
      </c>
      <c r="Q5" s="9"/>
      <c r="R5" s="9"/>
    </row>
    <row r="6" spans="1:18">
      <c r="B6" s="13" t="str">
        <f>L6</f>
        <v>StoCO2-DGF</v>
      </c>
      <c r="C6" s="12" t="s">
        <v>68</v>
      </c>
      <c r="D6" s="12"/>
      <c r="E6" s="14">
        <f>20/1000</f>
        <v>0.02</v>
      </c>
      <c r="F6" s="15">
        <v>999999</v>
      </c>
      <c r="G6" s="15">
        <v>99999</v>
      </c>
      <c r="H6" s="15">
        <v>3</v>
      </c>
      <c r="I6" s="10"/>
      <c r="K6" s="9"/>
      <c r="L6" s="9" t="s">
        <v>58</v>
      </c>
      <c r="M6" s="9" t="s">
        <v>54</v>
      </c>
      <c r="N6" s="9"/>
      <c r="O6" s="9" t="s">
        <v>61</v>
      </c>
      <c r="P6" s="9" t="s">
        <v>62</v>
      </c>
      <c r="Q6" s="9"/>
      <c r="R6" s="9"/>
    </row>
    <row r="7" spans="1:18">
      <c r="B7" s="13" t="str">
        <f>L7</f>
        <v>StoCO2-CBM</v>
      </c>
      <c r="C7" s="12" t="s">
        <v>68</v>
      </c>
      <c r="D7" s="12"/>
      <c r="E7" s="14">
        <f>20/1000</f>
        <v>0.02</v>
      </c>
      <c r="F7" s="15">
        <v>999999</v>
      </c>
      <c r="G7" s="15">
        <v>99999</v>
      </c>
      <c r="H7" s="15">
        <v>3</v>
      </c>
      <c r="I7" s="10"/>
      <c r="K7" s="9"/>
      <c r="L7" s="9" t="s">
        <v>59</v>
      </c>
      <c r="M7" s="9" t="s">
        <v>55</v>
      </c>
      <c r="N7" s="9"/>
      <c r="O7" s="9" t="s">
        <v>61</v>
      </c>
      <c r="P7" s="9" t="s">
        <v>62</v>
      </c>
      <c r="Q7" s="9"/>
      <c r="R7" s="9"/>
    </row>
    <row r="8" spans="1:18">
      <c r="B8" s="13" t="str">
        <f>L8</f>
        <v>StoCO2-AQF</v>
      </c>
      <c r="C8" s="12" t="s">
        <v>68</v>
      </c>
      <c r="D8" s="12"/>
      <c r="E8" s="14">
        <f>20/1000</f>
        <v>0.02</v>
      </c>
      <c r="F8" s="15">
        <v>999999</v>
      </c>
      <c r="G8" s="15">
        <v>99999</v>
      </c>
      <c r="H8" s="15">
        <v>3</v>
      </c>
      <c r="I8" s="10"/>
      <c r="K8" s="9"/>
      <c r="L8" s="9" t="s">
        <v>60</v>
      </c>
      <c r="M8" s="9" t="s">
        <v>56</v>
      </c>
      <c r="N8" s="9"/>
      <c r="O8" s="9" t="s">
        <v>61</v>
      </c>
      <c r="P8" s="9" t="s">
        <v>62</v>
      </c>
      <c r="Q8" s="9"/>
      <c r="R8" s="9"/>
    </row>
    <row r="9" spans="1:18">
      <c r="B9" t="s">
        <v>65</v>
      </c>
      <c r="K9" t="s">
        <v>65</v>
      </c>
    </row>
    <row r="10" spans="1:18">
      <c r="B10" s="13" t="str">
        <f>L10</f>
        <v>Pipeline-CO2</v>
      </c>
      <c r="C10" t="s">
        <v>69</v>
      </c>
      <c r="D10" t="str">
        <f>C8</f>
        <v>CO2ForStorage</v>
      </c>
      <c r="E10">
        <v>0.01</v>
      </c>
      <c r="I10">
        <v>1</v>
      </c>
      <c r="K10" t="s">
        <v>53</v>
      </c>
      <c r="L10" s="9" t="s">
        <v>66</v>
      </c>
      <c r="M10" s="9" t="s">
        <v>67</v>
      </c>
      <c r="O10" s="9" t="s">
        <v>61</v>
      </c>
      <c r="P10" s="9" t="s">
        <v>62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26"/>
  <sheetViews>
    <sheetView tabSelected="1" workbookViewId="0">
      <selection activeCell="B14" sqref="B14:R16"/>
    </sheetView>
  </sheetViews>
  <sheetFormatPr defaultColWidth="8.88671875" defaultRowHeight="14.4"/>
  <cols>
    <col min="2" max="2" width="14" bestFit="1" customWidth="1"/>
    <col min="3" max="3" width="17.5546875" bestFit="1" customWidth="1"/>
    <col min="4" max="4" width="43.6640625" bestFit="1" customWidth="1"/>
    <col min="5" max="5" width="11.109375" bestFit="1" customWidth="1"/>
    <col min="6" max="6" width="13.33203125" bestFit="1" customWidth="1"/>
    <col min="7" max="7" width="12.109375" bestFit="1" customWidth="1"/>
    <col min="8" max="8" width="10.33203125" bestFit="1" customWidth="1"/>
    <col min="9" max="9" width="8.109375" bestFit="1" customWidth="1"/>
    <col min="10" max="10" width="19.33203125" bestFit="1" customWidth="1"/>
    <col min="11" max="11" width="8.88671875" bestFit="1" customWidth="1"/>
    <col min="12" max="12" width="14.33203125" bestFit="1" customWidth="1"/>
    <col min="13" max="13" width="4.44140625" bestFit="1" customWidth="1"/>
    <col min="14" max="14" width="12.88671875" bestFit="1" customWidth="1"/>
    <col min="15" max="15" width="6.88671875" bestFit="1" customWidth="1"/>
    <col min="16" max="16" width="18.5546875" bestFit="1" customWidth="1"/>
  </cols>
  <sheetData>
    <row r="2" spans="2:18">
      <c r="B2" t="s">
        <v>4</v>
      </c>
    </row>
    <row r="3" spans="2:18">
      <c r="B3" s="9" t="s">
        <v>5</v>
      </c>
      <c r="C3" s="9" t="s">
        <v>0</v>
      </c>
      <c r="D3" s="9" t="s">
        <v>6</v>
      </c>
      <c r="E3" s="9" t="s">
        <v>8</v>
      </c>
      <c r="F3" s="9" t="s">
        <v>9</v>
      </c>
      <c r="G3" s="9" t="s">
        <v>7</v>
      </c>
      <c r="H3" s="9" t="s">
        <v>10</v>
      </c>
    </row>
    <row r="4" spans="2:18">
      <c r="B4" s="9" t="s">
        <v>71</v>
      </c>
      <c r="C4" s="9" t="s">
        <v>140</v>
      </c>
      <c r="D4" s="9" t="s">
        <v>141</v>
      </c>
      <c r="E4" s="9" t="s">
        <v>48</v>
      </c>
      <c r="F4" s="9" t="s">
        <v>14</v>
      </c>
      <c r="G4" s="9" t="s">
        <v>13</v>
      </c>
      <c r="H4" s="9"/>
    </row>
    <row r="5" spans="2:18">
      <c r="B5" s="9" t="s">
        <v>12</v>
      </c>
      <c r="C5" s="9" t="s">
        <v>93</v>
      </c>
      <c r="D5" s="9" t="s">
        <v>94</v>
      </c>
      <c r="E5" s="9" t="s">
        <v>48</v>
      </c>
      <c r="F5" s="9" t="s">
        <v>14</v>
      </c>
      <c r="G5" s="9" t="s">
        <v>13</v>
      </c>
      <c r="H5" s="9"/>
    </row>
    <row r="6" spans="2:18">
      <c r="B6" s="13" t="s">
        <v>71</v>
      </c>
      <c r="C6" s="13" t="s">
        <v>157</v>
      </c>
      <c r="D6" s="13" t="s">
        <v>158</v>
      </c>
      <c r="E6" s="13" t="s">
        <v>48</v>
      </c>
      <c r="F6" s="13" t="s">
        <v>14</v>
      </c>
      <c r="G6" s="13" t="s">
        <v>13</v>
      </c>
      <c r="H6" s="13"/>
    </row>
    <row r="8" spans="2:18" s="12" customFormat="1">
      <c r="D8" s="36"/>
      <c r="G8" s="12" t="s">
        <v>72</v>
      </c>
    </row>
    <row r="9" spans="2:18">
      <c r="B9" t="s">
        <v>0</v>
      </c>
      <c r="C9" t="s">
        <v>1</v>
      </c>
      <c r="D9" s="36" t="s">
        <v>153</v>
      </c>
      <c r="E9" t="s">
        <v>2</v>
      </c>
      <c r="F9" t="s">
        <v>73</v>
      </c>
      <c r="G9" t="s">
        <v>74</v>
      </c>
      <c r="H9" t="s">
        <v>75</v>
      </c>
      <c r="I9" t="s">
        <v>76</v>
      </c>
      <c r="J9" t="s">
        <v>77</v>
      </c>
      <c r="K9" t="s">
        <v>78</v>
      </c>
      <c r="L9" t="s">
        <v>139</v>
      </c>
      <c r="M9" t="s">
        <v>17</v>
      </c>
      <c r="N9" t="s">
        <v>131</v>
      </c>
      <c r="O9" t="s">
        <v>23</v>
      </c>
      <c r="P9" s="36" t="s">
        <v>154</v>
      </c>
      <c r="Q9" s="36" t="s">
        <v>155</v>
      </c>
    </row>
    <row r="10" spans="2:18">
      <c r="B10" t="s">
        <v>140</v>
      </c>
      <c r="C10" t="s">
        <v>35</v>
      </c>
      <c r="D10" s="36"/>
      <c r="E10" t="s">
        <v>35</v>
      </c>
      <c r="G10" t="s">
        <v>142</v>
      </c>
      <c r="H10">
        <v>0.85</v>
      </c>
      <c r="I10" s="34">
        <v>29.891943130000001</v>
      </c>
      <c r="J10">
        <v>1</v>
      </c>
      <c r="K10">
        <v>1391</v>
      </c>
      <c r="M10">
        <v>100</v>
      </c>
      <c r="N10" s="36"/>
      <c r="O10">
        <v>24.8</v>
      </c>
    </row>
    <row r="11" spans="2:18">
      <c r="D11" s="13"/>
      <c r="F11" t="s">
        <v>151</v>
      </c>
      <c r="G11" t="str">
        <f>F11</f>
        <v>AuxStoOUT</v>
      </c>
      <c r="I11" s="34"/>
      <c r="L11" s="34">
        <f>1/H10</f>
        <v>1.1764705882352942</v>
      </c>
      <c r="N11" s="36"/>
    </row>
    <row r="12" spans="2:18" s="36" customFormat="1">
      <c r="D12" s="13"/>
      <c r="F12" s="13" t="str">
        <f>C25</f>
        <v>AuxStoIN</v>
      </c>
      <c r="G12" s="36" t="s">
        <v>35</v>
      </c>
      <c r="I12" s="34"/>
      <c r="P12" s="36">
        <v>1</v>
      </c>
    </row>
    <row r="13" spans="2:18" s="12" customFormat="1">
      <c r="B13" t="s">
        <v>93</v>
      </c>
      <c r="D13" s="36"/>
      <c r="E13" s="12" t="s">
        <v>95</v>
      </c>
      <c r="I13" s="34">
        <v>29.891943130000001</v>
      </c>
      <c r="M13" s="12">
        <v>1</v>
      </c>
      <c r="N13" s="36">
        <v>0</v>
      </c>
      <c r="Q13" s="12">
        <v>3</v>
      </c>
    </row>
    <row r="14" spans="2:18" s="12" customFormat="1">
      <c r="B14" s="13" t="str">
        <f>C6</f>
        <v>EN_STG_PHS</v>
      </c>
      <c r="C14" s="36" t="s">
        <v>35</v>
      </c>
      <c r="D14" s="36"/>
      <c r="E14" s="36" t="s">
        <v>35</v>
      </c>
      <c r="F14" s="36"/>
      <c r="G14" s="36" t="s">
        <v>142</v>
      </c>
      <c r="H14" s="36">
        <v>0.8</v>
      </c>
      <c r="I14" s="34">
        <v>29.891943130000001</v>
      </c>
      <c r="J14" s="36">
        <v>1</v>
      </c>
      <c r="K14" s="36">
        <v>1200</v>
      </c>
      <c r="L14" s="36"/>
      <c r="M14" s="36">
        <v>50</v>
      </c>
      <c r="N14" s="36"/>
      <c r="O14" s="36">
        <v>17</v>
      </c>
      <c r="P14" s="36"/>
      <c r="Q14" s="36"/>
      <c r="R14" s="36"/>
    </row>
    <row r="15" spans="2:18">
      <c r="B15" s="36"/>
      <c r="C15" s="36"/>
      <c r="D15" s="13"/>
      <c r="E15" s="36"/>
      <c r="F15" s="36" t="s">
        <v>151</v>
      </c>
      <c r="G15" s="36" t="str">
        <f>F15</f>
        <v>AuxStoOUT</v>
      </c>
      <c r="H15" s="36"/>
      <c r="I15" s="34"/>
      <c r="J15" s="36"/>
      <c r="K15" s="36"/>
      <c r="L15" s="34">
        <f>1/H14</f>
        <v>1.25</v>
      </c>
      <c r="M15" s="36"/>
      <c r="N15" s="36"/>
      <c r="O15" s="36"/>
      <c r="P15" s="36"/>
      <c r="Q15" s="36"/>
      <c r="R15" s="36"/>
    </row>
    <row r="16" spans="2:18">
      <c r="B16" s="36"/>
      <c r="C16" s="36"/>
      <c r="D16" s="13"/>
      <c r="E16" s="36"/>
      <c r="F16" s="13" t="str">
        <f>C25</f>
        <v>AuxStoIN</v>
      </c>
      <c r="G16" s="36" t="s">
        <v>35</v>
      </c>
      <c r="H16" s="36"/>
      <c r="I16" s="34"/>
      <c r="J16" s="36"/>
      <c r="K16" s="36"/>
      <c r="L16" s="36"/>
      <c r="M16" s="36"/>
      <c r="N16" s="36"/>
      <c r="O16" s="36"/>
      <c r="P16" s="36">
        <v>1</v>
      </c>
      <c r="Q16" s="36"/>
      <c r="R16" s="36"/>
    </row>
    <row r="23" spans="2:9">
      <c r="B23" s="9" t="s">
        <v>79</v>
      </c>
      <c r="C23" s="9"/>
      <c r="D23" s="9"/>
      <c r="E23" s="9"/>
      <c r="F23" s="9"/>
      <c r="G23" s="9"/>
      <c r="H23" s="9"/>
      <c r="I23" s="9"/>
    </row>
    <row r="24" spans="2:9">
      <c r="B24" s="9" t="s">
        <v>80</v>
      </c>
      <c r="C24" s="9" t="s">
        <v>81</v>
      </c>
      <c r="D24" s="9" t="s">
        <v>82</v>
      </c>
      <c r="E24" s="9" t="s">
        <v>83</v>
      </c>
      <c r="F24" s="9" t="s">
        <v>84</v>
      </c>
      <c r="G24" s="9" t="s">
        <v>85</v>
      </c>
      <c r="H24" s="9" t="s">
        <v>86</v>
      </c>
      <c r="I24" s="9" t="s">
        <v>87</v>
      </c>
    </row>
    <row r="25" spans="2:9">
      <c r="B25" s="9" t="s">
        <v>88</v>
      </c>
      <c r="C25" s="9" t="s">
        <v>149</v>
      </c>
      <c r="D25" s="9" t="s">
        <v>150</v>
      </c>
      <c r="E25" s="9" t="s">
        <v>48</v>
      </c>
      <c r="F25" s="9"/>
      <c r="G25" s="9"/>
      <c r="H25" s="9"/>
      <c r="I25" s="9"/>
    </row>
    <row r="26" spans="2:9">
      <c r="C26" s="13" t="s">
        <v>151</v>
      </c>
      <c r="D26" s="13" t="s">
        <v>152</v>
      </c>
      <c r="E26" s="13" t="s">
        <v>48</v>
      </c>
      <c r="F26" s="1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2008-07-01T10:28:28Z</cp:lastPrinted>
  <dcterms:created xsi:type="dcterms:W3CDTF">2008-03-25T10:08:51Z</dcterms:created>
  <dcterms:modified xsi:type="dcterms:W3CDTF">2021-12-08T09:50:03Z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905498683452606</vt:r8>
  </property>
</Properties>
</file>