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_models\IEMM_v60_10-1\SubRes_Tmpl\"/>
    </mc:Choice>
  </mc:AlternateContent>
  <xr:revisionPtr revIDLastSave="0" documentId="13_ncr:1_{3437C867-2E92-4A0D-9F3E-1BB137178D07}" xr6:coauthVersionLast="47" xr6:coauthVersionMax="47" xr10:uidLastSave="{00000000-0000-0000-0000-000000000000}"/>
  <bookViews>
    <workbookView xWindow="-108" yWindow="-108" windowWidth="30936" windowHeight="16776" activeTab="4" xr2:uid="{00000000-000D-0000-FFFF-FFFF00000000}"/>
  </bookViews>
  <sheets>
    <sheet name="Readme" sheetId="27" r:id="rId1"/>
    <sheet name="notes" sheetId="25" r:id="rId2"/>
    <sheet name="ELC_Gen-sdj" sheetId="21" r:id="rId3"/>
    <sheet name="ELC_Gen-tjh" sheetId="26" r:id="rId4"/>
    <sheet name="ELC_Accounting" sheetId="29" r:id="rId5"/>
    <sheet name="ovrcst" sheetId="24" r:id="rId6"/>
    <sheet name="heatrate" sheetId="23" r:id="rId7"/>
    <sheet name="ELC_CO2 Transport and Storage" sheetId="20" r:id="rId8"/>
    <sheet name="ELC_Storage" sheetId="19" r:id="rId9"/>
    <sheet name="Retrofit costs" sheetId="28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8" i="26" l="1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C48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C47" i="26"/>
  <c r="I18" i="26"/>
  <c r="J18" i="26"/>
  <c r="K18" i="26"/>
  <c r="L18" i="26"/>
  <c r="H18" i="26"/>
  <c r="I17" i="26"/>
  <c r="J17" i="26"/>
  <c r="K17" i="26"/>
  <c r="L17" i="26"/>
  <c r="H17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C34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C33" i="26"/>
  <c r="C50" i="28"/>
  <c r="D50" i="28"/>
  <c r="E50" i="28"/>
  <c r="F50" i="28"/>
  <c r="G50" i="28"/>
  <c r="H50" i="28"/>
  <c r="I50" i="28"/>
  <c r="J50" i="28"/>
  <c r="K50" i="28"/>
  <c r="L50" i="28"/>
  <c r="M50" i="28"/>
  <c r="N50" i="28"/>
  <c r="O50" i="28"/>
  <c r="P50" i="28"/>
  <c r="Q50" i="28"/>
  <c r="R50" i="28"/>
  <c r="S50" i="28"/>
  <c r="T50" i="28"/>
  <c r="U50" i="28"/>
  <c r="V50" i="28"/>
  <c r="W50" i="28"/>
  <c r="X50" i="28"/>
  <c r="Y50" i="28"/>
  <c r="Z50" i="28"/>
  <c r="AA50" i="28"/>
  <c r="AB50" i="28"/>
  <c r="AC50" i="28"/>
  <c r="AD50" i="28"/>
  <c r="AE50" i="28"/>
  <c r="AF50" i="28"/>
  <c r="AG50" i="28"/>
  <c r="B50" i="28"/>
  <c r="C49" i="28"/>
  <c r="D49" i="28"/>
  <c r="E49" i="28"/>
  <c r="F49" i="28"/>
  <c r="G49" i="28"/>
  <c r="H49" i="28"/>
  <c r="I49" i="28"/>
  <c r="J49" i="28"/>
  <c r="K49" i="28"/>
  <c r="L49" i="28"/>
  <c r="M49" i="28"/>
  <c r="N49" i="28"/>
  <c r="O49" i="28"/>
  <c r="P49" i="28"/>
  <c r="Q49" i="28"/>
  <c r="R49" i="28"/>
  <c r="S49" i="28"/>
  <c r="T49" i="28"/>
  <c r="U49" i="28"/>
  <c r="V49" i="28"/>
  <c r="W49" i="28"/>
  <c r="X49" i="28"/>
  <c r="Y49" i="28"/>
  <c r="Z49" i="28"/>
  <c r="AA49" i="28"/>
  <c r="AB49" i="28"/>
  <c r="AC49" i="28"/>
  <c r="AD49" i="28"/>
  <c r="AE49" i="28"/>
  <c r="AF49" i="28"/>
  <c r="AG49" i="28"/>
  <c r="B49" i="28"/>
  <c r="C51" i="28"/>
  <c r="D51" i="28"/>
  <c r="E51" i="28"/>
  <c r="F51" i="28"/>
  <c r="G51" i="28"/>
  <c r="H51" i="28"/>
  <c r="I51" i="28"/>
  <c r="J51" i="28"/>
  <c r="K51" i="28"/>
  <c r="L51" i="28"/>
  <c r="M51" i="28"/>
  <c r="N51" i="28"/>
  <c r="O51" i="28"/>
  <c r="P51" i="28"/>
  <c r="Q51" i="28"/>
  <c r="R51" i="28"/>
  <c r="S51" i="28"/>
  <c r="T51" i="28"/>
  <c r="U51" i="28"/>
  <c r="V51" i="28"/>
  <c r="W51" i="28"/>
  <c r="X51" i="28"/>
  <c r="Y51" i="28"/>
  <c r="Z51" i="28"/>
  <c r="AA51" i="28"/>
  <c r="AB51" i="28"/>
  <c r="AC51" i="28"/>
  <c r="AD51" i="28"/>
  <c r="AE51" i="28"/>
  <c r="AF51" i="28"/>
  <c r="AG51" i="28"/>
  <c r="B51" i="28"/>
  <c r="F16" i="19"/>
  <c r="B14" i="19"/>
  <c r="L15" i="19"/>
  <c r="G15" i="19"/>
  <c r="L11" i="19"/>
  <c r="F12" i="19" l="1"/>
  <c r="G11" i="19" l="1"/>
  <c r="B32" i="26" l="1"/>
  <c r="B31" i="26"/>
  <c r="B46" i="26" s="1"/>
  <c r="B30" i="26"/>
  <c r="B45" i="26" s="1"/>
  <c r="B29" i="26"/>
  <c r="B28" i="26"/>
  <c r="B44" i="26" s="1"/>
  <c r="B27" i="26"/>
  <c r="B43" i="26" s="1"/>
  <c r="B26" i="26"/>
  <c r="B42" i="26" s="1"/>
  <c r="B25" i="26"/>
  <c r="B41" i="26" s="1"/>
  <c r="B24" i="26"/>
  <c r="B40" i="26" s="1"/>
  <c r="B23" i="26"/>
  <c r="B39" i="26" s="1"/>
  <c r="AC19" i="26"/>
  <c r="AC18" i="26"/>
  <c r="AC17" i="26"/>
  <c r="AC16" i="26"/>
  <c r="Q16" i="26"/>
  <c r="AC15" i="26"/>
  <c r="Q15" i="26"/>
  <c r="N15" i="26"/>
  <c r="I15" i="26" s="1"/>
  <c r="J15" i="26"/>
  <c r="H15" i="26"/>
  <c r="AC14" i="26"/>
  <c r="Q14" i="26"/>
  <c r="I14" i="26"/>
  <c r="AC13" i="26"/>
  <c r="Q13" i="26"/>
  <c r="I13" i="26"/>
  <c r="AC12" i="26"/>
  <c r="Q12" i="26"/>
  <c r="I12" i="26"/>
  <c r="AC11" i="26"/>
  <c r="Q11" i="26"/>
  <c r="I11" i="26"/>
  <c r="AC10" i="26"/>
  <c r="Q10" i="26"/>
  <c r="I10" i="26"/>
  <c r="AC9" i="26"/>
  <c r="Q9" i="26"/>
  <c r="I9" i="26"/>
  <c r="AC8" i="26"/>
  <c r="Q8" i="26"/>
  <c r="I8" i="26"/>
  <c r="AC7" i="26"/>
  <c r="Q7" i="26"/>
  <c r="I7" i="26"/>
  <c r="AC6" i="26"/>
  <c r="Q6" i="26"/>
  <c r="I6" i="26"/>
  <c r="AC5" i="26"/>
  <c r="Q5" i="26"/>
  <c r="I5" i="26"/>
  <c r="AC4" i="26"/>
  <c r="Q4" i="26"/>
  <c r="I4" i="26"/>
  <c r="K4" i="23" l="1"/>
  <c r="T4" i="23"/>
  <c r="S4" i="23"/>
  <c r="R4" i="23"/>
  <c r="Q4" i="23"/>
  <c r="P4" i="23"/>
  <c r="O4" i="23"/>
  <c r="N4" i="23"/>
  <c r="M4" i="23"/>
  <c r="L4" i="23"/>
  <c r="K6" i="23"/>
  <c r="K7" i="23"/>
  <c r="K8" i="23"/>
  <c r="K9" i="23"/>
  <c r="K10" i="23"/>
  <c r="K11" i="23"/>
  <c r="K12" i="23"/>
  <c r="K13" i="23"/>
  <c r="K14" i="23"/>
  <c r="K15" i="23"/>
  <c r="K16" i="23"/>
  <c r="K17" i="23"/>
  <c r="K18" i="23"/>
  <c r="K19" i="23"/>
  <c r="K20" i="23"/>
  <c r="K21" i="23"/>
  <c r="K22" i="23"/>
  <c r="K23" i="23"/>
  <c r="K24" i="23"/>
  <c r="K25" i="23"/>
  <c r="K26" i="23"/>
  <c r="K27" i="23"/>
  <c r="K28" i="23"/>
  <c r="K29" i="23"/>
  <c r="K30" i="23"/>
  <c r="K31" i="23"/>
  <c r="K32" i="23"/>
  <c r="K33" i="23"/>
  <c r="K34" i="23"/>
  <c r="K35" i="23"/>
  <c r="K36" i="23"/>
  <c r="K5" i="23"/>
  <c r="L3" i="23"/>
  <c r="P6" i="23" s="1"/>
  <c r="AC19" i="21"/>
  <c r="AC5" i="21"/>
  <c r="AC6" i="21"/>
  <c r="AC7" i="21"/>
  <c r="AC8" i="21"/>
  <c r="AC9" i="21"/>
  <c r="AC10" i="21"/>
  <c r="AC11" i="21"/>
  <c r="AC12" i="21"/>
  <c r="AC13" i="21"/>
  <c r="AC14" i="21"/>
  <c r="AC15" i="21"/>
  <c r="AC16" i="21"/>
  <c r="AC17" i="21"/>
  <c r="AC18" i="21"/>
  <c r="AC4" i="21"/>
  <c r="B23" i="21"/>
  <c r="B24" i="21"/>
  <c r="B25" i="21"/>
  <c r="B26" i="21"/>
  <c r="B27" i="21"/>
  <c r="B28" i="21"/>
  <c r="B29" i="21"/>
  <c r="B30" i="21"/>
  <c r="B31" i="21"/>
  <c r="B32" i="21"/>
  <c r="I4" i="21"/>
  <c r="I5" i="21"/>
  <c r="I6" i="21"/>
  <c r="I7" i="21"/>
  <c r="I8" i="21"/>
  <c r="I9" i="21"/>
  <c r="I10" i="21"/>
  <c r="I11" i="21"/>
  <c r="I12" i="21"/>
  <c r="I13" i="21"/>
  <c r="I14" i="21"/>
  <c r="H15" i="21"/>
  <c r="J15" i="21"/>
  <c r="Q5" i="21"/>
  <c r="Q6" i="21"/>
  <c r="Q7" i="21"/>
  <c r="Q8" i="21"/>
  <c r="Q9" i="21"/>
  <c r="Q10" i="21"/>
  <c r="Q11" i="21"/>
  <c r="Q12" i="21"/>
  <c r="Q13" i="21"/>
  <c r="Q14" i="21"/>
  <c r="Q15" i="21"/>
  <c r="Q16" i="21"/>
  <c r="Q4" i="21"/>
  <c r="N15" i="21"/>
  <c r="I15" i="21" s="1"/>
  <c r="D10" i="20"/>
  <c r="B10" i="20"/>
  <c r="E8" i="20"/>
  <c r="E7" i="20"/>
  <c r="E6" i="20"/>
  <c r="E5" i="20"/>
  <c r="B8" i="20"/>
  <c r="B7" i="20"/>
  <c r="B6" i="20"/>
  <c r="B5" i="20"/>
  <c r="AD18" i="21" l="1"/>
  <c r="T35" i="23"/>
  <c r="O34" i="23"/>
  <c r="Q29" i="23"/>
  <c r="M27" i="23"/>
  <c r="Q25" i="23"/>
  <c r="M23" i="23"/>
  <c r="Q21" i="23"/>
  <c r="M19" i="23"/>
  <c r="Q17" i="23"/>
  <c r="M15" i="23"/>
  <c r="Q13" i="23"/>
  <c r="M11" i="23"/>
  <c r="Q9" i="23"/>
  <c r="M7" i="23"/>
  <c r="R5" i="23"/>
  <c r="S36" i="23"/>
  <c r="M35" i="23"/>
  <c r="N34" i="23"/>
  <c r="T31" i="23"/>
  <c r="O30" i="23"/>
  <c r="AD6" i="21"/>
  <c r="O5" i="23"/>
  <c r="Q33" i="23"/>
  <c r="R32" i="23"/>
  <c r="L31" i="23"/>
  <c r="L5" i="23"/>
  <c r="P33" i="23"/>
  <c r="AD10" i="21"/>
  <c r="P5" i="23"/>
  <c r="R36" i="23"/>
  <c r="L35" i="23"/>
  <c r="S32" i="23"/>
  <c r="M31" i="23"/>
  <c r="N30" i="23"/>
  <c r="S28" i="23"/>
  <c r="O26" i="23"/>
  <c r="S24" i="23"/>
  <c r="O22" i="23"/>
  <c r="S20" i="23"/>
  <c r="O18" i="23"/>
  <c r="S16" i="23"/>
  <c r="O14" i="23"/>
  <c r="S12" i="23"/>
  <c r="O10" i="23"/>
  <c r="S8" i="23"/>
  <c r="O6" i="23"/>
  <c r="AD19" i="21"/>
  <c r="AD11" i="21"/>
  <c r="P29" i="23"/>
  <c r="R28" i="23"/>
  <c r="T27" i="23"/>
  <c r="L27" i="23"/>
  <c r="N26" i="23"/>
  <c r="P25" i="23"/>
  <c r="R24" i="23"/>
  <c r="T23" i="23"/>
  <c r="L23" i="23"/>
  <c r="N22" i="23"/>
  <c r="P21" i="23"/>
  <c r="R20" i="23"/>
  <c r="T19" i="23"/>
  <c r="L19" i="23"/>
  <c r="N18" i="23"/>
  <c r="P17" i="23"/>
  <c r="R16" i="23"/>
  <c r="T15" i="23"/>
  <c r="L15" i="23"/>
  <c r="N14" i="23"/>
  <c r="P13" i="23"/>
  <c r="R12" i="23"/>
  <c r="T11" i="23"/>
  <c r="L11" i="23"/>
  <c r="N10" i="23"/>
  <c r="P9" i="23"/>
  <c r="R8" i="23"/>
  <c r="T7" i="23"/>
  <c r="L7" i="23"/>
  <c r="N6" i="23"/>
  <c r="AH32" i="26"/>
  <c r="Z32" i="26"/>
  <c r="R32" i="26"/>
  <c r="J32" i="26"/>
  <c r="AG32" i="26"/>
  <c r="Y32" i="26"/>
  <c r="Q32" i="26"/>
  <c r="I32" i="26"/>
  <c r="AF32" i="26"/>
  <c r="X32" i="26"/>
  <c r="P32" i="26"/>
  <c r="H32" i="26"/>
  <c r="AE32" i="26"/>
  <c r="W32" i="26"/>
  <c r="O32" i="26"/>
  <c r="G32" i="26"/>
  <c r="AD32" i="26"/>
  <c r="V32" i="26"/>
  <c r="N32" i="26"/>
  <c r="F32" i="26"/>
  <c r="AC32" i="26"/>
  <c r="U32" i="26"/>
  <c r="M32" i="26"/>
  <c r="E32" i="26"/>
  <c r="AB32" i="26"/>
  <c r="T32" i="26"/>
  <c r="L32" i="26"/>
  <c r="D32" i="26"/>
  <c r="AA32" i="26"/>
  <c r="S32" i="26"/>
  <c r="K32" i="26"/>
  <c r="C32" i="26"/>
  <c r="B38" i="21"/>
  <c r="AH24" i="26"/>
  <c r="Z24" i="26"/>
  <c r="R24" i="26"/>
  <c r="J24" i="26"/>
  <c r="AG24" i="26"/>
  <c r="Y24" i="26"/>
  <c r="Q24" i="26"/>
  <c r="I24" i="26"/>
  <c r="AF24" i="26"/>
  <c r="X24" i="26"/>
  <c r="P24" i="26"/>
  <c r="H24" i="26"/>
  <c r="AE24" i="26"/>
  <c r="W24" i="26"/>
  <c r="O24" i="26"/>
  <c r="G24" i="26"/>
  <c r="AD24" i="26"/>
  <c r="V24" i="26"/>
  <c r="N24" i="26"/>
  <c r="F24" i="26"/>
  <c r="AC24" i="26"/>
  <c r="U24" i="26"/>
  <c r="M24" i="26"/>
  <c r="E24" i="26"/>
  <c r="AB24" i="26"/>
  <c r="T24" i="26"/>
  <c r="L24" i="26"/>
  <c r="D24" i="26"/>
  <c r="AA24" i="26"/>
  <c r="S24" i="26"/>
  <c r="K24" i="26"/>
  <c r="C24" i="26"/>
  <c r="N5" i="23"/>
  <c r="Q36" i="23"/>
  <c r="S35" i="23"/>
  <c r="M34" i="23"/>
  <c r="O33" i="23"/>
  <c r="Q32" i="23"/>
  <c r="S31" i="23"/>
  <c r="M30" i="23"/>
  <c r="O29" i="23"/>
  <c r="Q28" i="23"/>
  <c r="S27" i="23"/>
  <c r="M26" i="23"/>
  <c r="O25" i="23"/>
  <c r="Q24" i="23"/>
  <c r="S23" i="23"/>
  <c r="M22" i="23"/>
  <c r="O21" i="23"/>
  <c r="Q20" i="23"/>
  <c r="S19" i="23"/>
  <c r="M18" i="23"/>
  <c r="O17" i="23"/>
  <c r="Q16" i="23"/>
  <c r="S15" i="23"/>
  <c r="M14" i="23"/>
  <c r="O13" i="23"/>
  <c r="Q12" i="23"/>
  <c r="S11" i="23"/>
  <c r="M10" i="23"/>
  <c r="O9" i="23"/>
  <c r="Q8" i="23"/>
  <c r="S7" i="23"/>
  <c r="M6" i="23"/>
  <c r="AD17" i="21"/>
  <c r="AD9" i="21"/>
  <c r="H31" i="21"/>
  <c r="AA31" i="26"/>
  <c r="AH31" i="26"/>
  <c r="AG31" i="26"/>
  <c r="AF31" i="26"/>
  <c r="AE31" i="26"/>
  <c r="AD31" i="26"/>
  <c r="AC31" i="26"/>
  <c r="AB31" i="26"/>
  <c r="AG23" i="21"/>
  <c r="AA23" i="26"/>
  <c r="S23" i="26"/>
  <c r="K23" i="26"/>
  <c r="C23" i="26"/>
  <c r="AH23" i="26"/>
  <c r="Z23" i="26"/>
  <c r="R23" i="26"/>
  <c r="J23" i="26"/>
  <c r="AG23" i="26"/>
  <c r="Y23" i="26"/>
  <c r="Q23" i="26"/>
  <c r="I23" i="26"/>
  <c r="AF23" i="26"/>
  <c r="X23" i="26"/>
  <c r="P23" i="26"/>
  <c r="H23" i="26"/>
  <c r="AE23" i="26"/>
  <c r="W23" i="26"/>
  <c r="O23" i="26"/>
  <c r="G23" i="26"/>
  <c r="AD23" i="26"/>
  <c r="V23" i="26"/>
  <c r="N23" i="26"/>
  <c r="F23" i="26"/>
  <c r="AC23" i="26"/>
  <c r="U23" i="26"/>
  <c r="M23" i="26"/>
  <c r="E23" i="26"/>
  <c r="AB23" i="26"/>
  <c r="T23" i="26"/>
  <c r="L23" i="26"/>
  <c r="D23" i="26"/>
  <c r="M5" i="23"/>
  <c r="P36" i="23"/>
  <c r="R35" i="23"/>
  <c r="T34" i="23"/>
  <c r="L34" i="23"/>
  <c r="N33" i="23"/>
  <c r="P32" i="23"/>
  <c r="R31" i="23"/>
  <c r="T30" i="23"/>
  <c r="L30" i="23"/>
  <c r="N29" i="23"/>
  <c r="P28" i="23"/>
  <c r="R27" i="23"/>
  <c r="T26" i="23"/>
  <c r="L26" i="23"/>
  <c r="N25" i="23"/>
  <c r="P24" i="23"/>
  <c r="R23" i="23"/>
  <c r="T22" i="23"/>
  <c r="L22" i="23"/>
  <c r="N21" i="23"/>
  <c r="P20" i="23"/>
  <c r="R19" i="23"/>
  <c r="T18" i="23"/>
  <c r="L18" i="23"/>
  <c r="N17" i="23"/>
  <c r="P16" i="23"/>
  <c r="R15" i="23"/>
  <c r="T14" i="23"/>
  <c r="L14" i="23"/>
  <c r="N13" i="23"/>
  <c r="P12" i="23"/>
  <c r="R11" i="23"/>
  <c r="T10" i="23"/>
  <c r="L10" i="23"/>
  <c r="N9" i="23"/>
  <c r="P8" i="23"/>
  <c r="R7" i="23"/>
  <c r="T6" i="23"/>
  <c r="L6" i="23"/>
  <c r="AD16" i="21"/>
  <c r="AD8" i="21"/>
  <c r="B43" i="21"/>
  <c r="AB30" i="26"/>
  <c r="T30" i="26"/>
  <c r="L30" i="26"/>
  <c r="D30" i="26"/>
  <c r="AA30" i="26"/>
  <c r="S30" i="26"/>
  <c r="K30" i="26"/>
  <c r="C30" i="26"/>
  <c r="AH30" i="26"/>
  <c r="Z30" i="26"/>
  <c r="R30" i="26"/>
  <c r="J30" i="26"/>
  <c r="AG30" i="26"/>
  <c r="Y30" i="26"/>
  <c r="Q30" i="26"/>
  <c r="I30" i="26"/>
  <c r="AF30" i="26"/>
  <c r="X30" i="26"/>
  <c r="P30" i="26"/>
  <c r="H30" i="26"/>
  <c r="AE30" i="26"/>
  <c r="W30" i="26"/>
  <c r="O30" i="26"/>
  <c r="G30" i="26"/>
  <c r="AD30" i="26"/>
  <c r="V30" i="26"/>
  <c r="N30" i="26"/>
  <c r="F30" i="26"/>
  <c r="AC30" i="26"/>
  <c r="U30" i="26"/>
  <c r="M30" i="26"/>
  <c r="E30" i="26"/>
  <c r="T5" i="23"/>
  <c r="O36" i="23"/>
  <c r="Q35" i="23"/>
  <c r="S34" i="23"/>
  <c r="M33" i="23"/>
  <c r="O32" i="23"/>
  <c r="Q31" i="23"/>
  <c r="S30" i="23"/>
  <c r="M29" i="23"/>
  <c r="O28" i="23"/>
  <c r="Q27" i="23"/>
  <c r="S26" i="23"/>
  <c r="M25" i="23"/>
  <c r="O24" i="23"/>
  <c r="Q23" i="23"/>
  <c r="S22" i="23"/>
  <c r="M21" i="23"/>
  <c r="O20" i="23"/>
  <c r="Q19" i="23"/>
  <c r="S18" i="23"/>
  <c r="M17" i="23"/>
  <c r="O16" i="23"/>
  <c r="Q15" i="23"/>
  <c r="S14" i="23"/>
  <c r="M13" i="23"/>
  <c r="O12" i="23"/>
  <c r="Q11" i="23"/>
  <c r="S10" i="23"/>
  <c r="M9" i="23"/>
  <c r="O8" i="23"/>
  <c r="Q7" i="23"/>
  <c r="S6" i="23"/>
  <c r="AD15" i="21"/>
  <c r="AD7" i="21"/>
  <c r="AF25" i="21"/>
  <c r="AG25" i="26"/>
  <c r="Y25" i="26"/>
  <c r="Y31" i="26" s="1"/>
  <c r="Q25" i="26"/>
  <c r="Q31" i="26" s="1"/>
  <c r="I25" i="26"/>
  <c r="I31" i="26" s="1"/>
  <c r="AF25" i="26"/>
  <c r="X25" i="26"/>
  <c r="X31" i="26" s="1"/>
  <c r="P25" i="26"/>
  <c r="P31" i="26" s="1"/>
  <c r="H25" i="26"/>
  <c r="H31" i="26" s="1"/>
  <c r="AE25" i="26"/>
  <c r="W25" i="26"/>
  <c r="W31" i="26" s="1"/>
  <c r="O25" i="26"/>
  <c r="O31" i="26" s="1"/>
  <c r="G25" i="26"/>
  <c r="G31" i="26" s="1"/>
  <c r="AD25" i="26"/>
  <c r="V25" i="26"/>
  <c r="V31" i="26" s="1"/>
  <c r="N25" i="26"/>
  <c r="N31" i="26" s="1"/>
  <c r="F25" i="26"/>
  <c r="F31" i="26" s="1"/>
  <c r="AC25" i="26"/>
  <c r="U25" i="26"/>
  <c r="U31" i="26" s="1"/>
  <c r="M25" i="26"/>
  <c r="M31" i="26" s="1"/>
  <c r="E25" i="26"/>
  <c r="E31" i="26" s="1"/>
  <c r="AB25" i="26"/>
  <c r="T25" i="26"/>
  <c r="T31" i="26" s="1"/>
  <c r="L25" i="26"/>
  <c r="L31" i="26" s="1"/>
  <c r="D25" i="26"/>
  <c r="D31" i="26" s="1"/>
  <c r="AA25" i="26"/>
  <c r="S25" i="26"/>
  <c r="S31" i="26" s="1"/>
  <c r="K25" i="26"/>
  <c r="K31" i="26" s="1"/>
  <c r="C25" i="26"/>
  <c r="C31" i="26" s="1"/>
  <c r="AH25" i="26"/>
  <c r="Z25" i="26"/>
  <c r="Z31" i="26" s="1"/>
  <c r="R25" i="26"/>
  <c r="R31" i="26" s="1"/>
  <c r="J25" i="26"/>
  <c r="J31" i="26" s="1"/>
  <c r="AC29" i="26"/>
  <c r="U29" i="26"/>
  <c r="M29" i="26"/>
  <c r="E29" i="26"/>
  <c r="AB29" i="26"/>
  <c r="T29" i="26"/>
  <c r="L29" i="26"/>
  <c r="D29" i="26"/>
  <c r="AA29" i="26"/>
  <c r="S29" i="26"/>
  <c r="K29" i="26"/>
  <c r="C29" i="26"/>
  <c r="AH29" i="26"/>
  <c r="Z29" i="26"/>
  <c r="R29" i="26"/>
  <c r="J29" i="26"/>
  <c r="AG29" i="26"/>
  <c r="Y29" i="26"/>
  <c r="Q29" i="26"/>
  <c r="I29" i="26"/>
  <c r="AF29" i="26"/>
  <c r="X29" i="26"/>
  <c r="P29" i="26"/>
  <c r="H29" i="26"/>
  <c r="AE29" i="26"/>
  <c r="W29" i="26"/>
  <c r="O29" i="26"/>
  <c r="G29" i="26"/>
  <c r="AD29" i="26"/>
  <c r="V29" i="26"/>
  <c r="N29" i="26"/>
  <c r="F29" i="26"/>
  <c r="S5" i="23"/>
  <c r="N36" i="23"/>
  <c r="P35" i="23"/>
  <c r="R34" i="23"/>
  <c r="T33" i="23"/>
  <c r="L33" i="23"/>
  <c r="N32" i="23"/>
  <c r="P31" i="23"/>
  <c r="R30" i="23"/>
  <c r="T29" i="23"/>
  <c r="L29" i="23"/>
  <c r="N28" i="23"/>
  <c r="P27" i="23"/>
  <c r="R26" i="23"/>
  <c r="T25" i="23"/>
  <c r="L25" i="23"/>
  <c r="N24" i="23"/>
  <c r="P23" i="23"/>
  <c r="R22" i="23"/>
  <c r="T21" i="23"/>
  <c r="L21" i="23"/>
  <c r="N20" i="23"/>
  <c r="P19" i="23"/>
  <c r="R18" i="23"/>
  <c r="T17" i="23"/>
  <c r="L17" i="23"/>
  <c r="N16" i="23"/>
  <c r="P15" i="23"/>
  <c r="R14" i="23"/>
  <c r="T13" i="23"/>
  <c r="L13" i="23"/>
  <c r="N12" i="23"/>
  <c r="P11" i="23"/>
  <c r="R10" i="23"/>
  <c r="T9" i="23"/>
  <c r="L9" i="23"/>
  <c r="N8" i="23"/>
  <c r="P7" i="23"/>
  <c r="R6" i="23"/>
  <c r="AD14" i="21"/>
  <c r="B42" i="21"/>
  <c r="AD28" i="26"/>
  <c r="V28" i="26"/>
  <c r="N28" i="26"/>
  <c r="F28" i="26"/>
  <c r="AC28" i="26"/>
  <c r="U28" i="26"/>
  <c r="M28" i="26"/>
  <c r="E28" i="26"/>
  <c r="AB28" i="26"/>
  <c r="T28" i="26"/>
  <c r="L28" i="26"/>
  <c r="D28" i="26"/>
  <c r="AA28" i="26"/>
  <c r="S28" i="26"/>
  <c r="K28" i="26"/>
  <c r="C28" i="26"/>
  <c r="AH28" i="26"/>
  <c r="Z28" i="26"/>
  <c r="R28" i="26"/>
  <c r="J28" i="26"/>
  <c r="AG28" i="26"/>
  <c r="Y28" i="26"/>
  <c r="Q28" i="26"/>
  <c r="I28" i="26"/>
  <c r="AF28" i="26"/>
  <c r="X28" i="26"/>
  <c r="P28" i="26"/>
  <c r="H28" i="26"/>
  <c r="AE28" i="26"/>
  <c r="W28" i="26"/>
  <c r="O28" i="26"/>
  <c r="G28" i="26"/>
  <c r="M36" i="23"/>
  <c r="O35" i="23"/>
  <c r="Q34" i="23"/>
  <c r="S33" i="23"/>
  <c r="M32" i="23"/>
  <c r="O31" i="23"/>
  <c r="Q30" i="23"/>
  <c r="S29" i="23"/>
  <c r="M28" i="23"/>
  <c r="O27" i="23"/>
  <c r="Q26" i="23"/>
  <c r="S25" i="23"/>
  <c r="M24" i="23"/>
  <c r="O23" i="23"/>
  <c r="Q22" i="23"/>
  <c r="S21" i="23"/>
  <c r="M20" i="23"/>
  <c r="O19" i="23"/>
  <c r="Q18" i="23"/>
  <c r="S17" i="23"/>
  <c r="M16" i="23"/>
  <c r="O15" i="23"/>
  <c r="Q14" i="23"/>
  <c r="S13" i="23"/>
  <c r="M12" i="23"/>
  <c r="O11" i="23"/>
  <c r="Q10" i="23"/>
  <c r="S9" i="23"/>
  <c r="M8" i="23"/>
  <c r="O7" i="23"/>
  <c r="Q6" i="23"/>
  <c r="AD16" i="26"/>
  <c r="AD6" i="26"/>
  <c r="AD19" i="26"/>
  <c r="AD14" i="26"/>
  <c r="AD12" i="26"/>
  <c r="AD10" i="26"/>
  <c r="AD8" i="26"/>
  <c r="AD4" i="26"/>
  <c r="AD15" i="26"/>
  <c r="AD18" i="26"/>
  <c r="AD17" i="26"/>
  <c r="AD13" i="26"/>
  <c r="AD11" i="26"/>
  <c r="AD9" i="26"/>
  <c r="AD7" i="26"/>
  <c r="AD5" i="26"/>
  <c r="AD13" i="21"/>
  <c r="AD5" i="21"/>
  <c r="B40" i="21"/>
  <c r="AF26" i="26"/>
  <c r="X26" i="26"/>
  <c r="P26" i="26"/>
  <c r="H26" i="26"/>
  <c r="AE26" i="26"/>
  <c r="W26" i="26"/>
  <c r="O26" i="26"/>
  <c r="G26" i="26"/>
  <c r="AD26" i="26"/>
  <c r="V26" i="26"/>
  <c r="N26" i="26"/>
  <c r="F26" i="26"/>
  <c r="AC26" i="26"/>
  <c r="U26" i="26"/>
  <c r="M26" i="26"/>
  <c r="E26" i="26"/>
  <c r="AB26" i="26"/>
  <c r="T26" i="26"/>
  <c r="L26" i="26"/>
  <c r="D26" i="26"/>
  <c r="AA26" i="26"/>
  <c r="S26" i="26"/>
  <c r="K26" i="26"/>
  <c r="C26" i="26"/>
  <c r="AH26" i="26"/>
  <c r="Z26" i="26"/>
  <c r="R26" i="26"/>
  <c r="J26" i="26"/>
  <c r="AG26" i="26"/>
  <c r="Y26" i="26"/>
  <c r="Q26" i="26"/>
  <c r="I26" i="26"/>
  <c r="B41" i="21"/>
  <c r="AE27" i="26"/>
  <c r="W27" i="26"/>
  <c r="O27" i="26"/>
  <c r="G27" i="26"/>
  <c r="AD27" i="26"/>
  <c r="V27" i="26"/>
  <c r="N27" i="26"/>
  <c r="F27" i="26"/>
  <c r="AC27" i="26"/>
  <c r="U27" i="26"/>
  <c r="M27" i="26"/>
  <c r="E27" i="26"/>
  <c r="AB27" i="26"/>
  <c r="T27" i="26"/>
  <c r="L27" i="26"/>
  <c r="D27" i="26"/>
  <c r="AA27" i="26"/>
  <c r="S27" i="26"/>
  <c r="K27" i="26"/>
  <c r="C27" i="26"/>
  <c r="AH27" i="26"/>
  <c r="Z27" i="26"/>
  <c r="R27" i="26"/>
  <c r="J27" i="26"/>
  <c r="AG27" i="26"/>
  <c r="Y27" i="26"/>
  <c r="Q27" i="26"/>
  <c r="I27" i="26"/>
  <c r="AF27" i="26"/>
  <c r="X27" i="26"/>
  <c r="P27" i="26"/>
  <c r="H27" i="26"/>
  <c r="Q5" i="23"/>
  <c r="T36" i="23"/>
  <c r="L36" i="23"/>
  <c r="N35" i="23"/>
  <c r="P34" i="23"/>
  <c r="R33" i="23"/>
  <c r="T32" i="23"/>
  <c r="L32" i="23"/>
  <c r="N31" i="23"/>
  <c r="P30" i="23"/>
  <c r="R29" i="23"/>
  <c r="T28" i="23"/>
  <c r="L28" i="23"/>
  <c r="N27" i="23"/>
  <c r="P26" i="23"/>
  <c r="R25" i="23"/>
  <c r="T24" i="23"/>
  <c r="L24" i="23"/>
  <c r="N23" i="23"/>
  <c r="P22" i="23"/>
  <c r="R21" i="23"/>
  <c r="T20" i="23"/>
  <c r="L20" i="23"/>
  <c r="N19" i="23"/>
  <c r="P18" i="23"/>
  <c r="R17" i="23"/>
  <c r="T16" i="23"/>
  <c r="L16" i="23"/>
  <c r="N15" i="23"/>
  <c r="P14" i="23"/>
  <c r="R13" i="23"/>
  <c r="T12" i="23"/>
  <c r="L12" i="23"/>
  <c r="N11" i="23"/>
  <c r="P10" i="23"/>
  <c r="R9" i="23"/>
  <c r="T8" i="23"/>
  <c r="L8" i="23"/>
  <c r="N7" i="23"/>
  <c r="AD4" i="21"/>
  <c r="AD12" i="21"/>
  <c r="B44" i="21"/>
  <c r="C43" i="21"/>
  <c r="B39" i="21"/>
  <c r="B37" i="21"/>
  <c r="K30" i="21"/>
  <c r="AH29" i="21"/>
  <c r="I26" i="21"/>
  <c r="M32" i="21"/>
  <c r="K25" i="21"/>
  <c r="C31" i="21"/>
  <c r="AE28" i="21"/>
  <c r="I27" i="21"/>
  <c r="L29" i="21"/>
  <c r="G31" i="21"/>
  <c r="O23" i="21"/>
  <c r="L25" i="21"/>
  <c r="J26" i="21"/>
  <c r="AB25" i="21"/>
  <c r="V32" i="21"/>
  <c r="G24" i="21"/>
  <c r="R26" i="21"/>
  <c r="F32" i="21"/>
  <c r="Q30" i="21"/>
  <c r="K29" i="21"/>
  <c r="Q26" i="21"/>
  <c r="AH26" i="21"/>
  <c r="E24" i="21"/>
  <c r="C30" i="21"/>
  <c r="E32" i="21"/>
  <c r="J30" i="21"/>
  <c r="D29" i="21"/>
  <c r="D25" i="21"/>
  <c r="AD30" i="21"/>
  <c r="X31" i="21"/>
  <c r="X27" i="21"/>
  <c r="AE30" i="21"/>
  <c r="AG26" i="21"/>
  <c r="AC32" i="21"/>
  <c r="P31" i="21"/>
  <c r="AB29" i="21"/>
  <c r="P27" i="21"/>
  <c r="P23" i="21"/>
  <c r="AG31" i="21"/>
  <c r="AD25" i="21"/>
  <c r="AA29" i="21"/>
  <c r="H27" i="21"/>
  <c r="AA25" i="21"/>
  <c r="H23" i="21"/>
  <c r="R30" i="21"/>
  <c r="I30" i="21"/>
  <c r="G32" i="21"/>
  <c r="U32" i="21"/>
  <c r="Z30" i="21"/>
  <c r="T29" i="21"/>
  <c r="Z26" i="21"/>
  <c r="T25" i="21"/>
  <c r="C23" i="21"/>
  <c r="X23" i="21"/>
  <c r="AF31" i="21"/>
  <c r="AF23" i="21"/>
  <c r="N32" i="21"/>
  <c r="Y30" i="21"/>
  <c r="S29" i="21"/>
  <c r="Y26" i="21"/>
  <c r="S25" i="21"/>
  <c r="AE25" i="21"/>
  <c r="N24" i="21"/>
  <c r="C29" i="21"/>
  <c r="AB32" i="21"/>
  <c r="T32" i="21"/>
  <c r="L32" i="21"/>
  <c r="D32" i="21"/>
  <c r="V31" i="21"/>
  <c r="N31" i="21"/>
  <c r="F31" i="21"/>
  <c r="X30" i="21"/>
  <c r="P30" i="21"/>
  <c r="H30" i="21"/>
  <c r="Z29" i="21"/>
  <c r="R29" i="21"/>
  <c r="J29" i="21"/>
  <c r="AB28" i="21"/>
  <c r="T28" i="21"/>
  <c r="L28" i="21"/>
  <c r="D28" i="21"/>
  <c r="V27" i="21"/>
  <c r="N27" i="21"/>
  <c r="F27" i="21"/>
  <c r="X26" i="21"/>
  <c r="P26" i="21"/>
  <c r="H26" i="21"/>
  <c r="Z25" i="21"/>
  <c r="R25" i="21"/>
  <c r="J25" i="21"/>
  <c r="AB24" i="21"/>
  <c r="T24" i="21"/>
  <c r="L24" i="21"/>
  <c r="D24" i="21"/>
  <c r="V23" i="21"/>
  <c r="N23" i="21"/>
  <c r="F23" i="21"/>
  <c r="AD24" i="21"/>
  <c r="AG25" i="21"/>
  <c r="AE27" i="21"/>
  <c r="AH28" i="21"/>
  <c r="AF30" i="21"/>
  <c r="AD32" i="21"/>
  <c r="N28" i="21"/>
  <c r="V24" i="21"/>
  <c r="U28" i="21"/>
  <c r="U24" i="21"/>
  <c r="AH23" i="21"/>
  <c r="C28" i="21"/>
  <c r="AA32" i="21"/>
  <c r="S32" i="21"/>
  <c r="K32" i="21"/>
  <c r="AC31" i="21"/>
  <c r="U31" i="21"/>
  <c r="M31" i="21"/>
  <c r="E31" i="21"/>
  <c r="W30" i="21"/>
  <c r="O30" i="21"/>
  <c r="G30" i="21"/>
  <c r="Y29" i="21"/>
  <c r="Q29" i="21"/>
  <c r="I29" i="21"/>
  <c r="AA28" i="21"/>
  <c r="S28" i="21"/>
  <c r="K28" i="21"/>
  <c r="AC27" i="21"/>
  <c r="U27" i="21"/>
  <c r="M27" i="21"/>
  <c r="E27" i="21"/>
  <c r="W26" i="21"/>
  <c r="O26" i="21"/>
  <c r="G26" i="21"/>
  <c r="Y25" i="21"/>
  <c r="Q25" i="21"/>
  <c r="I25" i="21"/>
  <c r="AA24" i="21"/>
  <c r="S24" i="21"/>
  <c r="K24" i="21"/>
  <c r="AC23" i="21"/>
  <c r="U23" i="21"/>
  <c r="M23" i="21"/>
  <c r="E23" i="21"/>
  <c r="AE24" i="21"/>
  <c r="AH25" i="21"/>
  <c r="AF27" i="21"/>
  <c r="AD29" i="21"/>
  <c r="AG30" i="21"/>
  <c r="AE32" i="21"/>
  <c r="F24" i="21"/>
  <c r="W31" i="21"/>
  <c r="E28" i="21"/>
  <c r="O27" i="21"/>
  <c r="G27" i="21"/>
  <c r="M24" i="21"/>
  <c r="AH31" i="21"/>
  <c r="C27" i="21"/>
  <c r="Z32" i="21"/>
  <c r="R32" i="21"/>
  <c r="J32" i="21"/>
  <c r="AB31" i="21"/>
  <c r="T31" i="21"/>
  <c r="L31" i="21"/>
  <c r="D31" i="21"/>
  <c r="V30" i="21"/>
  <c r="N30" i="21"/>
  <c r="F30" i="21"/>
  <c r="X29" i="21"/>
  <c r="P29" i="21"/>
  <c r="H29" i="21"/>
  <c r="Z28" i="21"/>
  <c r="R28" i="21"/>
  <c r="J28" i="21"/>
  <c r="AB27" i="21"/>
  <c r="T27" i="21"/>
  <c r="L27" i="21"/>
  <c r="D27" i="21"/>
  <c r="V26" i="21"/>
  <c r="N26" i="21"/>
  <c r="F26" i="21"/>
  <c r="X25" i="21"/>
  <c r="P25" i="21"/>
  <c r="H25" i="21"/>
  <c r="Z24" i="21"/>
  <c r="R24" i="21"/>
  <c r="J24" i="21"/>
  <c r="AB23" i="21"/>
  <c r="T23" i="21"/>
  <c r="L23" i="21"/>
  <c r="D23" i="21"/>
  <c r="AF24" i="21"/>
  <c r="AD26" i="21"/>
  <c r="AG27" i="21"/>
  <c r="AE29" i="21"/>
  <c r="AH30" i="21"/>
  <c r="AF32" i="21"/>
  <c r="O31" i="21"/>
  <c r="AC28" i="21"/>
  <c r="AC24" i="21"/>
  <c r="W23" i="21"/>
  <c r="G23" i="21"/>
  <c r="AG28" i="21"/>
  <c r="C26" i="21"/>
  <c r="Y32" i="21"/>
  <c r="Q32" i="21"/>
  <c r="I32" i="21"/>
  <c r="AA31" i="21"/>
  <c r="S31" i="21"/>
  <c r="K31" i="21"/>
  <c r="AC30" i="21"/>
  <c r="U30" i="21"/>
  <c r="M30" i="21"/>
  <c r="E30" i="21"/>
  <c r="W29" i="21"/>
  <c r="O29" i="21"/>
  <c r="G29" i="21"/>
  <c r="Y28" i="21"/>
  <c r="Q28" i="21"/>
  <c r="I28" i="21"/>
  <c r="AA27" i="21"/>
  <c r="S27" i="21"/>
  <c r="K27" i="21"/>
  <c r="AC26" i="21"/>
  <c r="U26" i="21"/>
  <c r="M26" i="21"/>
  <c r="E26" i="21"/>
  <c r="W25" i="21"/>
  <c r="O25" i="21"/>
  <c r="G25" i="21"/>
  <c r="Y24" i="21"/>
  <c r="Q24" i="21"/>
  <c r="I24" i="21"/>
  <c r="AA23" i="21"/>
  <c r="S23" i="21"/>
  <c r="K23" i="21"/>
  <c r="AD23" i="21"/>
  <c r="AG24" i="21"/>
  <c r="AE26" i="21"/>
  <c r="AH27" i="21"/>
  <c r="AF29" i="21"/>
  <c r="AD31" i="21"/>
  <c r="AG32" i="21"/>
  <c r="V28" i="21"/>
  <c r="F28" i="21"/>
  <c r="M28" i="21"/>
  <c r="W27" i="21"/>
  <c r="AD27" i="21"/>
  <c r="C25" i="21"/>
  <c r="X32" i="21"/>
  <c r="P32" i="21"/>
  <c r="H32" i="21"/>
  <c r="Z31" i="21"/>
  <c r="R31" i="21"/>
  <c r="J31" i="21"/>
  <c r="AB30" i="21"/>
  <c r="T30" i="21"/>
  <c r="L30" i="21"/>
  <c r="D30" i="21"/>
  <c r="V29" i="21"/>
  <c r="N29" i="21"/>
  <c r="F29" i="21"/>
  <c r="X28" i="21"/>
  <c r="P28" i="21"/>
  <c r="H28" i="21"/>
  <c r="Z27" i="21"/>
  <c r="R27" i="21"/>
  <c r="J27" i="21"/>
  <c r="AB26" i="21"/>
  <c r="T26" i="21"/>
  <c r="L26" i="21"/>
  <c r="D26" i="21"/>
  <c r="V25" i="21"/>
  <c r="N25" i="21"/>
  <c r="F25" i="21"/>
  <c r="X24" i="21"/>
  <c r="P24" i="21"/>
  <c r="H24" i="21"/>
  <c r="Z23" i="21"/>
  <c r="R23" i="21"/>
  <c r="J23" i="21"/>
  <c r="AE23" i="21"/>
  <c r="AH24" i="21"/>
  <c r="AF26" i="21"/>
  <c r="AD28" i="21"/>
  <c r="AG29" i="21"/>
  <c r="AE31" i="21"/>
  <c r="AH32" i="21"/>
  <c r="AF28" i="21"/>
  <c r="C32" i="21"/>
  <c r="C24" i="21"/>
  <c r="W32" i="21"/>
  <c r="O32" i="21"/>
  <c r="Y31" i="21"/>
  <c r="Q31" i="21"/>
  <c r="I31" i="21"/>
  <c r="AA30" i="21"/>
  <c r="S30" i="21"/>
  <c r="AC29" i="21"/>
  <c r="U29" i="21"/>
  <c r="M29" i="21"/>
  <c r="E29" i="21"/>
  <c r="W28" i="21"/>
  <c r="O28" i="21"/>
  <c r="G28" i="21"/>
  <c r="Y27" i="21"/>
  <c r="Q27" i="21"/>
  <c r="AA26" i="21"/>
  <c r="S26" i="21"/>
  <c r="K26" i="21"/>
  <c r="AC25" i="21"/>
  <c r="U25" i="21"/>
  <c r="M25" i="21"/>
  <c r="E25" i="21"/>
  <c r="W24" i="21"/>
  <c r="O24" i="21"/>
  <c r="Y23" i="21"/>
  <c r="Q23" i="21"/>
  <c r="I23" i="21"/>
  <c r="C40" i="21" l="1"/>
  <c r="C41" i="21"/>
  <c r="C38" i="21"/>
  <c r="AH44" i="26"/>
  <c r="Z44" i="26"/>
  <c r="R44" i="26"/>
  <c r="J44" i="26"/>
  <c r="AG44" i="26"/>
  <c r="Y44" i="26"/>
  <c r="Q44" i="26"/>
  <c r="I44" i="26"/>
  <c r="AF44" i="26"/>
  <c r="X44" i="26"/>
  <c r="P44" i="26"/>
  <c r="H44" i="26"/>
  <c r="AE44" i="26"/>
  <c r="W44" i="26"/>
  <c r="O44" i="26"/>
  <c r="G44" i="26"/>
  <c r="AD44" i="26"/>
  <c r="V44" i="26"/>
  <c r="N44" i="26"/>
  <c r="F44" i="26"/>
  <c r="AC44" i="26"/>
  <c r="U44" i="26"/>
  <c r="M44" i="26"/>
  <c r="E44" i="26"/>
  <c r="AB44" i="26"/>
  <c r="T44" i="26"/>
  <c r="L44" i="26"/>
  <c r="D44" i="26"/>
  <c r="AA44" i="26"/>
  <c r="S44" i="26"/>
  <c r="K44" i="26"/>
  <c r="C44" i="26"/>
  <c r="AG42" i="21"/>
  <c r="Y42" i="21"/>
  <c r="Q42" i="21"/>
  <c r="I42" i="21"/>
  <c r="AF42" i="21"/>
  <c r="X42" i="21"/>
  <c r="P42" i="21"/>
  <c r="H42" i="21"/>
  <c r="AE42" i="21"/>
  <c r="W42" i="21"/>
  <c r="O42" i="21"/>
  <c r="G42" i="21"/>
  <c r="AD42" i="21"/>
  <c r="V42" i="21"/>
  <c r="N42" i="21"/>
  <c r="F42" i="21"/>
  <c r="AC42" i="21"/>
  <c r="U42" i="21"/>
  <c r="M42" i="21"/>
  <c r="E42" i="21"/>
  <c r="AB42" i="21"/>
  <c r="T42" i="21"/>
  <c r="L42" i="21"/>
  <c r="D42" i="21"/>
  <c r="AA42" i="21"/>
  <c r="S42" i="21"/>
  <c r="K42" i="21"/>
  <c r="AH42" i="21"/>
  <c r="Z42" i="21"/>
  <c r="R42" i="21"/>
  <c r="J42" i="21"/>
  <c r="D46" i="26"/>
  <c r="L46" i="26"/>
  <c r="T46" i="26"/>
  <c r="AB46" i="26"/>
  <c r="AG46" i="26"/>
  <c r="E46" i="26"/>
  <c r="M46" i="26"/>
  <c r="U46" i="26"/>
  <c r="AC46" i="26"/>
  <c r="V46" i="26"/>
  <c r="C46" i="26"/>
  <c r="F46" i="26"/>
  <c r="N46" i="26"/>
  <c r="AD46" i="26"/>
  <c r="G46" i="26"/>
  <c r="O46" i="26"/>
  <c r="W46" i="26"/>
  <c r="AE46" i="26"/>
  <c r="Q46" i="26"/>
  <c r="H46" i="26"/>
  <c r="P46" i="26"/>
  <c r="X46" i="26"/>
  <c r="AF46" i="26"/>
  <c r="I46" i="26"/>
  <c r="Y46" i="26"/>
  <c r="J46" i="26"/>
  <c r="R46" i="26"/>
  <c r="Z46" i="26"/>
  <c r="AH46" i="26"/>
  <c r="K46" i="26"/>
  <c r="S46" i="26"/>
  <c r="AA46" i="26"/>
  <c r="AH40" i="26"/>
  <c r="Z40" i="26"/>
  <c r="R40" i="26"/>
  <c r="J40" i="26"/>
  <c r="AG40" i="26"/>
  <c r="Y40" i="26"/>
  <c r="Q40" i="26"/>
  <c r="I40" i="26"/>
  <c r="AF40" i="26"/>
  <c r="X40" i="26"/>
  <c r="P40" i="26"/>
  <c r="H40" i="26"/>
  <c r="AE40" i="26"/>
  <c r="W40" i="26"/>
  <c r="O40" i="26"/>
  <c r="G40" i="26"/>
  <c r="AD40" i="26"/>
  <c r="V40" i="26"/>
  <c r="N40" i="26"/>
  <c r="F40" i="26"/>
  <c r="AC40" i="26"/>
  <c r="U40" i="26"/>
  <c r="M40" i="26"/>
  <c r="E40" i="26"/>
  <c r="AB40" i="26"/>
  <c r="T40" i="26"/>
  <c r="L40" i="26"/>
  <c r="D40" i="26"/>
  <c r="AA40" i="26"/>
  <c r="S40" i="26"/>
  <c r="K40" i="26"/>
  <c r="C40" i="26"/>
  <c r="AC38" i="21"/>
  <c r="U38" i="21"/>
  <c r="M38" i="21"/>
  <c r="E38" i="21"/>
  <c r="AB38" i="21"/>
  <c r="T38" i="21"/>
  <c r="L38" i="21"/>
  <c r="D38" i="21"/>
  <c r="AA38" i="21"/>
  <c r="S38" i="21"/>
  <c r="K38" i="21"/>
  <c r="AH38" i="21"/>
  <c r="Z38" i="21"/>
  <c r="R38" i="21"/>
  <c r="J38" i="21"/>
  <c r="AG38" i="21"/>
  <c r="Y38" i="21"/>
  <c r="Q38" i="21"/>
  <c r="I38" i="21"/>
  <c r="AF38" i="21"/>
  <c r="X38" i="21"/>
  <c r="P38" i="21"/>
  <c r="H38" i="21"/>
  <c r="AE38" i="21"/>
  <c r="W38" i="21"/>
  <c r="O38" i="21"/>
  <c r="G38" i="21"/>
  <c r="AD38" i="21"/>
  <c r="V38" i="21"/>
  <c r="N38" i="21"/>
  <c r="F38" i="21"/>
  <c r="AH45" i="26"/>
  <c r="Z45" i="26"/>
  <c r="R45" i="26"/>
  <c r="J45" i="26"/>
  <c r="AG45" i="26"/>
  <c r="Y45" i="26"/>
  <c r="Q45" i="26"/>
  <c r="I45" i="26"/>
  <c r="AF45" i="26"/>
  <c r="X45" i="26"/>
  <c r="P45" i="26"/>
  <c r="H45" i="26"/>
  <c r="AE45" i="26"/>
  <c r="W45" i="26"/>
  <c r="O45" i="26"/>
  <c r="G45" i="26"/>
  <c r="AD45" i="26"/>
  <c r="V45" i="26"/>
  <c r="N45" i="26"/>
  <c r="F45" i="26"/>
  <c r="AC45" i="26"/>
  <c r="U45" i="26"/>
  <c r="M45" i="26"/>
  <c r="E45" i="26"/>
  <c r="AB45" i="26"/>
  <c r="T45" i="26"/>
  <c r="L45" i="26"/>
  <c r="D45" i="26"/>
  <c r="AA45" i="26"/>
  <c r="S45" i="26"/>
  <c r="K45" i="26"/>
  <c r="C45" i="26"/>
  <c r="AH43" i="21"/>
  <c r="Z43" i="21"/>
  <c r="R43" i="21"/>
  <c r="J43" i="21"/>
  <c r="AG43" i="21"/>
  <c r="Y43" i="21"/>
  <c r="Q43" i="21"/>
  <c r="I43" i="21"/>
  <c r="AF43" i="21"/>
  <c r="X43" i="21"/>
  <c r="P43" i="21"/>
  <c r="H43" i="21"/>
  <c r="AE43" i="21"/>
  <c r="W43" i="21"/>
  <c r="O43" i="21"/>
  <c r="G43" i="21"/>
  <c r="AD43" i="21"/>
  <c r="V43" i="21"/>
  <c r="N43" i="21"/>
  <c r="F43" i="21"/>
  <c r="AC43" i="21"/>
  <c r="U43" i="21"/>
  <c r="M43" i="21"/>
  <c r="E43" i="21"/>
  <c r="AB43" i="21"/>
  <c r="T43" i="21"/>
  <c r="L43" i="21"/>
  <c r="D43" i="21"/>
  <c r="AA43" i="21"/>
  <c r="S43" i="21"/>
  <c r="K43" i="21"/>
  <c r="AH41" i="26"/>
  <c r="Z41" i="26"/>
  <c r="R41" i="26"/>
  <c r="J41" i="26"/>
  <c r="AG41" i="26"/>
  <c r="Y41" i="26"/>
  <c r="Q41" i="26"/>
  <c r="I41" i="26"/>
  <c r="AF41" i="26"/>
  <c r="X41" i="26"/>
  <c r="P41" i="26"/>
  <c r="H41" i="26"/>
  <c r="AE41" i="26"/>
  <c r="W41" i="26"/>
  <c r="O41" i="26"/>
  <c r="G41" i="26"/>
  <c r="AD41" i="26"/>
  <c r="V41" i="26"/>
  <c r="N41" i="26"/>
  <c r="F41" i="26"/>
  <c r="AC41" i="26"/>
  <c r="U41" i="26"/>
  <c r="M41" i="26"/>
  <c r="E41" i="26"/>
  <c r="AB41" i="26"/>
  <c r="T41" i="26"/>
  <c r="L41" i="26"/>
  <c r="D41" i="26"/>
  <c r="AA41" i="26"/>
  <c r="S41" i="26"/>
  <c r="K41" i="26"/>
  <c r="C41" i="26"/>
  <c r="AD39" i="21"/>
  <c r="V39" i="21"/>
  <c r="N39" i="21"/>
  <c r="F39" i="21"/>
  <c r="AC39" i="21"/>
  <c r="U39" i="21"/>
  <c r="M39" i="21"/>
  <c r="E39" i="21"/>
  <c r="AB39" i="21"/>
  <c r="T39" i="21"/>
  <c r="L39" i="21"/>
  <c r="D39" i="21"/>
  <c r="AA39" i="21"/>
  <c r="S39" i="21"/>
  <c r="K39" i="21"/>
  <c r="AH39" i="21"/>
  <c r="Z39" i="21"/>
  <c r="R39" i="21"/>
  <c r="J39" i="21"/>
  <c r="AG39" i="21"/>
  <c r="Y39" i="21"/>
  <c r="Q39" i="21"/>
  <c r="I39" i="21"/>
  <c r="AF39" i="21"/>
  <c r="X39" i="21"/>
  <c r="P39" i="21"/>
  <c r="H39" i="21"/>
  <c r="AE39" i="21"/>
  <c r="W39" i="21"/>
  <c r="O39" i="21"/>
  <c r="G39" i="21"/>
  <c r="AH43" i="26"/>
  <c r="Z43" i="26"/>
  <c r="R43" i="26"/>
  <c r="J43" i="26"/>
  <c r="AG43" i="26"/>
  <c r="Y43" i="26"/>
  <c r="Q43" i="26"/>
  <c r="I43" i="26"/>
  <c r="AF43" i="26"/>
  <c r="X43" i="26"/>
  <c r="P43" i="26"/>
  <c r="H43" i="26"/>
  <c r="AE43" i="26"/>
  <c r="W43" i="26"/>
  <c r="O43" i="26"/>
  <c r="G43" i="26"/>
  <c r="AD43" i="26"/>
  <c r="V43" i="26"/>
  <c r="N43" i="26"/>
  <c r="F43" i="26"/>
  <c r="AC43" i="26"/>
  <c r="U43" i="26"/>
  <c r="M43" i="26"/>
  <c r="E43" i="26"/>
  <c r="AB43" i="26"/>
  <c r="T43" i="26"/>
  <c r="L43" i="26"/>
  <c r="D43" i="26"/>
  <c r="AA43" i="26"/>
  <c r="S43" i="26"/>
  <c r="K43" i="26"/>
  <c r="C43" i="26"/>
  <c r="AF41" i="21"/>
  <c r="X41" i="21"/>
  <c r="P41" i="21"/>
  <c r="H41" i="21"/>
  <c r="AE41" i="21"/>
  <c r="W41" i="21"/>
  <c r="O41" i="21"/>
  <c r="G41" i="21"/>
  <c r="AD41" i="21"/>
  <c r="V41" i="21"/>
  <c r="N41" i="21"/>
  <c r="F41" i="21"/>
  <c r="AC41" i="21"/>
  <c r="U41" i="21"/>
  <c r="M41" i="21"/>
  <c r="E41" i="21"/>
  <c r="AB41" i="21"/>
  <c r="T41" i="21"/>
  <c r="L41" i="21"/>
  <c r="D41" i="21"/>
  <c r="AA41" i="21"/>
  <c r="S41" i="21"/>
  <c r="K41" i="21"/>
  <c r="AH41" i="21"/>
  <c r="Z41" i="21"/>
  <c r="R41" i="21"/>
  <c r="J41" i="21"/>
  <c r="AG41" i="21"/>
  <c r="Y41" i="21"/>
  <c r="Q41" i="21"/>
  <c r="I41" i="21"/>
  <c r="AH42" i="26"/>
  <c r="Z42" i="26"/>
  <c r="R42" i="26"/>
  <c r="J42" i="26"/>
  <c r="AG42" i="26"/>
  <c r="Y42" i="26"/>
  <c r="Q42" i="26"/>
  <c r="I42" i="26"/>
  <c r="AF42" i="26"/>
  <c r="X42" i="26"/>
  <c r="P42" i="26"/>
  <c r="H42" i="26"/>
  <c r="AE42" i="26"/>
  <c r="W42" i="26"/>
  <c r="O42" i="26"/>
  <c r="G42" i="26"/>
  <c r="AD42" i="26"/>
  <c r="V42" i="26"/>
  <c r="N42" i="26"/>
  <c r="F42" i="26"/>
  <c r="AC42" i="26"/>
  <c r="U42" i="26"/>
  <c r="M42" i="26"/>
  <c r="E42" i="26"/>
  <c r="AB42" i="26"/>
  <c r="T42" i="26"/>
  <c r="L42" i="26"/>
  <c r="D42" i="26"/>
  <c r="AA42" i="26"/>
  <c r="S42" i="26"/>
  <c r="K42" i="26"/>
  <c r="C42" i="26"/>
  <c r="AE40" i="21"/>
  <c r="W40" i="21"/>
  <c r="O40" i="21"/>
  <c r="G40" i="21"/>
  <c r="AD40" i="21"/>
  <c r="V40" i="21"/>
  <c r="N40" i="21"/>
  <c r="F40" i="21"/>
  <c r="AC40" i="21"/>
  <c r="U40" i="21"/>
  <c r="M40" i="21"/>
  <c r="E40" i="21"/>
  <c r="AB40" i="21"/>
  <c r="T40" i="21"/>
  <c r="L40" i="21"/>
  <c r="D40" i="21"/>
  <c r="AA40" i="21"/>
  <c r="S40" i="21"/>
  <c r="K40" i="21"/>
  <c r="AH40" i="21"/>
  <c r="Z40" i="21"/>
  <c r="R40" i="21"/>
  <c r="J40" i="21"/>
  <c r="AG40" i="21"/>
  <c r="Y40" i="21"/>
  <c r="Q40" i="21"/>
  <c r="I40" i="21"/>
  <c r="AF40" i="21"/>
  <c r="X40" i="21"/>
  <c r="P40" i="21"/>
  <c r="H40" i="21"/>
  <c r="AH39" i="26"/>
  <c r="Z39" i="26"/>
  <c r="R39" i="26"/>
  <c r="J39" i="26"/>
  <c r="AG39" i="26"/>
  <c r="Y39" i="26"/>
  <c r="Q39" i="26"/>
  <c r="I39" i="26"/>
  <c r="AF39" i="26"/>
  <c r="X39" i="26"/>
  <c r="P39" i="26"/>
  <c r="H39" i="26"/>
  <c r="AE39" i="26"/>
  <c r="W39" i="26"/>
  <c r="O39" i="26"/>
  <c r="G39" i="26"/>
  <c r="AD39" i="26"/>
  <c r="V39" i="26"/>
  <c r="N39" i="26"/>
  <c r="F39" i="26"/>
  <c r="AC39" i="26"/>
  <c r="U39" i="26"/>
  <c r="M39" i="26"/>
  <c r="E39" i="26"/>
  <c r="AB39" i="26"/>
  <c r="T39" i="26"/>
  <c r="L39" i="26"/>
  <c r="D39" i="26"/>
  <c r="AA39" i="26"/>
  <c r="S39" i="26"/>
  <c r="K39" i="26"/>
  <c r="C39" i="26"/>
  <c r="AB37" i="21"/>
  <c r="T37" i="21"/>
  <c r="L37" i="21"/>
  <c r="D37" i="21"/>
  <c r="AA37" i="21"/>
  <c r="S37" i="21"/>
  <c r="K37" i="21"/>
  <c r="AH37" i="21"/>
  <c r="Z37" i="21"/>
  <c r="R37" i="21"/>
  <c r="J37" i="21"/>
  <c r="AG37" i="21"/>
  <c r="Y37" i="21"/>
  <c r="Q37" i="21"/>
  <c r="I37" i="21"/>
  <c r="AF37" i="21"/>
  <c r="X37" i="21"/>
  <c r="P37" i="21"/>
  <c r="H37" i="21"/>
  <c r="AE37" i="21"/>
  <c r="W37" i="21"/>
  <c r="O37" i="21"/>
  <c r="G37" i="21"/>
  <c r="AD37" i="21"/>
  <c r="V37" i="21"/>
  <c r="N37" i="21"/>
  <c r="F37" i="21"/>
  <c r="AC37" i="21"/>
  <c r="U37" i="21"/>
  <c r="M37" i="21"/>
  <c r="E37" i="21"/>
  <c r="C42" i="21"/>
  <c r="C37" i="21"/>
  <c r="C39" i="2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Mahmoud Mobir</author>
  </authors>
  <commentList>
    <comment ref="B33" authorId="0" shapeId="0" xr:uid="{2283F285-9126-43D3-9210-EC30B38A9A79}">
      <text>
        <r>
          <rPr>
            <b/>
            <sz val="9"/>
            <color indexed="81"/>
            <rFont val="Tahoma"/>
            <family val="2"/>
          </rPr>
          <t>Mahmoud Mobir:</t>
        </r>
        <r>
          <rPr>
            <sz val="9"/>
            <color indexed="81"/>
            <rFont val="Tahoma"/>
            <family val="2"/>
          </rPr>
          <t xml:space="preserve">
12-21-2021
costs correpond to case "H-Frame"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Q13" authorId="0" shapeId="0" xr:uid="{DC9F959E-9710-4BE2-8DA8-2AFEFBA16CF3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01-01-2020
This will take care of regions that don't appear in the Restart file for nuclear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Mahmoud Mobir</author>
  </authors>
  <commentList>
    <comment ref="A47" authorId="0" shapeId="0" xr:uid="{C52EB7DA-16E9-4DB2-962E-2116B694AE8C}">
      <text>
        <r>
          <rPr>
            <b/>
            <sz val="9"/>
            <color indexed="81"/>
            <rFont val="Tahoma"/>
            <family val="2"/>
          </rPr>
          <t>Mahmoud Mobir:</t>
        </r>
        <r>
          <rPr>
            <sz val="9"/>
            <color indexed="81"/>
            <rFont val="Tahoma"/>
            <family val="2"/>
          </rPr>
          <t xml:space="preserve">
12-21-2021
The same learning rates are applied to new and retrofit ccs </t>
        </r>
      </text>
    </comment>
  </commentList>
</comments>
</file>

<file path=xl/sharedStrings.xml><?xml version="1.0" encoding="utf-8"?>
<sst xmlns="http://schemas.openxmlformats.org/spreadsheetml/2006/main" count="604" uniqueCount="219">
  <si>
    <t>TechName</t>
  </si>
  <si>
    <t>Comm-IN</t>
  </si>
  <si>
    <t>Comm-OUT</t>
  </si>
  <si>
    <t>ELCCOA</t>
  </si>
  <si>
    <t>~FI_Process</t>
  </si>
  <si>
    <t>Sets</t>
  </si>
  <si>
    <t>TechDesc</t>
  </si>
  <si>
    <t>Tslvl</t>
  </si>
  <si>
    <t>Tact</t>
  </si>
  <si>
    <t>Tcap</t>
  </si>
  <si>
    <t>PrimaryCG</t>
  </si>
  <si>
    <t>Vintage</t>
  </si>
  <si>
    <t>ELE</t>
  </si>
  <si>
    <t>DAYNITE</t>
  </si>
  <si>
    <t>GW</t>
  </si>
  <si>
    <t>YES</t>
  </si>
  <si>
    <t>SEASON</t>
  </si>
  <si>
    <t>LIFE</t>
  </si>
  <si>
    <t>VAROM</t>
  </si>
  <si>
    <t>AFA</t>
  </si>
  <si>
    <t>ELCOIL</t>
  </si>
  <si>
    <t>New: Coal IGCC</t>
  </si>
  <si>
    <t>ELIFE</t>
  </si>
  <si>
    <t>FIXOM</t>
  </si>
  <si>
    <t>New: Pulverized coal</t>
  </si>
  <si>
    <t>New: Coal IGCC - CCS</t>
  </si>
  <si>
    <t>New: Gas CC Adv - CCS</t>
  </si>
  <si>
    <t>New: Gas CC Adv</t>
  </si>
  <si>
    <t>New: Gas CC</t>
  </si>
  <si>
    <t>New: Gas CT Adv</t>
  </si>
  <si>
    <t>New: Gas CT</t>
  </si>
  <si>
    <t>New: Biomass</t>
  </si>
  <si>
    <t>New: Biomass - CCS</t>
  </si>
  <si>
    <t>New: Oil CC Adv</t>
  </si>
  <si>
    <t>ELCGAS</t>
  </si>
  <si>
    <t>ELC</t>
  </si>
  <si>
    <t>EN_COAPUL</t>
  </si>
  <si>
    <t>EN_COAIGCC</t>
  </si>
  <si>
    <t>EN_ZCOAIGCC</t>
  </si>
  <si>
    <t>EN_ZGasCCAdv</t>
  </si>
  <si>
    <t>EN_GasCCAdv</t>
  </si>
  <si>
    <t>EN_GasCC</t>
  </si>
  <si>
    <t>EN_GasCTAdv</t>
  </si>
  <si>
    <t>EN_GasCT</t>
  </si>
  <si>
    <t>EN_Biomass</t>
  </si>
  <si>
    <t>EN_ZBiomass</t>
  </si>
  <si>
    <t>EN_OilCCAdv</t>
  </si>
  <si>
    <t>ELCBIO</t>
  </si>
  <si>
    <t>TBTU</t>
  </si>
  <si>
    <t>Advanced Nuclear</t>
  </si>
  <si>
    <t>EN_NuclearAdv</t>
  </si>
  <si>
    <t>ELCNUC</t>
  </si>
  <si>
    <t>Depleted Oil Fields - CO2 Storage</t>
  </si>
  <si>
    <t>PRE</t>
  </si>
  <si>
    <t>Depleted Gas Fields - CO2 Storage</t>
  </si>
  <si>
    <t>Coal layers - CO2 Storage</t>
  </si>
  <si>
    <t>Aquifers - CO2 Storage</t>
  </si>
  <si>
    <t>StoCO2-DOF</t>
  </si>
  <si>
    <t>StoCO2-DGF</t>
  </si>
  <si>
    <t>StoCO2-CBM</t>
  </si>
  <si>
    <t>StoCO2-AQF</t>
  </si>
  <si>
    <t>kt</t>
  </si>
  <si>
    <t>kt-Yr</t>
  </si>
  <si>
    <t>ACT_CUM</t>
  </si>
  <si>
    <t>~FI_T: ACT_BND~USD04</t>
  </si>
  <si>
    <t>*</t>
  </si>
  <si>
    <t>Pipeline-CO2</t>
  </si>
  <si>
    <t>CO2 pipeline</t>
  </si>
  <si>
    <t>CO2ForStorage</t>
  </si>
  <si>
    <t>CO2Captured</t>
  </si>
  <si>
    <t>EFF</t>
  </si>
  <si>
    <t>STGTSS</t>
  </si>
  <si>
    <t>~FI_T: USD15</t>
  </si>
  <si>
    <t>Comm-OUT-A</t>
  </si>
  <si>
    <t>CommGrp</t>
  </si>
  <si>
    <t>S_EFF</t>
  </si>
  <si>
    <t>Cap2Act</t>
  </si>
  <si>
    <t>NCAP_AFC~DAYNITE</t>
  </si>
  <si>
    <t>INVCOST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</si>
  <si>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</si>
  <si>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</si>
  <si>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</si>
  <si>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</si>
  <si>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</si>
  <si>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</si>
  <si>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</si>
  <si>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</si>
  <si>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</si>
  <si>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ENV</t>
  </si>
  <si>
    <t>~FI_T: EFF~USD11~2010</t>
  </si>
  <si>
    <t>EN_GeoThermal</t>
  </si>
  <si>
    <t>ELCGEO</t>
  </si>
  <si>
    <t>New: geothermal (placeholder)</t>
  </si>
  <si>
    <t>E_Nuc_Accounting</t>
  </si>
  <si>
    <t>Dummy tech to control exog and endog nuclear</t>
  </si>
  <si>
    <t>DumGrid</t>
  </si>
  <si>
    <t>Overnight cost by technology and online year - AEO2019 Reference case</t>
  </si>
  <si>
    <t>2018 $/KW</t>
  </si>
  <si>
    <t>Online Year</t>
  </si>
  <si>
    <t>Coal with 30% CCS</t>
  </si>
  <si>
    <t>Coal with 90% CCS</t>
  </si>
  <si>
    <t>Internal Combustion</t>
  </si>
  <si>
    <t>Comb. Turb</t>
  </si>
  <si>
    <t>Adv. CT</t>
  </si>
  <si>
    <t>Comb. Cyc</t>
  </si>
  <si>
    <t>Adv CC</t>
  </si>
  <si>
    <t>Adv CC w/seq</t>
  </si>
  <si>
    <t>Fuel Cell</t>
  </si>
  <si>
    <t>Nuclear</t>
  </si>
  <si>
    <t>Biomass</t>
  </si>
  <si>
    <t>Geothermal</t>
  </si>
  <si>
    <t>Landfill Gas</t>
  </si>
  <si>
    <t>Hydro</t>
  </si>
  <si>
    <t>Battery Storage</t>
  </si>
  <si>
    <t>Wind</t>
  </si>
  <si>
    <t>Offshore Wind</t>
  </si>
  <si>
    <t>Solar Thermal</t>
  </si>
  <si>
    <t>Solar PV - tracking</t>
  </si>
  <si>
    <t>Solar PV - fixed tilt</t>
  </si>
  <si>
    <t>Dist. Gen Base</t>
  </si>
  <si>
    <t>Dist Gen Peak</t>
  </si>
  <si>
    <t>Heatrate assumptions by year - AEO2019</t>
  </si>
  <si>
    <t>(BTU/kWh)</t>
  </si>
  <si>
    <t>E_SPV*</t>
  </si>
  <si>
    <t>E_WON*</t>
  </si>
  <si>
    <t>E_WOF*</t>
  </si>
  <si>
    <t>EN_Hydro*</t>
  </si>
  <si>
    <t>~FI_T: INVCOST~USD18</t>
  </si>
  <si>
    <t>~FI_T: EFF</t>
  </si>
  <si>
    <t>Icost</t>
  </si>
  <si>
    <t>Eff</t>
  </si>
  <si>
    <t>CAP_BND~UP</t>
  </si>
  <si>
    <t>Date</t>
  </si>
  <si>
    <t>Comment</t>
  </si>
  <si>
    <t>Updated the EFF for new OIlAdvCC technolgies to 30% across years</t>
  </si>
  <si>
    <t>**FI_T: EFF</t>
  </si>
  <si>
    <t>**FI_Process</t>
  </si>
  <si>
    <t>**FI_T: EFF**USD11**2010</t>
  </si>
  <si>
    <t>**FI_T: INVCOST**USD18</t>
  </si>
  <si>
    <t>FLO_FUNC~ELC</t>
  </si>
  <si>
    <t>EN_STG_4hBatt</t>
  </si>
  <si>
    <t>4h battery storage -  50MW/200MWh</t>
  </si>
  <si>
    <t>NRG</t>
  </si>
  <si>
    <t>Workbook purpose:</t>
  </si>
  <si>
    <t>Data source:</t>
  </si>
  <si>
    <t>User-modifiable?</t>
  </si>
  <si>
    <t xml:space="preserve">Yes, but browse in VEDA-FE first to see where else values specified here are being modified. </t>
  </si>
  <si>
    <t>Battery storage from Chris, July 2019; base characteristics for new power plants originally from AEO, some modifications have taken place, and some capital cost are overwritten in Scen_BaseINVCost2050</t>
  </si>
  <si>
    <t>Capital costs get regional multipliers in the Trans file and many get time multipliers elsewhere</t>
  </si>
  <si>
    <t>AuxStoIN</t>
  </si>
  <si>
    <t>Aux commodity for storage charging</t>
  </si>
  <si>
    <t>AuxStoOUT</t>
  </si>
  <si>
    <t>Aux commodity for storage discharging</t>
  </si>
  <si>
    <t>Comm-IN-A</t>
  </si>
  <si>
    <t>FLO_FUNC~AuxStoIN</t>
  </si>
  <si>
    <t>CAP_BND~UP~0</t>
  </si>
  <si>
    <t>Creates the available new fossil power plants, CCS storage placeholder infrastructure and battery storage</t>
  </si>
  <si>
    <t>EN_STG_PHS</t>
  </si>
  <si>
    <t>Pumped hydro storage</t>
  </si>
  <si>
    <t>EN_ZZGasCCAdv</t>
  </si>
  <si>
    <t>EN_ZZCOAIGCC</t>
  </si>
  <si>
    <t>NGCC post-combustion retrofit</t>
  </si>
  <si>
    <t>7FA.05</t>
  </si>
  <si>
    <t>J-Frame</t>
  </si>
  <si>
    <t>H-Frame</t>
  </si>
  <si>
    <t>Greenfield costs</t>
  </si>
  <si>
    <t>Total Plant Cost (TPC) ($/kW)</t>
  </si>
  <si>
    <t>Total Overnight Costs (TOC) ($/kW)</t>
  </si>
  <si>
    <t>Fixed O&amp;M ($)</t>
  </si>
  <si>
    <t>Variable O&amp;M ($)</t>
  </si>
  <si>
    <t>Greenfield equivalent costs of the retrofit equipment</t>
  </si>
  <si>
    <t>Retrofit costs</t>
  </si>
  <si>
    <t>https://www.netl.doe.gov/projects/files/CostPerformanceRetrofittingNGCCforCarbonCapture_040119.pdf</t>
  </si>
  <si>
    <t xml:space="preserve">NGCC Retrofit </t>
  </si>
  <si>
    <t>Subcritical pulvarized coal post-combustion retrofit</t>
  </si>
  <si>
    <t>Costs</t>
  </si>
  <si>
    <t>Specs</t>
  </si>
  <si>
    <t>Technology</t>
  </si>
  <si>
    <t>Plant cost ($/kW)</t>
  </si>
  <si>
    <t>Total overnight costs ($/kW)</t>
  </si>
  <si>
    <t>Fixed O&amp;M (Annual)</t>
  </si>
  <si>
    <t>Fixed O&amp;M (Annual - $/kW-net)</t>
  </si>
  <si>
    <t>Variable O&amp;M ($/MWh-net)</t>
  </si>
  <si>
    <t>MW, net</t>
  </si>
  <si>
    <t>Heat Rate-net (Btu/kWh)</t>
  </si>
  <si>
    <t>Capacity Factor (%)</t>
  </si>
  <si>
    <t>Subcritical PC w/CCS Retrofit</t>
  </si>
  <si>
    <t>Greenfield</t>
  </si>
  <si>
    <t xml:space="preserve">Subcritical PC w/o CCS </t>
  </si>
  <si>
    <t>Greenfield w/ CCS</t>
  </si>
  <si>
    <t xml:space="preserve">Subcritical PC w/ CCS </t>
  </si>
  <si>
    <t>https://netl.doe.gov/projects/files/EliminatingDerateCarbonCaptureRetrofits_040119.pdf</t>
  </si>
  <si>
    <t>"Case 0"</t>
  </si>
  <si>
    <t xml:space="preserve">PCC Retrofit </t>
  </si>
  <si>
    <t>Learning rates from the techs EN_ZGasCCAdv and EN_ZCOIGCC</t>
  </si>
  <si>
    <t>techs/years</t>
  </si>
  <si>
    <t>all costs are 2011$</t>
  </si>
  <si>
    <t>2011$ to 2018$</t>
  </si>
  <si>
    <t>New: Coal IGCC - CCS Retrofit</t>
  </si>
  <si>
    <t>EN_ZZGasCC</t>
  </si>
  <si>
    <t>New: Gas CC - CCS Retrofit</t>
  </si>
  <si>
    <t>kt-a</t>
  </si>
  <si>
    <t>NO</t>
  </si>
  <si>
    <t>Capture - Electricity and Cogeneration Power Plants</t>
  </si>
  <si>
    <t>CAPTURE_ELC</t>
  </si>
  <si>
    <t>CAPTURE_IND</t>
  </si>
  <si>
    <t>CAPTURE_SUP</t>
  </si>
  <si>
    <t>Capture - Supply side</t>
  </si>
  <si>
    <t>Capture - Industrial facilities</t>
  </si>
  <si>
    <t>Unts</t>
  </si>
  <si>
    <t>YEAR</t>
  </si>
  <si>
    <t>Input</t>
  </si>
  <si>
    <t>START</t>
  </si>
  <si>
    <t>\I: Units</t>
  </si>
  <si>
    <t>~FI_T</t>
  </si>
  <si>
    <t>kt/kt-a</t>
  </si>
  <si>
    <t xml:space="preserve">TobeAdded when industrial supply curve will be modelled </t>
  </si>
  <si>
    <t>ELCCO2-Seq</t>
  </si>
  <si>
    <t>SUPCO2-Seq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</si>
</sst>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* #,##0.00_ ;_ * \-#,##0.00_ ;_ * &quot;-&quot;??_ ;_ @_ "/>
    <numFmt numFmtId="165" formatCode="\Te\x\t"/>
    <numFmt numFmtId="166" formatCode="m\o\n\th\ d\,\ yyyy"/>
    <numFmt numFmtId="167" formatCode="#.00"/>
    <numFmt numFmtId="168" formatCode="#."/>
    <numFmt numFmtId="169" formatCode="_(&quot;$&quot;* #,##0_);_(&quot;$&quot;* \(#,##0\);_(&quot;$&quot;* &quot;-&quot;??_);_(@_)"/>
    <numFmt numFmtId="170" formatCode="_-* #,##0_-;\-* #,##0_-;_-* &quot;-&quot;_-;_-@_-"/>
    <numFmt numFmtId="171" formatCode="_-* #,##0.00_-;\-* #,##0.00_-;_-* &quot;-&quot;??_-;_-@_-"/>
    <numFmt numFmtId="172" formatCode="_-* #,##0.00\ &quot;€&quot;_-;\-* #,##0.00\ &quot;€&quot;_-;_-* &quot;-&quot;??\ &quot;€&quot;_-;_-@_-"/>
    <numFmt numFmtId="173" formatCode="_-* #,##0.00\ _€_-;\-* #,##0.00\ _€_-;_-* &quot;-&quot;??\ _€_-;_-@_-"/>
    <numFmt numFmtId="174" formatCode="0.0%"/>
    <numFmt numFmtId="175" formatCode="_([$€]* #,##0.00_);_([$€]* \(#,##0.00\);_([$€]* &quot;-&quot;??_);_(@_)"/>
    <numFmt numFmtId="176" formatCode="_-[$€-2]\ * #,##0.00_-;\-[$€-2]\ * #,##0.00_-;_-[$€-2]\ * &quot;-&quot;??_-"/>
    <numFmt numFmtId="177" formatCode="_-&quot;€&quot;\ * #,##0.00_-;\-&quot;€&quot;\ * #,##0.00_-;_-&quot;€&quot;\ * &quot;-&quot;??_-;_-@_-"/>
    <numFmt numFmtId="178" formatCode="_-&quot;$&quot;* #,##0.00_-;\-&quot;$&quot;* #,##0.00_-;_-&quot;$&quot;* &quot;-&quot;??_-;_-@_-"/>
    <numFmt numFmtId="179" formatCode="_([$€-2]* #,##0.00_);_([$€-2]* \(#,##0.00\);_([$€-2]* &quot;-&quot;??_)"/>
    <numFmt numFmtId="180" formatCode="_-[$€]* #,##0.00_-;\-[$€]* #,##0.00_-;_-[$€]* &quot;-&quot;??_-;_-@_-"/>
    <numFmt numFmtId="181" formatCode="_-[$€-2]* #,##0.00_-;\-[$€-2]* #,##0.00_-;_-[$€-2]* &quot;-&quot;??_-"/>
  </numFmts>
  <fonts count="77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11"/>
      <color rgb="FF9C0006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3333FF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color rgb="FF000000"/>
      <name val="Segoe UI"/>
      <family val="2"/>
    </font>
    <font>
      <sz val="11"/>
      <color rgb="FF006100"/>
      <name val="Calibri"/>
      <family val="2"/>
      <scheme val="minor"/>
    </font>
    <font>
      <sz val="10"/>
      <name val="Arial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sz val="11"/>
      <color indexed="10"/>
      <name val="Calibri"/>
      <family val="2"/>
    </font>
    <font>
      <sz val="10"/>
      <name val="MS Sans Serif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</font>
    <font>
      <sz val="11"/>
      <color indexed="60"/>
      <name val="Calibri"/>
      <family val="2"/>
      <charset val="161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b/>
      <sz val="12"/>
      <name val="Times New Roman"/>
      <family val="1"/>
    </font>
    <font>
      <sz val="10"/>
      <name val="Arial"/>
      <family val="2"/>
      <charset val="161"/>
    </font>
    <font>
      <sz val="12"/>
      <color indexed="8"/>
      <name val="Times New Roman"/>
      <family val="1"/>
    </font>
    <font>
      <sz val="10"/>
      <name val="Arial Cyr"/>
      <charset val="204"/>
    </font>
    <font>
      <b/>
      <sz val="12"/>
      <color indexed="8"/>
      <name val="Times New Roman"/>
      <family val="1"/>
    </font>
    <font>
      <u/>
      <sz val="12"/>
      <color indexed="20"/>
      <name val="??"/>
      <charset val="134"/>
    </font>
    <font>
      <sz val="11"/>
      <color indexed="58"/>
      <name val="Calibri"/>
      <family val="3"/>
      <charset val="128"/>
      <scheme val="minor"/>
    </font>
    <font>
      <sz val="11"/>
      <color rgb="FF006100"/>
      <name val="Calibri"/>
      <family val="3"/>
      <charset val="128"/>
      <scheme val="minor"/>
    </font>
    <font>
      <sz val="11"/>
      <color rgb="FF3F3F76"/>
      <name val="Calibri"/>
      <family val="3"/>
      <charset val="128"/>
      <scheme val="minor"/>
    </font>
    <font>
      <sz val="11"/>
      <color rgb="FF9C6500"/>
      <name val="Calibri"/>
      <family val="2"/>
      <scheme val="minor"/>
    </font>
    <font>
      <sz val="11"/>
      <color rgb="FF9C6500"/>
      <name val="Calibri"/>
      <family val="2"/>
      <charset val="161"/>
      <scheme val="minor"/>
    </font>
    <font>
      <sz val="1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49"/>
        <bgColor indexed="64"/>
      </patternFill>
    </fill>
  </fills>
  <borders count="31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ashed">
        <color theme="0" tint="-0.249946592608417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ck">
        <color theme="4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</borders>
  <cellStyleXfs count="18038">
    <xf numFmtId="0" fontId="0" fillId="0" borderId="0"/>
    <xf numFmtId="0" fontId="9" fillId="2" borderId="0" applyNumberFormat="0" applyBorder="0" applyAlignment="0" applyProtection="0"/>
    <xf numFmtId="0" fontId="10" fillId="0" borderId="2" applyNumberFormat="0" applyFont="0" applyProtection="0">
      <alignment wrapText="1"/>
    </xf>
    <xf numFmtId="43" fontId="7" fillId="0" borderId="0" applyFont="0" applyFill="0" applyBorder="0" applyAlignment="0" applyProtection="0"/>
    <xf numFmtId="166" fontId="4" fillId="0" borderId="0">
      <protection locked="0"/>
    </xf>
    <xf numFmtId="167" fontId="4" fillId="0" borderId="0">
      <protection locked="0"/>
    </xf>
    <xf numFmtId="0" fontId="10" fillId="0" borderId="0" applyNumberFormat="0" applyFill="0" applyBorder="0" applyAlignment="0" applyProtection="0"/>
    <xf numFmtId="0" fontId="10" fillId="0" borderId="0" applyNumberFormat="0" applyProtection="0">
      <alignment vertical="top" wrapText="1"/>
    </xf>
    <xf numFmtId="0" fontId="10" fillId="0" borderId="4" applyNumberFormat="0" applyProtection="0">
      <alignment vertical="top" wrapText="1"/>
    </xf>
    <xf numFmtId="0" fontId="11" fillId="0" borderId="5" applyNumberFormat="0" applyProtection="0">
      <alignment wrapText="1"/>
    </xf>
    <xf numFmtId="0" fontId="11" fillId="0" borderId="6" applyNumberFormat="0" applyProtection="0">
      <alignment horizontal="left" wrapText="1"/>
    </xf>
    <xf numFmtId="168" fontId="5" fillId="0" borderId="0">
      <protection locked="0"/>
    </xf>
    <xf numFmtId="168" fontId="5" fillId="0" borderId="0">
      <protection locked="0"/>
    </xf>
    <xf numFmtId="0" fontId="12" fillId="3" borderId="3" applyNumberFormat="0" applyAlignment="0" applyProtection="0"/>
    <xf numFmtId="0" fontId="1" fillId="0" borderId="0"/>
    <xf numFmtId="0" fontId="2" fillId="0" borderId="0"/>
    <xf numFmtId="0" fontId="2" fillId="0" borderId="0"/>
    <xf numFmtId="0" fontId="6" fillId="0" borderId="0"/>
    <xf numFmtId="0" fontId="13" fillId="0" borderId="0"/>
    <xf numFmtId="0" fontId="11" fillId="0" borderId="7" applyNumberFormat="0" applyProtection="0">
      <alignment wrapText="1"/>
    </xf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0" fillId="0" borderId="8" applyNumberFormat="0" applyFont="0" applyFill="0" applyProtection="0">
      <alignment wrapText="1"/>
    </xf>
    <xf numFmtId="0" fontId="11" fillId="0" borderId="9" applyNumberFormat="0" applyFill="0" applyProtection="0">
      <alignment wrapText="1"/>
    </xf>
    <xf numFmtId="0" fontId="14" fillId="0" borderId="0" applyNumberFormat="0" applyProtection="0">
      <alignment horizontal="left"/>
    </xf>
    <xf numFmtId="0" fontId="19" fillId="0" borderId="0"/>
    <xf numFmtId="0" fontId="20" fillId="0" borderId="0"/>
    <xf numFmtId="0" fontId="19" fillId="0" borderId="0"/>
    <xf numFmtId="16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34" fillId="0" borderId="0"/>
    <xf numFmtId="0" fontId="70" fillId="0" borderId="0" applyNumberFormat="0" applyFill="0" applyBorder="0" applyAlignment="0" applyProtection="0">
      <alignment vertical="center"/>
    </xf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49" fontId="53" fillId="0" borderId="10" applyNumberFormat="0" applyFont="0" applyFill="0" applyBorder="0" applyProtection="0">
      <alignment horizontal="left" vertical="center" indent="2"/>
    </xf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2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14" borderId="0" applyNumberFormat="0" applyBorder="0" applyAlignment="0" applyProtection="0"/>
    <xf numFmtId="0" fontId="1" fillId="2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2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2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2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20" borderId="0" applyNumberFormat="0" applyBorder="0" applyAlignment="0" applyProtection="0"/>
    <xf numFmtId="0" fontId="2" fillId="0" borderId="0" applyNumberFormat="0" applyFont="0" applyFill="0" applyBorder="0" applyProtection="0">
      <alignment horizontal="left" vertical="center" indent="5"/>
    </xf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37" fillId="17" borderId="0" applyNumberFormat="0" applyBorder="0" applyAlignment="0" applyProtection="0"/>
    <xf numFmtId="0" fontId="37" fillId="21" borderId="0" applyNumberFormat="0" applyBorder="0" applyAlignment="0" applyProtection="0"/>
    <xf numFmtId="0" fontId="37" fillId="17" borderId="0" applyNumberFormat="0" applyBorder="0" applyAlignment="0" applyProtection="0"/>
    <xf numFmtId="0" fontId="37" fillId="17" borderId="0" applyNumberFormat="0" applyBorder="0" applyAlignment="0" applyProtection="0"/>
    <xf numFmtId="0" fontId="37" fillId="17" borderId="0" applyNumberFormat="0" applyBorder="0" applyAlignment="0" applyProtection="0"/>
    <xf numFmtId="0" fontId="37" fillId="17" borderId="0" applyNumberFormat="0" applyBorder="0" applyAlignment="0" applyProtection="0"/>
    <xf numFmtId="0" fontId="37" fillId="17" borderId="0" applyNumberFormat="0" applyBorder="0" applyAlignment="0" applyProtection="0"/>
    <xf numFmtId="0" fontId="37" fillId="17" borderId="0" applyNumberFormat="0" applyBorder="0" applyAlignment="0" applyProtection="0"/>
    <xf numFmtId="0" fontId="37" fillId="17" borderId="0" applyNumberFormat="0" applyBorder="0" applyAlignment="0" applyProtection="0"/>
    <xf numFmtId="0" fontId="37" fillId="17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37" fillId="17" borderId="0" applyNumberFormat="0" applyBorder="0" applyAlignment="0" applyProtection="0"/>
    <xf numFmtId="0" fontId="37" fillId="21" borderId="0" applyNumberFormat="0" applyBorder="0" applyAlignment="0" applyProtection="0"/>
    <xf numFmtId="0" fontId="37" fillId="17" borderId="0" applyNumberFormat="0" applyBorder="0" applyAlignment="0" applyProtection="0"/>
    <xf numFmtId="0" fontId="37" fillId="17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22" borderId="0" applyNumberFormat="0" applyBorder="0" applyAlignment="0" applyProtection="0"/>
    <xf numFmtId="0" fontId="37" fillId="12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22" borderId="0" applyNumberFormat="0" applyBorder="0" applyAlignment="0" applyProtection="0"/>
    <xf numFmtId="0" fontId="37" fillId="12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20" borderId="0" applyNumberFormat="0" applyBorder="0" applyAlignment="0" applyProtection="0"/>
    <xf numFmtId="0" fontId="37" fillId="18" borderId="0" applyNumberFormat="0" applyBorder="0" applyAlignment="0" applyProtection="0"/>
    <xf numFmtId="0" fontId="37" fillId="20" borderId="0" applyNumberFormat="0" applyBorder="0" applyAlignment="0" applyProtection="0"/>
    <xf numFmtId="0" fontId="37" fillId="20" borderId="0" applyNumberFormat="0" applyBorder="0" applyAlignment="0" applyProtection="0"/>
    <xf numFmtId="0" fontId="37" fillId="20" borderId="0" applyNumberFormat="0" applyBorder="0" applyAlignment="0" applyProtection="0"/>
    <xf numFmtId="0" fontId="37" fillId="20" borderId="0" applyNumberFormat="0" applyBorder="0" applyAlignment="0" applyProtection="0"/>
    <xf numFmtId="0" fontId="37" fillId="20" borderId="0" applyNumberFormat="0" applyBorder="0" applyAlignment="0" applyProtection="0"/>
    <xf numFmtId="0" fontId="37" fillId="20" borderId="0" applyNumberFormat="0" applyBorder="0" applyAlignment="0" applyProtection="0"/>
    <xf numFmtId="0" fontId="37" fillId="20" borderId="0" applyNumberFormat="0" applyBorder="0" applyAlignment="0" applyProtection="0"/>
    <xf numFmtId="0" fontId="37" fillId="20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20" borderId="0" applyNumberFormat="0" applyBorder="0" applyAlignment="0" applyProtection="0"/>
    <xf numFmtId="0" fontId="37" fillId="18" borderId="0" applyNumberFormat="0" applyBorder="0" applyAlignment="0" applyProtection="0"/>
    <xf numFmtId="0" fontId="37" fillId="20" borderId="0" applyNumberFormat="0" applyBorder="0" applyAlignment="0" applyProtection="0"/>
    <xf numFmtId="0" fontId="37" fillId="20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11" borderId="0" applyNumberFormat="0" applyBorder="0" applyAlignment="0" applyProtection="0"/>
    <xf numFmtId="0" fontId="37" fillId="23" borderId="0" applyNumberFormat="0" applyBorder="0" applyAlignment="0" applyProtection="0"/>
    <xf numFmtId="0" fontId="37" fillId="11" borderId="0" applyNumberFormat="0" applyBorder="0" applyAlignment="0" applyProtection="0"/>
    <xf numFmtId="0" fontId="37" fillId="11" borderId="0" applyNumberFormat="0" applyBorder="0" applyAlignment="0" applyProtection="0"/>
    <xf numFmtId="0" fontId="37" fillId="11" borderId="0" applyNumberFormat="0" applyBorder="0" applyAlignment="0" applyProtection="0"/>
    <xf numFmtId="0" fontId="37" fillId="11" borderId="0" applyNumberFormat="0" applyBorder="0" applyAlignment="0" applyProtection="0"/>
    <xf numFmtId="0" fontId="37" fillId="11" borderId="0" applyNumberFormat="0" applyBorder="0" applyAlignment="0" applyProtection="0"/>
    <xf numFmtId="0" fontId="37" fillId="11" borderId="0" applyNumberFormat="0" applyBorder="0" applyAlignment="0" applyProtection="0"/>
    <xf numFmtId="0" fontId="37" fillId="11" borderId="0" applyNumberFormat="0" applyBorder="0" applyAlignment="0" applyProtection="0"/>
    <xf numFmtId="0" fontId="37" fillId="11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11" borderId="0" applyNumberFormat="0" applyBorder="0" applyAlignment="0" applyProtection="0"/>
    <xf numFmtId="0" fontId="37" fillId="23" borderId="0" applyNumberFormat="0" applyBorder="0" applyAlignment="0" applyProtection="0"/>
    <xf numFmtId="0" fontId="37" fillId="11" borderId="0" applyNumberFormat="0" applyBorder="0" applyAlignment="0" applyProtection="0"/>
    <xf numFmtId="0" fontId="37" fillId="11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17" borderId="0" applyNumberFormat="0" applyBorder="0" applyAlignment="0" applyProtection="0"/>
    <xf numFmtId="0" fontId="37" fillId="24" borderId="0" applyNumberFormat="0" applyBorder="0" applyAlignment="0" applyProtection="0"/>
    <xf numFmtId="0" fontId="37" fillId="17" borderId="0" applyNumberFormat="0" applyBorder="0" applyAlignment="0" applyProtection="0"/>
    <xf numFmtId="0" fontId="37" fillId="17" borderId="0" applyNumberFormat="0" applyBorder="0" applyAlignment="0" applyProtection="0"/>
    <xf numFmtId="0" fontId="37" fillId="17" borderId="0" applyNumberFormat="0" applyBorder="0" applyAlignment="0" applyProtection="0"/>
    <xf numFmtId="0" fontId="37" fillId="17" borderId="0" applyNumberFormat="0" applyBorder="0" applyAlignment="0" applyProtection="0"/>
    <xf numFmtId="0" fontId="37" fillId="17" borderId="0" applyNumberFormat="0" applyBorder="0" applyAlignment="0" applyProtection="0"/>
    <xf numFmtId="0" fontId="37" fillId="17" borderId="0" applyNumberFormat="0" applyBorder="0" applyAlignment="0" applyProtection="0"/>
    <xf numFmtId="0" fontId="37" fillId="17" borderId="0" applyNumberFormat="0" applyBorder="0" applyAlignment="0" applyProtection="0"/>
    <xf numFmtId="0" fontId="37" fillId="17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17" borderId="0" applyNumberFormat="0" applyBorder="0" applyAlignment="0" applyProtection="0"/>
    <xf numFmtId="0" fontId="37" fillId="24" borderId="0" applyNumberFormat="0" applyBorder="0" applyAlignment="0" applyProtection="0"/>
    <xf numFmtId="0" fontId="37" fillId="17" borderId="0" applyNumberFormat="0" applyBorder="0" applyAlignment="0" applyProtection="0"/>
    <xf numFmtId="0" fontId="37" fillId="17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12" borderId="0" applyNumberFormat="0" applyBorder="0" applyAlignment="0" applyProtection="0"/>
    <xf numFmtId="0" fontId="37" fillId="25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12" borderId="0" applyNumberFormat="0" applyBorder="0" applyAlignment="0" applyProtection="0"/>
    <xf numFmtId="0" fontId="37" fillId="25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1" borderId="0" applyNumberFormat="0" applyBorder="0" applyAlignment="0" applyProtection="0"/>
    <xf numFmtId="0" fontId="37" fillId="12" borderId="0" applyNumberFormat="0" applyBorder="0" applyAlignment="0" applyProtection="0"/>
    <xf numFmtId="0" fontId="37" fillId="18" borderId="0" applyNumberFormat="0" applyBorder="0" applyAlignment="0" applyProtection="0"/>
    <xf numFmtId="0" fontId="37" fillId="23" borderId="0" applyNumberFormat="0" applyBorder="0" applyAlignment="0" applyProtection="0"/>
    <xf numFmtId="0" fontId="37" fillId="24" borderId="0" applyNumberFormat="0" applyBorder="0" applyAlignment="0" applyProtection="0"/>
    <xf numFmtId="0" fontId="37" fillId="25" borderId="0" applyNumberFormat="0" applyBorder="0" applyAlignment="0" applyProtection="0"/>
    <xf numFmtId="0" fontId="37" fillId="23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2" borderId="0" applyNumberFormat="0" applyBorder="0" applyAlignment="0" applyProtection="0"/>
    <xf numFmtId="0" fontId="37" fillId="28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2" borderId="0" applyNumberFormat="0" applyBorder="0" applyAlignment="0" applyProtection="0"/>
    <xf numFmtId="0" fontId="37" fillId="28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0" borderId="0" applyNumberFormat="0" applyBorder="0" applyAlignment="0" applyProtection="0"/>
    <xf numFmtId="0" fontId="37" fillId="29" borderId="0" applyNumberFormat="0" applyBorder="0" applyAlignment="0" applyProtection="0"/>
    <xf numFmtId="0" fontId="37" fillId="20" borderId="0" applyNumberFormat="0" applyBorder="0" applyAlignment="0" applyProtection="0"/>
    <xf numFmtId="0" fontId="37" fillId="20" borderId="0" applyNumberFormat="0" applyBorder="0" applyAlignment="0" applyProtection="0"/>
    <xf numFmtId="0" fontId="37" fillId="20" borderId="0" applyNumberFormat="0" applyBorder="0" applyAlignment="0" applyProtection="0"/>
    <xf numFmtId="0" fontId="37" fillId="20" borderId="0" applyNumberFormat="0" applyBorder="0" applyAlignment="0" applyProtection="0"/>
    <xf numFmtId="0" fontId="37" fillId="20" borderId="0" applyNumberFormat="0" applyBorder="0" applyAlignment="0" applyProtection="0"/>
    <xf numFmtId="0" fontId="37" fillId="20" borderId="0" applyNumberFormat="0" applyBorder="0" applyAlignment="0" applyProtection="0"/>
    <xf numFmtId="0" fontId="37" fillId="20" borderId="0" applyNumberFormat="0" applyBorder="0" applyAlignment="0" applyProtection="0"/>
    <xf numFmtId="0" fontId="37" fillId="20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0" borderId="0" applyNumberFormat="0" applyBorder="0" applyAlignment="0" applyProtection="0"/>
    <xf numFmtId="0" fontId="37" fillId="29" borderId="0" applyNumberFormat="0" applyBorder="0" applyAlignment="0" applyProtection="0"/>
    <xf numFmtId="0" fontId="37" fillId="20" borderId="0" applyNumberFormat="0" applyBorder="0" applyAlignment="0" applyProtection="0"/>
    <xf numFmtId="0" fontId="37" fillId="20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30" borderId="0" applyNumberFormat="0" applyBorder="0" applyAlignment="0" applyProtection="0"/>
    <xf numFmtId="0" fontId="37" fillId="23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30" borderId="0" applyNumberFormat="0" applyBorder="0" applyAlignment="0" applyProtection="0"/>
    <xf numFmtId="0" fontId="37" fillId="23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7" fillId="28" borderId="0" applyNumberFormat="0" applyBorder="0" applyAlignment="0" applyProtection="0"/>
    <xf numFmtId="0" fontId="37" fillId="22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7" fillId="28" borderId="0" applyNumberFormat="0" applyBorder="0" applyAlignment="0" applyProtection="0"/>
    <xf numFmtId="0" fontId="37" fillId="22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54" fillId="31" borderId="0" applyBorder="0" applyAlignment="0"/>
    <xf numFmtId="0" fontId="53" fillId="31" borderId="0" applyBorder="0">
      <alignment horizontal="right" vertical="center"/>
    </xf>
    <xf numFmtId="0" fontId="53" fillId="32" borderId="0" applyBorder="0">
      <alignment horizontal="right" vertical="center"/>
    </xf>
    <xf numFmtId="0" fontId="53" fillId="32" borderId="0" applyBorder="0">
      <alignment horizontal="right" vertical="center"/>
    </xf>
    <xf numFmtId="0" fontId="52" fillId="32" borderId="10">
      <alignment horizontal="right" vertical="center"/>
    </xf>
    <xf numFmtId="0" fontId="67" fillId="32" borderId="10">
      <alignment horizontal="right" vertical="center"/>
    </xf>
    <xf numFmtId="0" fontId="52" fillId="33" borderId="10">
      <alignment horizontal="right" vertical="center"/>
    </xf>
    <xf numFmtId="0" fontId="52" fillId="33" borderId="10">
      <alignment horizontal="right" vertical="center"/>
    </xf>
    <xf numFmtId="0" fontId="52" fillId="33" borderId="11">
      <alignment horizontal="right" vertical="center"/>
    </xf>
    <xf numFmtId="0" fontId="52" fillId="33" borderId="12">
      <alignment horizontal="right" vertical="center"/>
    </xf>
    <xf numFmtId="0" fontId="52" fillId="33" borderId="13">
      <alignment horizontal="right" vertical="center"/>
    </xf>
    <xf numFmtId="0" fontId="37" fillId="26" borderId="0" applyNumberFormat="0" applyBorder="0" applyAlignment="0" applyProtection="0"/>
    <xf numFmtId="0" fontId="37" fillId="28" borderId="0" applyNumberFormat="0" applyBorder="0" applyAlignment="0" applyProtection="0"/>
    <xf numFmtId="0" fontId="37" fillId="29" borderId="0" applyNumberFormat="0" applyBorder="0" applyAlignment="0" applyProtection="0"/>
    <xf numFmtId="0" fontId="37" fillId="23" borderId="0" applyNumberFormat="0" applyBorder="0" applyAlignment="0" applyProtection="0"/>
    <xf numFmtId="0" fontId="37" fillId="24" borderId="0" applyNumberFormat="0" applyBorder="0" applyAlignment="0" applyProtection="0"/>
    <xf numFmtId="0" fontId="37" fillId="22" borderId="0" applyNumberFormat="0" applyBorder="0" applyAlignment="0" applyProtection="0"/>
    <xf numFmtId="0" fontId="49" fillId="34" borderId="14" applyNumberFormat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15" borderId="0" applyNumberFormat="0" applyBorder="0" applyAlignment="0" applyProtection="0"/>
    <xf numFmtId="0" fontId="38" fillId="11" borderId="0" applyNumberFormat="0" applyBorder="0" applyAlignment="0" applyProtection="0"/>
    <xf numFmtId="0" fontId="38" fillId="15" borderId="0" applyNumberFormat="0" applyBorder="0" applyAlignment="0" applyProtection="0"/>
    <xf numFmtId="0" fontId="38" fillId="15" borderId="0" applyNumberFormat="0" applyBorder="0" applyAlignment="0" applyProtection="0"/>
    <xf numFmtId="0" fontId="38" fillId="15" borderId="0" applyNumberFormat="0" applyBorder="0" applyAlignment="0" applyProtection="0"/>
    <xf numFmtId="0" fontId="38" fillId="15" borderId="0" applyNumberFormat="0" applyBorder="0" applyAlignment="0" applyProtection="0"/>
    <xf numFmtId="0" fontId="38" fillId="15" borderId="0" applyNumberFormat="0" applyBorder="0" applyAlignment="0" applyProtection="0"/>
    <xf numFmtId="0" fontId="38" fillId="15" borderId="0" applyNumberFormat="0" applyBorder="0" applyAlignment="0" applyProtection="0"/>
    <xf numFmtId="0" fontId="38" fillId="15" borderId="0" applyNumberFormat="0" applyBorder="0" applyAlignment="0" applyProtection="0"/>
    <xf numFmtId="0" fontId="38" fillId="15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15" borderId="0" applyNumberFormat="0" applyBorder="0" applyAlignment="0" applyProtection="0"/>
    <xf numFmtId="0" fontId="38" fillId="11" borderId="0" applyNumberFormat="0" applyBorder="0" applyAlignment="0" applyProtection="0"/>
    <xf numFmtId="0" fontId="38" fillId="15" borderId="0" applyNumberFormat="0" applyBorder="0" applyAlignment="0" applyProtection="0"/>
    <xf numFmtId="0" fontId="38" fillId="15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9" fillId="2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9" fillId="34" borderId="15" applyNumberFormat="0" applyAlignment="0" applyProtection="0"/>
    <xf numFmtId="4" fontId="54" fillId="0" borderId="16" applyFill="0" applyBorder="0" applyProtection="0">
      <alignment horizontal="right" vertical="center"/>
    </xf>
    <xf numFmtId="0" fontId="39" fillId="34" borderId="15" applyNumberFormat="0" applyAlignment="0" applyProtection="0"/>
    <xf numFmtId="0" fontId="39" fillId="34" borderId="15" applyNumberFormat="0" applyAlignment="0" applyProtection="0"/>
    <xf numFmtId="0" fontId="39" fillId="34" borderId="15" applyNumberFormat="0" applyAlignment="0" applyProtection="0"/>
    <xf numFmtId="0" fontId="39" fillId="34" borderId="15" applyNumberFormat="0" applyAlignment="0" applyProtection="0"/>
    <xf numFmtId="0" fontId="39" fillId="34" borderId="15" applyNumberFormat="0" applyAlignment="0" applyProtection="0"/>
    <xf numFmtId="0" fontId="39" fillId="34" borderId="15" applyNumberFormat="0" applyAlignment="0" applyProtection="0"/>
    <xf numFmtId="0" fontId="39" fillId="34" borderId="15" applyNumberFormat="0" applyAlignment="0" applyProtection="0"/>
    <xf numFmtId="0" fontId="39" fillId="34" borderId="15" applyNumberFormat="0" applyAlignment="0" applyProtection="0"/>
    <xf numFmtId="0" fontId="39" fillId="34" borderId="15" applyNumberFormat="0" applyAlignment="0" applyProtection="0"/>
    <xf numFmtId="0" fontId="39" fillId="34" borderId="15" applyNumberFormat="0" applyAlignment="0" applyProtection="0"/>
    <xf numFmtId="0" fontId="39" fillId="34" borderId="15" applyNumberFormat="0" applyAlignment="0" applyProtection="0"/>
    <xf numFmtId="0" fontId="55" fillId="35" borderId="15" applyNumberFormat="0" applyAlignment="0" applyProtection="0"/>
    <xf numFmtId="0" fontId="39" fillId="34" borderId="15" applyNumberFormat="0" applyAlignment="0" applyProtection="0"/>
    <xf numFmtId="0" fontId="55" fillId="35" borderId="15" applyNumberFormat="0" applyAlignment="0" applyProtection="0"/>
    <xf numFmtId="0" fontId="55" fillId="35" borderId="15" applyNumberFormat="0" applyAlignment="0" applyProtection="0"/>
    <xf numFmtId="0" fontId="55" fillId="35" borderId="15" applyNumberFormat="0" applyAlignment="0" applyProtection="0"/>
    <xf numFmtId="0" fontId="55" fillId="35" borderId="15" applyNumberFormat="0" applyAlignment="0" applyProtection="0"/>
    <xf numFmtId="0" fontId="55" fillId="35" borderId="15" applyNumberFormat="0" applyAlignment="0" applyProtection="0"/>
    <xf numFmtId="0" fontId="55" fillId="35" borderId="15" applyNumberFormat="0" applyAlignment="0" applyProtection="0"/>
    <xf numFmtId="0" fontId="55" fillId="35" borderId="15" applyNumberFormat="0" applyAlignment="0" applyProtection="0"/>
    <xf numFmtId="0" fontId="55" fillId="35" borderId="15" applyNumberFormat="0" applyAlignment="0" applyProtection="0"/>
    <xf numFmtId="0" fontId="39" fillId="34" borderId="15" applyNumberFormat="0" applyAlignment="0" applyProtection="0"/>
    <xf numFmtId="0" fontId="39" fillId="34" borderId="15" applyNumberFormat="0" applyAlignment="0" applyProtection="0"/>
    <xf numFmtId="0" fontId="39" fillId="34" borderId="15" applyNumberFormat="0" applyAlignment="0" applyProtection="0"/>
    <xf numFmtId="0" fontId="39" fillId="34" borderId="15" applyNumberFormat="0" applyAlignment="0" applyProtection="0"/>
    <xf numFmtId="0" fontId="39" fillId="34" borderId="15" applyNumberFormat="0" applyAlignment="0" applyProtection="0"/>
    <xf numFmtId="0" fontId="39" fillId="34" borderId="15" applyNumberFormat="0" applyAlignment="0" applyProtection="0"/>
    <xf numFmtId="0" fontId="39" fillId="34" borderId="15" applyNumberFormat="0" applyAlignment="0" applyProtection="0"/>
    <xf numFmtId="0" fontId="39" fillId="34" borderId="15" applyNumberFormat="0" applyAlignment="0" applyProtection="0"/>
    <xf numFmtId="0" fontId="39" fillId="34" borderId="15" applyNumberFormat="0" applyAlignment="0" applyProtection="0"/>
    <xf numFmtId="0" fontId="39" fillId="34" borderId="15" applyNumberFormat="0" applyAlignment="0" applyProtection="0"/>
    <xf numFmtId="0" fontId="55" fillId="35" borderId="15" applyNumberFormat="0" applyAlignment="0" applyProtection="0"/>
    <xf numFmtId="0" fontId="39" fillId="34" borderId="15" applyNumberFormat="0" applyAlignment="0" applyProtection="0"/>
    <xf numFmtId="0" fontId="55" fillId="35" borderId="15" applyNumberFormat="0" applyAlignment="0" applyProtection="0"/>
    <xf numFmtId="0" fontId="55" fillId="35" borderId="15" applyNumberFormat="0" applyAlignment="0" applyProtection="0"/>
    <xf numFmtId="0" fontId="39" fillId="34" borderId="15" applyNumberFormat="0" applyAlignment="0" applyProtection="0"/>
    <xf numFmtId="0" fontId="39" fillId="34" borderId="15" applyNumberFormat="0" applyAlignment="0" applyProtection="0"/>
    <xf numFmtId="0" fontId="39" fillId="34" borderId="15" applyNumberFormat="0" applyAlignment="0" applyProtection="0"/>
    <xf numFmtId="0" fontId="39" fillId="34" borderId="15" applyNumberFormat="0" applyAlignment="0" applyProtection="0"/>
    <xf numFmtId="0" fontId="39" fillId="34" borderId="15" applyNumberFormat="0" applyAlignment="0" applyProtection="0"/>
    <xf numFmtId="0" fontId="39" fillId="34" borderId="15" applyNumberFormat="0" applyAlignment="0" applyProtection="0"/>
    <xf numFmtId="0" fontId="39" fillId="34" borderId="15" applyNumberFormat="0" applyAlignment="0" applyProtection="0"/>
    <xf numFmtId="0" fontId="39" fillId="34" borderId="15" applyNumberFormat="0" applyAlignment="0" applyProtection="0"/>
    <xf numFmtId="0" fontId="39" fillId="34" borderId="15" applyNumberFormat="0" applyAlignment="0" applyProtection="0"/>
    <xf numFmtId="0" fontId="39" fillId="34" borderId="15" applyNumberFormat="0" applyAlignment="0" applyProtection="0"/>
    <xf numFmtId="0" fontId="39" fillId="34" borderId="15" applyNumberFormat="0" applyAlignment="0" applyProtection="0"/>
    <xf numFmtId="0" fontId="39" fillId="34" borderId="15" applyNumberFormat="0" applyAlignment="0" applyProtection="0"/>
    <xf numFmtId="0" fontId="39" fillId="34" borderId="15" applyNumberFormat="0" applyAlignment="0" applyProtection="0"/>
    <xf numFmtId="0" fontId="39" fillId="34" borderId="15" applyNumberFormat="0" applyAlignment="0" applyProtection="0"/>
    <xf numFmtId="0" fontId="39" fillId="34" borderId="15" applyNumberFormat="0" applyAlignment="0" applyProtection="0"/>
    <xf numFmtId="0" fontId="39" fillId="34" borderId="15" applyNumberFormat="0" applyAlignment="0" applyProtection="0"/>
    <xf numFmtId="0" fontId="39" fillId="34" borderId="15" applyNumberFormat="0" applyAlignment="0" applyProtection="0"/>
    <xf numFmtId="0" fontId="39" fillId="34" borderId="15" applyNumberFormat="0" applyAlignment="0" applyProtection="0"/>
    <xf numFmtId="0" fontId="39" fillId="34" borderId="15" applyNumberFormat="0" applyAlignment="0" applyProtection="0"/>
    <xf numFmtId="0" fontId="39" fillId="34" borderId="15" applyNumberFormat="0" applyAlignment="0" applyProtection="0"/>
    <xf numFmtId="0" fontId="39" fillId="34" borderId="15" applyNumberFormat="0" applyAlignment="0" applyProtection="0"/>
    <xf numFmtId="0" fontId="39" fillId="34" borderId="15" applyNumberFormat="0" applyAlignment="0" applyProtection="0"/>
    <xf numFmtId="0" fontId="39" fillId="34" borderId="15" applyNumberFormat="0" applyAlignment="0" applyProtection="0"/>
    <xf numFmtId="0" fontId="39" fillId="34" borderId="15" applyNumberFormat="0" applyAlignment="0" applyProtection="0"/>
    <xf numFmtId="0" fontId="40" fillId="36" borderId="17" applyNumberFormat="0" applyAlignment="0" applyProtection="0"/>
    <xf numFmtId="0" fontId="40" fillId="36" borderId="17" applyNumberFormat="0" applyAlignment="0" applyProtection="0"/>
    <xf numFmtId="0" fontId="40" fillId="36" borderId="17" applyNumberFormat="0" applyAlignment="0" applyProtection="0"/>
    <xf numFmtId="0" fontId="40" fillId="36" borderId="17" applyNumberFormat="0" applyAlignment="0" applyProtection="0"/>
    <xf numFmtId="0" fontId="40" fillId="36" borderId="17" applyNumberFormat="0" applyAlignment="0" applyProtection="0"/>
    <xf numFmtId="0" fontId="40" fillId="36" borderId="17" applyNumberFormat="0" applyAlignment="0" applyProtection="0"/>
    <xf numFmtId="0" fontId="40" fillId="36" borderId="17" applyNumberFormat="0" applyAlignment="0" applyProtection="0"/>
    <xf numFmtId="0" fontId="40" fillId="36" borderId="17" applyNumberFormat="0" applyAlignment="0" applyProtection="0"/>
    <xf numFmtId="0" fontId="40" fillId="36" borderId="17" applyNumberFormat="0" applyAlignment="0" applyProtection="0"/>
    <xf numFmtId="0" fontId="40" fillId="36" borderId="17" applyNumberFormat="0" applyAlignment="0" applyProtection="0"/>
    <xf numFmtId="0" fontId="40" fillId="36" borderId="17" applyNumberFormat="0" applyAlignment="0" applyProtection="0"/>
    <xf numFmtId="0" fontId="40" fillId="36" borderId="17" applyNumberFormat="0" applyAlignment="0" applyProtection="0"/>
    <xf numFmtId="0" fontId="40" fillId="36" borderId="17" applyNumberFormat="0" applyAlignment="0" applyProtection="0"/>
    <xf numFmtId="0" fontId="40" fillId="36" borderId="17" applyNumberFormat="0" applyAlignment="0" applyProtection="0"/>
    <xf numFmtId="0" fontId="40" fillId="36" borderId="17" applyNumberFormat="0" applyAlignment="0" applyProtection="0"/>
    <xf numFmtId="0" fontId="40" fillId="36" borderId="17" applyNumberFormat="0" applyAlignment="0" applyProtection="0"/>
    <xf numFmtId="0" fontId="40" fillId="36" borderId="17" applyNumberFormat="0" applyAlignment="0" applyProtection="0"/>
    <xf numFmtId="0" fontId="40" fillId="36" borderId="17" applyNumberFormat="0" applyAlignment="0" applyProtection="0"/>
    <xf numFmtId="0" fontId="40" fillId="36" borderId="17" applyNumberFormat="0" applyAlignment="0" applyProtection="0"/>
    <xf numFmtId="0" fontId="40" fillId="36" borderId="17" applyNumberFormat="0" applyAlignment="0" applyProtection="0"/>
    <xf numFmtId="0" fontId="40" fillId="36" borderId="17" applyNumberFormat="0" applyAlignment="0" applyProtection="0"/>
    <xf numFmtId="0" fontId="40" fillId="36" borderId="17" applyNumberFormat="0" applyAlignment="0" applyProtection="0"/>
    <xf numFmtId="0" fontId="40" fillId="36" borderId="17" applyNumberFormat="0" applyAlignment="0" applyProtection="0"/>
    <xf numFmtId="0" fontId="40" fillId="36" borderId="17" applyNumberFormat="0" applyAlignment="0" applyProtection="0"/>
    <xf numFmtId="0" fontId="40" fillId="36" borderId="17" applyNumberFormat="0" applyAlignment="0" applyProtection="0"/>
    <xf numFmtId="0" fontId="40" fillId="36" borderId="17" applyNumberFormat="0" applyAlignment="0" applyProtection="0"/>
    <xf numFmtId="0" fontId="40" fillId="36" borderId="17" applyNumberFormat="0" applyAlignment="0" applyProtection="0"/>
    <xf numFmtId="0" fontId="40" fillId="36" borderId="17" applyNumberFormat="0" applyAlignment="0" applyProtection="0"/>
    <xf numFmtId="0" fontId="40" fillId="36" borderId="17" applyNumberFormat="0" applyAlignment="0" applyProtection="0"/>
    <xf numFmtId="0" fontId="40" fillId="36" borderId="17" applyNumberFormat="0" applyAlignment="0" applyProtection="0"/>
    <xf numFmtId="0" fontId="40" fillId="36" borderId="17" applyNumberFormat="0" applyAlignment="0" applyProtection="0"/>
    <xf numFmtId="0" fontId="40" fillId="36" borderId="17" applyNumberFormat="0" applyAlignment="0" applyProtection="0"/>
    <xf numFmtId="0" fontId="40" fillId="36" borderId="17" applyNumberFormat="0" applyAlignment="0" applyProtection="0"/>
    <xf numFmtId="0" fontId="40" fillId="36" borderId="17" applyNumberFormat="0" applyAlignment="0" applyProtection="0"/>
    <xf numFmtId="0" fontId="40" fillId="36" borderId="17" applyNumberFormat="0" applyAlignment="0" applyProtection="0"/>
    <xf numFmtId="0" fontId="40" fillId="36" borderId="17" applyNumberFormat="0" applyAlignment="0" applyProtection="0"/>
    <xf numFmtId="0" fontId="40" fillId="36" borderId="17" applyNumberFormat="0" applyAlignment="0" applyProtection="0"/>
    <xf numFmtId="0" fontId="40" fillId="36" borderId="17" applyNumberFormat="0" applyAlignment="0" applyProtection="0"/>
    <xf numFmtId="0" fontId="40" fillId="36" borderId="17" applyNumberFormat="0" applyAlignment="0" applyProtection="0"/>
    <xf numFmtId="0" fontId="40" fillId="36" borderId="17" applyNumberFormat="0" applyAlignment="0" applyProtection="0"/>
    <xf numFmtId="0" fontId="40" fillId="36" borderId="17" applyNumberFormat="0" applyAlignment="0" applyProtection="0"/>
    <xf numFmtId="0" fontId="40" fillId="36" borderId="17" applyNumberFormat="0" applyAlignment="0" applyProtection="0"/>
    <xf numFmtId="0" fontId="40" fillId="36" borderId="17" applyNumberFormat="0" applyAlignment="0" applyProtection="0"/>
    <xf numFmtId="0" fontId="40" fillId="36" borderId="17" applyNumberFormat="0" applyAlignment="0" applyProtection="0"/>
    <xf numFmtId="0" fontId="40" fillId="36" borderId="17" applyNumberFormat="0" applyAlignment="0" applyProtection="0"/>
    <xf numFmtId="0" fontId="40" fillId="36" borderId="17" applyNumberFormat="0" applyAlignment="0" applyProtection="0"/>
    <xf numFmtId="0" fontId="40" fillId="36" borderId="17" applyNumberFormat="0" applyAlignment="0" applyProtection="0"/>
    <xf numFmtId="0" fontId="40" fillId="36" borderId="17" applyNumberFormat="0" applyAlignment="0" applyProtection="0"/>
    <xf numFmtId="0" fontId="40" fillId="36" borderId="17" applyNumberFormat="0" applyAlignment="0" applyProtection="0"/>
    <xf numFmtId="0" fontId="40" fillId="36" borderId="17" applyNumberFormat="0" applyAlignment="0" applyProtection="0"/>
    <xf numFmtId="0" fontId="40" fillId="36" borderId="17" applyNumberFormat="0" applyAlignment="0" applyProtection="0"/>
    <xf numFmtId="0" fontId="40" fillId="36" borderId="17" applyNumberFormat="0" applyAlignment="0" applyProtection="0"/>
    <xf numFmtId="0" fontId="40" fillId="36" borderId="17" applyNumberFormat="0" applyAlignment="0" applyProtection="0"/>
    <xf numFmtId="0" fontId="40" fillId="36" borderId="17" applyNumberFormat="0" applyAlignment="0" applyProtection="0"/>
    <xf numFmtId="0" fontId="40" fillId="36" borderId="17" applyNumberFormat="0" applyAlignment="0" applyProtection="0"/>
    <xf numFmtId="49" fontId="2" fillId="31" borderId="18">
      <alignment vertical="top" wrapText="1"/>
    </xf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1" fillId="0" borderId="0" applyFont="0" applyFill="0" applyBorder="0" applyAlignment="0" applyProtection="0"/>
    <xf numFmtId="174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4" fontId="66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4" fontId="66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66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66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40" fontId="56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40" fontId="56" fillId="0" borderId="0" applyFont="0" applyFill="0" applyBorder="0" applyAlignment="0" applyProtection="0"/>
    <xf numFmtId="43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52" fillId="0" borderId="0" applyNumberFormat="0">
      <alignment horizontal="right"/>
    </xf>
    <xf numFmtId="44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53" fillId="33" borderId="19">
      <alignment horizontal="left" vertical="center" wrapText="1" indent="2"/>
    </xf>
    <xf numFmtId="0" fontId="53" fillId="0" borderId="19">
      <alignment horizontal="left" vertical="center" wrapText="1" indent="2"/>
    </xf>
    <xf numFmtId="0" fontId="53" fillId="32" borderId="12">
      <alignment horizontal="left" vertical="center"/>
    </xf>
    <xf numFmtId="0" fontId="52" fillId="0" borderId="20">
      <alignment horizontal="left" vertical="top" wrapText="1"/>
    </xf>
    <xf numFmtId="3" fontId="63" fillId="0" borderId="18">
      <alignment horizontal="right" vertical="top"/>
    </xf>
    <xf numFmtId="0" fontId="46" fillId="16" borderId="15" applyNumberFormat="0" applyAlignment="0" applyProtection="0"/>
    <xf numFmtId="0" fontId="68" fillId="0" borderId="21"/>
    <xf numFmtId="0" fontId="35" fillId="37" borderId="10">
      <alignment horizontal="centerContinuous" vertical="top" wrapText="1"/>
    </xf>
    <xf numFmtId="0" fontId="64" fillId="0" borderId="0">
      <alignment vertical="top" wrapText="1"/>
    </xf>
    <xf numFmtId="0" fontId="50" fillId="0" borderId="22" applyNumberFormat="0" applyFill="0" applyAlignment="0" applyProtection="0"/>
    <xf numFmtId="0" fontId="41" fillId="0" borderId="0" applyNumberFormat="0" applyFill="0" applyBorder="0" applyAlignment="0" applyProtection="0"/>
    <xf numFmtId="0" fontId="19" fillId="0" borderId="0">
      <alignment vertical="top"/>
    </xf>
    <xf numFmtId="175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81" fontId="66" fillId="0" borderId="0" applyFont="0" applyFill="0" applyBorder="0" applyAlignment="0" applyProtection="0"/>
    <xf numFmtId="175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1" fontId="66" fillId="0" borderId="0" applyFont="0" applyFill="0" applyBorder="0" applyAlignment="0" applyProtection="0"/>
    <xf numFmtId="175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1" fontId="66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11" fontId="2" fillId="0" borderId="0" applyFont="0" applyFill="0" applyBorder="0" applyAlignment="0" applyProtection="0"/>
    <xf numFmtId="11" fontId="2" fillId="0" borderId="0" applyFont="0" applyFill="0" applyBorder="0" applyAlignment="0" applyProtection="0"/>
    <xf numFmtId="11" fontId="2" fillId="0" borderId="0" applyFont="0" applyFill="0" applyBorder="0" applyAlignment="0" applyProtection="0"/>
    <xf numFmtId="11" fontId="2" fillId="0" borderId="0" applyFont="0" applyFill="0" applyBorder="0" applyAlignment="0" applyProtection="0"/>
    <xf numFmtId="11" fontId="2" fillId="0" borderId="0" applyFont="0" applyFill="0" applyBorder="0" applyAlignment="0" applyProtection="0"/>
    <xf numFmtId="11" fontId="66" fillId="0" borderId="0" applyFont="0" applyFill="0" applyBorder="0" applyAlignment="0" applyProtection="0"/>
    <xf numFmtId="11" fontId="66" fillId="0" borderId="0" applyFont="0" applyFill="0" applyBorder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42" fillId="17" borderId="0" applyNumberFormat="0" applyBorder="0" applyAlignment="0" applyProtection="0"/>
    <xf numFmtId="0" fontId="42" fillId="13" borderId="0" applyNumberFormat="0" applyBorder="0" applyAlignment="0" applyProtection="0"/>
    <xf numFmtId="0" fontId="71" fillId="6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72" fillId="6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42" fillId="17" borderId="0" applyNumberFormat="0" applyBorder="0" applyAlignment="0" applyProtection="0"/>
    <xf numFmtId="0" fontId="42" fillId="13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33" fillId="6" borderId="0" applyNumberFormat="0" applyBorder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57" fillId="0" borderId="24" applyNumberFormat="0" applyFill="0" applyAlignment="0" applyProtection="0"/>
    <xf numFmtId="0" fontId="43" fillId="0" borderId="23" applyNumberFormat="0" applyFill="0" applyAlignment="0" applyProtection="0"/>
    <xf numFmtId="0" fontId="57" fillId="0" borderId="24" applyNumberFormat="0" applyFill="0" applyAlignment="0" applyProtection="0"/>
    <xf numFmtId="0" fontId="57" fillId="0" borderId="24" applyNumberFormat="0" applyFill="0" applyAlignment="0" applyProtection="0"/>
    <xf numFmtId="0" fontId="57" fillId="0" borderId="24" applyNumberFormat="0" applyFill="0" applyAlignment="0" applyProtection="0"/>
    <xf numFmtId="0" fontId="57" fillId="0" borderId="24" applyNumberFormat="0" applyFill="0" applyAlignment="0" applyProtection="0"/>
    <xf numFmtId="0" fontId="57" fillId="0" borderId="24" applyNumberFormat="0" applyFill="0" applyAlignment="0" applyProtection="0"/>
    <xf numFmtId="0" fontId="57" fillId="0" borderId="24" applyNumberFormat="0" applyFill="0" applyAlignment="0" applyProtection="0"/>
    <xf numFmtId="0" fontId="57" fillId="0" borderId="24" applyNumberFormat="0" applyFill="0" applyAlignment="0" applyProtection="0"/>
    <xf numFmtId="0" fontId="57" fillId="0" borderId="24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57" fillId="0" borderId="24" applyNumberFormat="0" applyFill="0" applyAlignment="0" applyProtection="0"/>
    <xf numFmtId="0" fontId="43" fillId="0" borderId="23" applyNumberFormat="0" applyFill="0" applyAlignment="0" applyProtection="0"/>
    <xf numFmtId="0" fontId="57" fillId="0" borderId="24" applyNumberFormat="0" applyFill="0" applyAlignment="0" applyProtection="0"/>
    <xf numFmtId="0" fontId="57" fillId="0" borderId="24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4" fillId="0" borderId="25" applyNumberFormat="0" applyFill="0" applyAlignment="0" applyProtection="0"/>
    <xf numFmtId="0" fontId="44" fillId="0" borderId="25" applyNumberFormat="0" applyFill="0" applyAlignment="0" applyProtection="0"/>
    <xf numFmtId="0" fontId="44" fillId="0" borderId="25" applyNumberFormat="0" applyFill="0" applyAlignment="0" applyProtection="0"/>
    <xf numFmtId="0" fontId="44" fillId="0" borderId="25" applyNumberFormat="0" applyFill="0" applyAlignment="0" applyProtection="0"/>
    <xf numFmtId="0" fontId="44" fillId="0" borderId="25" applyNumberFormat="0" applyFill="0" applyAlignment="0" applyProtection="0"/>
    <xf numFmtId="0" fontId="44" fillId="0" borderId="25" applyNumberFormat="0" applyFill="0" applyAlignment="0" applyProtection="0"/>
    <xf numFmtId="0" fontId="44" fillId="0" borderId="25" applyNumberFormat="0" applyFill="0" applyAlignment="0" applyProtection="0"/>
    <xf numFmtId="0" fontId="44" fillId="0" borderId="25" applyNumberFormat="0" applyFill="0" applyAlignment="0" applyProtection="0"/>
    <xf numFmtId="0" fontId="44" fillId="0" borderId="25" applyNumberFormat="0" applyFill="0" applyAlignment="0" applyProtection="0"/>
    <xf numFmtId="0" fontId="44" fillId="0" borderId="25" applyNumberFormat="0" applyFill="0" applyAlignment="0" applyProtection="0"/>
    <xf numFmtId="0" fontId="44" fillId="0" borderId="25" applyNumberFormat="0" applyFill="0" applyAlignment="0" applyProtection="0"/>
    <xf numFmtId="0" fontId="58" fillId="0" borderId="26" applyNumberFormat="0" applyFill="0" applyAlignment="0" applyProtection="0"/>
    <xf numFmtId="0" fontId="44" fillId="0" borderId="25" applyNumberFormat="0" applyFill="0" applyAlignment="0" applyProtection="0"/>
    <xf numFmtId="0" fontId="58" fillId="0" borderId="26" applyNumberFormat="0" applyFill="0" applyAlignment="0" applyProtection="0"/>
    <xf numFmtId="0" fontId="58" fillId="0" borderId="26" applyNumberFormat="0" applyFill="0" applyAlignment="0" applyProtection="0"/>
    <xf numFmtId="0" fontId="58" fillId="0" borderId="26" applyNumberFormat="0" applyFill="0" applyAlignment="0" applyProtection="0"/>
    <xf numFmtId="0" fontId="58" fillId="0" borderId="26" applyNumberFormat="0" applyFill="0" applyAlignment="0" applyProtection="0"/>
    <xf numFmtId="0" fontId="58" fillId="0" borderId="26" applyNumberFormat="0" applyFill="0" applyAlignment="0" applyProtection="0"/>
    <xf numFmtId="0" fontId="58" fillId="0" borderId="26" applyNumberFormat="0" applyFill="0" applyAlignment="0" applyProtection="0"/>
    <xf numFmtId="0" fontId="58" fillId="0" borderId="26" applyNumberFormat="0" applyFill="0" applyAlignment="0" applyProtection="0"/>
    <xf numFmtId="0" fontId="58" fillId="0" borderId="26" applyNumberFormat="0" applyFill="0" applyAlignment="0" applyProtection="0"/>
    <xf numFmtId="0" fontId="44" fillId="0" borderId="25" applyNumberFormat="0" applyFill="0" applyAlignment="0" applyProtection="0"/>
    <xf numFmtId="0" fontId="44" fillId="0" borderId="25" applyNumberFormat="0" applyFill="0" applyAlignment="0" applyProtection="0"/>
    <xf numFmtId="0" fontId="44" fillId="0" borderId="25" applyNumberFormat="0" applyFill="0" applyAlignment="0" applyProtection="0"/>
    <xf numFmtId="0" fontId="44" fillId="0" borderId="25" applyNumberFormat="0" applyFill="0" applyAlignment="0" applyProtection="0"/>
    <xf numFmtId="0" fontId="44" fillId="0" borderId="25" applyNumberFormat="0" applyFill="0" applyAlignment="0" applyProtection="0"/>
    <xf numFmtId="0" fontId="44" fillId="0" borderId="25" applyNumberFormat="0" applyFill="0" applyAlignment="0" applyProtection="0"/>
    <xf numFmtId="0" fontId="44" fillId="0" borderId="25" applyNumberFormat="0" applyFill="0" applyAlignment="0" applyProtection="0"/>
    <xf numFmtId="0" fontId="44" fillId="0" borderId="25" applyNumberFormat="0" applyFill="0" applyAlignment="0" applyProtection="0"/>
    <xf numFmtId="0" fontId="44" fillId="0" borderId="25" applyNumberFormat="0" applyFill="0" applyAlignment="0" applyProtection="0"/>
    <xf numFmtId="0" fontId="44" fillId="0" borderId="25" applyNumberFormat="0" applyFill="0" applyAlignment="0" applyProtection="0"/>
    <xf numFmtId="0" fontId="58" fillId="0" borderId="26" applyNumberFormat="0" applyFill="0" applyAlignment="0" applyProtection="0"/>
    <xf numFmtId="0" fontId="44" fillId="0" borderId="25" applyNumberFormat="0" applyFill="0" applyAlignment="0" applyProtection="0"/>
    <xf numFmtId="0" fontId="58" fillId="0" borderId="26" applyNumberFormat="0" applyFill="0" applyAlignment="0" applyProtection="0"/>
    <xf numFmtId="0" fontId="58" fillId="0" borderId="26" applyNumberFormat="0" applyFill="0" applyAlignment="0" applyProtection="0"/>
    <xf numFmtId="0" fontId="44" fillId="0" borderId="25" applyNumberFormat="0" applyFill="0" applyAlignment="0" applyProtection="0"/>
    <xf numFmtId="0" fontId="44" fillId="0" borderId="25" applyNumberFormat="0" applyFill="0" applyAlignment="0" applyProtection="0"/>
    <xf numFmtId="0" fontId="44" fillId="0" borderId="25" applyNumberFormat="0" applyFill="0" applyAlignment="0" applyProtection="0"/>
    <xf numFmtId="0" fontId="44" fillId="0" borderId="25" applyNumberFormat="0" applyFill="0" applyAlignment="0" applyProtection="0"/>
    <xf numFmtId="0" fontId="44" fillId="0" borderId="25" applyNumberFormat="0" applyFill="0" applyAlignment="0" applyProtection="0"/>
    <xf numFmtId="0" fontId="44" fillId="0" borderId="25" applyNumberFormat="0" applyFill="0" applyAlignment="0" applyProtection="0"/>
    <xf numFmtId="0" fontId="44" fillId="0" borderId="25" applyNumberFormat="0" applyFill="0" applyAlignment="0" applyProtection="0"/>
    <xf numFmtId="0" fontId="44" fillId="0" borderId="25" applyNumberFormat="0" applyFill="0" applyAlignment="0" applyProtection="0"/>
    <xf numFmtId="0" fontId="44" fillId="0" borderId="25" applyNumberFormat="0" applyFill="0" applyAlignment="0" applyProtection="0"/>
    <xf numFmtId="0" fontId="44" fillId="0" borderId="25" applyNumberFormat="0" applyFill="0" applyAlignment="0" applyProtection="0"/>
    <xf numFmtId="0" fontId="44" fillId="0" borderId="25" applyNumberFormat="0" applyFill="0" applyAlignment="0" applyProtection="0"/>
    <xf numFmtId="0" fontId="44" fillId="0" borderId="25" applyNumberFormat="0" applyFill="0" applyAlignment="0" applyProtection="0"/>
    <xf numFmtId="0" fontId="44" fillId="0" borderId="25" applyNumberFormat="0" applyFill="0" applyAlignment="0" applyProtection="0"/>
    <xf numFmtId="0" fontId="44" fillId="0" borderId="25" applyNumberFormat="0" applyFill="0" applyAlignment="0" applyProtection="0"/>
    <xf numFmtId="0" fontId="44" fillId="0" borderId="25" applyNumberFormat="0" applyFill="0" applyAlignment="0" applyProtection="0"/>
    <xf numFmtId="0" fontId="44" fillId="0" borderId="25" applyNumberFormat="0" applyFill="0" applyAlignment="0" applyProtection="0"/>
    <xf numFmtId="0" fontId="44" fillId="0" borderId="25" applyNumberFormat="0" applyFill="0" applyAlignment="0" applyProtection="0"/>
    <xf numFmtId="0" fontId="44" fillId="0" borderId="25" applyNumberFormat="0" applyFill="0" applyAlignment="0" applyProtection="0"/>
    <xf numFmtId="0" fontId="44" fillId="0" borderId="25" applyNumberFormat="0" applyFill="0" applyAlignment="0" applyProtection="0"/>
    <xf numFmtId="0" fontId="44" fillId="0" borderId="25" applyNumberFormat="0" applyFill="0" applyAlignment="0" applyProtection="0"/>
    <xf numFmtId="0" fontId="44" fillId="0" borderId="25" applyNumberFormat="0" applyFill="0" applyAlignment="0" applyProtection="0"/>
    <xf numFmtId="0" fontId="44" fillId="0" borderId="25" applyNumberFormat="0" applyFill="0" applyAlignment="0" applyProtection="0"/>
    <xf numFmtId="0" fontId="45" fillId="0" borderId="27" applyNumberFormat="0" applyFill="0" applyAlignment="0" applyProtection="0"/>
    <xf numFmtId="0" fontId="45" fillId="0" borderId="27" applyNumberFormat="0" applyFill="0" applyAlignment="0" applyProtection="0"/>
    <xf numFmtId="0" fontId="45" fillId="0" borderId="27" applyNumberFormat="0" applyFill="0" applyAlignment="0" applyProtection="0"/>
    <xf numFmtId="0" fontId="45" fillId="0" borderId="27" applyNumberFormat="0" applyFill="0" applyAlignment="0" applyProtection="0"/>
    <xf numFmtId="0" fontId="45" fillId="0" borderId="27" applyNumberFormat="0" applyFill="0" applyAlignment="0" applyProtection="0"/>
    <xf numFmtId="0" fontId="45" fillId="0" borderId="27" applyNumberFormat="0" applyFill="0" applyAlignment="0" applyProtection="0"/>
    <xf numFmtId="0" fontId="45" fillId="0" borderId="27" applyNumberFormat="0" applyFill="0" applyAlignment="0" applyProtection="0"/>
    <xf numFmtId="0" fontId="45" fillId="0" borderId="27" applyNumberFormat="0" applyFill="0" applyAlignment="0" applyProtection="0"/>
    <xf numFmtId="0" fontId="45" fillId="0" borderId="27" applyNumberFormat="0" applyFill="0" applyAlignment="0" applyProtection="0"/>
    <xf numFmtId="0" fontId="45" fillId="0" borderId="27" applyNumberFormat="0" applyFill="0" applyAlignment="0" applyProtection="0"/>
    <xf numFmtId="0" fontId="45" fillId="0" borderId="27" applyNumberFormat="0" applyFill="0" applyAlignment="0" applyProtection="0"/>
    <xf numFmtId="0" fontId="59" fillId="0" borderId="28" applyNumberFormat="0" applyFill="0" applyAlignment="0" applyProtection="0"/>
    <xf numFmtId="0" fontId="45" fillId="0" borderId="27" applyNumberFormat="0" applyFill="0" applyAlignment="0" applyProtection="0"/>
    <xf numFmtId="0" fontId="59" fillId="0" borderId="28" applyNumberFormat="0" applyFill="0" applyAlignment="0" applyProtection="0"/>
    <xf numFmtId="0" fontId="59" fillId="0" borderId="28" applyNumberFormat="0" applyFill="0" applyAlignment="0" applyProtection="0"/>
    <xf numFmtId="0" fontId="59" fillId="0" borderId="28" applyNumberFormat="0" applyFill="0" applyAlignment="0" applyProtection="0"/>
    <xf numFmtId="0" fontId="59" fillId="0" borderId="28" applyNumberFormat="0" applyFill="0" applyAlignment="0" applyProtection="0"/>
    <xf numFmtId="0" fontId="59" fillId="0" borderId="28" applyNumberFormat="0" applyFill="0" applyAlignment="0" applyProtection="0"/>
    <xf numFmtId="0" fontId="59" fillId="0" borderId="28" applyNumberFormat="0" applyFill="0" applyAlignment="0" applyProtection="0"/>
    <xf numFmtId="0" fontId="59" fillId="0" borderId="28" applyNumberFormat="0" applyFill="0" applyAlignment="0" applyProtection="0"/>
    <xf numFmtId="0" fontId="59" fillId="0" borderId="28" applyNumberFormat="0" applyFill="0" applyAlignment="0" applyProtection="0"/>
    <xf numFmtId="0" fontId="45" fillId="0" borderId="27" applyNumberFormat="0" applyFill="0" applyAlignment="0" applyProtection="0"/>
    <xf numFmtId="0" fontId="45" fillId="0" borderId="27" applyNumberFormat="0" applyFill="0" applyAlignment="0" applyProtection="0"/>
    <xf numFmtId="0" fontId="45" fillId="0" borderId="27" applyNumberFormat="0" applyFill="0" applyAlignment="0" applyProtection="0"/>
    <xf numFmtId="0" fontId="45" fillId="0" borderId="27" applyNumberFormat="0" applyFill="0" applyAlignment="0" applyProtection="0"/>
    <xf numFmtId="0" fontId="45" fillId="0" borderId="27" applyNumberFormat="0" applyFill="0" applyAlignment="0" applyProtection="0"/>
    <xf numFmtId="0" fontId="45" fillId="0" borderId="27" applyNumberFormat="0" applyFill="0" applyAlignment="0" applyProtection="0"/>
    <xf numFmtId="0" fontId="45" fillId="0" borderId="27" applyNumberFormat="0" applyFill="0" applyAlignment="0" applyProtection="0"/>
    <xf numFmtId="0" fontId="45" fillId="0" borderId="27" applyNumberFormat="0" applyFill="0" applyAlignment="0" applyProtection="0"/>
    <xf numFmtId="0" fontId="45" fillId="0" borderId="27" applyNumberFormat="0" applyFill="0" applyAlignment="0" applyProtection="0"/>
    <xf numFmtId="0" fontId="45" fillId="0" borderId="27" applyNumberFormat="0" applyFill="0" applyAlignment="0" applyProtection="0"/>
    <xf numFmtId="0" fontId="59" fillId="0" borderId="28" applyNumberFormat="0" applyFill="0" applyAlignment="0" applyProtection="0"/>
    <xf numFmtId="0" fontId="45" fillId="0" borderId="27" applyNumberFormat="0" applyFill="0" applyAlignment="0" applyProtection="0"/>
    <xf numFmtId="0" fontId="59" fillId="0" borderId="28" applyNumberFormat="0" applyFill="0" applyAlignment="0" applyProtection="0"/>
    <xf numFmtId="0" fontId="59" fillId="0" borderId="28" applyNumberFormat="0" applyFill="0" applyAlignment="0" applyProtection="0"/>
    <xf numFmtId="0" fontId="45" fillId="0" borderId="27" applyNumberFormat="0" applyFill="0" applyAlignment="0" applyProtection="0"/>
    <xf numFmtId="0" fontId="45" fillId="0" borderId="27" applyNumberFormat="0" applyFill="0" applyAlignment="0" applyProtection="0"/>
    <xf numFmtId="0" fontId="45" fillId="0" borderId="27" applyNumberFormat="0" applyFill="0" applyAlignment="0" applyProtection="0"/>
    <xf numFmtId="0" fontId="45" fillId="0" borderId="27" applyNumberFormat="0" applyFill="0" applyAlignment="0" applyProtection="0"/>
    <xf numFmtId="0" fontId="45" fillId="0" borderId="27" applyNumberFormat="0" applyFill="0" applyAlignment="0" applyProtection="0"/>
    <xf numFmtId="0" fontId="45" fillId="0" borderId="27" applyNumberFormat="0" applyFill="0" applyAlignment="0" applyProtection="0"/>
    <xf numFmtId="0" fontId="45" fillId="0" borderId="27" applyNumberFormat="0" applyFill="0" applyAlignment="0" applyProtection="0"/>
    <xf numFmtId="0" fontId="45" fillId="0" borderId="27" applyNumberFormat="0" applyFill="0" applyAlignment="0" applyProtection="0"/>
    <xf numFmtId="0" fontId="45" fillId="0" borderId="27" applyNumberFormat="0" applyFill="0" applyAlignment="0" applyProtection="0"/>
    <xf numFmtId="0" fontId="45" fillId="0" borderId="27" applyNumberFormat="0" applyFill="0" applyAlignment="0" applyProtection="0"/>
    <xf numFmtId="0" fontId="45" fillId="0" borderId="27" applyNumberFormat="0" applyFill="0" applyAlignment="0" applyProtection="0"/>
    <xf numFmtId="0" fontId="45" fillId="0" borderId="27" applyNumberFormat="0" applyFill="0" applyAlignment="0" applyProtection="0"/>
    <xf numFmtId="0" fontId="45" fillId="0" borderId="27" applyNumberFormat="0" applyFill="0" applyAlignment="0" applyProtection="0"/>
    <xf numFmtId="0" fontId="45" fillId="0" borderId="27" applyNumberFormat="0" applyFill="0" applyAlignment="0" applyProtection="0"/>
    <xf numFmtId="0" fontId="45" fillId="0" borderId="27" applyNumberFormat="0" applyFill="0" applyAlignment="0" applyProtection="0"/>
    <xf numFmtId="0" fontId="45" fillId="0" borderId="27" applyNumberFormat="0" applyFill="0" applyAlignment="0" applyProtection="0"/>
    <xf numFmtId="0" fontId="45" fillId="0" borderId="27" applyNumberFormat="0" applyFill="0" applyAlignment="0" applyProtection="0"/>
    <xf numFmtId="0" fontId="45" fillId="0" borderId="27" applyNumberFormat="0" applyFill="0" applyAlignment="0" applyProtection="0"/>
    <xf numFmtId="0" fontId="45" fillId="0" borderId="27" applyNumberFormat="0" applyFill="0" applyAlignment="0" applyProtection="0"/>
    <xf numFmtId="0" fontId="45" fillId="0" borderId="27" applyNumberFormat="0" applyFill="0" applyAlignment="0" applyProtection="0"/>
    <xf numFmtId="0" fontId="45" fillId="0" borderId="27" applyNumberFormat="0" applyFill="0" applyAlignment="0" applyProtection="0"/>
    <xf numFmtId="0" fontId="45" fillId="0" borderId="27" applyNumberFormat="0" applyFill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/>
    <xf numFmtId="0" fontId="46" fillId="16" borderId="15" applyNumberFormat="0" applyAlignment="0" applyProtection="0"/>
    <xf numFmtId="0" fontId="46" fillId="16" borderId="15" applyNumberFormat="0" applyAlignment="0" applyProtection="0"/>
    <xf numFmtId="0" fontId="46" fillId="16" borderId="15" applyNumberFormat="0" applyAlignment="0" applyProtection="0"/>
    <xf numFmtId="0" fontId="46" fillId="16" borderId="15" applyNumberFormat="0" applyAlignment="0" applyProtection="0"/>
    <xf numFmtId="0" fontId="46" fillId="16" borderId="15" applyNumberFormat="0" applyAlignment="0" applyProtection="0"/>
    <xf numFmtId="0" fontId="46" fillId="16" borderId="15" applyNumberFormat="0" applyAlignment="0" applyProtection="0"/>
    <xf numFmtId="0" fontId="46" fillId="16" borderId="15" applyNumberFormat="0" applyAlignment="0" applyProtection="0"/>
    <xf numFmtId="0" fontId="46" fillId="16" borderId="15" applyNumberFormat="0" applyAlignment="0" applyProtection="0"/>
    <xf numFmtId="0" fontId="46" fillId="16" borderId="15" applyNumberFormat="0" applyAlignment="0" applyProtection="0"/>
    <xf numFmtId="0" fontId="46" fillId="16" borderId="15" applyNumberFormat="0" applyAlignment="0" applyProtection="0"/>
    <xf numFmtId="0" fontId="46" fillId="16" borderId="15" applyNumberFormat="0" applyAlignment="0" applyProtection="0"/>
    <xf numFmtId="0" fontId="46" fillId="19" borderId="15" applyNumberFormat="0" applyAlignment="0" applyProtection="0"/>
    <xf numFmtId="0" fontId="46" fillId="16" borderId="15" applyNumberFormat="0" applyAlignment="0" applyProtection="0"/>
    <xf numFmtId="0" fontId="73" fillId="19" borderId="3" applyNumberFormat="0" applyAlignment="0" applyProtection="0"/>
    <xf numFmtId="0" fontId="46" fillId="19" borderId="15" applyNumberFormat="0" applyAlignment="0" applyProtection="0"/>
    <xf numFmtId="0" fontId="46" fillId="19" borderId="15" applyNumberFormat="0" applyAlignment="0" applyProtection="0"/>
    <xf numFmtId="0" fontId="46" fillId="16" borderId="15" applyNumberFormat="0" applyAlignment="0" applyProtection="0"/>
    <xf numFmtId="0" fontId="46" fillId="19" borderId="15" applyNumberFormat="0" applyAlignment="0" applyProtection="0"/>
    <xf numFmtId="0" fontId="46" fillId="19" borderId="15" applyNumberFormat="0" applyAlignment="0" applyProtection="0"/>
    <xf numFmtId="0" fontId="46" fillId="16" borderId="15" applyNumberFormat="0" applyAlignment="0" applyProtection="0"/>
    <xf numFmtId="0" fontId="73" fillId="3" borderId="3" applyNumberFormat="0" applyAlignment="0" applyProtection="0"/>
    <xf numFmtId="0" fontId="46" fillId="19" borderId="15" applyNumberFormat="0" applyAlignment="0" applyProtection="0"/>
    <xf numFmtId="0" fontId="46" fillId="19" borderId="15" applyNumberFormat="0" applyAlignment="0" applyProtection="0"/>
    <xf numFmtId="0" fontId="46" fillId="19" borderId="15" applyNumberFormat="0" applyAlignment="0" applyProtection="0"/>
    <xf numFmtId="0" fontId="46" fillId="19" borderId="15" applyNumberFormat="0" applyAlignment="0" applyProtection="0"/>
    <xf numFmtId="0" fontId="46" fillId="19" borderId="15" applyNumberFormat="0" applyAlignment="0" applyProtection="0"/>
    <xf numFmtId="0" fontId="46" fillId="19" borderId="15" applyNumberFormat="0" applyAlignment="0" applyProtection="0"/>
    <xf numFmtId="0" fontId="46" fillId="16" borderId="15" applyNumberFormat="0" applyAlignment="0" applyProtection="0"/>
    <xf numFmtId="0" fontId="46" fillId="16" borderId="15" applyNumberFormat="0" applyAlignment="0" applyProtection="0"/>
    <xf numFmtId="0" fontId="46" fillId="16" borderId="15" applyNumberFormat="0" applyAlignment="0" applyProtection="0"/>
    <xf numFmtId="0" fontId="46" fillId="16" borderId="15" applyNumberFormat="0" applyAlignment="0" applyProtection="0"/>
    <xf numFmtId="0" fontId="46" fillId="16" borderId="15" applyNumberFormat="0" applyAlignment="0" applyProtection="0"/>
    <xf numFmtId="0" fontId="46" fillId="16" borderId="15" applyNumberFormat="0" applyAlignment="0" applyProtection="0"/>
    <xf numFmtId="0" fontId="46" fillId="16" borderId="15" applyNumberFormat="0" applyAlignment="0" applyProtection="0"/>
    <xf numFmtId="0" fontId="46" fillId="16" borderId="15" applyNumberFormat="0" applyAlignment="0" applyProtection="0"/>
    <xf numFmtId="0" fontId="46" fillId="16" borderId="15" applyNumberFormat="0" applyAlignment="0" applyProtection="0"/>
    <xf numFmtId="0" fontId="46" fillId="16" borderId="15" applyNumberFormat="0" applyAlignment="0" applyProtection="0"/>
    <xf numFmtId="0" fontId="46" fillId="16" borderId="15" applyNumberFormat="0" applyAlignment="0" applyProtection="0"/>
    <xf numFmtId="0" fontId="46" fillId="19" borderId="15" applyNumberFormat="0" applyAlignment="0" applyProtection="0"/>
    <xf numFmtId="0" fontId="46" fillId="16" borderId="15" applyNumberFormat="0" applyAlignment="0" applyProtection="0"/>
    <xf numFmtId="0" fontId="46" fillId="16" borderId="15" applyNumberFormat="0" applyAlignment="0" applyProtection="0"/>
    <xf numFmtId="0" fontId="46" fillId="19" borderId="15" applyNumberFormat="0" applyAlignment="0" applyProtection="0"/>
    <xf numFmtId="0" fontId="46" fillId="19" borderId="15" applyNumberFormat="0" applyAlignment="0" applyProtection="0"/>
    <xf numFmtId="0" fontId="46" fillId="16" borderId="15" applyNumberFormat="0" applyAlignment="0" applyProtection="0"/>
    <xf numFmtId="0" fontId="46" fillId="16" borderId="15" applyNumberFormat="0" applyAlignment="0" applyProtection="0"/>
    <xf numFmtId="0" fontId="46" fillId="16" borderId="15" applyNumberFormat="0" applyAlignment="0" applyProtection="0"/>
    <xf numFmtId="0" fontId="46" fillId="16" borderId="15" applyNumberFormat="0" applyAlignment="0" applyProtection="0"/>
    <xf numFmtId="0" fontId="46" fillId="16" borderId="15" applyNumberFormat="0" applyAlignment="0" applyProtection="0"/>
    <xf numFmtId="0" fontId="46" fillId="16" borderId="15" applyNumberFormat="0" applyAlignment="0" applyProtection="0"/>
    <xf numFmtId="0" fontId="46" fillId="16" borderId="15" applyNumberFormat="0" applyAlignment="0" applyProtection="0"/>
    <xf numFmtId="0" fontId="46" fillId="16" borderId="15" applyNumberFormat="0" applyAlignment="0" applyProtection="0"/>
    <xf numFmtId="0" fontId="46" fillId="16" borderId="15" applyNumberFormat="0" applyAlignment="0" applyProtection="0"/>
    <xf numFmtId="0" fontId="46" fillId="16" borderId="15" applyNumberFormat="0" applyAlignment="0" applyProtection="0"/>
    <xf numFmtId="0" fontId="46" fillId="16" borderId="15" applyNumberFormat="0" applyAlignment="0" applyProtection="0"/>
    <xf numFmtId="0" fontId="46" fillId="16" borderId="15" applyNumberFormat="0" applyAlignment="0" applyProtection="0"/>
    <xf numFmtId="0" fontId="46" fillId="16" borderId="15" applyNumberFormat="0" applyAlignment="0" applyProtection="0"/>
    <xf numFmtId="0" fontId="46" fillId="16" borderId="15" applyNumberFormat="0" applyAlignment="0" applyProtection="0"/>
    <xf numFmtId="0" fontId="46" fillId="16" borderId="15" applyNumberFormat="0" applyAlignment="0" applyProtection="0"/>
    <xf numFmtId="0" fontId="46" fillId="16" borderId="15" applyNumberFormat="0" applyAlignment="0" applyProtection="0"/>
    <xf numFmtId="0" fontId="46" fillId="16" borderId="15" applyNumberFormat="0" applyAlignment="0" applyProtection="0"/>
    <xf numFmtId="0" fontId="46" fillId="16" borderId="15" applyNumberFormat="0" applyAlignment="0" applyProtection="0"/>
    <xf numFmtId="0" fontId="46" fillId="16" borderId="15" applyNumberFormat="0" applyAlignment="0" applyProtection="0"/>
    <xf numFmtId="0" fontId="46" fillId="16" borderId="15" applyNumberFormat="0" applyAlignment="0" applyProtection="0"/>
    <xf numFmtId="0" fontId="46" fillId="16" borderId="15" applyNumberFormat="0" applyAlignment="0" applyProtection="0"/>
    <xf numFmtId="0" fontId="46" fillId="16" borderId="15" applyNumberFormat="0" applyAlignment="0" applyProtection="0"/>
    <xf numFmtId="0" fontId="46" fillId="16" borderId="15" applyNumberFormat="0" applyAlignment="0" applyProtection="0"/>
    <xf numFmtId="4" fontId="53" fillId="0" borderId="0" applyBorder="0">
      <alignment horizontal="right" vertical="center"/>
    </xf>
    <xf numFmtId="0" fontId="53" fillId="0" borderId="10">
      <alignment horizontal="right" vertical="center"/>
    </xf>
    <xf numFmtId="1" fontId="69" fillId="32" borderId="0" applyBorder="0">
      <alignment horizontal="right" vertical="center"/>
    </xf>
    <xf numFmtId="0" fontId="65" fillId="0" borderId="0"/>
    <xf numFmtId="0" fontId="47" fillId="0" borderId="29" applyNumberFormat="0" applyFill="0" applyAlignment="0" applyProtection="0"/>
    <xf numFmtId="0" fontId="47" fillId="0" borderId="29" applyNumberFormat="0" applyFill="0" applyAlignment="0" applyProtection="0"/>
    <xf numFmtId="0" fontId="47" fillId="0" borderId="29" applyNumberFormat="0" applyFill="0" applyAlignment="0" applyProtection="0"/>
    <xf numFmtId="0" fontId="47" fillId="0" borderId="29" applyNumberFormat="0" applyFill="0" applyAlignment="0" applyProtection="0"/>
    <xf numFmtId="0" fontId="47" fillId="0" borderId="29" applyNumberFormat="0" applyFill="0" applyAlignment="0" applyProtection="0"/>
    <xf numFmtId="0" fontId="47" fillId="0" borderId="29" applyNumberFormat="0" applyFill="0" applyAlignment="0" applyProtection="0"/>
    <xf numFmtId="0" fontId="47" fillId="0" borderId="29" applyNumberFormat="0" applyFill="0" applyAlignment="0" applyProtection="0"/>
    <xf numFmtId="0" fontId="47" fillId="0" borderId="29" applyNumberFormat="0" applyFill="0" applyAlignment="0" applyProtection="0"/>
    <xf numFmtId="0" fontId="47" fillId="0" borderId="29" applyNumberFormat="0" applyFill="0" applyAlignment="0" applyProtection="0"/>
    <xf numFmtId="0" fontId="47" fillId="0" borderId="29" applyNumberFormat="0" applyFill="0" applyAlignment="0" applyProtection="0"/>
    <xf numFmtId="0" fontId="47" fillId="0" borderId="29" applyNumberFormat="0" applyFill="0" applyAlignment="0" applyProtection="0"/>
    <xf numFmtId="0" fontId="51" fillId="0" borderId="30" applyNumberFormat="0" applyFill="0" applyAlignment="0" applyProtection="0"/>
    <xf numFmtId="0" fontId="47" fillId="0" borderId="29" applyNumberFormat="0" applyFill="0" applyAlignment="0" applyProtection="0"/>
    <xf numFmtId="0" fontId="51" fillId="0" borderId="30" applyNumberFormat="0" applyFill="0" applyAlignment="0" applyProtection="0"/>
    <xf numFmtId="0" fontId="51" fillId="0" borderId="30" applyNumberFormat="0" applyFill="0" applyAlignment="0" applyProtection="0"/>
    <xf numFmtId="0" fontId="51" fillId="0" borderId="30" applyNumberFormat="0" applyFill="0" applyAlignment="0" applyProtection="0"/>
    <xf numFmtId="0" fontId="51" fillId="0" borderId="30" applyNumberFormat="0" applyFill="0" applyAlignment="0" applyProtection="0"/>
    <xf numFmtId="0" fontId="51" fillId="0" borderId="30" applyNumberFormat="0" applyFill="0" applyAlignment="0" applyProtection="0"/>
    <xf numFmtId="0" fontId="51" fillId="0" borderId="30" applyNumberFormat="0" applyFill="0" applyAlignment="0" applyProtection="0"/>
    <xf numFmtId="0" fontId="51" fillId="0" borderId="30" applyNumberFormat="0" applyFill="0" applyAlignment="0" applyProtection="0"/>
    <xf numFmtId="0" fontId="51" fillId="0" borderId="30" applyNumberFormat="0" applyFill="0" applyAlignment="0" applyProtection="0"/>
    <xf numFmtId="0" fontId="47" fillId="0" borderId="29" applyNumberFormat="0" applyFill="0" applyAlignment="0" applyProtection="0"/>
    <xf numFmtId="0" fontId="47" fillId="0" borderId="29" applyNumberFormat="0" applyFill="0" applyAlignment="0" applyProtection="0"/>
    <xf numFmtId="0" fontId="47" fillId="0" borderId="29" applyNumberFormat="0" applyFill="0" applyAlignment="0" applyProtection="0"/>
    <xf numFmtId="0" fontId="47" fillId="0" borderId="29" applyNumberFormat="0" applyFill="0" applyAlignment="0" applyProtection="0"/>
    <xf numFmtId="0" fontId="47" fillId="0" borderId="29" applyNumberFormat="0" applyFill="0" applyAlignment="0" applyProtection="0"/>
    <xf numFmtId="0" fontId="47" fillId="0" borderId="29" applyNumberFormat="0" applyFill="0" applyAlignment="0" applyProtection="0"/>
    <xf numFmtId="0" fontId="47" fillId="0" borderId="29" applyNumberFormat="0" applyFill="0" applyAlignment="0" applyProtection="0"/>
    <xf numFmtId="0" fontId="47" fillId="0" borderId="29" applyNumberFormat="0" applyFill="0" applyAlignment="0" applyProtection="0"/>
    <xf numFmtId="0" fontId="47" fillId="0" borderId="29" applyNumberFormat="0" applyFill="0" applyAlignment="0" applyProtection="0"/>
    <xf numFmtId="0" fontId="47" fillId="0" borderId="29" applyNumberFormat="0" applyFill="0" applyAlignment="0" applyProtection="0"/>
    <xf numFmtId="0" fontId="51" fillId="0" borderId="30" applyNumberFormat="0" applyFill="0" applyAlignment="0" applyProtection="0"/>
    <xf numFmtId="0" fontId="47" fillId="0" borderId="29" applyNumberFormat="0" applyFill="0" applyAlignment="0" applyProtection="0"/>
    <xf numFmtId="0" fontId="51" fillId="0" borderId="30" applyNumberFormat="0" applyFill="0" applyAlignment="0" applyProtection="0"/>
    <xf numFmtId="0" fontId="51" fillId="0" borderId="30" applyNumberFormat="0" applyFill="0" applyAlignment="0" applyProtection="0"/>
    <xf numFmtId="0" fontId="47" fillId="0" borderId="29" applyNumberFormat="0" applyFill="0" applyAlignment="0" applyProtection="0"/>
    <xf numFmtId="0" fontId="47" fillId="0" borderId="29" applyNumberFormat="0" applyFill="0" applyAlignment="0" applyProtection="0"/>
    <xf numFmtId="0" fontId="47" fillId="0" borderId="29" applyNumberFormat="0" applyFill="0" applyAlignment="0" applyProtection="0"/>
    <xf numFmtId="0" fontId="47" fillId="0" borderId="29" applyNumberFormat="0" applyFill="0" applyAlignment="0" applyProtection="0"/>
    <xf numFmtId="0" fontId="47" fillId="0" borderId="29" applyNumberFormat="0" applyFill="0" applyAlignment="0" applyProtection="0"/>
    <xf numFmtId="0" fontId="47" fillId="0" borderId="29" applyNumberFormat="0" applyFill="0" applyAlignment="0" applyProtection="0"/>
    <xf numFmtId="0" fontId="47" fillId="0" borderId="29" applyNumberFormat="0" applyFill="0" applyAlignment="0" applyProtection="0"/>
    <xf numFmtId="0" fontId="47" fillId="0" borderId="29" applyNumberFormat="0" applyFill="0" applyAlignment="0" applyProtection="0"/>
    <xf numFmtId="0" fontId="47" fillId="0" borderId="29" applyNumberFormat="0" applyFill="0" applyAlignment="0" applyProtection="0"/>
    <xf numFmtId="0" fontId="47" fillId="0" borderId="29" applyNumberFormat="0" applyFill="0" applyAlignment="0" applyProtection="0"/>
    <xf numFmtId="0" fontId="47" fillId="0" borderId="29" applyNumberFormat="0" applyFill="0" applyAlignment="0" applyProtection="0"/>
    <xf numFmtId="0" fontId="47" fillId="0" borderId="29" applyNumberFormat="0" applyFill="0" applyAlignment="0" applyProtection="0"/>
    <xf numFmtId="0" fontId="47" fillId="0" borderId="29" applyNumberFormat="0" applyFill="0" applyAlignment="0" applyProtection="0"/>
    <xf numFmtId="0" fontId="47" fillId="0" borderId="29" applyNumberFormat="0" applyFill="0" applyAlignment="0" applyProtection="0"/>
    <xf numFmtId="0" fontId="47" fillId="0" borderId="29" applyNumberFormat="0" applyFill="0" applyAlignment="0" applyProtection="0"/>
    <xf numFmtId="0" fontId="47" fillId="0" borderId="29" applyNumberFormat="0" applyFill="0" applyAlignment="0" applyProtection="0"/>
    <xf numFmtId="0" fontId="47" fillId="0" borderId="29" applyNumberFormat="0" applyFill="0" applyAlignment="0" applyProtection="0"/>
    <xf numFmtId="0" fontId="47" fillId="0" borderId="29" applyNumberFormat="0" applyFill="0" applyAlignment="0" applyProtection="0"/>
    <xf numFmtId="0" fontId="47" fillId="0" borderId="29" applyNumberFormat="0" applyFill="0" applyAlignment="0" applyProtection="0"/>
    <xf numFmtId="0" fontId="47" fillId="0" borderId="29" applyNumberFormat="0" applyFill="0" applyAlignment="0" applyProtection="0"/>
    <xf numFmtId="0" fontId="47" fillId="0" borderId="29" applyNumberFormat="0" applyFill="0" applyAlignment="0" applyProtection="0"/>
    <xf numFmtId="0" fontId="47" fillId="0" borderId="29" applyNumberFormat="0" applyFill="0" applyAlignment="0" applyProtection="0"/>
    <xf numFmtId="173" fontId="2" fillId="0" borderId="0" applyFont="0" applyFill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60" fillId="19" borderId="0" applyNumberFormat="0" applyBorder="0" applyAlignment="0" applyProtection="0"/>
    <xf numFmtId="0" fontId="48" fillId="19" borderId="0" applyNumberFormat="0" applyBorder="0" applyAlignment="0" applyProtection="0"/>
    <xf numFmtId="0" fontId="60" fillId="19" borderId="0" applyNumberFormat="0" applyBorder="0" applyAlignment="0" applyProtection="0"/>
    <xf numFmtId="0" fontId="60" fillId="19" borderId="0" applyNumberFormat="0" applyBorder="0" applyAlignment="0" applyProtection="0"/>
    <xf numFmtId="0" fontId="60" fillId="19" borderId="0" applyNumberFormat="0" applyBorder="0" applyAlignment="0" applyProtection="0"/>
    <xf numFmtId="0" fontId="60" fillId="19" borderId="0" applyNumberFormat="0" applyBorder="0" applyAlignment="0" applyProtection="0"/>
    <xf numFmtId="0" fontId="60" fillId="19" borderId="0" applyNumberFormat="0" applyBorder="0" applyAlignment="0" applyProtection="0"/>
    <xf numFmtId="0" fontId="60" fillId="19" borderId="0" applyNumberFormat="0" applyBorder="0" applyAlignment="0" applyProtection="0"/>
    <xf numFmtId="0" fontId="60" fillId="19" borderId="0" applyNumberFormat="0" applyBorder="0" applyAlignment="0" applyProtection="0"/>
    <xf numFmtId="0" fontId="60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60" fillId="19" borderId="0" applyNumberFormat="0" applyBorder="0" applyAlignment="0" applyProtection="0"/>
    <xf numFmtId="0" fontId="48" fillId="19" borderId="0" applyNumberFormat="0" applyBorder="0" applyAlignment="0" applyProtection="0"/>
    <xf numFmtId="0" fontId="60" fillId="19" borderId="0" applyNumberFormat="0" applyBorder="0" applyAlignment="0" applyProtection="0"/>
    <xf numFmtId="0" fontId="62" fillId="19" borderId="0" applyNumberFormat="0" applyBorder="0" applyAlignment="0" applyProtection="0"/>
    <xf numFmtId="0" fontId="75" fillId="7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60" fillId="19" borderId="0" applyNumberFormat="0" applyBorder="0" applyAlignment="0" applyProtection="0"/>
    <xf numFmtId="0" fontId="62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74" fillId="7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2" fillId="0" borderId="0"/>
    <xf numFmtId="0" fontId="2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5" fontId="61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5" fontId="61" fillId="0" borderId="0">
      <alignment vertical="center"/>
    </xf>
    <xf numFmtId="5" fontId="61" fillId="0" borderId="0">
      <alignment vertical="center"/>
    </xf>
    <xf numFmtId="5" fontId="61" fillId="0" borderId="0">
      <alignment vertical="center"/>
    </xf>
    <xf numFmtId="5" fontId="61" fillId="0" borderId="0">
      <alignment vertical="center"/>
    </xf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</cellStyleXfs>
  <cellXfs count="65">
    <xf numFmtId="0" fontId="0" fillId="0" borderId="0" xfId="0"/>
    <xf numFmtId="1" fontId="0" fillId="0" borderId="0" xfId="0" applyNumberFormat="1"/>
    <xf numFmtId="0" fontId="0" fillId="0" borderId="0" xfId="0"/>
    <xf numFmtId="0" fontId="16" fillId="0" borderId="0" xfId="0" applyFont="1"/>
    <xf numFmtId="0" fontId="8" fillId="0" borderId="0" xfId="0" applyFont="1"/>
    <xf numFmtId="1" fontId="0" fillId="0" borderId="0" xfId="0" applyNumberFormat="1"/>
    <xf numFmtId="0" fontId="0" fillId="0" borderId="0" xfId="0" applyAlignment="1">
      <alignment horizontal="right"/>
    </xf>
    <xf numFmtId="0" fontId="17" fillId="0" borderId="0" xfId="0" applyFont="1"/>
    <xf numFmtId="2" fontId="0" fillId="0" borderId="0" xfId="0" applyNumberFormat="1"/>
    <xf numFmtId="165" fontId="0" fillId="0" borderId="0" xfId="0" applyNumberFormat="1"/>
    <xf numFmtId="9" fontId="7" fillId="0" borderId="0" xfId="20" applyFont="1"/>
    <xf numFmtId="0" fontId="2" fillId="0" borderId="0" xfId="16"/>
    <xf numFmtId="0" fontId="0" fillId="0" borderId="0" xfId="0"/>
    <xf numFmtId="165" fontId="0" fillId="0" borderId="0" xfId="0" applyNumberFormat="1"/>
    <xf numFmtId="2" fontId="7" fillId="0" borderId="0" xfId="20" applyNumberFormat="1" applyFont="1"/>
    <xf numFmtId="1" fontId="7" fillId="0" borderId="0" xfId="20" applyNumberFormat="1" applyFont="1"/>
    <xf numFmtId="0" fontId="18" fillId="0" borderId="0" xfId="0" applyFont="1"/>
    <xf numFmtId="0" fontId="0" fillId="0" borderId="0" xfId="0" applyAlignment="1">
      <alignment wrapText="1"/>
    </xf>
    <xf numFmtId="0" fontId="1" fillId="0" borderId="1" xfId="26" applyFont="1" applyFill="1" applyBorder="1" applyAlignment="1">
      <alignment horizontal="right" wrapText="1"/>
    </xf>
    <xf numFmtId="1" fontId="21" fillId="0" borderId="1" xfId="27" applyNumberFormat="1" applyFont="1" applyFill="1" applyBorder="1" applyAlignment="1">
      <alignment horizontal="right" wrapText="1"/>
    </xf>
    <xf numFmtId="0" fontId="0" fillId="0" borderId="0" xfId="0" applyAlignment="1">
      <alignment horizontal="center" wrapText="1"/>
    </xf>
    <xf numFmtId="1" fontId="1" fillId="0" borderId="1" xfId="28" applyNumberFormat="1" applyFont="1" applyFill="1" applyBorder="1" applyAlignment="1">
      <alignment horizontal="right" wrapText="1"/>
    </xf>
    <xf numFmtId="2" fontId="9" fillId="2" borderId="0" xfId="1" applyNumberFormat="1"/>
    <xf numFmtId="0" fontId="15" fillId="0" borderId="0" xfId="0" applyFont="1"/>
    <xf numFmtId="0" fontId="22" fillId="2" borderId="0" xfId="1" applyFont="1"/>
    <xf numFmtId="0" fontId="12" fillId="3" borderId="3" xfId="13"/>
    <xf numFmtId="0" fontId="0" fillId="0" borderId="0" xfId="0"/>
    <xf numFmtId="0" fontId="17" fillId="0" borderId="0" xfId="0" applyFont="1"/>
    <xf numFmtId="2" fontId="0" fillId="0" borderId="0" xfId="0" applyNumberFormat="1"/>
    <xf numFmtId="0" fontId="2" fillId="0" borderId="0" xfId="16"/>
    <xf numFmtId="2" fontId="0" fillId="0" borderId="0" xfId="0" applyNumberFormat="1"/>
    <xf numFmtId="0" fontId="0" fillId="0" borderId="0" xfId="0"/>
    <xf numFmtId="0" fontId="0" fillId="0" borderId="0" xfId="0"/>
    <xf numFmtId="2" fontId="0" fillId="0" borderId="0" xfId="0" applyNumberFormat="1"/>
    <xf numFmtId="2" fontId="0" fillId="0" borderId="0" xfId="0" applyNumberFormat="1"/>
    <xf numFmtId="0" fontId="0" fillId="4" borderId="0" xfId="0" applyFill="1"/>
    <xf numFmtId="0" fontId="0" fillId="0" borderId="0" xfId="0"/>
    <xf numFmtId="14" fontId="0" fillId="0" borderId="0" xfId="0" applyNumberFormat="1"/>
    <xf numFmtId="1" fontId="0" fillId="4" borderId="0" xfId="0" applyNumberFormat="1" applyFill="1"/>
    <xf numFmtId="0" fontId="24" fillId="0" borderId="0" xfId="0" applyFont="1"/>
    <xf numFmtId="1" fontId="24" fillId="0" borderId="0" xfId="0" applyNumberFormat="1" applyFont="1"/>
    <xf numFmtId="1" fontId="23" fillId="4" borderId="0" xfId="0" applyNumberFormat="1" applyFont="1" applyFill="1"/>
    <xf numFmtId="0" fontId="0" fillId="0" borderId="0" xfId="0" applyFill="1"/>
    <xf numFmtId="1" fontId="0" fillId="0" borderId="0" xfId="0" applyNumberFormat="1" applyFill="1"/>
    <xf numFmtId="0" fontId="27" fillId="0" borderId="0" xfId="0" applyFont="1"/>
    <xf numFmtId="0" fontId="0" fillId="5" borderId="0" xfId="0" applyFill="1"/>
    <xf numFmtId="0" fontId="29" fillId="0" borderId="0" xfId="0" applyFont="1"/>
    <xf numFmtId="0" fontId="0" fillId="0" borderId="0" xfId="0"/>
    <xf numFmtId="0" fontId="28" fillId="0" borderId="0" xfId="32"/>
    <xf numFmtId="0" fontId="15" fillId="0" borderId="0" xfId="0" applyFont="1"/>
    <xf numFmtId="169" fontId="0" fillId="0" borderId="0" xfId="31" applyNumberFormat="1" applyFont="1"/>
    <xf numFmtId="0" fontId="0" fillId="0" borderId="0" xfId="0" applyFont="1"/>
    <xf numFmtId="43" fontId="32" fillId="0" borderId="0" xfId="30" applyFont="1"/>
    <xf numFmtId="0" fontId="0" fillId="0" borderId="0" xfId="0"/>
    <xf numFmtId="8" fontId="0" fillId="0" borderId="0" xfId="0" applyNumberFormat="1"/>
    <xf numFmtId="6" fontId="0" fillId="0" borderId="0" xfId="0" applyNumberFormat="1"/>
    <xf numFmtId="0" fontId="15" fillId="0" borderId="0" xfId="0" applyFont="1"/>
    <xf numFmtId="3" fontId="0" fillId="0" borderId="0" xfId="0" applyNumberFormat="1"/>
    <xf numFmtId="43" fontId="0" fillId="5" borderId="0" xfId="0" applyNumberFormat="1" applyFill="1"/>
    <xf numFmtId="2" fontId="0" fillId="5" borderId="0" xfId="0" applyNumberFormat="1" applyFill="1"/>
    <xf numFmtId="0" fontId="15" fillId="0" borderId="0" xfId="0" applyFont="1" applyAlignment="1">
      <alignment horizontal="center"/>
    </xf>
    <xf numFmtId="0" fontId="34" fillId="0" borderId="0" xfId="33"/>
    <xf numFmtId="165" fontId="76" fillId="0" borderId="0" xfId="33" applyNumberFormat="1" applyFont="1" applyAlignment="1">
      <alignment vertical="center"/>
    </xf>
    <xf numFmtId="0" fontId="34" fillId="0" borderId="0" xfId="4026"/>
    <xf numFmtId="0" fontId="34" fillId="0" borderId="0" xfId="4026"/>
  </cellXfs>
  <cellStyles count="18038">
    <cellStyle name="???????" xfId="34" xr:uid="{5F66BC70-22FF-4216-9119-18F13C68D5AD}"/>
    <cellStyle name="20% - Accent1 10" xfId="35" xr:uid="{AF64D8D1-C413-405C-B6C1-E8CD205BA55B}"/>
    <cellStyle name="20% - Accent1 10 2" xfId="36" xr:uid="{284BAECB-5785-4049-874A-86EAEDC54A02}"/>
    <cellStyle name="20% - Accent1 11" xfId="37" xr:uid="{9258D2B3-62D4-48CB-A885-DE4DA101A6F1}"/>
    <cellStyle name="20% - Accent1 11 2" xfId="38" xr:uid="{1B324799-5904-4EBB-B1B4-8F22F4A0366A}"/>
    <cellStyle name="20% - Accent1 12" xfId="39" xr:uid="{78397497-4FC2-4E16-8FFD-533F44C92F66}"/>
    <cellStyle name="20% - Accent1 13" xfId="40" xr:uid="{32CC49C8-DCCF-4AA7-9240-849A63D44080}"/>
    <cellStyle name="20% - Accent1 14" xfId="41" xr:uid="{9E3683CC-DAB7-47A7-908A-E7281DBE00A6}"/>
    <cellStyle name="20% - Accent1 15" xfId="42" xr:uid="{92398BEC-AF7F-477B-8C52-438014D9CC1F}"/>
    <cellStyle name="20% - Accent1 16" xfId="43" xr:uid="{D8064A10-EAA3-4A1C-A04A-C7A0E016D060}"/>
    <cellStyle name="20% - Accent1 17" xfId="44" xr:uid="{596E1622-CBAF-48DE-BA68-F87E61AB6FDB}"/>
    <cellStyle name="20% - Accent1 18" xfId="45" xr:uid="{0CF8EA3A-78A1-4B97-9F0B-DF50F2EBF906}"/>
    <cellStyle name="20% - Accent1 19" xfId="46" xr:uid="{DCC58981-7DDA-4A7F-A192-2CA7559E3ACD}"/>
    <cellStyle name="20% - Accent1 2" xfId="47" xr:uid="{C282EA95-EC63-4FDD-9E11-253A64EFC6C7}"/>
    <cellStyle name="20% - Accent1 2 10" xfId="48" xr:uid="{5C2065F1-EA4D-4712-AA52-AD77ED807182}"/>
    <cellStyle name="20% - Accent1 2 11" xfId="49" xr:uid="{7B4E0524-09A8-435E-A2B0-D10085CF63CA}"/>
    <cellStyle name="20% - Accent1 2 12" xfId="50" xr:uid="{8F56E093-173D-41EB-8654-813379B60EDE}"/>
    <cellStyle name="20% - Accent1 2 13" xfId="51" xr:uid="{9392FA1F-9E9F-4CBB-998D-4A04591439FD}"/>
    <cellStyle name="20% - Accent1 2 14" xfId="52" xr:uid="{9CFFF239-144A-408E-A776-C1C446111C75}"/>
    <cellStyle name="20% - Accent1 2 15" xfId="53" xr:uid="{E01E75D1-1F4C-4207-B3F7-D2F7AFE9C24D}"/>
    <cellStyle name="20% - Accent1 2 16" xfId="54" xr:uid="{44584E7F-F389-459E-B018-EB165DA2EA90}"/>
    <cellStyle name="20% - Accent1 2 2" xfId="55" xr:uid="{0396B09C-2C0A-48BF-AFF9-F2C0E1C601EF}"/>
    <cellStyle name="20% - Accent1 2 3" xfId="56" xr:uid="{1372FC61-7067-4FA9-A810-8D40712FA3CD}"/>
    <cellStyle name="20% - Accent1 2 4" xfId="57" xr:uid="{9C581768-D7A7-4623-BA04-03E357A0A9E4}"/>
    <cellStyle name="20% - Accent1 2 5" xfId="58" xr:uid="{7B940760-9502-4593-AE7A-34028CF746AD}"/>
    <cellStyle name="20% - Accent1 2 6" xfId="59" xr:uid="{BD172B31-2D97-435E-92C2-EA1D088858BC}"/>
    <cellStyle name="20% - Accent1 2 7" xfId="60" xr:uid="{B6D7033E-FE5F-4BCA-87BA-69E77F44A4FC}"/>
    <cellStyle name="20% - Accent1 2 8" xfId="61" xr:uid="{D72A8A26-E8E0-4D8A-B8A6-F0C3720B9FAB}"/>
    <cellStyle name="20% - Accent1 2 9" xfId="62" xr:uid="{73721772-21B2-4B48-BEAD-234AEEA1E5FD}"/>
    <cellStyle name="20% - Accent1 20" xfId="63" xr:uid="{DD2EBC09-DF1A-41C5-8C7F-BE08CF9100B2}"/>
    <cellStyle name="20% - Accent1 21" xfId="64" xr:uid="{DD68498A-362E-44C7-BA48-AA17691C53AC}"/>
    <cellStyle name="20% - Accent1 22" xfId="65" xr:uid="{1D43A520-1B9C-4253-AAE4-130C425FF6BF}"/>
    <cellStyle name="20% - Accent1 23" xfId="66" xr:uid="{ECCC6F7B-E8F5-4AC9-AD18-DDFB834A8729}"/>
    <cellStyle name="20% - Accent1 24" xfId="67" xr:uid="{9E60676A-CB62-4BAA-A724-74970691D48A}"/>
    <cellStyle name="20% - Accent1 25" xfId="68" xr:uid="{186F43C9-B482-4897-8C94-39B3681DD1DC}"/>
    <cellStyle name="20% - Accent1 26" xfId="69" xr:uid="{53B51DCD-539C-4383-B640-8E1088295B48}"/>
    <cellStyle name="20% - Accent1 27" xfId="70" xr:uid="{B7C828B3-FBDF-4BD1-81A2-949A0976B390}"/>
    <cellStyle name="20% - Accent1 28" xfId="71" xr:uid="{6CFD3D94-1EC0-45DC-91E3-FA9B8053EB46}"/>
    <cellStyle name="20% - Accent1 29" xfId="72" xr:uid="{2634AD41-4882-46C1-94AC-4CDD18F6E5E3}"/>
    <cellStyle name="20% - Accent1 3" xfId="73" xr:uid="{D61A914D-7A67-4B49-9A8C-67DFCB5159E7}"/>
    <cellStyle name="20% - Accent1 3 2" xfId="74" xr:uid="{013546F9-8BB6-43D2-ABC7-D2921353FBD1}"/>
    <cellStyle name="20% - Accent1 3 2 2" xfId="75" xr:uid="{A44646A9-AE6E-4594-99CC-C3715E165EF2}"/>
    <cellStyle name="20% - Accent1 3 3" xfId="76" xr:uid="{B39564DC-8650-45CB-A9E2-6EC8E0795D7F}"/>
    <cellStyle name="20% - Accent1 3 4" xfId="77" xr:uid="{C30C358C-0794-4A9C-8C12-F3FB73004F43}"/>
    <cellStyle name="20% - Accent1 30" xfId="78" xr:uid="{090C2C64-6353-4750-A488-ED63C215D745}"/>
    <cellStyle name="20% - Accent1 31" xfId="79" xr:uid="{16046557-2A9B-4F0B-8949-06097A35F948}"/>
    <cellStyle name="20% - Accent1 32" xfId="80" xr:uid="{A0E9F63D-346A-4552-841A-35269888A00A}"/>
    <cellStyle name="20% - Accent1 33" xfId="81" xr:uid="{4FD8AC50-BB38-4419-ABDA-BB87A428FD37}"/>
    <cellStyle name="20% - Accent1 34" xfId="82" xr:uid="{A145C639-FE52-47AD-B5A2-318B2C16C8F8}"/>
    <cellStyle name="20% - Accent1 35" xfId="83" xr:uid="{9BFA08B3-923B-4543-A225-4C3BF2DFCF6C}"/>
    <cellStyle name="20% - Accent1 36" xfId="84" xr:uid="{E2A48DC2-2649-4261-BEA4-A188BC5462B4}"/>
    <cellStyle name="20% - Accent1 37" xfId="85" xr:uid="{2226D4AA-D709-4038-AC24-0547DD91EE34}"/>
    <cellStyle name="20% - Accent1 38" xfId="86" xr:uid="{5328F455-27BB-4417-91A8-D65FC2D95D7C}"/>
    <cellStyle name="20% - Accent1 39" xfId="87" xr:uid="{E2F2C402-4615-4709-B54A-5793C9142766}"/>
    <cellStyle name="20% - Accent1 4" xfId="88" xr:uid="{1B2ACF61-54D8-442A-AA6F-1198E5B7E2B5}"/>
    <cellStyle name="20% - Accent1 4 2" xfId="89" xr:uid="{E18F19A7-7D27-4008-ABC2-6EBCF55B092D}"/>
    <cellStyle name="20% - Accent1 4 3" xfId="90" xr:uid="{3FDCB8FB-4C2C-4F07-AB57-E69964595D33}"/>
    <cellStyle name="20% - Accent1 40" xfId="91" xr:uid="{EFC747C4-F6A0-4731-9644-672775F466D8}"/>
    <cellStyle name="20% - Accent1 41" xfId="92" xr:uid="{78A404B1-3DE4-4CA8-949E-C595C45EB731}"/>
    <cellStyle name="20% - Accent1 42" xfId="93" xr:uid="{4F7A5B70-1F3A-47A9-B0DD-57D5DC973B6E}"/>
    <cellStyle name="20% - Accent1 43" xfId="94" xr:uid="{025CD447-B956-4316-842F-B950D61AA0A0}"/>
    <cellStyle name="20% - Accent1 5" xfId="95" xr:uid="{61E47249-06C0-4F47-A818-3849C45F220B}"/>
    <cellStyle name="20% - Accent1 5 2" xfId="96" xr:uid="{E6BE62B7-A848-460F-9F3A-FAE817621D8E}"/>
    <cellStyle name="20% - Accent1 5 3" xfId="97" xr:uid="{F7626A50-09AA-446F-B614-D676AD04F8C1}"/>
    <cellStyle name="20% - Accent1 6" xfId="98" xr:uid="{62700E05-0CBC-46E5-89B5-46727F82E2EB}"/>
    <cellStyle name="20% - Accent1 6 2" xfId="99" xr:uid="{F379DBE2-7248-4787-A797-2DB0CD631B7D}"/>
    <cellStyle name="20% - Accent1 6 3" xfId="100" xr:uid="{3CACAA39-6202-46B0-91F5-019AED426EC1}"/>
    <cellStyle name="20% - Accent1 7" xfId="101" xr:uid="{9A578F69-AAB7-422F-8099-6DD1D921118C}"/>
    <cellStyle name="20% - Accent1 7 2" xfId="102" xr:uid="{50D78EF4-AF15-4942-8D75-D340FA899F00}"/>
    <cellStyle name="20% - Accent1 7 3" xfId="103" xr:uid="{BC2357DA-06F9-4B47-B11E-532CC3647598}"/>
    <cellStyle name="20% - Accent1 8" xfId="104" xr:uid="{3A3E0C51-89DD-45B5-9D14-642D2FA77E47}"/>
    <cellStyle name="20% - Accent1 8 2" xfId="105" xr:uid="{4A0796F3-A3EA-44E9-BC39-454DB941AB96}"/>
    <cellStyle name="20% - Accent1 8 3" xfId="106" xr:uid="{CD7C5559-DD56-4A7E-AAC7-02A217319803}"/>
    <cellStyle name="20% - Accent1 9" xfId="107" xr:uid="{3E8E7317-82E8-440F-979C-BEC9C74D8535}"/>
    <cellStyle name="20% - Accent1 9 2" xfId="108" xr:uid="{6420CD5B-96B6-466C-B23F-34FAAB434E16}"/>
    <cellStyle name="20% - Accent2 10" xfId="109" xr:uid="{3FA7C2E8-D17F-40FF-9416-E6C8FA4D38EA}"/>
    <cellStyle name="20% - Accent2 10 2" xfId="110" xr:uid="{369544AD-F726-4C3D-BEDB-B57C5CC01E0C}"/>
    <cellStyle name="20% - Accent2 11" xfId="111" xr:uid="{EBEDC9BA-6F59-4909-A4E7-A66D32C25F84}"/>
    <cellStyle name="20% - Accent2 11 2" xfId="112" xr:uid="{1BB646BA-8F94-47A4-BD0D-F598F2435929}"/>
    <cellStyle name="20% - Accent2 12" xfId="113" xr:uid="{3ED2E7FC-459D-4432-BFEE-C59A2D396BA8}"/>
    <cellStyle name="20% - Accent2 13" xfId="114" xr:uid="{27E51DDF-E0DC-4F69-884F-C83EB0C5BB0F}"/>
    <cellStyle name="20% - Accent2 14" xfId="115" xr:uid="{899AB24D-FB66-4A73-B3B4-468825CAC34C}"/>
    <cellStyle name="20% - Accent2 15" xfId="116" xr:uid="{DD3A43C4-019A-4BED-AF03-C03B1066A784}"/>
    <cellStyle name="20% - Accent2 16" xfId="117" xr:uid="{57CC58B7-2886-4AD9-9361-F35E444CE836}"/>
    <cellStyle name="20% - Accent2 17" xfId="118" xr:uid="{ABC112E3-A488-45F3-A653-1D7427E7E397}"/>
    <cellStyle name="20% - Accent2 18" xfId="119" xr:uid="{086D1D12-25D0-4237-96F5-310D43DEDD6E}"/>
    <cellStyle name="20% - Accent2 19" xfId="120" xr:uid="{1E32C93F-7D74-4E94-A809-3ED18C542E00}"/>
    <cellStyle name="20% - Accent2 2" xfId="121" xr:uid="{A54E2D97-7FB6-4738-95C3-D19194B5308D}"/>
    <cellStyle name="20% - Accent2 2 10" xfId="122" xr:uid="{26132161-D3BE-4B3F-9F6A-418C8F2851D4}"/>
    <cellStyle name="20% - Accent2 2 11" xfId="123" xr:uid="{08DC2869-6A57-4E1C-8F81-9A47AC96CCC4}"/>
    <cellStyle name="20% - Accent2 2 12" xfId="124" xr:uid="{65FD23FF-3FB7-4AB1-BF09-F6E125D87623}"/>
    <cellStyle name="20% - Accent2 2 13" xfId="125" xr:uid="{94CBBA44-2773-4FC9-872C-FD38A4EA4FEE}"/>
    <cellStyle name="20% - Accent2 2 14" xfId="126" xr:uid="{9C426C3A-6F92-4A95-84FD-8C41B91D6758}"/>
    <cellStyle name="20% - Accent2 2 15" xfId="127" xr:uid="{6C3306D4-EE69-432F-BD35-021BCFE590C7}"/>
    <cellStyle name="20% - Accent2 2 16" xfId="128" xr:uid="{9711A4E1-5DCE-472A-A991-714266591985}"/>
    <cellStyle name="20% - Accent2 2 2" xfId="129" xr:uid="{77C4E78D-5CDE-4ED9-887A-347FE1BB8C3F}"/>
    <cellStyle name="20% - Accent2 2 3" xfId="130" xr:uid="{BD5C07FF-258A-4949-8A12-2590464A5113}"/>
    <cellStyle name="20% - Accent2 2 4" xfId="131" xr:uid="{00449EE1-6996-423D-9F4E-25D6E0500FC2}"/>
    <cellStyle name="20% - Accent2 2 5" xfId="132" xr:uid="{A3140146-7691-45B8-AD06-1BC2CADA6BAE}"/>
    <cellStyle name="20% - Accent2 2 6" xfId="133" xr:uid="{397DEFEA-746E-4A4B-BB60-80232E4808AD}"/>
    <cellStyle name="20% - Accent2 2 7" xfId="134" xr:uid="{3F3DE258-5390-4E8A-B093-B49549B2438C}"/>
    <cellStyle name="20% - Accent2 2 8" xfId="135" xr:uid="{1AA0D28C-E962-4B73-83AC-179C27FF458B}"/>
    <cellStyle name="20% - Accent2 2 9" xfId="136" xr:uid="{5BBA0A84-9BEA-49C2-8E2F-0854E1057304}"/>
    <cellStyle name="20% - Accent2 20" xfId="137" xr:uid="{4B4B0833-207F-4834-B958-00110629A87F}"/>
    <cellStyle name="20% - Accent2 21" xfId="138" xr:uid="{C777683D-0761-498B-B588-83DE5462EF42}"/>
    <cellStyle name="20% - Accent2 22" xfId="139" xr:uid="{B8E682C0-F723-42B4-9965-5EB20C2764FA}"/>
    <cellStyle name="20% - Accent2 23" xfId="140" xr:uid="{307ACD69-FBBA-42D5-8A0A-5C4A06B72021}"/>
    <cellStyle name="20% - Accent2 24" xfId="141" xr:uid="{3699F937-A0ED-4205-98D9-E3143F72D6E5}"/>
    <cellStyle name="20% - Accent2 25" xfId="142" xr:uid="{4D6C63B1-5454-4289-ACCE-F8F08A9C17EE}"/>
    <cellStyle name="20% - Accent2 26" xfId="143" xr:uid="{896E0E17-366F-48FC-B677-6BD864E88DD4}"/>
    <cellStyle name="20% - Accent2 27" xfId="144" xr:uid="{35D2AD41-0607-4150-91DB-8589E01F066A}"/>
    <cellStyle name="20% - Accent2 28" xfId="145" xr:uid="{4BAECCB2-523D-4108-B38E-F82A64F7730C}"/>
    <cellStyle name="20% - Accent2 29" xfId="146" xr:uid="{B2775F17-CE05-484A-8364-9F0E50EA54D5}"/>
    <cellStyle name="20% - Accent2 3" xfId="147" xr:uid="{1287DBAA-1EE1-4A69-B7E2-6551B2844386}"/>
    <cellStyle name="20% - Accent2 3 2" xfId="148" xr:uid="{CB5C3525-5193-4AEB-83FE-2E5F861CDF0D}"/>
    <cellStyle name="20% - Accent2 3 2 2" xfId="149" xr:uid="{DE5ADC08-EF0D-4A09-93ED-E5D5B8ECA5D9}"/>
    <cellStyle name="20% - Accent2 3 3" xfId="150" xr:uid="{F456E00F-F356-464E-820C-1A9E54A2FA1B}"/>
    <cellStyle name="20% - Accent2 3 4" xfId="151" xr:uid="{30F58E73-D7DE-4200-A64D-BA7C1B56B241}"/>
    <cellStyle name="20% - Accent2 30" xfId="152" xr:uid="{5329660A-3E31-4D7C-A66D-1732E4CBB2BD}"/>
    <cellStyle name="20% - Accent2 31" xfId="153" xr:uid="{A432F80B-4FAF-4634-9E19-F530E005D3AE}"/>
    <cellStyle name="20% - Accent2 32" xfId="154" xr:uid="{EFFC3109-065C-4A71-AC57-79B46EA6A160}"/>
    <cellStyle name="20% - Accent2 33" xfId="155" xr:uid="{13655691-ACFE-4FE2-9175-CA97DC561ACB}"/>
    <cellStyle name="20% - Accent2 34" xfId="156" xr:uid="{9A108169-2F86-497F-ABCC-584C02417253}"/>
    <cellStyle name="20% - Accent2 35" xfId="157" xr:uid="{9A08C244-4B1B-4492-96DF-E5D454720D70}"/>
    <cellStyle name="20% - Accent2 36" xfId="158" xr:uid="{E5B3FBCE-4F25-4A64-A6E2-41ACD3846E39}"/>
    <cellStyle name="20% - Accent2 37" xfId="159" xr:uid="{3AD9981D-B19F-48EF-950C-04E2FD1C8279}"/>
    <cellStyle name="20% - Accent2 38" xfId="160" xr:uid="{B6BFCBF3-35E6-4CF5-9EE2-7B9FA02A540F}"/>
    <cellStyle name="20% - Accent2 39" xfId="161" xr:uid="{3B0C6F57-3D49-4EB3-AE78-2FE2151210EB}"/>
    <cellStyle name="20% - Accent2 4" xfId="162" xr:uid="{10539F87-8B5E-4AE2-BD6E-FFFE05A4625A}"/>
    <cellStyle name="20% - Accent2 4 2" xfId="163" xr:uid="{94908C78-94F1-4530-A267-A7DB8DF92FBA}"/>
    <cellStyle name="20% - Accent2 4 3" xfId="164" xr:uid="{EF1A55E3-4CDF-4057-A54F-78F09F757549}"/>
    <cellStyle name="20% - Accent2 40" xfId="165" xr:uid="{433A9C8F-5B2B-4701-BF77-2D10B4464369}"/>
    <cellStyle name="20% - Accent2 41" xfId="166" xr:uid="{39AFE39E-C373-4FF8-8843-38F3FD3910D2}"/>
    <cellStyle name="20% - Accent2 42" xfId="167" xr:uid="{78E195C9-293A-4557-9A15-DDFD4D5B49E5}"/>
    <cellStyle name="20% - Accent2 43" xfId="168" xr:uid="{DD385863-C0DA-4770-BF54-C76ABD76F164}"/>
    <cellStyle name="20% - Accent2 5" xfId="169" xr:uid="{3320335D-5632-442D-A0D6-1AE5B1090EFA}"/>
    <cellStyle name="20% - Accent2 5 2" xfId="170" xr:uid="{963DC7B1-BEE3-452F-A48B-4E5F5F21191D}"/>
    <cellStyle name="20% - Accent2 5 3" xfId="171" xr:uid="{598B6823-AD9E-41BF-9796-6F8F38FECB8F}"/>
    <cellStyle name="20% - Accent2 6" xfId="172" xr:uid="{031D6811-42DA-4E8C-813B-7E5D61C78CFC}"/>
    <cellStyle name="20% - Accent2 6 2" xfId="173" xr:uid="{43DE9D2E-F5ED-446E-BAA8-F42337CE2E06}"/>
    <cellStyle name="20% - Accent2 6 3" xfId="174" xr:uid="{FC9AF235-B65B-4960-99AA-574E969D44DF}"/>
    <cellStyle name="20% - Accent2 7" xfId="175" xr:uid="{1730F081-421D-48A8-8C44-9F9040597E8C}"/>
    <cellStyle name="20% - Accent2 7 2" xfId="176" xr:uid="{AA1CA853-3299-44BF-AEA5-0BE2F867B7D3}"/>
    <cellStyle name="20% - Accent2 7 3" xfId="177" xr:uid="{00555EFC-C539-4102-8B6F-D6BF3F6BAF4A}"/>
    <cellStyle name="20% - Accent2 8" xfId="178" xr:uid="{8A005850-D04B-4C6A-904D-9F6D0EB4C0BD}"/>
    <cellStyle name="20% - Accent2 8 2" xfId="179" xr:uid="{2B475EE5-4A84-4524-A667-89385CDB69F7}"/>
    <cellStyle name="20% - Accent2 8 3" xfId="180" xr:uid="{43B08809-DFF1-4BD6-AAD5-4D9B3A8CED61}"/>
    <cellStyle name="20% - Accent2 9" xfId="181" xr:uid="{C1E67574-5DC5-43CD-BC08-8054EFE4DA1A}"/>
    <cellStyle name="20% - Accent2 9 2" xfId="182" xr:uid="{7779A191-6D0D-4B87-8A68-D55089D08173}"/>
    <cellStyle name="20% - Accent3 10" xfId="183" xr:uid="{737F04C7-36CF-4FCC-A933-826319FC4DFE}"/>
    <cellStyle name="20% - Accent3 10 2" xfId="184" xr:uid="{CF59CD8C-09FF-41F7-A352-C574AD3B6406}"/>
    <cellStyle name="20% - Accent3 11" xfId="185" xr:uid="{0EDFA517-2317-42E4-AD5E-C8E29553C97E}"/>
    <cellStyle name="20% - Accent3 11 2" xfId="186" xr:uid="{76D367D6-397B-44AD-9EF2-076D91B9082B}"/>
    <cellStyle name="20% - Accent3 12" xfId="187" xr:uid="{59F8468B-58C7-4FF2-8220-F2B95C4ED019}"/>
    <cellStyle name="20% - Accent3 13" xfId="188" xr:uid="{BB01DFB8-24B5-4AE0-B564-C5D9E9188101}"/>
    <cellStyle name="20% - Accent3 14" xfId="189" xr:uid="{38D1C23E-7996-429F-8AE9-6EAB45E53632}"/>
    <cellStyle name="20% - Accent3 15" xfId="190" xr:uid="{F273FBEF-5CAD-48F8-9846-CBE9549FD801}"/>
    <cellStyle name="20% - Accent3 16" xfId="191" xr:uid="{061B5E20-6D6D-4B47-B92F-35AFFB6965D6}"/>
    <cellStyle name="20% - Accent3 17" xfId="192" xr:uid="{9F3B4C00-86EA-49A0-B69C-A75110B007BF}"/>
    <cellStyle name="20% - Accent3 18" xfId="193" xr:uid="{296BF0CA-5EBC-49E2-A2EE-2B0B75079E29}"/>
    <cellStyle name="20% - Accent3 19" xfId="194" xr:uid="{039426EC-C3D9-4606-8E01-1F9FFA9EA951}"/>
    <cellStyle name="20% - Accent3 2" xfId="195" xr:uid="{58757746-F7AA-4C55-842F-5CC63F33EF58}"/>
    <cellStyle name="20% - Accent3 2 10" xfId="196" xr:uid="{C6C35AAF-F349-45E6-A227-3FCF1ED20AB9}"/>
    <cellStyle name="20% - Accent3 2 11" xfId="197" xr:uid="{83BF9EA3-C261-4458-A0FE-495D02006326}"/>
    <cellStyle name="20% - Accent3 2 12" xfId="198" xr:uid="{8837C6D7-8751-44CD-9713-7793770D8F9E}"/>
    <cellStyle name="20% - Accent3 2 13" xfId="199" xr:uid="{9ADF8660-8F2D-4349-B82C-0C9740BCA974}"/>
    <cellStyle name="20% - Accent3 2 14" xfId="200" xr:uid="{990F6937-6806-4134-BEAC-A97AFE3AC8EC}"/>
    <cellStyle name="20% - Accent3 2 15" xfId="201" xr:uid="{D6A4D83F-590E-4804-9ED3-56CBBB7E6394}"/>
    <cellStyle name="20% - Accent3 2 16" xfId="202" xr:uid="{F02CED8F-7B8E-4510-AB47-E5CC74873D94}"/>
    <cellStyle name="20% - Accent3 2 2" xfId="203" xr:uid="{7DEFC558-1E1F-4678-B5CC-03BCC2DBFF55}"/>
    <cellStyle name="20% - Accent3 2 3" xfId="204" xr:uid="{E3055197-20D6-4CEE-9BAE-EA6C40231F10}"/>
    <cellStyle name="20% - Accent3 2 4" xfId="205" xr:uid="{615C79A4-50AD-4F94-B20D-B269E1AF2DA9}"/>
    <cellStyle name="20% - Accent3 2 5" xfId="206" xr:uid="{7A27618B-20D4-44C5-B547-91C7B56D5956}"/>
    <cellStyle name="20% - Accent3 2 6" xfId="207" xr:uid="{DCC811E4-DD64-4C30-96CE-38F9F98782C8}"/>
    <cellStyle name="20% - Accent3 2 7" xfId="208" xr:uid="{823D39F1-6563-4A7E-92E9-2861A20E31E2}"/>
    <cellStyle name="20% - Accent3 2 8" xfId="209" xr:uid="{7358AE7C-77B8-4A7B-AC81-2AEF5985FD2D}"/>
    <cellStyle name="20% - Accent3 2 9" xfId="210" xr:uid="{7ED8F1AD-ADCE-4F8B-8BEC-808EB7434E5D}"/>
    <cellStyle name="20% - Accent3 20" xfId="211" xr:uid="{0CE3BFC7-C122-462B-BF3C-BBA0A3229E56}"/>
    <cellStyle name="20% - Accent3 21" xfId="212" xr:uid="{5F46F90C-7E15-4145-BC9E-99F45EAC5465}"/>
    <cellStyle name="20% - Accent3 22" xfId="213" xr:uid="{7324328F-A19C-4B18-B123-4F4D97A53EF9}"/>
    <cellStyle name="20% - Accent3 23" xfId="214" xr:uid="{329F4C54-7AC1-4551-869A-E54144225D9A}"/>
    <cellStyle name="20% - Accent3 24" xfId="215" xr:uid="{B3C37927-6414-42FB-B996-E21616A6452D}"/>
    <cellStyle name="20% - Accent3 25" xfId="216" xr:uid="{F58AC1D6-5B4B-4BC9-A734-0C612BA0756D}"/>
    <cellStyle name="20% - Accent3 26" xfId="217" xr:uid="{E71956F4-67AD-4CD9-B8E9-8AFEADCC4673}"/>
    <cellStyle name="20% - Accent3 27" xfId="218" xr:uid="{E9C084AD-F263-4512-AEE2-ABC529D074B1}"/>
    <cellStyle name="20% - Accent3 28" xfId="219" xr:uid="{F4394DFB-797F-4A5A-909F-E61265B75AC3}"/>
    <cellStyle name="20% - Accent3 29" xfId="220" xr:uid="{96E3B7DA-3234-49A8-8188-B0609E16249C}"/>
    <cellStyle name="20% - Accent3 3" xfId="221" xr:uid="{4868C64E-6A91-49B2-97EF-6D0346BDC7B0}"/>
    <cellStyle name="20% - Accent3 3 2" xfId="222" xr:uid="{3EACD6F1-0DE6-450F-B0CD-D52D7D86D97C}"/>
    <cellStyle name="20% - Accent3 3 2 2" xfId="223" xr:uid="{0167DCAB-2A1D-46CB-B577-924B889A740D}"/>
    <cellStyle name="20% - Accent3 3 3" xfId="224" xr:uid="{68BBCA9A-54A6-4641-9DD8-63203944452E}"/>
    <cellStyle name="20% - Accent3 3 4" xfId="225" xr:uid="{3AAF7237-FC7C-4ECA-AF1A-C6484070D2F2}"/>
    <cellStyle name="20% - Accent3 30" xfId="226" xr:uid="{90CEC2BD-D4B4-4B90-AA72-FD54BC651085}"/>
    <cellStyle name="20% - Accent3 31" xfId="227" xr:uid="{E85ECDA1-9223-4233-A417-D7028673EA62}"/>
    <cellStyle name="20% - Accent3 32" xfId="228" xr:uid="{7799139B-5BBD-4636-AE36-CE9C76359658}"/>
    <cellStyle name="20% - Accent3 33" xfId="229" xr:uid="{6FEB25A8-3F8F-4D95-BE63-7D06F96D9F3C}"/>
    <cellStyle name="20% - Accent3 34" xfId="230" xr:uid="{091CBE04-292C-49B9-9C54-AEF8704C49A1}"/>
    <cellStyle name="20% - Accent3 35" xfId="231" xr:uid="{99BBA0A9-807B-4E45-8C51-FDED06DC34B0}"/>
    <cellStyle name="20% - Accent3 36" xfId="232" xr:uid="{9813F73D-7414-4F89-8AA6-F49F782A187F}"/>
    <cellStyle name="20% - Accent3 37" xfId="233" xr:uid="{2D792DB4-2970-478F-905C-274002A222EA}"/>
    <cellStyle name="20% - Accent3 38" xfId="234" xr:uid="{86EA756A-EC73-4867-998B-D9B5CB95DC81}"/>
    <cellStyle name="20% - Accent3 39" xfId="235" xr:uid="{ECE29EF6-8245-4482-9312-A08623BE0AA1}"/>
    <cellStyle name="20% - Accent3 4" xfId="236" xr:uid="{AE9705E3-2375-4C73-940F-B957D85B2D19}"/>
    <cellStyle name="20% - Accent3 4 2" xfId="237" xr:uid="{CDA44F64-2D00-4225-A7F2-02C65463A9FD}"/>
    <cellStyle name="20% - Accent3 4 3" xfId="238" xr:uid="{F64F7280-752A-4708-ADF7-E46F5190D7D7}"/>
    <cellStyle name="20% - Accent3 40" xfId="239" xr:uid="{45F4C33F-215B-4F14-8890-0B53B246497F}"/>
    <cellStyle name="20% - Accent3 41" xfId="240" xr:uid="{D1E7DF99-9D22-4248-8007-558096BCA135}"/>
    <cellStyle name="20% - Accent3 42" xfId="241" xr:uid="{A9EFBB07-DF4D-4145-9460-0E517FE3083B}"/>
    <cellStyle name="20% - Accent3 43" xfId="242" xr:uid="{8924075D-8C90-47A1-B8D4-9E58D4228F18}"/>
    <cellStyle name="20% - Accent3 44" xfId="243" xr:uid="{E8DC14C2-F74F-4477-B0DB-481F4C55E5D6}"/>
    <cellStyle name="20% - Accent3 5" xfId="244" xr:uid="{142E9EEC-03FA-4BB7-BCDD-EAD3431792F6}"/>
    <cellStyle name="20% - Accent3 5 2" xfId="245" xr:uid="{8494D2EC-1850-418A-BE3A-D8091B642AE4}"/>
    <cellStyle name="20% - Accent3 5 3" xfId="246" xr:uid="{7D6F4FC8-94EB-402E-BA23-FE32A0BDB666}"/>
    <cellStyle name="20% - Accent3 6" xfId="247" xr:uid="{84045214-45F0-451C-9D01-24EC6DBEF2AC}"/>
    <cellStyle name="20% - Accent3 6 2" xfId="248" xr:uid="{BEF10086-D030-4E1E-BC44-362A67E150FB}"/>
    <cellStyle name="20% - Accent3 6 3" xfId="249" xr:uid="{9DE2DD3E-DF39-4B42-BB7A-78E5DBE7C566}"/>
    <cellStyle name="20% - Accent3 7" xfId="250" xr:uid="{F31290FB-228F-4BF0-BBF3-C98A04A92780}"/>
    <cellStyle name="20% - Accent3 7 2" xfId="251" xr:uid="{82A7F9F8-E8A3-4475-8284-424227EC2097}"/>
    <cellStyle name="20% - Accent3 7 3" xfId="252" xr:uid="{E2FBDDEA-53F2-41A9-BDD9-4924429676E8}"/>
    <cellStyle name="20% - Accent3 8" xfId="253" xr:uid="{DA570517-8BCD-4D78-B521-253FAC12EA9F}"/>
    <cellStyle name="20% - Accent3 8 2" xfId="254" xr:uid="{0E25F538-251A-479A-8016-B2A3E0701278}"/>
    <cellStyle name="20% - Accent3 8 3" xfId="255" xr:uid="{28BD1B55-ADD2-46E0-8CDF-C198102EDE54}"/>
    <cellStyle name="20% - Accent3 9" xfId="256" xr:uid="{1D90E735-6E7B-41AC-B3D7-5995EBD6BDE1}"/>
    <cellStyle name="20% - Accent3 9 2" xfId="257" xr:uid="{CFF79755-2518-42FF-86D3-C016844EF3CF}"/>
    <cellStyle name="20% - Accent4 10" xfId="258" xr:uid="{C3CF7020-999A-4556-B2A3-DBE580E31C3F}"/>
    <cellStyle name="20% - Accent4 10 2" xfId="259" xr:uid="{0F95BB61-0131-4F10-97A4-EB3A7F04FE95}"/>
    <cellStyle name="20% - Accent4 11" xfId="260" xr:uid="{99DFBEF2-336F-4CA5-8537-301C33BE4CA9}"/>
    <cellStyle name="20% - Accent4 11 2" xfId="261" xr:uid="{6E8F307E-E343-4E13-9C56-D25F7D881404}"/>
    <cellStyle name="20% - Accent4 12" xfId="262" xr:uid="{6221F325-08E3-4268-A587-7C6B88F1B8E4}"/>
    <cellStyle name="20% - Accent4 13" xfId="263" xr:uid="{D328BFE1-561F-4BE5-8462-E544A0DFEFF0}"/>
    <cellStyle name="20% - Accent4 14" xfId="264" xr:uid="{5175D49C-6BFF-41A4-8DAC-45ABC3892598}"/>
    <cellStyle name="20% - Accent4 15" xfId="265" xr:uid="{50C1A26C-9973-49BA-BC57-6D88AFE5EA42}"/>
    <cellStyle name="20% - Accent4 16" xfId="266" xr:uid="{F81BA2B8-B1F4-414E-9B43-7E48FFCF174D}"/>
    <cellStyle name="20% - Accent4 17" xfId="267" xr:uid="{0C8D00E8-7F96-4B31-ADB3-EC07923FC560}"/>
    <cellStyle name="20% - Accent4 18" xfId="268" xr:uid="{9C709DCC-28EA-4BB4-BA8B-6022950654E1}"/>
    <cellStyle name="20% - Accent4 19" xfId="269" xr:uid="{BCD638DB-CAF4-480B-A214-C38F8049CF53}"/>
    <cellStyle name="20% - Accent4 2" xfId="270" xr:uid="{C4D9758A-DAA4-403A-B142-6B7F0C2CCDDD}"/>
    <cellStyle name="20% - Accent4 2 10" xfId="271" xr:uid="{868B6568-9A0C-4BFA-8EF9-EED4FF9E382E}"/>
    <cellStyle name="20% - Accent4 2 11" xfId="272" xr:uid="{8EE0574F-BBEE-4B70-AC83-AB03A091005F}"/>
    <cellStyle name="20% - Accent4 2 12" xfId="273" xr:uid="{8442545E-6194-4110-A84F-984F8212474B}"/>
    <cellStyle name="20% - Accent4 2 13" xfId="274" xr:uid="{D65960A3-A9EC-43CB-8A1A-19ED8BF63A13}"/>
    <cellStyle name="20% - Accent4 2 14" xfId="275" xr:uid="{E84027C7-684E-4C1C-A8CC-929E80B6B0A1}"/>
    <cellStyle name="20% - Accent4 2 15" xfId="276" xr:uid="{0A2793E1-5BE5-4DDE-A382-FC79D5038916}"/>
    <cellStyle name="20% - Accent4 2 16" xfId="277" xr:uid="{1667A772-EF89-4094-85C9-F3948A022FA8}"/>
    <cellStyle name="20% - Accent4 2 2" xfId="278" xr:uid="{D0F85605-5ADE-4E3D-8C1A-0C10CA00D57D}"/>
    <cellStyle name="20% - Accent4 2 3" xfId="279" xr:uid="{C903036A-D616-4DE0-851A-4A40BDE8D83F}"/>
    <cellStyle name="20% - Accent4 2 4" xfId="280" xr:uid="{BDC69126-7E6F-4307-9969-0BEDC1BCA2BB}"/>
    <cellStyle name="20% - Accent4 2 5" xfId="281" xr:uid="{463C818F-E9B8-4863-A4EC-09301EA1FE19}"/>
    <cellStyle name="20% - Accent4 2 6" xfId="282" xr:uid="{E1E84223-B517-4CE2-9D18-D32BCBFFE04E}"/>
    <cellStyle name="20% - Accent4 2 7" xfId="283" xr:uid="{D89E7B44-619A-4412-B4AA-7224AA7BDF6C}"/>
    <cellStyle name="20% - Accent4 2 8" xfId="284" xr:uid="{2BC8F23B-8157-4321-9CA6-C926A29472BF}"/>
    <cellStyle name="20% - Accent4 2 9" xfId="285" xr:uid="{DD9A677E-5B50-4930-85F3-91CB83055B5C}"/>
    <cellStyle name="20% - Accent4 20" xfId="286" xr:uid="{61F83F75-FCB0-4D54-8EE6-765BEAC1C138}"/>
    <cellStyle name="20% - Accent4 21" xfId="287" xr:uid="{3955DADC-0914-4123-9336-266DAD4536FE}"/>
    <cellStyle name="20% - Accent4 22" xfId="288" xr:uid="{3EB66CDE-56D5-418B-B417-23D9B53E7E82}"/>
    <cellStyle name="20% - Accent4 23" xfId="289" xr:uid="{F8BF39A1-8F77-4267-A5E9-B835375DF23C}"/>
    <cellStyle name="20% - Accent4 24" xfId="290" xr:uid="{A7346C11-3CA7-4229-BB1F-53E45E78593C}"/>
    <cellStyle name="20% - Accent4 25" xfId="291" xr:uid="{402F565E-2614-4004-A04A-3CDB094F9CCA}"/>
    <cellStyle name="20% - Accent4 26" xfId="292" xr:uid="{F80BCB0E-617E-4C45-8455-862F1D9D6C9A}"/>
    <cellStyle name="20% - Accent4 27" xfId="293" xr:uid="{C9125695-BE76-4726-AE3C-DF15ACA61D85}"/>
    <cellStyle name="20% - Accent4 28" xfId="294" xr:uid="{910896CB-B565-473A-98D9-4549AA641D10}"/>
    <cellStyle name="20% - Accent4 29" xfId="295" xr:uid="{6024E3E7-5F36-4F18-82F5-0638392610A3}"/>
    <cellStyle name="20% - Accent4 3" xfId="296" xr:uid="{98A21EAC-AC7D-4869-93A4-B0708F7F12C3}"/>
    <cellStyle name="20% - Accent4 3 2" xfId="297" xr:uid="{1E13F662-D6D5-45D2-9236-B624C53B8A17}"/>
    <cellStyle name="20% - Accent4 3 2 2" xfId="298" xr:uid="{96D3424F-1862-4DF6-BFD9-CB141532EC68}"/>
    <cellStyle name="20% - Accent4 3 3" xfId="299" xr:uid="{32795E03-5C2B-493E-B3F1-584C11646120}"/>
    <cellStyle name="20% - Accent4 3 4" xfId="300" xr:uid="{61F659B2-449A-4541-B7F3-49724FA0E7DC}"/>
    <cellStyle name="20% - Accent4 30" xfId="301" xr:uid="{E0496163-04A3-4C99-8262-2739886F6A67}"/>
    <cellStyle name="20% - Accent4 31" xfId="302" xr:uid="{D38CD192-AE68-4B73-BFD7-775BD232DA03}"/>
    <cellStyle name="20% - Accent4 32" xfId="303" xr:uid="{9CB856E9-7091-40DA-A380-E0B7C6AB2DD1}"/>
    <cellStyle name="20% - Accent4 33" xfId="304" xr:uid="{2ABE53F4-8FF6-4593-930D-AFBB9D118092}"/>
    <cellStyle name="20% - Accent4 34" xfId="305" xr:uid="{B7756B3D-8977-4340-9970-F1969D58C87A}"/>
    <cellStyle name="20% - Accent4 35" xfId="306" xr:uid="{83B2BFAA-1AA9-4589-85AD-F7E4FF9CEAF2}"/>
    <cellStyle name="20% - Accent4 36" xfId="307" xr:uid="{5E425724-B011-4C21-8474-7E647DB0120B}"/>
    <cellStyle name="20% - Accent4 37" xfId="308" xr:uid="{C9614D49-F2BF-4D93-84AF-09658C11744F}"/>
    <cellStyle name="20% - Accent4 38" xfId="309" xr:uid="{B56D5C26-F756-493D-838E-B020F517201C}"/>
    <cellStyle name="20% - Accent4 39" xfId="310" xr:uid="{6694A98A-343C-428A-93AF-0E29B006FACF}"/>
    <cellStyle name="20% - Accent4 4" xfId="311" xr:uid="{BAA697C0-947B-4EBD-8232-8F615AE17316}"/>
    <cellStyle name="20% - Accent4 4 2" xfId="312" xr:uid="{281272D0-C737-4F31-8FCB-9C4755184011}"/>
    <cellStyle name="20% - Accent4 4 3" xfId="313" xr:uid="{CEC0DD7B-3B84-4904-9F34-6397BC85F475}"/>
    <cellStyle name="20% - Accent4 40" xfId="314" xr:uid="{602BB785-8B52-49AA-907D-CE26E75142CE}"/>
    <cellStyle name="20% - Accent4 41" xfId="315" xr:uid="{CC7A055C-576C-408F-9006-03B024DBCC84}"/>
    <cellStyle name="20% - Accent4 42" xfId="316" xr:uid="{CD9F667A-7F60-4A7A-AB66-B9A5FBC31544}"/>
    <cellStyle name="20% - Accent4 43" xfId="317" xr:uid="{C400A3B4-39B5-4073-B592-6CB648BA3BDF}"/>
    <cellStyle name="20% - Accent4 5" xfId="318" xr:uid="{E357BB97-164A-4798-8214-A96DAC0356B2}"/>
    <cellStyle name="20% - Accent4 5 2" xfId="319" xr:uid="{78C7E221-74ED-43AB-8AFF-53BE0BA0C546}"/>
    <cellStyle name="20% - Accent4 5 3" xfId="320" xr:uid="{1666B6A5-58F9-4626-BC20-1BF61948DC86}"/>
    <cellStyle name="20% - Accent4 6" xfId="321" xr:uid="{4DE4783A-F425-4BC8-A84C-E3310D6C1C22}"/>
    <cellStyle name="20% - Accent4 6 2" xfId="322" xr:uid="{D0C44F12-26BB-4FB3-9E03-C1925F516787}"/>
    <cellStyle name="20% - Accent4 6 3" xfId="323" xr:uid="{E8F8DA9F-D572-4339-947B-525F73FD90D5}"/>
    <cellStyle name="20% - Accent4 7" xfId="324" xr:uid="{8889F747-4246-4BEE-82A4-1F18B9299584}"/>
    <cellStyle name="20% - Accent4 7 2" xfId="325" xr:uid="{A88F588B-5F01-4B46-88FD-E354B37F0CCD}"/>
    <cellStyle name="20% - Accent4 7 3" xfId="326" xr:uid="{75EB225F-8712-43D7-9930-E41F71A0BEC6}"/>
    <cellStyle name="20% - Accent4 8" xfId="327" xr:uid="{B93C0072-8D82-464A-8B61-7CC050F2A509}"/>
    <cellStyle name="20% - Accent4 8 2" xfId="328" xr:uid="{25559045-5CEE-47FA-8638-C912E3C9C5D9}"/>
    <cellStyle name="20% - Accent4 8 3" xfId="329" xr:uid="{F9F507B4-1999-41E9-8620-F9D2D761DCD1}"/>
    <cellStyle name="20% - Accent4 9" xfId="330" xr:uid="{5464F7C1-0D0B-4C86-A801-B56454626845}"/>
    <cellStyle name="20% - Accent4 9 2" xfId="331" xr:uid="{5541C096-A762-4587-ABFA-0A1E3B92BDFB}"/>
    <cellStyle name="20% - Accent5 10" xfId="332" xr:uid="{920065FC-B37D-4946-8D4B-BCBB7728DCDC}"/>
    <cellStyle name="20% - Accent5 10 2" xfId="333" xr:uid="{04A6AA52-7C2D-49B4-8473-967B37E52E5D}"/>
    <cellStyle name="20% - Accent5 11" xfId="334" xr:uid="{CC25D80A-D3D0-4F54-91F3-4F9DEF7AE729}"/>
    <cellStyle name="20% - Accent5 11 2" xfId="335" xr:uid="{DBAEF901-F022-4CF2-8BD0-AE137876EF6E}"/>
    <cellStyle name="20% - Accent5 12" xfId="336" xr:uid="{8EA66D6A-F057-4E0A-9E38-89635D91A972}"/>
    <cellStyle name="20% - Accent5 13" xfId="337" xr:uid="{E06AF9F1-676B-4032-80A2-A300B8B93ABD}"/>
    <cellStyle name="20% - Accent5 14" xfId="338" xr:uid="{FA9A34C4-D054-453E-8565-DB7F8564D119}"/>
    <cellStyle name="20% - Accent5 15" xfId="339" xr:uid="{95827702-C89D-46E7-BA40-21DA04C99A09}"/>
    <cellStyle name="20% - Accent5 16" xfId="340" xr:uid="{C486C9CC-09D1-48D3-9585-CFE61018D158}"/>
    <cellStyle name="20% - Accent5 17" xfId="341" xr:uid="{F0FECC8B-7552-4879-A61C-70E3095E488D}"/>
    <cellStyle name="20% - Accent5 18" xfId="342" xr:uid="{D3343A19-ECDE-4C0A-A2C7-03A0283B76FA}"/>
    <cellStyle name="20% - Accent5 19" xfId="343" xr:uid="{445B8D9C-296E-4E48-A714-BBB491A40604}"/>
    <cellStyle name="20% - Accent5 2" xfId="344" xr:uid="{F51039B3-DA24-4B31-A909-42FC41B9F7EE}"/>
    <cellStyle name="20% - Accent5 2 10" xfId="345" xr:uid="{35090ECF-E85B-457F-A46B-E61B689C7ABF}"/>
    <cellStyle name="20% - Accent5 2 11" xfId="346" xr:uid="{2658A57A-9693-4306-A6C3-05547ACA18E0}"/>
    <cellStyle name="20% - Accent5 2 12" xfId="347" xr:uid="{D1296592-A099-4F3D-8C5E-B0C29C5B85E3}"/>
    <cellStyle name="20% - Accent5 2 13" xfId="348" xr:uid="{01D445E7-0691-4CEB-BD06-8FD9025258DB}"/>
    <cellStyle name="20% - Accent5 2 14" xfId="349" xr:uid="{A169A7EC-DFF3-475A-AACD-84633E16EA71}"/>
    <cellStyle name="20% - Accent5 2 15" xfId="350" xr:uid="{28C0F47A-38BF-46C3-BF5F-14E172C0DD91}"/>
    <cellStyle name="20% - Accent5 2 2" xfId="351" xr:uid="{37BE0769-ED80-484B-8528-D1E049DD55F2}"/>
    <cellStyle name="20% - Accent5 2 3" xfId="352" xr:uid="{46C0C596-2611-4023-A50A-12253CB7570B}"/>
    <cellStyle name="20% - Accent5 2 4" xfId="353" xr:uid="{E2DFD39A-5310-4888-9A07-E16F6C1E67AC}"/>
    <cellStyle name="20% - Accent5 2 5" xfId="354" xr:uid="{0173EC92-C63C-446F-B908-590B69A3FF22}"/>
    <cellStyle name="20% - Accent5 2 6" xfId="355" xr:uid="{AE1E19F2-D9C8-46F1-B9E1-301AE163F96C}"/>
    <cellStyle name="20% - Accent5 2 7" xfId="356" xr:uid="{6C2E43CD-5E92-46CE-838F-654A9F32102B}"/>
    <cellStyle name="20% - Accent5 2 8" xfId="357" xr:uid="{300F752E-ADBF-4433-A8AA-72EB728007DE}"/>
    <cellStyle name="20% - Accent5 2 9" xfId="358" xr:uid="{FC326C02-5CBA-4259-896F-74353E49C690}"/>
    <cellStyle name="20% - Accent5 20" xfId="359" xr:uid="{70E55FF3-9C39-4B37-8061-8E3996BF5F55}"/>
    <cellStyle name="20% - Accent5 21" xfId="360" xr:uid="{AD6C92AB-9EEB-43A2-AEF5-433A90551B3C}"/>
    <cellStyle name="20% - Accent5 22" xfId="361" xr:uid="{3F542EE3-5E73-46A8-96B4-1734EC02396E}"/>
    <cellStyle name="20% - Accent5 23" xfId="362" xr:uid="{8D21ED40-B3A9-4EB5-BB78-702EAF699512}"/>
    <cellStyle name="20% - Accent5 24" xfId="363" xr:uid="{298A6FC1-706F-4BCF-BDBF-677F8770EB10}"/>
    <cellStyle name="20% - Accent5 25" xfId="364" xr:uid="{72E75C49-1C1E-4629-9058-DCFC1745A8C5}"/>
    <cellStyle name="20% - Accent5 26" xfId="365" xr:uid="{4B044301-D892-4B45-B065-14F4293367FD}"/>
    <cellStyle name="20% - Accent5 27" xfId="366" xr:uid="{D170B601-2C9D-4878-8023-F3288AA5AFB5}"/>
    <cellStyle name="20% - Accent5 28" xfId="367" xr:uid="{0F5D11C4-5467-4498-BF20-8B4BD8590EA1}"/>
    <cellStyle name="20% - Accent5 29" xfId="368" xr:uid="{A23A6AA6-F2B6-4587-B426-24D8EAEEE83D}"/>
    <cellStyle name="20% - Accent5 3" xfId="369" xr:uid="{59891F23-ED79-485A-B27A-1A1C82CFA6A0}"/>
    <cellStyle name="20% - Accent5 3 2" xfId="370" xr:uid="{F0EB8C7A-6296-407D-BB4F-110E147AD760}"/>
    <cellStyle name="20% - Accent5 30" xfId="371" xr:uid="{E0868F82-790D-470B-8045-250DBE68C16D}"/>
    <cellStyle name="20% - Accent5 31" xfId="372" xr:uid="{EEBF4423-100B-4918-8946-410658A726E9}"/>
    <cellStyle name="20% - Accent5 32" xfId="373" xr:uid="{96E6FE6B-0CA2-4E56-9AB3-85F172212306}"/>
    <cellStyle name="20% - Accent5 33" xfId="374" xr:uid="{A95A0BDF-30AE-4785-ACEB-0E1B0A113B9F}"/>
    <cellStyle name="20% - Accent5 34" xfId="375" xr:uid="{3E0DDAFD-B1B6-484F-8FC5-6E3D02FCAFE8}"/>
    <cellStyle name="20% - Accent5 35" xfId="376" xr:uid="{49010F34-0308-4525-B0D3-B71CADE2A667}"/>
    <cellStyle name="20% - Accent5 36" xfId="377" xr:uid="{4A84C533-4CBB-466F-A4D4-1E5F3A0C4E28}"/>
    <cellStyle name="20% - Accent5 37" xfId="378" xr:uid="{FD4E16B3-11C9-47AF-B844-22C5FE9E1D9E}"/>
    <cellStyle name="20% - Accent5 38" xfId="379" xr:uid="{F9F9646F-2C1B-4A11-9481-41651DB84835}"/>
    <cellStyle name="20% - Accent5 39" xfId="380" xr:uid="{3EA4E8FE-A7D5-4DD9-8326-01C56E49A639}"/>
    <cellStyle name="20% - Accent5 4" xfId="381" xr:uid="{4D5C6788-21C7-4208-8069-D63A551E5267}"/>
    <cellStyle name="20% - Accent5 40" xfId="382" xr:uid="{EAB62460-570B-41D2-8A05-791A33837990}"/>
    <cellStyle name="20% - Accent5 41" xfId="383" xr:uid="{CA05F8CE-6FF5-477A-9A90-D7E244B7A0C9}"/>
    <cellStyle name="20% - Accent5 42" xfId="384" xr:uid="{0D4ADE0C-95DA-4943-92AD-5D2EF6D1A876}"/>
    <cellStyle name="20% - Accent5 43" xfId="385" xr:uid="{202DF739-9792-4D53-A592-E687793571F0}"/>
    <cellStyle name="20% - Accent5 5" xfId="386" xr:uid="{99306891-C860-4633-9927-C7D6A18E3CF5}"/>
    <cellStyle name="20% - Accent5 6" xfId="387" xr:uid="{911618D7-05ED-4ADB-BAB9-28797738EF57}"/>
    <cellStyle name="20% - Accent5 7" xfId="388" xr:uid="{E0734E3F-65AB-46DC-A43E-23C2A818F29F}"/>
    <cellStyle name="20% - Accent5 8" xfId="389" xr:uid="{52371074-2BCB-4700-9CEE-F0A63FE3E8C4}"/>
    <cellStyle name="20% - Accent5 9" xfId="390" xr:uid="{EC2A441F-3E27-466B-BB6D-2A174E6C6E17}"/>
    <cellStyle name="20% - Accent5 9 2" xfId="391" xr:uid="{F7719FDB-8EEF-47D0-AA6D-F448C9DC87E9}"/>
    <cellStyle name="20% - Accent6 10" xfId="392" xr:uid="{0DBF8389-88AD-479A-B60C-9FDF29CB49CE}"/>
    <cellStyle name="20% - Accent6 10 2" xfId="393" xr:uid="{61A26AC8-1BEA-4EE2-A4F2-A0D0CE529C67}"/>
    <cellStyle name="20% - Accent6 11" xfId="394" xr:uid="{D4068474-4EE4-4380-B0F7-1C2006B51D5B}"/>
    <cellStyle name="20% - Accent6 11 2" xfId="395" xr:uid="{E4E898EC-0EC9-46EA-9E77-A623D5A2E82F}"/>
    <cellStyle name="20% - Accent6 12" xfId="396" xr:uid="{DB98229D-0354-42F3-BAA4-85DDCC6D4185}"/>
    <cellStyle name="20% - Accent6 13" xfId="397" xr:uid="{01E56993-774A-4244-BF1F-FD3BA7F2271B}"/>
    <cellStyle name="20% - Accent6 14" xfId="398" xr:uid="{6B0D8134-B728-4071-834B-C77C7FE0A967}"/>
    <cellStyle name="20% - Accent6 15" xfId="399" xr:uid="{8D721BA2-CA0B-472C-B129-6822976421B6}"/>
    <cellStyle name="20% - Accent6 16" xfId="400" xr:uid="{3CC647CA-4975-45C8-9790-42B27E8A37C6}"/>
    <cellStyle name="20% - Accent6 17" xfId="401" xr:uid="{12CC5BD8-1FCC-4743-844C-6899FF36BDEA}"/>
    <cellStyle name="20% - Accent6 18" xfId="402" xr:uid="{1CD4C5F8-7715-47D1-8997-6979EC80AC8C}"/>
    <cellStyle name="20% - Accent6 19" xfId="403" xr:uid="{F4AA72BF-6FB9-4CFF-A56F-FDBB935A2B2F}"/>
    <cellStyle name="20% - Accent6 2" xfId="404" xr:uid="{27E07E82-D774-46A0-9AF8-7D7183121FA4}"/>
    <cellStyle name="20% - Accent6 2 10" xfId="405" xr:uid="{9748E981-21F3-4B93-9CA8-D1CD856CA030}"/>
    <cellStyle name="20% - Accent6 2 11" xfId="406" xr:uid="{AF925E78-11D7-4406-AF7C-19E083F5AB48}"/>
    <cellStyle name="20% - Accent6 2 12" xfId="407" xr:uid="{E1BA8DB4-526E-4FBC-94EC-E6A2EE867797}"/>
    <cellStyle name="20% - Accent6 2 13" xfId="408" xr:uid="{54FE05D8-C8EB-40A1-B74E-982F41B7AC6C}"/>
    <cellStyle name="20% - Accent6 2 14" xfId="409" xr:uid="{6062C176-8DEB-46ED-A0E1-15B4BF9826E1}"/>
    <cellStyle name="20% - Accent6 2 15" xfId="410" xr:uid="{B53DB5B1-C009-4E9D-8CA7-CAFDDC4D61DF}"/>
    <cellStyle name="20% - Accent6 2 16" xfId="411" xr:uid="{66287A99-BEC5-4633-8BE7-4DE7BEFC880A}"/>
    <cellStyle name="20% - Accent6 2 2" xfId="412" xr:uid="{6B519592-E945-4E07-8DFC-1884A0FE05E9}"/>
    <cellStyle name="20% - Accent6 2 3" xfId="413" xr:uid="{BCE37915-6D32-4B92-81E0-C07C9B1E3EE3}"/>
    <cellStyle name="20% - Accent6 2 4" xfId="414" xr:uid="{FC6E9E7D-8FD5-49A3-B1EC-BE6C4D8B2DE9}"/>
    <cellStyle name="20% - Accent6 2 5" xfId="415" xr:uid="{CF19FD93-E596-43B2-BD70-AA71EF182840}"/>
    <cellStyle name="20% - Accent6 2 6" xfId="416" xr:uid="{03C9D0A5-BB69-4F00-A245-B4FE8B92D6F3}"/>
    <cellStyle name="20% - Accent6 2 7" xfId="417" xr:uid="{563E2D5B-2360-4B6F-BF1F-9BE45E05270C}"/>
    <cellStyle name="20% - Accent6 2 8" xfId="418" xr:uid="{ACC88B1E-8770-469A-B885-4B444ACFA934}"/>
    <cellStyle name="20% - Accent6 2 9" xfId="419" xr:uid="{98F90776-28E4-4347-85B0-4923960D3639}"/>
    <cellStyle name="20% - Accent6 20" xfId="420" xr:uid="{79B19F94-1881-43AE-9475-1970A35153E0}"/>
    <cellStyle name="20% - Accent6 21" xfId="421" xr:uid="{31CF8B33-F8AA-4788-B73E-6CFF1CE08154}"/>
    <cellStyle name="20% - Accent6 22" xfId="422" xr:uid="{FABD7CF9-CEBB-406D-AE16-E009E356AE17}"/>
    <cellStyle name="20% - Accent6 23" xfId="423" xr:uid="{1231ED8B-E1BB-481D-9540-F98F099F165F}"/>
    <cellStyle name="20% - Accent6 24" xfId="424" xr:uid="{81A07E7F-53B3-4911-91C9-50985D552CC4}"/>
    <cellStyle name="20% - Accent6 25" xfId="425" xr:uid="{33F072F6-8B38-46C1-9612-C4156041E061}"/>
    <cellStyle name="20% - Accent6 26" xfId="426" xr:uid="{72C4BF7B-B0B7-4FBB-9302-95A4D643AFB9}"/>
    <cellStyle name="20% - Accent6 27" xfId="427" xr:uid="{D82D8E31-D76F-41AC-A690-BF46FE7AA01C}"/>
    <cellStyle name="20% - Accent6 28" xfId="428" xr:uid="{31124231-C38A-4B5E-A804-89B5C3941F0C}"/>
    <cellStyle name="20% - Accent6 29" xfId="429" xr:uid="{36A16BB0-2800-4880-832D-A737504CE276}"/>
    <cellStyle name="20% - Accent6 3" xfId="430" xr:uid="{B2512132-1745-4A90-A1F1-AAA58AF31308}"/>
    <cellStyle name="20% - Accent6 3 2" xfId="431" xr:uid="{C30B0607-84EE-408D-81DD-3376E3755659}"/>
    <cellStyle name="20% - Accent6 3 2 2" xfId="432" xr:uid="{CBE94614-BAC8-4E08-9AAF-A16C2D388FBB}"/>
    <cellStyle name="20% - Accent6 3 3" xfId="433" xr:uid="{02F0A1D1-AAE5-4BD2-A38D-23919542D85B}"/>
    <cellStyle name="20% - Accent6 3 4" xfId="434" xr:uid="{30A194AA-1C2E-4F67-8120-96CC46A45889}"/>
    <cellStyle name="20% - Accent6 30" xfId="435" xr:uid="{4A0A28A7-B53A-49E8-BA9D-9C826B453E68}"/>
    <cellStyle name="20% - Accent6 31" xfId="436" xr:uid="{5450A38B-CA6B-40BE-BF7B-25E602A6632F}"/>
    <cellStyle name="20% - Accent6 32" xfId="437" xr:uid="{3DA9D70D-5256-42E8-A4E9-30593EFE6489}"/>
    <cellStyle name="20% - Accent6 33" xfId="438" xr:uid="{9CE49C82-042F-4078-B67B-919BB89A39F7}"/>
    <cellStyle name="20% - Accent6 34" xfId="439" xr:uid="{CEA61436-21A5-4CEE-895A-D221A0567678}"/>
    <cellStyle name="20% - Accent6 35" xfId="440" xr:uid="{AB9BF42F-3ED8-4495-B52D-B3E0591D522C}"/>
    <cellStyle name="20% - Accent6 36" xfId="441" xr:uid="{70EF0DA0-071C-41F6-B0E7-E37CE8DBA0F9}"/>
    <cellStyle name="20% - Accent6 37" xfId="442" xr:uid="{01E38064-4394-4846-B41D-1C923A757114}"/>
    <cellStyle name="20% - Accent6 38" xfId="443" xr:uid="{F3F50C8A-7EC4-4F05-8102-F7E685B9CA84}"/>
    <cellStyle name="20% - Accent6 39" xfId="444" xr:uid="{18383B67-AA3F-4216-A148-F3C8FCAA4FEB}"/>
    <cellStyle name="20% - Accent6 4" xfId="445" xr:uid="{A28B145A-061B-457A-BD47-8662EF10195C}"/>
    <cellStyle name="20% - Accent6 4 2" xfId="446" xr:uid="{91654DD4-3840-4EB8-8549-CCEEC613ED82}"/>
    <cellStyle name="20% - Accent6 4 3" xfId="447" xr:uid="{E7E7E636-0EC4-43D8-A197-84417585DFC1}"/>
    <cellStyle name="20% - Accent6 40" xfId="448" xr:uid="{7E3B5D3E-CC04-4BD1-BE57-384CB981DBE6}"/>
    <cellStyle name="20% - Accent6 41" xfId="449" xr:uid="{C8FD3871-F82E-4510-A286-B8686291023E}"/>
    <cellStyle name="20% - Accent6 42" xfId="450" xr:uid="{E85CCE56-3B51-4EE8-9199-DC09763D3B80}"/>
    <cellStyle name="20% - Accent6 43" xfId="451" xr:uid="{A3E08E65-2CCD-441F-A16A-765FA9CAAAEC}"/>
    <cellStyle name="20% - Accent6 44" xfId="452" xr:uid="{F516966C-D055-4294-858D-79F4BC42DF9C}"/>
    <cellStyle name="20% - Accent6 44 2" xfId="453" xr:uid="{120BCF9A-A24D-4426-88F3-87F758503CC1}"/>
    <cellStyle name="20% - Accent6 44 2 2" xfId="454" xr:uid="{A16275A2-9956-49C3-A760-D6A52554E402}"/>
    <cellStyle name="20% - Accent6 44 2 2 2" xfId="455" xr:uid="{47CB800E-9A50-4E3D-9D1E-7FDB38B43BE4}"/>
    <cellStyle name="20% - Accent6 44 2 2 2 2" xfId="456" xr:uid="{17CCA4EC-7C42-41EC-8597-3DD0CE7B9953}"/>
    <cellStyle name="20% - Accent6 44 2 2 3" xfId="457" xr:uid="{62DDB41E-68CF-41D7-8C3C-D32D287A11E0}"/>
    <cellStyle name="20% - Accent6 44 2 3" xfId="458" xr:uid="{4144FE7E-7C20-4571-B159-5A7CD2C3C834}"/>
    <cellStyle name="20% - Accent6 44 2 3 2" xfId="459" xr:uid="{F666A3EE-B201-420A-B628-6CE6A511B70E}"/>
    <cellStyle name="20% - Accent6 44 2 3 2 2" xfId="460" xr:uid="{BDA396CE-C3EA-4EDD-B1AC-54DF11CDFAAF}"/>
    <cellStyle name="20% - Accent6 44 2 3 3" xfId="461" xr:uid="{01E7AE57-F429-4E6D-84BB-13C2BE9B004D}"/>
    <cellStyle name="20% - Accent6 44 2 4" xfId="462" xr:uid="{6E1D96CC-C5C0-43F8-80A8-5AB04482CAE4}"/>
    <cellStyle name="20% - Accent6 44 2 4 2" xfId="463" xr:uid="{CD0F87A5-8608-4001-AA7C-DBD1FB3D2B9F}"/>
    <cellStyle name="20% - Accent6 44 2 5" xfId="464" xr:uid="{3914C638-F5E5-40D8-A557-5BAF673793EF}"/>
    <cellStyle name="20% - Accent6 44 3" xfId="465" xr:uid="{8DBEEB04-546F-49DF-8CB7-9F114F22D752}"/>
    <cellStyle name="20% - Accent6 44 3 2" xfId="466" xr:uid="{C9B03284-C635-420B-B3AF-F89BCA227DC2}"/>
    <cellStyle name="20% - Accent6 44 3 2 2" xfId="467" xr:uid="{CD2DD8FF-298A-4F60-AEA5-F6234540F0EF}"/>
    <cellStyle name="20% - Accent6 44 3 3" xfId="468" xr:uid="{38EBF7C4-5715-44CF-9A86-FAC171FB836D}"/>
    <cellStyle name="20% - Accent6 44 4" xfId="469" xr:uid="{6030F764-A28B-40B8-A6AF-807A336A56B7}"/>
    <cellStyle name="20% - Accent6 44 4 2" xfId="470" xr:uid="{7AF6F180-E1F3-4829-86BB-3028A693D4C0}"/>
    <cellStyle name="20% - Accent6 44 4 2 2" xfId="471" xr:uid="{44BBB0D3-436D-492E-8FE7-08F4EC5A72FC}"/>
    <cellStyle name="20% - Accent6 44 4 3" xfId="472" xr:uid="{72BDC249-B211-4134-8133-8537D71828FA}"/>
    <cellStyle name="20% - Accent6 44 5" xfId="473" xr:uid="{D5B48445-DE3A-4AEA-90F6-C650F0CCEEDB}"/>
    <cellStyle name="20% - Accent6 44 5 2" xfId="474" xr:uid="{93818DDE-7E1F-4A30-A28D-CFD1F8A9DA1F}"/>
    <cellStyle name="20% - Accent6 44 6" xfId="475" xr:uid="{CC4D329F-616B-4334-94AD-6FA684AA4A75}"/>
    <cellStyle name="20% - Accent6 5" xfId="476" xr:uid="{B7C2556D-7F73-40C7-A8D4-C50E81BC63A5}"/>
    <cellStyle name="20% - Accent6 5 2" xfId="477" xr:uid="{48FCCEA8-6DC3-4685-9B48-73DD3B8F4E1A}"/>
    <cellStyle name="20% - Accent6 5 3" xfId="478" xr:uid="{8546B9F1-6771-4D13-BFFE-6618F42BE128}"/>
    <cellStyle name="20% - Accent6 6" xfId="479" xr:uid="{341BB421-C333-4D7D-884F-1DF6ADC0B9F4}"/>
    <cellStyle name="20% - Accent6 6 2" xfId="480" xr:uid="{D7354803-5E96-4154-B7B4-44BE2975760E}"/>
    <cellStyle name="20% - Accent6 6 3" xfId="481" xr:uid="{C2FB6BF0-172E-4E97-83D1-BC6FEC95F2EF}"/>
    <cellStyle name="20% - Accent6 7" xfId="482" xr:uid="{29364B3C-BE52-4476-A456-46026F0AFC23}"/>
    <cellStyle name="20% - Accent6 7 2" xfId="483" xr:uid="{F4D13E86-EE43-4731-BF43-A363D11FDBA2}"/>
    <cellStyle name="20% - Accent6 7 3" xfId="484" xr:uid="{3CE05902-83CA-42E9-824F-46A550987221}"/>
    <cellStyle name="20% - Accent6 8" xfId="485" xr:uid="{C79B5A66-7BE1-4106-A759-5FF784A65D72}"/>
    <cellStyle name="20% - Accent6 8 2" xfId="486" xr:uid="{0997E2AC-9B92-44A9-80CE-5A84001992E9}"/>
    <cellStyle name="20% - Accent6 8 3" xfId="487" xr:uid="{56581E21-050C-4550-9C61-614751676BE1}"/>
    <cellStyle name="20% - Accent6 9" xfId="488" xr:uid="{B1B2DFFB-42E8-4702-BB20-3CF491BBDB42}"/>
    <cellStyle name="20% - Accent6 9 2" xfId="489" xr:uid="{D8237B05-16F5-4877-9C87-88A709F369E1}"/>
    <cellStyle name="20% - Akzent1" xfId="490" xr:uid="{61EEBDBD-5F3B-43A0-A3E6-FD8CA6391322}"/>
    <cellStyle name="20% - Akzent2" xfId="491" xr:uid="{17F126E8-6D9F-402E-9087-3B73DAE8D3CE}"/>
    <cellStyle name="20% - Akzent3" xfId="492" xr:uid="{1365703E-D8E1-4D82-B45C-D6FF69E618DC}"/>
    <cellStyle name="20% - Akzent4" xfId="493" xr:uid="{4D24B694-9D52-446D-9997-B2365986010D}"/>
    <cellStyle name="20% - Akzent5" xfId="494" xr:uid="{899BF24D-D83F-4EBB-87E3-AF55865DD89E}"/>
    <cellStyle name="20% - Akzent6" xfId="495" xr:uid="{1DCCBC9C-5565-466A-90CB-81A4D6229F03}"/>
    <cellStyle name="2x indented GHG Textfiels" xfId="496" xr:uid="{E7A42072-82CD-4350-9210-427D198D225C}"/>
    <cellStyle name="40% - Accent1 10" xfId="497" xr:uid="{1342616D-6407-43FE-AC2F-399A5A3A9B41}"/>
    <cellStyle name="40% - Accent1 10 2" xfId="498" xr:uid="{469D7584-4530-4F8F-8C71-D5123AA2DB2B}"/>
    <cellStyle name="40% - Accent1 11" xfId="499" xr:uid="{FDE01F8E-5F3E-4CFC-94CE-5FBE6713E6EC}"/>
    <cellStyle name="40% - Accent1 11 2" xfId="500" xr:uid="{CAC02E07-A487-4CF7-909D-DEDE09DB9C25}"/>
    <cellStyle name="40% - Accent1 12" xfId="501" xr:uid="{809841A5-CB01-4271-BE85-DFCAA8A0FDDF}"/>
    <cellStyle name="40% - Accent1 13" xfId="502" xr:uid="{F63DB0EF-A3DD-45F1-8988-D7E1337B0649}"/>
    <cellStyle name="40% - Accent1 14" xfId="503" xr:uid="{B334E2F0-D658-4112-9387-C20BF703211B}"/>
    <cellStyle name="40% - Accent1 15" xfId="504" xr:uid="{9B9DF380-E87B-431B-8B2C-0E57159379D5}"/>
    <cellStyle name="40% - Accent1 16" xfId="505" xr:uid="{855966C3-5933-406F-8DD2-98C260348E8A}"/>
    <cellStyle name="40% - Accent1 17" xfId="506" xr:uid="{511BD60F-24B5-435D-B306-862FA2A1E2BA}"/>
    <cellStyle name="40% - Accent1 18" xfId="507" xr:uid="{29B17C1E-D788-42FE-A6E1-C3054B356DEE}"/>
    <cellStyle name="40% - Accent1 19" xfId="508" xr:uid="{4218835D-544B-442F-B3A1-BF23D32A19B9}"/>
    <cellStyle name="40% - Accent1 2" xfId="509" xr:uid="{C5F68F01-1E40-4926-8160-75C13A824EA7}"/>
    <cellStyle name="40% - Accent1 2 10" xfId="510" xr:uid="{0170FB2C-0389-4DA4-8985-67CE28AD6325}"/>
    <cellStyle name="40% - Accent1 2 11" xfId="511" xr:uid="{733CBC70-F17B-4974-9715-D957262A07D3}"/>
    <cellStyle name="40% - Accent1 2 12" xfId="512" xr:uid="{87D9A69B-7F85-456F-BBEF-DAEB24BE498C}"/>
    <cellStyle name="40% - Accent1 2 13" xfId="513" xr:uid="{0B0B7532-9D39-4C0F-9A65-694C26C72EC6}"/>
    <cellStyle name="40% - Accent1 2 14" xfId="514" xr:uid="{A9A5C954-6601-4FF7-924B-E9927BA0777F}"/>
    <cellStyle name="40% - Accent1 2 15" xfId="515" xr:uid="{4CA68CB4-FB55-4A45-A968-B49C157CB4D3}"/>
    <cellStyle name="40% - Accent1 2 16" xfId="516" xr:uid="{89BA82C9-DE6B-41E6-A01C-CCE21F26DA60}"/>
    <cellStyle name="40% - Accent1 2 2" xfId="517" xr:uid="{2FFF4CB9-7007-498A-AB7F-245F2C4C9BAC}"/>
    <cellStyle name="40% - Accent1 2 3" xfId="518" xr:uid="{A5241A16-D14D-419A-98C8-958F282E9D06}"/>
    <cellStyle name="40% - Accent1 2 4" xfId="519" xr:uid="{BADAE967-C9E6-45C6-930D-E7192BD27436}"/>
    <cellStyle name="40% - Accent1 2 5" xfId="520" xr:uid="{4B8DE0E2-BAB4-4997-B5F6-8E2DD30C796E}"/>
    <cellStyle name="40% - Accent1 2 6" xfId="521" xr:uid="{E1097D63-3920-4BB8-AC65-95909BE0D42B}"/>
    <cellStyle name="40% - Accent1 2 7" xfId="522" xr:uid="{9505F066-D58D-442C-85BE-7571FBEAD4A8}"/>
    <cellStyle name="40% - Accent1 2 8" xfId="523" xr:uid="{9E490FC7-36CF-4404-923A-DA0472BA17F7}"/>
    <cellStyle name="40% - Accent1 2 9" xfId="524" xr:uid="{517805F3-3E2C-4F55-9AE8-E01FE927FA6D}"/>
    <cellStyle name="40% - Accent1 20" xfId="525" xr:uid="{DFF2818D-D2B5-4BB1-87B2-3D6AA5B6CD7E}"/>
    <cellStyle name="40% - Accent1 21" xfId="526" xr:uid="{0AFA21D5-CF93-487E-B9A1-47A4E1B9E2B0}"/>
    <cellStyle name="40% - Accent1 22" xfId="527" xr:uid="{5D40DC1A-E9BB-4704-B9A3-DF928ADD79C6}"/>
    <cellStyle name="40% - Accent1 23" xfId="528" xr:uid="{F433902D-6DA9-4D09-84D3-95B5161ED598}"/>
    <cellStyle name="40% - Accent1 24" xfId="529" xr:uid="{BEE99AD1-2684-4AD3-B11C-234D2F30A3A5}"/>
    <cellStyle name="40% - Accent1 25" xfId="530" xr:uid="{6DED1B76-4085-439E-8BB0-BDE80A6CF8BE}"/>
    <cellStyle name="40% - Accent1 26" xfId="531" xr:uid="{A314E615-0265-4B3F-AD61-E75A3A92659B}"/>
    <cellStyle name="40% - Accent1 27" xfId="532" xr:uid="{B3BD8052-01A4-4062-A111-0B03AB53EA55}"/>
    <cellStyle name="40% - Accent1 28" xfId="533" xr:uid="{57D22032-9F39-4878-BF77-3A80A1BBC182}"/>
    <cellStyle name="40% - Accent1 29" xfId="534" xr:uid="{A2A6B908-03AF-4C00-837E-62305D9C360C}"/>
    <cellStyle name="40% - Accent1 3" xfId="535" xr:uid="{4CF2F6C6-905F-4BA9-B725-B6385BFDF28D}"/>
    <cellStyle name="40% - Accent1 3 2" xfId="536" xr:uid="{825B2CED-2CCA-4321-BF32-CF47D80CDBB7}"/>
    <cellStyle name="40% - Accent1 3 2 2" xfId="537" xr:uid="{6B731D08-A0E4-4843-B66F-64095941B9BD}"/>
    <cellStyle name="40% - Accent1 3 3" xfId="538" xr:uid="{6EDEBF0C-00E9-46DA-9CDB-5740DC1E1FD3}"/>
    <cellStyle name="40% - Accent1 3 4" xfId="539" xr:uid="{20A9A00D-1FA3-43FA-A60F-338C6AC9A449}"/>
    <cellStyle name="40% - Accent1 30" xfId="540" xr:uid="{BF3264DF-5947-4787-8C06-F335A381F742}"/>
    <cellStyle name="40% - Accent1 31" xfId="541" xr:uid="{677FC52C-C9A5-4BE5-957C-DF3121E841E6}"/>
    <cellStyle name="40% - Accent1 32" xfId="542" xr:uid="{D5E2B653-E188-42ED-8A8E-30D4808523D8}"/>
    <cellStyle name="40% - Accent1 33" xfId="543" xr:uid="{B0BBB62A-32CC-415C-A578-EE3165D37BB0}"/>
    <cellStyle name="40% - Accent1 34" xfId="544" xr:uid="{373D2864-3A0E-45F1-9B29-2FA2B75C3CF2}"/>
    <cellStyle name="40% - Accent1 35" xfId="545" xr:uid="{2C0FDE04-B736-4E1D-971F-6E3A515B8177}"/>
    <cellStyle name="40% - Accent1 36" xfId="546" xr:uid="{A754E6C0-85FF-4B67-B3DB-D2120CBE4001}"/>
    <cellStyle name="40% - Accent1 37" xfId="547" xr:uid="{DB6A6678-246F-468B-BAB2-726B9B238E8C}"/>
    <cellStyle name="40% - Accent1 38" xfId="548" xr:uid="{D0384873-E181-4B0B-A6CD-3B3CE7ED3881}"/>
    <cellStyle name="40% - Accent1 39" xfId="549" xr:uid="{625D39D1-9AF5-499B-B4A0-5EE1E87EC50D}"/>
    <cellStyle name="40% - Accent1 4" xfId="550" xr:uid="{7C10B215-9F65-4D63-BAC3-2EA7737D6A1D}"/>
    <cellStyle name="40% - Accent1 4 2" xfId="551" xr:uid="{5F64F98D-93DF-4649-AE72-9AB3B910D622}"/>
    <cellStyle name="40% - Accent1 4 3" xfId="552" xr:uid="{D08B4854-D5AD-4818-B917-4B58F9B93649}"/>
    <cellStyle name="40% - Accent1 40" xfId="553" xr:uid="{E45808EE-535A-448D-A309-501B5C001AD4}"/>
    <cellStyle name="40% - Accent1 41" xfId="554" xr:uid="{90DED03F-4DD9-43BD-ADF8-E7F7F34F4673}"/>
    <cellStyle name="40% - Accent1 42" xfId="555" xr:uid="{6B4BC10C-F66F-429D-81E4-0357E616DDF1}"/>
    <cellStyle name="40% - Accent1 43" xfId="556" xr:uid="{A7FDD8D8-31A8-47F1-9B00-F967D5E4D292}"/>
    <cellStyle name="40% - Accent1 5" xfId="557" xr:uid="{A551964D-7B36-4D56-869E-9D380E504F12}"/>
    <cellStyle name="40% - Accent1 5 2" xfId="558" xr:uid="{B545987E-C365-4FFB-B7BF-2F654A4D5478}"/>
    <cellStyle name="40% - Accent1 5 3" xfId="559" xr:uid="{9791C1C9-1BD9-458D-9001-982D2C6ABF4F}"/>
    <cellStyle name="40% - Accent1 6" xfId="560" xr:uid="{77276293-4314-46EE-921A-73731E96305D}"/>
    <cellStyle name="40% - Accent1 6 2" xfId="561" xr:uid="{826D1456-3391-408C-AD65-CF3CC0E219F8}"/>
    <cellStyle name="40% - Accent1 6 3" xfId="562" xr:uid="{5AF54C29-DE78-4678-8008-C4C91E1C596D}"/>
    <cellStyle name="40% - Accent1 7" xfId="563" xr:uid="{5C9B98AC-511E-4BD3-8AB9-1AE6BA44C26A}"/>
    <cellStyle name="40% - Accent1 7 2" xfId="564" xr:uid="{F834EB7A-111C-4B87-B159-078B75DBD126}"/>
    <cellStyle name="40% - Accent1 7 3" xfId="565" xr:uid="{27046DCC-EDE1-4BCA-9A2E-651D89CCC218}"/>
    <cellStyle name="40% - Accent1 8" xfId="566" xr:uid="{2BD8EE9C-2810-44C8-86AD-9B1820E02087}"/>
    <cellStyle name="40% - Accent1 8 2" xfId="567" xr:uid="{1CD76324-34B6-48A7-8363-56DF4E64B92C}"/>
    <cellStyle name="40% - Accent1 8 3" xfId="568" xr:uid="{E7C1B2FA-BC85-435B-8065-8C2A0D9D666A}"/>
    <cellStyle name="40% - Accent1 9" xfId="569" xr:uid="{A17D72FA-BC50-4B9B-85D7-C2275A4DDE9B}"/>
    <cellStyle name="40% - Accent1 9 2" xfId="570" xr:uid="{1580D8DC-BFDC-4879-9683-19D1D58FC16F}"/>
    <cellStyle name="40% - Accent2 10" xfId="571" xr:uid="{3ACC744B-7683-4C70-93FD-9D1C14D685B1}"/>
    <cellStyle name="40% - Accent2 10 2" xfId="572" xr:uid="{B9318658-0CD6-4D64-9D1E-B53ED8CDAFCF}"/>
    <cellStyle name="40% - Accent2 11" xfId="573" xr:uid="{A7FF9E03-F83E-499A-B093-015D8B28A24C}"/>
    <cellStyle name="40% - Accent2 11 2" xfId="574" xr:uid="{014C9094-2CFE-40AF-B1F9-DBA821E6F6AD}"/>
    <cellStyle name="40% - Accent2 12" xfId="575" xr:uid="{B1D090A6-041F-43C8-8CED-E0F670219B5D}"/>
    <cellStyle name="40% - Accent2 13" xfId="576" xr:uid="{E173BBC5-C1BE-4EFE-BFFD-C7B2B89F77D4}"/>
    <cellStyle name="40% - Accent2 14" xfId="577" xr:uid="{DBE5B834-A58B-4AC3-A3A3-4FCBD9BFD1FB}"/>
    <cellStyle name="40% - Accent2 15" xfId="578" xr:uid="{3AF61F58-A1C9-4863-8CC6-8A9C1B7EA637}"/>
    <cellStyle name="40% - Accent2 16" xfId="579" xr:uid="{BB6AD67F-DC94-4113-9A55-8F0943318C61}"/>
    <cellStyle name="40% - Accent2 17" xfId="580" xr:uid="{37F26C68-5186-4AAE-8A1A-D5DEBFDD3021}"/>
    <cellStyle name="40% - Accent2 18" xfId="581" xr:uid="{B39E1E2B-4886-4886-854C-3687F2DC2B4F}"/>
    <cellStyle name="40% - Accent2 19" xfId="582" xr:uid="{388315CB-D8D9-4B30-AA5D-7B33A77FD9EB}"/>
    <cellStyle name="40% - Accent2 2" xfId="583" xr:uid="{CC6F863A-9415-44C1-8ED5-E21E37AA2046}"/>
    <cellStyle name="40% - Accent2 2 10" xfId="584" xr:uid="{9D455EB5-00EF-4926-AB1B-14FBD0489FC0}"/>
    <cellStyle name="40% - Accent2 2 11" xfId="585" xr:uid="{F08CCC7A-49FD-4292-A646-0F51D9A164B4}"/>
    <cellStyle name="40% - Accent2 2 12" xfId="586" xr:uid="{8C4950CF-4AE5-47D8-BAE0-AB22833347B2}"/>
    <cellStyle name="40% - Accent2 2 13" xfId="587" xr:uid="{8CE2E89D-60F2-4C76-BE35-34E949EE219F}"/>
    <cellStyle name="40% - Accent2 2 14" xfId="588" xr:uid="{CBC83A83-F684-48A5-B723-1B1B9036A40C}"/>
    <cellStyle name="40% - Accent2 2 15" xfId="589" xr:uid="{B40C8E70-64E3-49F0-9D35-F50C5E173360}"/>
    <cellStyle name="40% - Accent2 2 2" xfId="590" xr:uid="{69F6E5DB-740C-4473-8103-BAB18B5422CC}"/>
    <cellStyle name="40% - Accent2 2 3" xfId="591" xr:uid="{CA8F8869-9145-44EF-AA17-69AD3E160F83}"/>
    <cellStyle name="40% - Accent2 2 4" xfId="592" xr:uid="{CCB9BCED-26D8-4BD2-80BC-BB9579BC4B04}"/>
    <cellStyle name="40% - Accent2 2 5" xfId="593" xr:uid="{DF668C58-4916-41F2-B1F4-572BE182DCE5}"/>
    <cellStyle name="40% - Accent2 2 6" xfId="594" xr:uid="{7D65C7D0-03F8-411C-806B-6196718E171D}"/>
    <cellStyle name="40% - Accent2 2 7" xfId="595" xr:uid="{A18297E8-9E49-4698-93A2-A1B1A31A9222}"/>
    <cellStyle name="40% - Accent2 2 8" xfId="596" xr:uid="{73541675-7914-4808-9D17-729CE6199699}"/>
    <cellStyle name="40% - Accent2 2 9" xfId="597" xr:uid="{B729FD4F-ADD3-4BD1-9D38-1E6FA2A5D5B5}"/>
    <cellStyle name="40% - Accent2 20" xfId="598" xr:uid="{F9D994B2-FFFB-4172-99F6-4DBF6245362D}"/>
    <cellStyle name="40% - Accent2 21" xfId="599" xr:uid="{72FFAF3A-2BD0-4BE0-B20A-A6A371A3D09F}"/>
    <cellStyle name="40% - Accent2 22" xfId="600" xr:uid="{BE8C940E-066F-457B-BDFF-3B178106ED42}"/>
    <cellStyle name="40% - Accent2 23" xfId="601" xr:uid="{BA4B7563-A759-4A3C-AA20-8360E1336497}"/>
    <cellStyle name="40% - Accent2 24" xfId="602" xr:uid="{8890BD8F-1C60-493A-9A4F-D688F05E5193}"/>
    <cellStyle name="40% - Accent2 25" xfId="603" xr:uid="{6F2AA4AE-DA61-4BFD-8AB9-4B3420974D8C}"/>
    <cellStyle name="40% - Accent2 26" xfId="604" xr:uid="{09427598-6778-4BD7-9617-FE460B13092E}"/>
    <cellStyle name="40% - Accent2 27" xfId="605" xr:uid="{9BACF393-098C-48FA-806A-D942CFE87B8B}"/>
    <cellStyle name="40% - Accent2 28" xfId="606" xr:uid="{B44D5857-2CB0-418D-864D-F15EAE35220B}"/>
    <cellStyle name="40% - Accent2 29" xfId="607" xr:uid="{AA45406A-46DB-4168-8962-17CD74EDAC34}"/>
    <cellStyle name="40% - Accent2 3" xfId="608" xr:uid="{747997D3-29D2-4E08-897B-3466AC35A6D9}"/>
    <cellStyle name="40% - Accent2 3 2" xfId="609" xr:uid="{7BC6E74A-BED8-4F96-B29D-EC7DAC577B61}"/>
    <cellStyle name="40% - Accent2 30" xfId="610" xr:uid="{54E28A4F-400E-4C30-801A-3F4018704D03}"/>
    <cellStyle name="40% - Accent2 31" xfId="611" xr:uid="{F34578CE-6B7A-426D-AE17-FA8F1A81F37F}"/>
    <cellStyle name="40% - Accent2 32" xfId="612" xr:uid="{656161C3-D72D-49CC-9918-F44F13BF66C4}"/>
    <cellStyle name="40% - Accent2 33" xfId="613" xr:uid="{69B6404A-B1C9-4791-B3EB-AF8134E70D07}"/>
    <cellStyle name="40% - Accent2 34" xfId="614" xr:uid="{17B0B0E0-995F-4F02-AF3F-3B35BBC44943}"/>
    <cellStyle name="40% - Accent2 35" xfId="615" xr:uid="{CC771446-BFFA-4D3E-9F16-B8683947159C}"/>
    <cellStyle name="40% - Accent2 36" xfId="616" xr:uid="{7459FBCB-DF3B-40FE-8699-25B171A2940C}"/>
    <cellStyle name="40% - Accent2 37" xfId="617" xr:uid="{B06D9A56-FE58-4433-A05A-6AF98FA44D49}"/>
    <cellStyle name="40% - Accent2 38" xfId="618" xr:uid="{306AF222-E70A-46CE-9FFB-82D954D9F703}"/>
    <cellStyle name="40% - Accent2 39" xfId="619" xr:uid="{0052B165-A0AF-4AE5-AC50-F906D71C6622}"/>
    <cellStyle name="40% - Accent2 4" xfId="620" xr:uid="{7AFA0E7A-0C32-4E2E-AB6D-9C6473E91CE9}"/>
    <cellStyle name="40% - Accent2 40" xfId="621" xr:uid="{6C257B37-E84D-4DD4-9D34-C39963C491EE}"/>
    <cellStyle name="40% - Accent2 41" xfId="622" xr:uid="{8C3B2811-C10F-48BD-B647-45EF58E2A5D2}"/>
    <cellStyle name="40% - Accent2 42" xfId="623" xr:uid="{1C64506A-5C82-4CE2-B78D-17D123B5A95E}"/>
    <cellStyle name="40% - Accent2 43" xfId="624" xr:uid="{5C8531FC-DA48-444B-8E93-43ADC00C5C28}"/>
    <cellStyle name="40% - Accent2 5" xfId="625" xr:uid="{66F38FA4-D8A5-4F72-B080-4CBC4ED40417}"/>
    <cellStyle name="40% - Accent2 6" xfId="626" xr:uid="{5C7C5569-5D45-46EF-9855-B7B906791BFF}"/>
    <cellStyle name="40% - Accent2 7" xfId="627" xr:uid="{A44A7EAD-34F6-4D35-B1F0-88931C1206BF}"/>
    <cellStyle name="40% - Accent2 8" xfId="628" xr:uid="{A3370BFE-6B81-444C-889E-D51D516BC856}"/>
    <cellStyle name="40% - Accent2 9" xfId="629" xr:uid="{F0336DB9-28DD-4785-9C1E-6396D9B6EC02}"/>
    <cellStyle name="40% - Accent2 9 2" xfId="630" xr:uid="{EA335B84-D01D-49FA-B17E-BAA7A62D8730}"/>
    <cellStyle name="40% - Accent3 10" xfId="631" xr:uid="{195DA056-E834-4A93-BA52-FA42681BD1E3}"/>
    <cellStyle name="40% - Accent3 10 2" xfId="632" xr:uid="{E9B4137F-895E-4E55-BC18-FAAF98CE4F0B}"/>
    <cellStyle name="40% - Accent3 11" xfId="633" xr:uid="{CEC9952A-DC91-4FC0-8B3F-9830B2E61F61}"/>
    <cellStyle name="40% - Accent3 11 2" xfId="634" xr:uid="{FE86EB9B-2944-45EB-B8DB-5D20E3B74267}"/>
    <cellStyle name="40% - Accent3 12" xfId="635" xr:uid="{8774BF03-0F13-47C7-A707-AA1BECE2EB89}"/>
    <cellStyle name="40% - Accent3 13" xfId="636" xr:uid="{8D0CC95D-0B0C-4F9E-A51E-9E04DDDA5B1C}"/>
    <cellStyle name="40% - Accent3 14" xfId="637" xr:uid="{9710B408-971E-4D13-BD5E-F1F8AD1FBD6A}"/>
    <cellStyle name="40% - Accent3 15" xfId="638" xr:uid="{621E9019-BEA5-49E0-82B5-C48101534341}"/>
    <cellStyle name="40% - Accent3 16" xfId="639" xr:uid="{D7701129-AED1-4659-8BDF-E5158723D4D5}"/>
    <cellStyle name="40% - Accent3 17" xfId="640" xr:uid="{5B57DDE4-2D47-42BA-9ACE-FF6185C77D57}"/>
    <cellStyle name="40% - Accent3 18" xfId="641" xr:uid="{A72B9E88-AA24-4DEF-B7DF-FA254207D9C2}"/>
    <cellStyle name="40% - Accent3 19" xfId="642" xr:uid="{B1992811-841B-451A-B73A-6A24762EE029}"/>
    <cellStyle name="40% - Accent3 2" xfId="643" xr:uid="{BD8C5970-6FA9-4C8B-A9B0-3670D96DFEFA}"/>
    <cellStyle name="40% - Accent3 2 10" xfId="644" xr:uid="{D7F9B2F2-A60F-4CD8-AC3C-CB9494E61B98}"/>
    <cellStyle name="40% - Accent3 2 11" xfId="645" xr:uid="{16DA60A1-BE94-4DA1-BA7F-B15765AEFD05}"/>
    <cellStyle name="40% - Accent3 2 12" xfId="646" xr:uid="{22518858-4941-4A57-96B8-8FB17C8FF5A5}"/>
    <cellStyle name="40% - Accent3 2 13" xfId="647" xr:uid="{07A84379-597F-4314-9B4C-8B9AD563B620}"/>
    <cellStyle name="40% - Accent3 2 14" xfId="648" xr:uid="{C14A2E5D-DEDA-4D38-8A66-58DEEB93BFA8}"/>
    <cellStyle name="40% - Accent3 2 15" xfId="649" xr:uid="{AAB9D745-9A03-44AF-A42A-C0190D3A57CC}"/>
    <cellStyle name="40% - Accent3 2 16" xfId="650" xr:uid="{C0EB696C-8733-403E-B802-655D26B956BB}"/>
    <cellStyle name="40% - Accent3 2 2" xfId="651" xr:uid="{27B7DC33-2C27-49F2-8893-FB20A5C6AAE0}"/>
    <cellStyle name="40% - Accent3 2 3" xfId="652" xr:uid="{5B4D3E1E-F9C4-4C07-970E-D30E1AB93128}"/>
    <cellStyle name="40% - Accent3 2 4" xfId="653" xr:uid="{DDE7C9D5-DC44-4BA8-BEDF-4E981FC83DC1}"/>
    <cellStyle name="40% - Accent3 2 5" xfId="654" xr:uid="{4BBD11D3-FF0B-4217-8125-934E3CB57B7A}"/>
    <cellStyle name="40% - Accent3 2 6" xfId="655" xr:uid="{024A173A-9E23-4C72-ACBA-56BA5C20D12F}"/>
    <cellStyle name="40% - Accent3 2 7" xfId="656" xr:uid="{A14D5668-44BE-4DA6-8D63-885BA91F6738}"/>
    <cellStyle name="40% - Accent3 2 8" xfId="657" xr:uid="{3A3EFB90-D0DB-490F-8BBF-38A7F00C73F0}"/>
    <cellStyle name="40% - Accent3 2 9" xfId="658" xr:uid="{8D9DFE09-D12B-4901-BCE7-DC3E329737D7}"/>
    <cellStyle name="40% - Accent3 20" xfId="659" xr:uid="{A5AF3072-8055-4EED-B6C0-F627D6A09761}"/>
    <cellStyle name="40% - Accent3 21" xfId="660" xr:uid="{C8438599-33DC-49B1-A689-9241B19A990B}"/>
    <cellStyle name="40% - Accent3 22" xfId="661" xr:uid="{33F58B04-51AB-4C58-9BFD-11F6C598E75B}"/>
    <cellStyle name="40% - Accent3 23" xfId="662" xr:uid="{9E6DE02B-F4FB-4D85-99A9-08ABC9693DB0}"/>
    <cellStyle name="40% - Accent3 24" xfId="663" xr:uid="{3FE3D393-43B4-4A70-B04C-1F179A785F95}"/>
    <cellStyle name="40% - Accent3 25" xfId="664" xr:uid="{DDB5F2D5-77CC-4C02-9297-4CFF410D7C60}"/>
    <cellStyle name="40% - Accent3 26" xfId="665" xr:uid="{CBB74386-6F27-4437-A090-D192DC02C40A}"/>
    <cellStyle name="40% - Accent3 27" xfId="666" xr:uid="{1351B476-B197-4C7A-AC73-5342309A590C}"/>
    <cellStyle name="40% - Accent3 28" xfId="667" xr:uid="{D81482C4-5BAB-4C16-90CF-357DEA58A16C}"/>
    <cellStyle name="40% - Accent3 29" xfId="668" xr:uid="{022A4BF2-95A3-4C52-8490-86ECB75EF932}"/>
    <cellStyle name="40% - Accent3 3" xfId="669" xr:uid="{C45A82A3-0104-4AAE-BA02-EFC56894CC27}"/>
    <cellStyle name="40% - Accent3 3 2" xfId="670" xr:uid="{DDCC4078-4E11-439E-A5F2-9222161F9C3C}"/>
    <cellStyle name="40% - Accent3 3 2 2" xfId="671" xr:uid="{FB5B64E6-4A66-49EB-9954-FA5AE1F1D84E}"/>
    <cellStyle name="40% - Accent3 3 3" xfId="672" xr:uid="{B5603771-019B-4C32-A034-672505F0E332}"/>
    <cellStyle name="40% - Accent3 3 4" xfId="673" xr:uid="{6ED7F3A5-F99A-477C-86B2-71C2083C8107}"/>
    <cellStyle name="40% - Accent3 30" xfId="674" xr:uid="{0AA1EBD5-B645-4A79-B009-3F0C5DB7CA77}"/>
    <cellStyle name="40% - Accent3 31" xfId="675" xr:uid="{9789C124-5456-4C24-901B-56B0F0F52163}"/>
    <cellStyle name="40% - Accent3 32" xfId="676" xr:uid="{6673AB4D-3CA1-41E0-A591-BC513326579D}"/>
    <cellStyle name="40% - Accent3 33" xfId="677" xr:uid="{661C053D-9569-4433-B6C1-ADC7380388E5}"/>
    <cellStyle name="40% - Accent3 34" xfId="678" xr:uid="{5813E1B2-AA89-4CCC-A904-7ADADBAF1E7D}"/>
    <cellStyle name="40% - Accent3 35" xfId="679" xr:uid="{08E59C43-23F9-413A-A817-C93A0DFCE5EE}"/>
    <cellStyle name="40% - Accent3 36" xfId="680" xr:uid="{6F7BEC6E-6E14-4CDC-8371-8206657B63FA}"/>
    <cellStyle name="40% - Accent3 37" xfId="681" xr:uid="{ACDC4F19-77D4-4AA8-88A7-6256DB4E16BA}"/>
    <cellStyle name="40% - Accent3 38" xfId="682" xr:uid="{A9854E04-CEC4-4405-9107-F5E93C3E0B65}"/>
    <cellStyle name="40% - Accent3 39" xfId="683" xr:uid="{DBA28EAC-F660-405D-9920-BDC2579C4AF7}"/>
    <cellStyle name="40% - Accent3 4" xfId="684" xr:uid="{FCDB928A-FC19-445E-BF19-0685462D3D51}"/>
    <cellStyle name="40% - Accent3 4 2" xfId="685" xr:uid="{6843E176-9C64-40DC-A61A-D048C2DEBC99}"/>
    <cellStyle name="40% - Accent3 4 3" xfId="686" xr:uid="{050A1067-1557-41AC-9E87-4437286DD4BF}"/>
    <cellStyle name="40% - Accent3 40" xfId="687" xr:uid="{189DE31E-EAEA-4639-9CDC-88D007FE64C7}"/>
    <cellStyle name="40% - Accent3 41" xfId="688" xr:uid="{09507109-E5E3-4FC9-A741-72B2CE94D8AA}"/>
    <cellStyle name="40% - Accent3 42" xfId="689" xr:uid="{264EBCAD-D99B-42DE-BC31-70A2CEF0917B}"/>
    <cellStyle name="40% - Accent3 43" xfId="690" xr:uid="{86C20D72-0981-4FC5-8C12-D19684149D4F}"/>
    <cellStyle name="40% - Accent3 5" xfId="691" xr:uid="{064EED69-20FA-4AD5-A194-E592FCA9612E}"/>
    <cellStyle name="40% - Accent3 5 2" xfId="692" xr:uid="{409434E2-EA6E-4122-9668-51FB49870D9D}"/>
    <cellStyle name="40% - Accent3 5 3" xfId="693" xr:uid="{D6E69904-2E30-4AD4-BF0D-140E510D3D4D}"/>
    <cellStyle name="40% - Accent3 6" xfId="694" xr:uid="{71F2592A-D876-4AB0-8250-40047C74210E}"/>
    <cellStyle name="40% - Accent3 6 2" xfId="695" xr:uid="{776EADFE-E30D-4A18-86FE-D3BB11F660CA}"/>
    <cellStyle name="40% - Accent3 6 3" xfId="696" xr:uid="{064BF1E8-85F2-439D-97FC-BD21C82D8DBA}"/>
    <cellStyle name="40% - Accent3 7" xfId="697" xr:uid="{54F99ED6-9B13-4B79-8D2C-11D6FC424467}"/>
    <cellStyle name="40% - Accent3 7 2" xfId="698" xr:uid="{A7CAD59D-CFD3-410D-A3DE-65AA4101A854}"/>
    <cellStyle name="40% - Accent3 7 3" xfId="699" xr:uid="{06383659-7897-49C9-BCFD-2991F2EBEFEE}"/>
    <cellStyle name="40% - Accent3 8" xfId="700" xr:uid="{A327FFF7-5D1F-4FA2-BCAF-30DE5A647A41}"/>
    <cellStyle name="40% - Accent3 8 2" xfId="701" xr:uid="{CF351504-0523-44C4-8436-9249C8DC4C17}"/>
    <cellStyle name="40% - Accent3 8 3" xfId="702" xr:uid="{12F73774-C659-4A21-9298-3BEC65E49AE3}"/>
    <cellStyle name="40% - Accent3 9" xfId="703" xr:uid="{2A22205A-247E-484B-B79D-0B547C7B034D}"/>
    <cellStyle name="40% - Accent3 9 2" xfId="704" xr:uid="{59F74B99-22E7-4FA5-A6CD-BC48AAD5B00A}"/>
    <cellStyle name="40% - Accent4 10" xfId="705" xr:uid="{B341625B-854B-4D6F-98EE-6C4A90C6BC86}"/>
    <cellStyle name="40% - Accent4 10 2" xfId="706" xr:uid="{38455CB9-08A2-47C3-BF2B-2BDB948E7B5F}"/>
    <cellStyle name="40% - Accent4 11" xfId="707" xr:uid="{8930B892-6602-49DD-8AF9-677CC5474C0C}"/>
    <cellStyle name="40% - Accent4 11 2" xfId="708" xr:uid="{5F09B7D1-4FD7-45CB-9305-0AAF01FBFEB0}"/>
    <cellStyle name="40% - Accent4 12" xfId="709" xr:uid="{EAC55F96-E624-4D46-ABF9-01B14B5CF46C}"/>
    <cellStyle name="40% - Accent4 13" xfId="710" xr:uid="{4A9C4E10-94BB-4B9A-9792-A757216E74DF}"/>
    <cellStyle name="40% - Accent4 14" xfId="711" xr:uid="{1438400B-492B-4F97-9DE7-4C9E960C5D8A}"/>
    <cellStyle name="40% - Accent4 15" xfId="712" xr:uid="{58A54639-C5D1-4734-8F60-326219AB1BF7}"/>
    <cellStyle name="40% - Accent4 16" xfId="713" xr:uid="{B41EB552-7ED4-450A-B826-3A6EAE331EC1}"/>
    <cellStyle name="40% - Accent4 17" xfId="714" xr:uid="{097AE011-022D-402E-9590-72120DE52AC0}"/>
    <cellStyle name="40% - Accent4 18" xfId="715" xr:uid="{7622B7BE-0E9C-4C88-9ABB-C91B622AEDA3}"/>
    <cellStyle name="40% - Accent4 19" xfId="716" xr:uid="{4EC0C8D4-C7DC-4582-AFB2-D75A9B1FA097}"/>
    <cellStyle name="40% - Accent4 2" xfId="717" xr:uid="{4000DBE8-332D-4CA0-8B45-3FAFCC5599A7}"/>
    <cellStyle name="40% - Accent4 2 10" xfId="718" xr:uid="{888615FE-8FF1-4AB5-96C3-BEF722D4C826}"/>
    <cellStyle name="40% - Accent4 2 11" xfId="719" xr:uid="{BD58D711-8BF7-4AF2-885C-2C6854E74A38}"/>
    <cellStyle name="40% - Accent4 2 12" xfId="720" xr:uid="{283C949A-1B53-48EE-AF33-2D9DB5EE0BD8}"/>
    <cellStyle name="40% - Accent4 2 13" xfId="721" xr:uid="{77EE6C7D-C99E-485C-88F2-58FD48242B1C}"/>
    <cellStyle name="40% - Accent4 2 14" xfId="722" xr:uid="{6D63F27F-3F99-470F-B80D-022FF7A973A9}"/>
    <cellStyle name="40% - Accent4 2 15" xfId="723" xr:uid="{D6422E6B-46FF-43D4-B442-9E960CBA6BEA}"/>
    <cellStyle name="40% - Accent4 2 16" xfId="724" xr:uid="{6D17E42B-8666-4161-9A64-993908DEB430}"/>
    <cellStyle name="40% - Accent4 2 2" xfId="725" xr:uid="{BD05FF26-A1E4-4693-BD42-1E7CE51839A2}"/>
    <cellStyle name="40% - Accent4 2 3" xfId="726" xr:uid="{73CF4FA0-0019-4445-A58B-F31D5D3BA301}"/>
    <cellStyle name="40% - Accent4 2 4" xfId="727" xr:uid="{45AB55B7-B3D2-434E-AADA-B5D131C0F323}"/>
    <cellStyle name="40% - Accent4 2 5" xfId="728" xr:uid="{0C5620D9-8C05-4B1C-8D35-8DD6DC122BAE}"/>
    <cellStyle name="40% - Accent4 2 6" xfId="729" xr:uid="{66FD03F5-290F-4AFB-9639-24869821B8E2}"/>
    <cellStyle name="40% - Accent4 2 7" xfId="730" xr:uid="{7BD68736-B5D6-4226-B77C-867A70F38D79}"/>
    <cellStyle name="40% - Accent4 2 8" xfId="731" xr:uid="{E98A19D7-39EE-4665-AEAC-58D1809DB174}"/>
    <cellStyle name="40% - Accent4 2 9" xfId="732" xr:uid="{0B0EDC09-D67E-4AC1-8397-A60AF7E508E2}"/>
    <cellStyle name="40% - Accent4 20" xfId="733" xr:uid="{40584F6F-A41B-43B5-899E-EDF09E4041A0}"/>
    <cellStyle name="40% - Accent4 21" xfId="734" xr:uid="{14F1AE5D-705D-48B5-A6EC-847981502D50}"/>
    <cellStyle name="40% - Accent4 22" xfId="735" xr:uid="{C1B1BF09-337E-4AE2-A58D-84A7123BDF8F}"/>
    <cellStyle name="40% - Accent4 23" xfId="736" xr:uid="{8F97ECBF-B7C6-43D8-B48A-F89E787F0149}"/>
    <cellStyle name="40% - Accent4 24" xfId="737" xr:uid="{E6CA54E2-9A8F-49C5-B3CE-C25D051EE89F}"/>
    <cellStyle name="40% - Accent4 25" xfId="738" xr:uid="{70EEE9DD-3E3F-4843-9D79-8F4E839605DB}"/>
    <cellStyle name="40% - Accent4 26" xfId="739" xr:uid="{A5FFCD5F-D5B1-423D-AB0C-E766BDD21080}"/>
    <cellStyle name="40% - Accent4 27" xfId="740" xr:uid="{6BDCE86D-CA83-41F1-BC27-72E9B9E26C68}"/>
    <cellStyle name="40% - Accent4 28" xfId="741" xr:uid="{D599B35D-85F2-422E-AC6F-56ACAEA8AFED}"/>
    <cellStyle name="40% - Accent4 29" xfId="742" xr:uid="{31152138-A1FB-4958-B856-2ABFD0429C09}"/>
    <cellStyle name="40% - Accent4 3" xfId="743" xr:uid="{158E07A7-83BF-4388-B12C-25DB236D20C3}"/>
    <cellStyle name="40% - Accent4 3 2" xfId="744" xr:uid="{9BA51E23-44EA-4A5B-AB15-DB121595F072}"/>
    <cellStyle name="40% - Accent4 3 2 2" xfId="745" xr:uid="{DF9F3C8B-2643-4865-B128-DD2ABFE2CF62}"/>
    <cellStyle name="40% - Accent4 3 3" xfId="746" xr:uid="{BB72EC9D-932B-48FC-80C1-9114460486B4}"/>
    <cellStyle name="40% - Accent4 3 4" xfId="747" xr:uid="{AE605A46-3223-4B7D-BDA4-2F56A7D62862}"/>
    <cellStyle name="40% - Accent4 30" xfId="748" xr:uid="{E5F252DC-6F60-43A5-BA69-D411E509220E}"/>
    <cellStyle name="40% - Accent4 31" xfId="749" xr:uid="{F8072C2E-0DED-4CC1-99CB-24DF1A5B5FDB}"/>
    <cellStyle name="40% - Accent4 32" xfId="750" xr:uid="{5E60888C-6816-43A3-A55B-C7F8F81EB9D4}"/>
    <cellStyle name="40% - Accent4 33" xfId="751" xr:uid="{D4C39632-1431-46AC-8FFA-204FD1349EC4}"/>
    <cellStyle name="40% - Accent4 34" xfId="752" xr:uid="{EC541B74-CF54-4F18-BE41-E0094FACF947}"/>
    <cellStyle name="40% - Accent4 35" xfId="753" xr:uid="{2B6D3DB7-FDA3-4F80-B0F6-08995A5A41CA}"/>
    <cellStyle name="40% - Accent4 36" xfId="754" xr:uid="{BA8EAE8F-3796-435D-B229-92B42A370997}"/>
    <cellStyle name="40% - Accent4 37" xfId="755" xr:uid="{71E3E1B8-20D7-42CE-B768-12766BE18F30}"/>
    <cellStyle name="40% - Accent4 38" xfId="756" xr:uid="{F0AA4F4A-B0F2-413C-8F90-FC1514B28B09}"/>
    <cellStyle name="40% - Accent4 39" xfId="757" xr:uid="{AE3CD24E-3553-437F-B793-DC92F9AA3D1A}"/>
    <cellStyle name="40% - Accent4 4" xfId="758" xr:uid="{ED393C99-6D6D-4C9E-8A45-3CC5B12C6803}"/>
    <cellStyle name="40% - Accent4 4 2" xfId="759" xr:uid="{ACCEF733-D65B-4FEB-A494-6FDB62049866}"/>
    <cellStyle name="40% - Accent4 4 3" xfId="760" xr:uid="{71167FDD-619A-459A-B515-0486B077F59F}"/>
    <cellStyle name="40% - Accent4 40" xfId="761" xr:uid="{171BA359-0339-4724-A57E-9B501EF53687}"/>
    <cellStyle name="40% - Accent4 41" xfId="762" xr:uid="{20660B26-993A-4285-A001-B0404FEFC006}"/>
    <cellStyle name="40% - Accent4 42" xfId="763" xr:uid="{D1185989-AD8E-4F0A-A653-E96C57E81388}"/>
    <cellStyle name="40% - Accent4 43" xfId="764" xr:uid="{8E365D8D-C7FA-462B-80E2-96CB48E09526}"/>
    <cellStyle name="40% - Accent4 5" xfId="765" xr:uid="{0A8B88A4-3899-4C6D-B32C-847A820A9B27}"/>
    <cellStyle name="40% - Accent4 5 2" xfId="766" xr:uid="{660F2DF4-E2B5-4306-AA7D-F8D50CBB539A}"/>
    <cellStyle name="40% - Accent4 5 3" xfId="767" xr:uid="{55755A15-7A10-4DE2-A2F6-C082E157524C}"/>
    <cellStyle name="40% - Accent4 6" xfId="768" xr:uid="{427B2C0E-2AF0-4DF1-BC71-B430FB860D9C}"/>
    <cellStyle name="40% - Accent4 6 2" xfId="769" xr:uid="{6F3B035D-96E8-47F1-82C5-30DC9EE89380}"/>
    <cellStyle name="40% - Accent4 6 3" xfId="770" xr:uid="{DD5F7572-7945-4C89-A71F-09C7BFB5D8C5}"/>
    <cellStyle name="40% - Accent4 7" xfId="771" xr:uid="{9E3B5BB7-9231-46A9-9E9F-34F3B49742C7}"/>
    <cellStyle name="40% - Accent4 7 2" xfId="772" xr:uid="{C20A285E-7EE1-4B86-BCC9-B89520D09A4C}"/>
    <cellStyle name="40% - Accent4 7 3" xfId="773" xr:uid="{F827C28C-D80C-4505-9925-9447F72EFAE3}"/>
    <cellStyle name="40% - Accent4 8" xfId="774" xr:uid="{819E46F0-D1E4-4C11-8F1B-A968276AD8EA}"/>
    <cellStyle name="40% - Accent4 8 2" xfId="775" xr:uid="{93C25E06-431F-433B-A13C-A0FE040BC28F}"/>
    <cellStyle name="40% - Accent4 8 3" xfId="776" xr:uid="{E43914C1-E6B4-4AC4-8D25-C32CC70BB82D}"/>
    <cellStyle name="40% - Accent4 9" xfId="777" xr:uid="{2120B87C-9559-4E11-AD47-E91B860F8E72}"/>
    <cellStyle name="40% - Accent4 9 2" xfId="778" xr:uid="{3FAC6312-C1CE-4ECA-BCC0-1D48D3770766}"/>
    <cellStyle name="40% - Accent5 10" xfId="779" xr:uid="{C378E21B-ED86-489F-8757-8100B40431CB}"/>
    <cellStyle name="40% - Accent5 10 2" xfId="780" xr:uid="{00FFC96D-C613-47E8-BFC3-B9F111F7A42B}"/>
    <cellStyle name="40% - Accent5 11" xfId="781" xr:uid="{23688548-4A55-4916-85FC-7572F92B0520}"/>
    <cellStyle name="40% - Accent5 11 2" xfId="782" xr:uid="{432B1E58-77D9-46CD-B4FD-94CD78DE6A40}"/>
    <cellStyle name="40% - Accent5 12" xfId="783" xr:uid="{4F0084CD-BA81-4E5F-B166-877410E783AF}"/>
    <cellStyle name="40% - Accent5 13" xfId="784" xr:uid="{602B609B-2ED2-4AA5-A833-DAF1AA99D288}"/>
    <cellStyle name="40% - Accent5 14" xfId="785" xr:uid="{27051398-CEAE-4746-8791-FF62C9F56B75}"/>
    <cellStyle name="40% - Accent5 15" xfId="786" xr:uid="{4414C269-C339-4999-98B0-736296202B6F}"/>
    <cellStyle name="40% - Accent5 16" xfId="787" xr:uid="{2CA557E5-AE4C-4209-B62A-754BB72CB1EB}"/>
    <cellStyle name="40% - Accent5 17" xfId="788" xr:uid="{30C3EA4B-847F-4B47-B0BF-427B9DCD407F}"/>
    <cellStyle name="40% - Accent5 18" xfId="789" xr:uid="{7DDC18B1-495A-41AB-A830-CE3A581389B8}"/>
    <cellStyle name="40% - Accent5 19" xfId="790" xr:uid="{5F86769D-490E-48B2-87B2-182C995CB2C7}"/>
    <cellStyle name="40% - Accent5 2" xfId="791" xr:uid="{E119F8B7-E181-47CA-B280-697EBC20A4B4}"/>
    <cellStyle name="40% - Accent5 2 10" xfId="792" xr:uid="{E924CEF0-D34E-4D44-980C-016A8C7699C2}"/>
    <cellStyle name="40% - Accent5 2 11" xfId="793" xr:uid="{9DC66002-75E6-4F33-BDEC-A595D803659E}"/>
    <cellStyle name="40% - Accent5 2 12" xfId="794" xr:uid="{945436F9-72C2-4777-8286-58D620EFA4FC}"/>
    <cellStyle name="40% - Accent5 2 13" xfId="795" xr:uid="{1BD358E0-8F3F-492F-83D8-C9FE33CF7C4B}"/>
    <cellStyle name="40% - Accent5 2 14" xfId="796" xr:uid="{3592BAB3-8277-4587-ACFC-5FF5B1773CB6}"/>
    <cellStyle name="40% - Accent5 2 15" xfId="797" xr:uid="{2F7217DA-0A3F-4FD3-964A-B2F89402C4EE}"/>
    <cellStyle name="40% - Accent5 2 16" xfId="798" xr:uid="{A0F060FE-F931-4C49-9558-3DD7B26DFAD8}"/>
    <cellStyle name="40% - Accent5 2 2" xfId="799" xr:uid="{6365B587-B27F-4D1A-B7E2-36F11617D42B}"/>
    <cellStyle name="40% - Accent5 2 3" xfId="800" xr:uid="{326E5E02-BC72-47C0-A77F-7A07B57C9BEC}"/>
    <cellStyle name="40% - Accent5 2 4" xfId="801" xr:uid="{36A19CEF-54B0-4750-9EEA-1358433DA096}"/>
    <cellStyle name="40% - Accent5 2 5" xfId="802" xr:uid="{9E7479D4-F1AE-4BF8-B42C-D3197B0A96CE}"/>
    <cellStyle name="40% - Accent5 2 6" xfId="803" xr:uid="{C1D44B19-44BF-429F-9C32-FF137C6AFA4D}"/>
    <cellStyle name="40% - Accent5 2 7" xfId="804" xr:uid="{4EC7FC09-4681-457A-8827-A36AD1F9C9C0}"/>
    <cellStyle name="40% - Accent5 2 8" xfId="805" xr:uid="{D0B8324D-FA9D-4387-BF39-0E96854CC0C4}"/>
    <cellStyle name="40% - Accent5 2 9" xfId="806" xr:uid="{43BF9557-31F7-44CF-A475-988FFF4144BE}"/>
    <cellStyle name="40% - Accent5 20" xfId="807" xr:uid="{0BE2ED18-AE01-499F-8D76-FBB005053EBA}"/>
    <cellStyle name="40% - Accent5 21" xfId="808" xr:uid="{C44EE841-1426-4F02-AB37-63812567C14F}"/>
    <cellStyle name="40% - Accent5 22" xfId="809" xr:uid="{D5794C91-1211-4039-A2AA-5A1C4D809E00}"/>
    <cellStyle name="40% - Accent5 23" xfId="810" xr:uid="{F11A4A7D-3F91-4A96-BA1C-EDEEE2D1C800}"/>
    <cellStyle name="40% - Accent5 24" xfId="811" xr:uid="{13585EF9-6592-4F72-A37D-A92BBDBE96A9}"/>
    <cellStyle name="40% - Accent5 25" xfId="812" xr:uid="{7C60EA09-EC05-4A9A-B2D9-34713F8C26C5}"/>
    <cellStyle name="40% - Accent5 26" xfId="813" xr:uid="{B50F998C-63C7-43C2-A2D4-62B1BF3E2479}"/>
    <cellStyle name="40% - Accent5 27" xfId="814" xr:uid="{4F1E7CA6-E1E5-477C-877A-C521FF8C1820}"/>
    <cellStyle name="40% - Accent5 28" xfId="815" xr:uid="{94F82F28-D1F6-471C-B1C6-59B9496B5585}"/>
    <cellStyle name="40% - Accent5 29" xfId="816" xr:uid="{5F054E01-AF31-43D0-AFAB-6494A2F9DE9B}"/>
    <cellStyle name="40% - Accent5 3" xfId="817" xr:uid="{CF42BE2B-1788-4D5B-8EC7-C0C7ECECF08F}"/>
    <cellStyle name="40% - Accent5 3 2" xfId="818" xr:uid="{4C7F7410-1E98-4D37-9E52-CD10CD98A72E}"/>
    <cellStyle name="40% - Accent5 3 2 2" xfId="819" xr:uid="{F74EF49C-6DC2-492F-9FF2-EC8D52B3C3AD}"/>
    <cellStyle name="40% - Accent5 3 3" xfId="820" xr:uid="{55F2F9FD-488D-419A-B562-C571C005B9DE}"/>
    <cellStyle name="40% - Accent5 3 4" xfId="821" xr:uid="{3420D1A2-C254-4811-8BC1-382400E0B459}"/>
    <cellStyle name="40% - Accent5 30" xfId="822" xr:uid="{02A641E7-0AB9-4F52-995F-8C201AD51464}"/>
    <cellStyle name="40% - Accent5 31" xfId="823" xr:uid="{26A15449-CC9B-4018-9EA3-F586A110F003}"/>
    <cellStyle name="40% - Accent5 32" xfId="824" xr:uid="{27FF637D-D2FF-4928-8E70-9A8E0481C694}"/>
    <cellStyle name="40% - Accent5 33" xfId="825" xr:uid="{4633A905-D4B9-482C-99A1-218806124725}"/>
    <cellStyle name="40% - Accent5 34" xfId="826" xr:uid="{512890EB-B5D9-4584-A4CB-19C1078270AE}"/>
    <cellStyle name="40% - Accent5 35" xfId="827" xr:uid="{A068E7A9-92AE-4D22-BC53-DFCF39C3A68B}"/>
    <cellStyle name="40% - Accent5 36" xfId="828" xr:uid="{4B6DE4F9-D343-467A-8E2E-47599B6F2614}"/>
    <cellStyle name="40% - Accent5 37" xfId="829" xr:uid="{7A2E83C4-7859-470D-A279-BB4052F8F4F9}"/>
    <cellStyle name="40% - Accent5 38" xfId="830" xr:uid="{7D41BAC7-544A-4836-9211-D2367441FF40}"/>
    <cellStyle name="40% - Accent5 39" xfId="831" xr:uid="{CD6ABFAC-84DC-4788-A2C5-CCFBFD09CFCD}"/>
    <cellStyle name="40% - Accent5 4" xfId="832" xr:uid="{F9FEA3FA-A579-42C5-9AE9-7DFE15B515EC}"/>
    <cellStyle name="40% - Accent5 4 2" xfId="833" xr:uid="{4BCE87FC-5733-40DA-99F2-399C0D195274}"/>
    <cellStyle name="40% - Accent5 4 3" xfId="834" xr:uid="{69563FF2-852F-45F7-BACA-9626C78FFE75}"/>
    <cellStyle name="40% - Accent5 40" xfId="835" xr:uid="{358EF267-4AC9-4D83-A7B1-A7DC1060DA14}"/>
    <cellStyle name="40% - Accent5 41" xfId="836" xr:uid="{DEA0D657-95EB-47CA-B852-74CAACC1E4C1}"/>
    <cellStyle name="40% - Accent5 42" xfId="837" xr:uid="{A01D5C92-DF2D-4A64-B007-8916EC43AC33}"/>
    <cellStyle name="40% - Accent5 43" xfId="838" xr:uid="{3DB779B9-8769-4A07-8107-2AF64B88A24C}"/>
    <cellStyle name="40% - Accent5 5" xfId="839" xr:uid="{A2ABC69D-ABD4-4A9B-9BDB-3835C3D83758}"/>
    <cellStyle name="40% - Accent5 5 2" xfId="840" xr:uid="{7361EDA6-D93F-431A-94C9-2A3E2B23F866}"/>
    <cellStyle name="40% - Accent5 5 3" xfId="841" xr:uid="{DE8928CC-6049-4BF3-B730-4BAC280E528B}"/>
    <cellStyle name="40% - Accent5 6" xfId="842" xr:uid="{D670D640-5908-4FA0-A30D-E8FA501A7DE1}"/>
    <cellStyle name="40% - Accent5 6 2" xfId="843" xr:uid="{61A1B2A2-788F-449F-8D5C-C2EBD21F0EF2}"/>
    <cellStyle name="40% - Accent5 6 3" xfId="844" xr:uid="{B458A439-47C9-46B5-8F80-456A42BEF88B}"/>
    <cellStyle name="40% - Accent5 7" xfId="845" xr:uid="{8E7E4568-A6A8-4CDD-B5EC-A0A2F159527E}"/>
    <cellStyle name="40% - Accent5 7 2" xfId="846" xr:uid="{C60A1E6E-BCDE-4416-AE41-6966F6DF9852}"/>
    <cellStyle name="40% - Accent5 7 3" xfId="847" xr:uid="{B49B4FB6-658A-4C36-96E1-EC4DEECD3A47}"/>
    <cellStyle name="40% - Accent5 8" xfId="848" xr:uid="{D0A603D5-F543-4A84-82F7-4F20AD4FBF10}"/>
    <cellStyle name="40% - Accent5 8 2" xfId="849" xr:uid="{E4E9262B-71A9-422B-A5D3-B2002A3832A3}"/>
    <cellStyle name="40% - Accent5 8 3" xfId="850" xr:uid="{48136942-BFC4-4F2C-AD54-FE947CCD59BA}"/>
    <cellStyle name="40% - Accent5 9" xfId="851" xr:uid="{37B9AC0C-B520-4637-8FA5-A0C6B07F95BB}"/>
    <cellStyle name="40% - Accent5 9 2" xfId="852" xr:uid="{E30E13C9-8B57-41D7-9B34-EB4CB2F60E85}"/>
    <cellStyle name="40% - Accent6 10" xfId="853" xr:uid="{8B27ED21-3A1E-4D81-B8CA-01D461EF8875}"/>
    <cellStyle name="40% - Accent6 10 2" xfId="854" xr:uid="{EBB0075F-CAE7-4B7B-A07D-3C4FD174F4AB}"/>
    <cellStyle name="40% - Accent6 11" xfId="855" xr:uid="{3A173D72-3495-45CB-A838-7ECCA59EBC5D}"/>
    <cellStyle name="40% - Accent6 11 2" xfId="856" xr:uid="{3C614A0E-3148-41FC-A24B-57AEA8E70FC7}"/>
    <cellStyle name="40% - Accent6 12" xfId="857" xr:uid="{C9C80419-2CEC-41A0-B7DE-13826E7A6B8F}"/>
    <cellStyle name="40% - Accent6 13" xfId="858" xr:uid="{5BCD7CDD-767B-4427-BADE-26323FD7A55B}"/>
    <cellStyle name="40% - Accent6 14" xfId="859" xr:uid="{47CCA72F-90F2-4118-B8E2-F9EC7651396E}"/>
    <cellStyle name="40% - Accent6 15" xfId="860" xr:uid="{1AC1F29F-229D-441E-95A8-0B682BDFF914}"/>
    <cellStyle name="40% - Accent6 16" xfId="861" xr:uid="{44D07C59-ADC3-4276-AB4F-4B3883D7E502}"/>
    <cellStyle name="40% - Accent6 17" xfId="862" xr:uid="{AEBCD44D-BFE6-4F7D-8EAD-489EE78E575A}"/>
    <cellStyle name="40% - Accent6 18" xfId="863" xr:uid="{6623F3FB-D043-4838-B25B-49C5D8ADB6F2}"/>
    <cellStyle name="40% - Accent6 19" xfId="864" xr:uid="{4AC8088F-4212-43E1-ABBF-858D515E8CB7}"/>
    <cellStyle name="40% - Accent6 2" xfId="865" xr:uid="{2781AE0D-8A8A-4E1D-90CC-07DCE54C3670}"/>
    <cellStyle name="40% - Accent6 2 10" xfId="866" xr:uid="{E33185A7-6591-43F5-9B87-EEBD8DBF38AD}"/>
    <cellStyle name="40% - Accent6 2 11" xfId="867" xr:uid="{434E1955-CC70-48F4-AF88-BCA97E68D36B}"/>
    <cellStyle name="40% - Accent6 2 12" xfId="868" xr:uid="{EB434E42-0553-42DF-9E38-C148B789CD08}"/>
    <cellStyle name="40% - Accent6 2 13" xfId="869" xr:uid="{C64E4EEA-0FAB-4F65-8EDE-F6A2043A7E5B}"/>
    <cellStyle name="40% - Accent6 2 14" xfId="870" xr:uid="{273E493A-19D4-48BF-9C68-716773987FFF}"/>
    <cellStyle name="40% - Accent6 2 15" xfId="871" xr:uid="{98A6C865-BA0D-4B16-AA32-F71230AAA698}"/>
    <cellStyle name="40% - Accent6 2 16" xfId="872" xr:uid="{E5FAB708-8A6F-46F6-B456-0A8AA32F4B81}"/>
    <cellStyle name="40% - Accent6 2 2" xfId="873" xr:uid="{F7395D23-6B3D-49CC-B668-A8D63D6E9699}"/>
    <cellStyle name="40% - Accent6 2 3" xfId="874" xr:uid="{12865EF1-1033-45DD-A441-56EFEC0BFA29}"/>
    <cellStyle name="40% - Accent6 2 4" xfId="875" xr:uid="{5C2C9B86-0CE9-41FC-95B1-2B004B77CBAA}"/>
    <cellStyle name="40% - Accent6 2 5" xfId="876" xr:uid="{D308DFBA-FD16-43B4-BFB8-FBFF8CFB2E39}"/>
    <cellStyle name="40% - Accent6 2 6" xfId="877" xr:uid="{8C13299B-124D-44A2-B2E8-425D538DDEB0}"/>
    <cellStyle name="40% - Accent6 2 7" xfId="878" xr:uid="{46191409-CC7C-4866-BC87-04D02035DAF2}"/>
    <cellStyle name="40% - Accent6 2 8" xfId="879" xr:uid="{7459033E-85E0-46BC-8574-E43BB8CC6A5F}"/>
    <cellStyle name="40% - Accent6 2 9" xfId="880" xr:uid="{5E150BC7-FCAD-44F2-84B2-08795F2BD71B}"/>
    <cellStyle name="40% - Accent6 20" xfId="881" xr:uid="{04B7F0C7-00DC-49CD-8530-679E8606CA18}"/>
    <cellStyle name="40% - Accent6 21" xfId="882" xr:uid="{599A1494-29BE-4BCD-B739-41B51FD1AE0D}"/>
    <cellStyle name="40% - Accent6 22" xfId="883" xr:uid="{BB8F32E8-FDD8-4C96-AD44-197616D21654}"/>
    <cellStyle name="40% - Accent6 23" xfId="884" xr:uid="{3F4F5FBA-F33C-4C07-BBD3-0C60F098624B}"/>
    <cellStyle name="40% - Accent6 24" xfId="885" xr:uid="{8AF9543F-0892-4E15-A686-5AF572957109}"/>
    <cellStyle name="40% - Accent6 25" xfId="886" xr:uid="{61059387-F976-43E5-953D-588CDBD98DE3}"/>
    <cellStyle name="40% - Accent6 26" xfId="887" xr:uid="{E317191B-4DB8-43B9-9617-F5C52680E5EB}"/>
    <cellStyle name="40% - Accent6 27" xfId="888" xr:uid="{DBF75AE8-926F-4296-9428-216BD90D2356}"/>
    <cellStyle name="40% - Accent6 28" xfId="889" xr:uid="{00B1E8E0-606E-4ABE-AEE0-824E84C1D30F}"/>
    <cellStyle name="40% - Accent6 29" xfId="890" xr:uid="{0B760EAD-9E36-4FE3-9378-8D658C8C408F}"/>
    <cellStyle name="40% - Accent6 3" xfId="891" xr:uid="{9367C2CD-1BDE-401E-885E-15EE0E9F269D}"/>
    <cellStyle name="40% - Accent6 3 2" xfId="892" xr:uid="{79C75338-44DE-4F78-8D4E-89B79C8497C7}"/>
    <cellStyle name="40% - Accent6 3 2 2" xfId="893" xr:uid="{9BFBD27E-68C5-4009-8ECC-F97760FA3DB9}"/>
    <cellStyle name="40% - Accent6 3 3" xfId="894" xr:uid="{E3222D10-DF76-4364-A103-89AC583905CE}"/>
    <cellStyle name="40% - Accent6 3 4" xfId="895" xr:uid="{B4D79FAF-25E3-4A38-B00E-4D0705917753}"/>
    <cellStyle name="40% - Accent6 30" xfId="896" xr:uid="{B93C2AF6-B67D-4EC6-9334-EA9B6DE3D54F}"/>
    <cellStyle name="40% - Accent6 31" xfId="897" xr:uid="{78C98AD1-BC54-4576-98F5-27D8AB47FCE8}"/>
    <cellStyle name="40% - Accent6 32" xfId="898" xr:uid="{B1DAFC46-66E8-449E-9816-D29EBA09BC3D}"/>
    <cellStyle name="40% - Accent6 33" xfId="899" xr:uid="{EB837DB6-C24A-4053-B03E-7A7986F36CD3}"/>
    <cellStyle name="40% - Accent6 34" xfId="900" xr:uid="{C77065E5-0B37-40E2-94E5-18A0D2D558A2}"/>
    <cellStyle name="40% - Accent6 35" xfId="901" xr:uid="{36396904-4D9B-4506-BA2C-50098F862BFA}"/>
    <cellStyle name="40% - Accent6 36" xfId="902" xr:uid="{8D6CEE60-B698-4E2F-B6B4-152357CCF725}"/>
    <cellStyle name="40% - Accent6 37" xfId="903" xr:uid="{F9558E37-7A29-4DAD-9D05-6E3D777CD25B}"/>
    <cellStyle name="40% - Accent6 38" xfId="904" xr:uid="{63C70317-C95A-4246-9AD3-1AC0AFB56811}"/>
    <cellStyle name="40% - Accent6 39" xfId="905" xr:uid="{B934AA79-9C18-4EB7-B63A-35F2144C50CB}"/>
    <cellStyle name="40% - Accent6 4" xfId="906" xr:uid="{3871989E-654E-4714-98FE-5BB6B92043BE}"/>
    <cellStyle name="40% - Accent6 4 2" xfId="907" xr:uid="{B02C75DD-3927-4E00-8BE6-7015723C9CB7}"/>
    <cellStyle name="40% - Accent6 4 3" xfId="908" xr:uid="{5407D537-DD02-44B7-9A0F-0DCBBF7DDB37}"/>
    <cellStyle name="40% - Accent6 40" xfId="909" xr:uid="{D37A301F-3B1C-4817-A5DC-6A79FAA43968}"/>
    <cellStyle name="40% - Accent6 41" xfId="910" xr:uid="{F398596C-F92C-4A0D-949B-EFEA100F3660}"/>
    <cellStyle name="40% - Accent6 42" xfId="911" xr:uid="{7D253FA8-3B8A-45FA-B6C7-6863F5A3C37D}"/>
    <cellStyle name="40% - Accent6 43" xfId="912" xr:uid="{126FBC1F-F5EA-4804-9A01-59C5220FD5DE}"/>
    <cellStyle name="40% - Accent6 5" xfId="913" xr:uid="{1E79CBD5-32F5-4992-85E8-1090CB410597}"/>
    <cellStyle name="40% - Accent6 5 2" xfId="914" xr:uid="{DD3C4B48-0BB3-4DCB-AB46-33905062B60B}"/>
    <cellStyle name="40% - Accent6 5 3" xfId="915" xr:uid="{AD6F1116-8A0F-45A1-8BF2-690F147F7E4A}"/>
    <cellStyle name="40% - Accent6 6" xfId="916" xr:uid="{AAFF73F6-C551-44B6-B767-544CCE0140DF}"/>
    <cellStyle name="40% - Accent6 6 2" xfId="917" xr:uid="{C9E91EBC-958A-41C9-8406-69C638F05FE3}"/>
    <cellStyle name="40% - Accent6 6 3" xfId="918" xr:uid="{137C4BEA-BD6B-4F21-8534-06E51E3C3EBA}"/>
    <cellStyle name="40% - Accent6 7" xfId="919" xr:uid="{BC0F8250-1AB2-406D-9007-736A6C4E02A2}"/>
    <cellStyle name="40% - Accent6 7 2" xfId="920" xr:uid="{7729A7FF-831F-4D7F-AF4E-C75C91C34444}"/>
    <cellStyle name="40% - Accent6 7 3" xfId="921" xr:uid="{895B3F9F-7BF7-4C5D-844D-4324B3F9E50E}"/>
    <cellStyle name="40% - Accent6 8" xfId="922" xr:uid="{71B12FED-966E-458A-90FB-3DDF7564CAAD}"/>
    <cellStyle name="40% - Accent6 8 2" xfId="923" xr:uid="{6F37740C-D5BF-4DAD-95FA-CF823E01A54D}"/>
    <cellStyle name="40% - Accent6 8 3" xfId="924" xr:uid="{628133C7-02EC-4F43-B1A4-9C3DCCE46582}"/>
    <cellStyle name="40% - Accent6 9" xfId="925" xr:uid="{37E3075E-FF47-4A6B-AF31-9C853CEA9A6C}"/>
    <cellStyle name="40% - Accent6 9 2" xfId="926" xr:uid="{7C7F401C-1CD2-48C6-9B6B-564C9AA32789}"/>
    <cellStyle name="40% - Akzent1" xfId="927" xr:uid="{082D3488-6110-4623-AA20-2DEEC4F4223D}"/>
    <cellStyle name="40% - Akzent2" xfId="928" xr:uid="{C5D53E76-D18D-44BC-BBD8-C299B30182AC}"/>
    <cellStyle name="40% - Akzent3" xfId="929" xr:uid="{3B2AD083-AE09-4A94-9A3E-3F42AE675886}"/>
    <cellStyle name="40% - Akzent4" xfId="930" xr:uid="{ABAE9E9F-0FF0-435A-B0FA-960087FA53B6}"/>
    <cellStyle name="40% - Akzent5" xfId="931" xr:uid="{E1ED1F42-BF30-43BE-8B34-3D8BEEE00C2A}"/>
    <cellStyle name="40% - Akzent6" xfId="932" xr:uid="{2074CC49-9813-4A4A-BDD3-BC95F4E1A624}"/>
    <cellStyle name="5x indented GHG Textfiels" xfId="933" xr:uid="{EDF10D93-E2F9-4AF6-A375-BD708509A31C}"/>
    <cellStyle name="60% - Accent1 10" xfId="934" xr:uid="{C92BC711-47BC-46F4-89FE-F1CE6D059155}"/>
    <cellStyle name="60% - Accent1 11" xfId="935" xr:uid="{2DFDA41F-13ED-4D70-A8D8-7F6E78FCADC8}"/>
    <cellStyle name="60% - Accent1 12" xfId="936" xr:uid="{3969194B-438D-40BD-A31A-01C7D3F47933}"/>
    <cellStyle name="60% - Accent1 13" xfId="937" xr:uid="{2760C018-8E20-4D8E-AE37-DE85D64B65FD}"/>
    <cellStyle name="60% - Accent1 14" xfId="938" xr:uid="{630C83FE-2B1D-4EAA-9D75-F02CEE240F83}"/>
    <cellStyle name="60% - Accent1 15" xfId="939" xr:uid="{C64AB3B1-8799-4413-8EC6-1C5CE714E900}"/>
    <cellStyle name="60% - Accent1 16" xfId="940" xr:uid="{283F6DE7-45BE-4464-8675-23FA1E1CCECC}"/>
    <cellStyle name="60% - Accent1 17" xfId="941" xr:uid="{672F8743-EE4C-4D3B-AF68-FD20411D2263}"/>
    <cellStyle name="60% - Accent1 18" xfId="942" xr:uid="{3EC3E08C-FCAC-46E5-932D-EF01EC18DB3D}"/>
    <cellStyle name="60% - Accent1 19" xfId="943" xr:uid="{BBFCD16D-71BA-4704-B8C1-B85B24B26FE9}"/>
    <cellStyle name="60% - Accent1 2" xfId="944" xr:uid="{6E9612BF-5346-4B52-9838-EECC45711D0E}"/>
    <cellStyle name="60% - Accent1 2 10" xfId="945" xr:uid="{489FC980-1C82-40D4-B9DE-8C5B4A8F9328}"/>
    <cellStyle name="60% - Accent1 2 11" xfId="946" xr:uid="{C4AD9B50-221E-4535-B8DE-5C94E1F285DF}"/>
    <cellStyle name="60% - Accent1 2 2" xfId="947" xr:uid="{37E4698C-10EB-421E-B73E-E3F5AFA3E555}"/>
    <cellStyle name="60% - Accent1 2 3" xfId="948" xr:uid="{9D021F3D-438F-4959-8E03-40B3499BE60B}"/>
    <cellStyle name="60% - Accent1 2 4" xfId="949" xr:uid="{4EA7F64C-B999-4A04-AC8C-B4197865D43D}"/>
    <cellStyle name="60% - Accent1 2 5" xfId="950" xr:uid="{19B0464D-CF1E-4387-8BAB-6F649F889F7C}"/>
    <cellStyle name="60% - Accent1 2 6" xfId="951" xr:uid="{C82BE128-4060-4350-94A8-5423B4E3FB5F}"/>
    <cellStyle name="60% - Accent1 2 7" xfId="952" xr:uid="{4A6404BF-EEB9-46BD-BD82-9E57275D2880}"/>
    <cellStyle name="60% - Accent1 2 8" xfId="953" xr:uid="{02655C77-5D34-4023-9575-94B18F2458F7}"/>
    <cellStyle name="60% - Accent1 2 9" xfId="954" xr:uid="{F5DAD584-493B-4DC2-A6E7-3FF7B695AF04}"/>
    <cellStyle name="60% - Accent1 20" xfId="955" xr:uid="{2B65D0B2-E95C-4CE3-A3F2-FDFB7E661851}"/>
    <cellStyle name="60% - Accent1 21" xfId="956" xr:uid="{670C854A-8E8B-475B-87EA-19FF8B1F6DE9}"/>
    <cellStyle name="60% - Accent1 22" xfId="957" xr:uid="{10A61D34-E927-44A4-B9E9-EFA67FD7D440}"/>
    <cellStyle name="60% - Accent1 23" xfId="958" xr:uid="{26CB7CFA-0D50-45B0-9B7D-7B883FF5AF7F}"/>
    <cellStyle name="60% - Accent1 24" xfId="959" xr:uid="{0682008D-A6BC-416E-ADCB-218AE7E7380E}"/>
    <cellStyle name="60% - Accent1 25" xfId="960" xr:uid="{4445CB8B-54D1-4EEE-8FCD-BA77282A9DB2}"/>
    <cellStyle name="60% - Accent1 26" xfId="961" xr:uid="{28A6DADB-A197-467D-BC42-93344716F4E9}"/>
    <cellStyle name="60% - Accent1 27" xfId="962" xr:uid="{88F02431-62E4-4BC3-928A-86B2D31BE8AA}"/>
    <cellStyle name="60% - Accent1 28" xfId="963" xr:uid="{CD702C95-233F-45AA-ABF1-8FC5FE39EA4D}"/>
    <cellStyle name="60% - Accent1 29" xfId="964" xr:uid="{B9B0DF14-17A5-4DDE-8311-57FA7E6CB15D}"/>
    <cellStyle name="60% - Accent1 3" xfId="965" xr:uid="{A2E836B1-0E50-4067-8551-034B114511B9}"/>
    <cellStyle name="60% - Accent1 3 2" xfId="966" xr:uid="{E7BE5927-D22E-49F8-BC82-42E735D982B6}"/>
    <cellStyle name="60% - Accent1 3 2 2" xfId="967" xr:uid="{49E03917-C2CB-439B-BF8B-0FF61096DBF1}"/>
    <cellStyle name="60% - Accent1 3 3" xfId="968" xr:uid="{56E5E744-5E06-49D7-AF69-445036AF3A6C}"/>
    <cellStyle name="60% - Accent1 3 4" xfId="969" xr:uid="{40133CD6-CD0B-4C83-A630-0D49210BEB38}"/>
    <cellStyle name="60% - Accent1 30" xfId="970" xr:uid="{432B129A-0B46-420E-A859-9B81453C5FE6}"/>
    <cellStyle name="60% - Accent1 31" xfId="971" xr:uid="{4C818D5B-6711-4724-A8B0-5D13BE37EEEA}"/>
    <cellStyle name="60% - Accent1 32" xfId="972" xr:uid="{E2CFAD1C-2B24-4BA9-9E94-B1489500291F}"/>
    <cellStyle name="60% - Accent1 33" xfId="973" xr:uid="{81D9F3B1-0850-4056-8F33-226E1551BF9B}"/>
    <cellStyle name="60% - Accent1 34" xfId="974" xr:uid="{B8DE283B-A3A3-4021-9664-794A5E7A03FF}"/>
    <cellStyle name="60% - Accent1 35" xfId="975" xr:uid="{C30AFD61-A2BD-470D-8A42-9D4D46A9A040}"/>
    <cellStyle name="60% - Accent1 36" xfId="976" xr:uid="{8D87FE12-6BBB-48E1-9899-1F3E4E38F78F}"/>
    <cellStyle name="60% - Accent1 37" xfId="977" xr:uid="{17D4D76D-61B7-4927-A40C-E87BF50478F4}"/>
    <cellStyle name="60% - Accent1 38" xfId="978" xr:uid="{D1E89B82-DC41-4B6A-AEED-F850037FB35D}"/>
    <cellStyle name="60% - Accent1 39" xfId="979" xr:uid="{9C38044B-65C7-498D-B3BE-5F80E6884153}"/>
    <cellStyle name="60% - Accent1 4" xfId="980" xr:uid="{85EF5314-BE51-4E49-A827-42D4BA9C3461}"/>
    <cellStyle name="60% - Accent1 4 2" xfId="981" xr:uid="{A15BB7A8-FAC6-4045-85D4-269D6DCA577A}"/>
    <cellStyle name="60% - Accent1 40" xfId="982" xr:uid="{B9E954E8-C30C-4C22-94E3-1E528D964A58}"/>
    <cellStyle name="60% - Accent1 41" xfId="983" xr:uid="{6685BDCF-FFE8-443B-AD93-A09E92284235}"/>
    <cellStyle name="60% - Accent1 42" xfId="984" xr:uid="{2DDB4138-21A1-4178-868A-FD384E7DC6C2}"/>
    <cellStyle name="60% - Accent1 43" xfId="985" xr:uid="{467252F8-63A1-4864-8781-5961D317AE07}"/>
    <cellStyle name="60% - Accent1 5" xfId="986" xr:uid="{3AE893AC-415F-4948-804F-DB80074C1E39}"/>
    <cellStyle name="60% - Accent1 5 2" xfId="987" xr:uid="{F751704F-79AA-4E52-91E8-D227DD0DFFF0}"/>
    <cellStyle name="60% - Accent1 6" xfId="988" xr:uid="{C9F1348E-2229-49D9-8E45-95E7EA0D5066}"/>
    <cellStyle name="60% - Accent1 6 2" xfId="989" xr:uid="{F86038EF-DA36-4FBF-98D0-EB642B4C55A3}"/>
    <cellStyle name="60% - Accent1 7" xfId="990" xr:uid="{C6962E44-24CA-4BF8-8138-D5D406109836}"/>
    <cellStyle name="60% - Accent1 8" xfId="991" xr:uid="{94A41739-894E-46F4-A94E-192FE3A7DE2D}"/>
    <cellStyle name="60% - Accent1 9" xfId="992" xr:uid="{116A01E4-DE45-4540-975D-49D87B507F97}"/>
    <cellStyle name="60% - Accent2 10" xfId="993" xr:uid="{DC59ED29-05B2-4133-9241-2D4ADF5A8955}"/>
    <cellStyle name="60% - Accent2 11" xfId="994" xr:uid="{BDAEF44F-9C3D-4EDA-B5CF-99A83A2D948C}"/>
    <cellStyle name="60% - Accent2 12" xfId="995" xr:uid="{5064D2FD-4824-4804-BAB5-0FDF7BBE8257}"/>
    <cellStyle name="60% - Accent2 13" xfId="996" xr:uid="{E83321CB-867B-4364-8747-09E2FD5C52BE}"/>
    <cellStyle name="60% - Accent2 14" xfId="997" xr:uid="{F7747FEC-2ACD-4738-8BF9-DED493AAC568}"/>
    <cellStyle name="60% - Accent2 15" xfId="998" xr:uid="{31B6F411-D026-498B-822E-69451C27FA22}"/>
    <cellStyle name="60% - Accent2 16" xfId="999" xr:uid="{E2700612-991F-4BC3-A67B-83C9BEEF8F2D}"/>
    <cellStyle name="60% - Accent2 17" xfId="1000" xr:uid="{514C7F82-CAF4-4FE0-BF4A-24A590B9D654}"/>
    <cellStyle name="60% - Accent2 18" xfId="1001" xr:uid="{B1B25A2E-2E52-44E4-9E9F-FB7BF76EF5E8}"/>
    <cellStyle name="60% - Accent2 19" xfId="1002" xr:uid="{1732D228-F767-4094-BC2F-BE8856F1BC89}"/>
    <cellStyle name="60% - Accent2 2" xfId="1003" xr:uid="{1C6BC170-8D93-474D-A510-1FD1DDBD9B3D}"/>
    <cellStyle name="60% - Accent2 2 10" xfId="1004" xr:uid="{068F50BC-3D24-4509-928E-51E9633C0025}"/>
    <cellStyle name="60% - Accent2 2 11" xfId="1005" xr:uid="{0AE99319-1BFA-49CC-AC0D-4D75CE9406F7}"/>
    <cellStyle name="60% - Accent2 2 2" xfId="1006" xr:uid="{94D07DE1-D8A3-40B7-A352-ECE037374724}"/>
    <cellStyle name="60% - Accent2 2 3" xfId="1007" xr:uid="{C8539CE5-B89D-4C87-A608-C6D935A867E8}"/>
    <cellStyle name="60% - Accent2 2 4" xfId="1008" xr:uid="{6F56F332-16DD-43ED-9A60-EB0920892EEA}"/>
    <cellStyle name="60% - Accent2 2 5" xfId="1009" xr:uid="{6264223E-374A-4BF3-9C30-C24A69216B08}"/>
    <cellStyle name="60% - Accent2 2 6" xfId="1010" xr:uid="{8A7ABAA0-C8EE-423B-8616-0462D7ADA502}"/>
    <cellStyle name="60% - Accent2 2 7" xfId="1011" xr:uid="{0D4454A0-5F72-4B92-B517-9BFEA75BAF8D}"/>
    <cellStyle name="60% - Accent2 2 8" xfId="1012" xr:uid="{9235B2D9-2E04-4D86-A840-C60CD86C14C2}"/>
    <cellStyle name="60% - Accent2 2 9" xfId="1013" xr:uid="{351F5E0F-6479-4887-88AE-04FF992E1738}"/>
    <cellStyle name="60% - Accent2 20" xfId="1014" xr:uid="{E1F1A4C6-8858-44E8-8E9B-FD008A5B60AF}"/>
    <cellStyle name="60% - Accent2 21" xfId="1015" xr:uid="{A0585A2C-2B8F-4398-A798-D770C3DEF478}"/>
    <cellStyle name="60% - Accent2 22" xfId="1016" xr:uid="{CFF71938-9266-4389-A020-E6033FBAD072}"/>
    <cellStyle name="60% - Accent2 23" xfId="1017" xr:uid="{9508AB9A-8BC7-4B4B-AE16-0379EED6C98C}"/>
    <cellStyle name="60% - Accent2 24" xfId="1018" xr:uid="{24D1B0B5-4B53-4974-BD98-6E9B95B56D22}"/>
    <cellStyle name="60% - Accent2 25" xfId="1019" xr:uid="{07B3C28B-AA29-4F9C-BA0B-B3B22CD3B6E9}"/>
    <cellStyle name="60% - Accent2 26" xfId="1020" xr:uid="{B8918405-31C1-4E5A-A0B4-3AB78DA3E967}"/>
    <cellStyle name="60% - Accent2 27" xfId="1021" xr:uid="{913018BA-FC08-467A-AB22-3ED513920D9F}"/>
    <cellStyle name="60% - Accent2 28" xfId="1022" xr:uid="{D9BA83DF-F664-4B06-B44C-A0E1762934BA}"/>
    <cellStyle name="60% - Accent2 29" xfId="1023" xr:uid="{9BD4B8BC-D730-46CF-BE59-1569CC3C013E}"/>
    <cellStyle name="60% - Accent2 3" xfId="1024" xr:uid="{E8AB86F3-FD56-4AA5-BF51-AB2EE6876B63}"/>
    <cellStyle name="60% - Accent2 3 2" xfId="1025" xr:uid="{9007DF7F-3419-47EC-A819-5D87F0E5117F}"/>
    <cellStyle name="60% - Accent2 3 2 2" xfId="1026" xr:uid="{84E0018D-7C2A-482A-918A-84152315FB72}"/>
    <cellStyle name="60% - Accent2 3 3" xfId="1027" xr:uid="{678BDD83-3230-48A8-AC04-8EA600077452}"/>
    <cellStyle name="60% - Accent2 3 4" xfId="1028" xr:uid="{A9FE04CF-62B3-4866-B23C-25696912C820}"/>
    <cellStyle name="60% - Accent2 30" xfId="1029" xr:uid="{92FA4E87-BCE5-4958-A2FE-5CC910670AE1}"/>
    <cellStyle name="60% - Accent2 31" xfId="1030" xr:uid="{ECDAAF33-62E1-4CC0-83D9-CE73CC895A3E}"/>
    <cellStyle name="60% - Accent2 32" xfId="1031" xr:uid="{BD4058AC-43AB-4A3C-8A92-D85B4DC35504}"/>
    <cellStyle name="60% - Accent2 33" xfId="1032" xr:uid="{9501C236-27B7-456F-B896-1E736C645DE7}"/>
    <cellStyle name="60% - Accent2 34" xfId="1033" xr:uid="{13F5A9B2-0114-43BB-8BFD-6FCF23F18AB0}"/>
    <cellStyle name="60% - Accent2 35" xfId="1034" xr:uid="{1D41EA5B-7F18-4F0B-9784-8A9148558BC8}"/>
    <cellStyle name="60% - Accent2 36" xfId="1035" xr:uid="{4DAAF743-F0ED-4EA1-B783-60D6FC186E72}"/>
    <cellStyle name="60% - Accent2 37" xfId="1036" xr:uid="{4B29C594-5CE1-4FC2-941E-82500DCC9544}"/>
    <cellStyle name="60% - Accent2 38" xfId="1037" xr:uid="{01D842FA-6AB7-4913-8E0D-A66056451851}"/>
    <cellStyle name="60% - Accent2 39" xfId="1038" xr:uid="{4DCEE226-A825-4F6D-BD13-683213EC1998}"/>
    <cellStyle name="60% - Accent2 4" xfId="1039" xr:uid="{3885A4D9-4EF8-4E90-9B11-9BD636B045DE}"/>
    <cellStyle name="60% - Accent2 4 2" xfId="1040" xr:uid="{B829C386-DCFA-4407-B93E-AD7DABB2EAB0}"/>
    <cellStyle name="60% - Accent2 40" xfId="1041" xr:uid="{68DE3D66-CE37-4713-A0CA-DA79FA267E25}"/>
    <cellStyle name="60% - Accent2 41" xfId="1042" xr:uid="{8842C260-CCA6-43B4-9266-C85BD0D8B606}"/>
    <cellStyle name="60% - Accent2 42" xfId="1043" xr:uid="{16AA6CF6-3A84-45CE-8DFB-1546BCAA4299}"/>
    <cellStyle name="60% - Accent2 43" xfId="1044" xr:uid="{1B846CCD-3F50-4B8F-B1A1-85BDE12BE7E8}"/>
    <cellStyle name="60% - Accent2 5" xfId="1045" xr:uid="{35D6920D-CC33-44B1-8093-DD8DAA0F433C}"/>
    <cellStyle name="60% - Accent2 5 2" xfId="1046" xr:uid="{C87E7662-B4B8-42B7-AE46-07A128A4F360}"/>
    <cellStyle name="60% - Accent2 6" xfId="1047" xr:uid="{2F5B70F4-90C9-4304-BF40-7CADD7AAE906}"/>
    <cellStyle name="60% - Accent2 6 2" xfId="1048" xr:uid="{FC4D1095-EC11-4527-9C10-73E8A3034A5A}"/>
    <cellStyle name="60% - Accent2 7" xfId="1049" xr:uid="{FF550DFE-D5BC-4742-B763-5E03CF0D5903}"/>
    <cellStyle name="60% - Accent2 8" xfId="1050" xr:uid="{35990149-2174-4E5A-80D0-04F955C03F2B}"/>
    <cellStyle name="60% - Accent2 9" xfId="1051" xr:uid="{A44B2D9E-8B84-455B-9937-ED9D4E469C39}"/>
    <cellStyle name="60% - Accent3 10" xfId="1052" xr:uid="{506BC672-2A7B-428F-8DC5-F21954722CBE}"/>
    <cellStyle name="60% - Accent3 11" xfId="1053" xr:uid="{A761D269-3397-4351-B3F4-045BFFCCF134}"/>
    <cellStyle name="60% - Accent3 12" xfId="1054" xr:uid="{0680226D-C772-4490-81A5-ED967E6F331C}"/>
    <cellStyle name="60% - Accent3 13" xfId="1055" xr:uid="{68F718CB-4E14-4609-8D68-F637CE060B8A}"/>
    <cellStyle name="60% - Accent3 14" xfId="1056" xr:uid="{D57EB3FC-33EC-4975-A3F1-3279B8A02DB1}"/>
    <cellStyle name="60% - Accent3 15" xfId="1057" xr:uid="{6DAAB244-4A27-49DB-AA64-5075053A0277}"/>
    <cellStyle name="60% - Accent3 16" xfId="1058" xr:uid="{24F23898-0A1D-4CF4-9A5D-E9EA91FCF16A}"/>
    <cellStyle name="60% - Accent3 17" xfId="1059" xr:uid="{DF0286DA-26B9-4D18-80D7-DD3850A08236}"/>
    <cellStyle name="60% - Accent3 18" xfId="1060" xr:uid="{BA0B4907-FC24-42FF-A72C-25F2FCDED866}"/>
    <cellStyle name="60% - Accent3 19" xfId="1061" xr:uid="{822D0CB4-41BC-4B22-AA88-79C052870987}"/>
    <cellStyle name="60% - Accent3 2" xfId="1062" xr:uid="{12E9DBD2-B424-4FAF-A03F-24901DB94226}"/>
    <cellStyle name="60% - Accent3 2 10" xfId="1063" xr:uid="{D2B5C85C-D276-466F-83EE-4F3DC284F2D8}"/>
    <cellStyle name="60% - Accent3 2 11" xfId="1064" xr:uid="{7BD30845-9A46-4D18-BCF9-3EC1324FDB29}"/>
    <cellStyle name="60% - Accent3 2 2" xfId="1065" xr:uid="{217EBF46-241B-4D1A-B783-682A6F74D96C}"/>
    <cellStyle name="60% - Accent3 2 3" xfId="1066" xr:uid="{D9EF4026-49B8-4331-9B9D-CF312FEBBFD8}"/>
    <cellStyle name="60% - Accent3 2 4" xfId="1067" xr:uid="{6DF67989-9F74-4492-B8C6-8EC57D342AA1}"/>
    <cellStyle name="60% - Accent3 2 5" xfId="1068" xr:uid="{E3220DC0-60A0-4385-8DE3-8C6E2B99A86C}"/>
    <cellStyle name="60% - Accent3 2 6" xfId="1069" xr:uid="{00D487FA-A22C-4B0A-85FE-FDDF3248FA6B}"/>
    <cellStyle name="60% - Accent3 2 7" xfId="1070" xr:uid="{CCBA9E37-9A77-4171-87CC-4673FCC1E7F6}"/>
    <cellStyle name="60% - Accent3 2 8" xfId="1071" xr:uid="{CD552604-59BA-4D6C-B1D9-BD708B158C54}"/>
    <cellStyle name="60% - Accent3 2 9" xfId="1072" xr:uid="{DC41DABC-9C64-4EB0-AF5E-5EDB788A1ABF}"/>
    <cellStyle name="60% - Accent3 20" xfId="1073" xr:uid="{8792B738-F5A1-4A76-AEFF-CAAE61BAD79D}"/>
    <cellStyle name="60% - Accent3 21" xfId="1074" xr:uid="{68975345-9825-458E-8FB0-06FC1CA7D99F}"/>
    <cellStyle name="60% - Accent3 22" xfId="1075" xr:uid="{8B603B1E-EBF2-4C10-9AE7-CF9AE52DC334}"/>
    <cellStyle name="60% - Accent3 23" xfId="1076" xr:uid="{E32C05E0-DCFA-41C4-A6C4-AE16964E8F86}"/>
    <cellStyle name="60% - Accent3 24" xfId="1077" xr:uid="{01FE05D4-78BA-4BE2-A519-BBB283250217}"/>
    <cellStyle name="60% - Accent3 25" xfId="1078" xr:uid="{96DAC07D-A845-4EAA-B4F1-D712AFC40E34}"/>
    <cellStyle name="60% - Accent3 26" xfId="1079" xr:uid="{C7C9AAE9-1D41-45E9-A6A1-8738559AE860}"/>
    <cellStyle name="60% - Accent3 27" xfId="1080" xr:uid="{FA39CDBE-5256-43E2-9D5D-00911A66AB7C}"/>
    <cellStyle name="60% - Accent3 28" xfId="1081" xr:uid="{5A4A8933-C87C-486D-9006-9AC6A7432F64}"/>
    <cellStyle name="60% - Accent3 29" xfId="1082" xr:uid="{06391D6E-E8D8-45F1-B5F6-3609A25C2987}"/>
    <cellStyle name="60% - Accent3 3" xfId="1083" xr:uid="{8637F1BA-9B02-4D6B-985F-F0A18FC52930}"/>
    <cellStyle name="60% - Accent3 3 2" xfId="1084" xr:uid="{C09C3EE0-AC70-42BB-AD77-0130605E8738}"/>
    <cellStyle name="60% - Accent3 3 2 2" xfId="1085" xr:uid="{65A2CB17-A6E7-4612-A40E-275449483EBC}"/>
    <cellStyle name="60% - Accent3 3 3" xfId="1086" xr:uid="{22292B4D-42B7-48C8-BA04-46CD67AAF0E6}"/>
    <cellStyle name="60% - Accent3 3 4" xfId="1087" xr:uid="{F9BB7769-E15F-4B80-AD18-B36F1BC96E8B}"/>
    <cellStyle name="60% - Accent3 30" xfId="1088" xr:uid="{471DFEB1-C6A8-4E00-9D71-5E8A4C28DB65}"/>
    <cellStyle name="60% - Accent3 31" xfId="1089" xr:uid="{3E22B093-2323-450D-B6CA-AD1D339724A3}"/>
    <cellStyle name="60% - Accent3 32" xfId="1090" xr:uid="{4591A000-C442-4FEB-BEDC-F032FE9C943D}"/>
    <cellStyle name="60% - Accent3 33" xfId="1091" xr:uid="{2CD526A1-1904-434D-904B-CCDA2B2EE9CD}"/>
    <cellStyle name="60% - Accent3 34" xfId="1092" xr:uid="{58A96018-EFED-4BE4-8666-8F88FCD4F82C}"/>
    <cellStyle name="60% - Accent3 35" xfId="1093" xr:uid="{350199C9-88CD-45B0-A63C-B9542D775A8E}"/>
    <cellStyle name="60% - Accent3 36" xfId="1094" xr:uid="{BDC8940E-5B24-4746-8581-58E469AFE9DD}"/>
    <cellStyle name="60% - Accent3 37" xfId="1095" xr:uid="{42AB0348-7B60-4BE5-A706-6597A417EF46}"/>
    <cellStyle name="60% - Accent3 38" xfId="1096" xr:uid="{15ACE86C-262E-441B-9384-C46437C7FC33}"/>
    <cellStyle name="60% - Accent3 39" xfId="1097" xr:uid="{69BD5E25-6BEC-4AFC-803A-5D274C460202}"/>
    <cellStyle name="60% - Accent3 4" xfId="1098" xr:uid="{3C8D42C6-D14A-4E08-91CC-FFEE94912F75}"/>
    <cellStyle name="60% - Accent3 4 2" xfId="1099" xr:uid="{A001930A-C052-464E-A198-FE763BE95012}"/>
    <cellStyle name="60% - Accent3 40" xfId="1100" xr:uid="{F5D9716C-8055-49C8-AA58-4140870A7004}"/>
    <cellStyle name="60% - Accent3 41" xfId="1101" xr:uid="{64F058F9-8D6A-4D88-88AD-DAFC6CB66EF9}"/>
    <cellStyle name="60% - Accent3 42" xfId="1102" xr:uid="{26348158-97E4-4A09-9201-E2019C52B28F}"/>
    <cellStyle name="60% - Accent3 43" xfId="1103" xr:uid="{129605B2-4290-49A9-8F29-8435CA983832}"/>
    <cellStyle name="60% - Accent3 5" xfId="1104" xr:uid="{FACA8B3B-FCD2-4C49-9A5E-C05382F8F7AB}"/>
    <cellStyle name="60% - Accent3 5 2" xfId="1105" xr:uid="{8D6A3672-4171-478D-A10A-F6B972F84461}"/>
    <cellStyle name="60% - Accent3 6" xfId="1106" xr:uid="{19B84FBB-7FC7-43D0-A4C7-34B0F7DD9D34}"/>
    <cellStyle name="60% - Accent3 6 2" xfId="1107" xr:uid="{6EC0BE24-E655-44A8-96AA-9E4AF322C6F8}"/>
    <cellStyle name="60% - Accent3 7" xfId="1108" xr:uid="{E462009E-9503-4A1F-8FAE-FA2644EA1DBD}"/>
    <cellStyle name="60% - Accent3 8" xfId="1109" xr:uid="{8C4D3A8B-601A-4AA5-86B0-D61AD765B9ED}"/>
    <cellStyle name="60% - Accent3 9" xfId="1110" xr:uid="{6C44775B-9255-43A6-8B53-8B4C1B7EB63B}"/>
    <cellStyle name="60% - Accent4 10" xfId="1111" xr:uid="{14A172E2-7CC6-4DF1-AC47-C55B1DCDDD1B}"/>
    <cellStyle name="60% - Accent4 11" xfId="1112" xr:uid="{DA0D82EE-48FC-40B4-8230-19B3F46D35EA}"/>
    <cellStyle name="60% - Accent4 12" xfId="1113" xr:uid="{03C6166C-A3D0-4281-B256-88D82D4AD11C}"/>
    <cellStyle name="60% - Accent4 13" xfId="1114" xr:uid="{46ADC66B-BC01-4AE1-AD79-083A0DC4138E}"/>
    <cellStyle name="60% - Accent4 14" xfId="1115" xr:uid="{B8AF1B1A-8C15-4328-84B0-E2A6A03FDB56}"/>
    <cellStyle name="60% - Accent4 15" xfId="1116" xr:uid="{88266FD8-F458-4518-891E-8B937AF7FA24}"/>
    <cellStyle name="60% - Accent4 16" xfId="1117" xr:uid="{74E631A4-65B0-4D4A-B6BA-0A23D3163C83}"/>
    <cellStyle name="60% - Accent4 17" xfId="1118" xr:uid="{77E5E041-1B6C-4316-A406-D093F7063BB9}"/>
    <cellStyle name="60% - Accent4 18" xfId="1119" xr:uid="{EA54D313-4315-418F-ACEA-B58CA64D8330}"/>
    <cellStyle name="60% - Accent4 19" xfId="1120" xr:uid="{B339D839-86AD-449B-84B8-8DA97AABBB84}"/>
    <cellStyle name="60% - Accent4 2" xfId="1121" xr:uid="{CDDD3D61-28BB-4C7D-BE0D-CC50B7E989C9}"/>
    <cellStyle name="60% - Accent4 2 10" xfId="1122" xr:uid="{1F03504F-1A48-4C72-BCB3-B9C2350FD000}"/>
    <cellStyle name="60% - Accent4 2 11" xfId="1123" xr:uid="{CA1C48DB-C97B-468D-852F-F1FF7EDD44B8}"/>
    <cellStyle name="60% - Accent4 2 2" xfId="1124" xr:uid="{58001E7C-4028-4CCE-935F-032369C8A5A0}"/>
    <cellStyle name="60% - Accent4 2 3" xfId="1125" xr:uid="{9C08F45C-DCE0-4243-9E5B-6C31CF87D469}"/>
    <cellStyle name="60% - Accent4 2 4" xfId="1126" xr:uid="{62F03B32-A270-4C1A-A7E4-F58A5A46559A}"/>
    <cellStyle name="60% - Accent4 2 5" xfId="1127" xr:uid="{55FFC297-3257-49E5-839B-0D73220EFC3E}"/>
    <cellStyle name="60% - Accent4 2 6" xfId="1128" xr:uid="{0AEF1AE3-29E3-44C0-8BE2-B247A691199E}"/>
    <cellStyle name="60% - Accent4 2 7" xfId="1129" xr:uid="{2AC15B09-E814-4EBC-87AB-624A0644AE15}"/>
    <cellStyle name="60% - Accent4 2 8" xfId="1130" xr:uid="{DD243C9A-7E64-445B-A7FA-9778A419A204}"/>
    <cellStyle name="60% - Accent4 2 9" xfId="1131" xr:uid="{2B27C3B0-C0EB-4AA7-AC5D-21CF580CB824}"/>
    <cellStyle name="60% - Accent4 20" xfId="1132" xr:uid="{725D35EE-777D-406E-AFFF-38B40ED5A822}"/>
    <cellStyle name="60% - Accent4 21" xfId="1133" xr:uid="{98A57488-9123-4B71-A4B3-22B482C4E15D}"/>
    <cellStyle name="60% - Accent4 22" xfId="1134" xr:uid="{277AF6A6-BA9E-4A4F-8652-ED18696D714E}"/>
    <cellStyle name="60% - Accent4 23" xfId="1135" xr:uid="{C832C694-14D9-4872-A935-4017ACC05788}"/>
    <cellStyle name="60% - Accent4 24" xfId="1136" xr:uid="{9AB108F6-9F39-4BB5-BEFA-D4519627909A}"/>
    <cellStyle name="60% - Accent4 25" xfId="1137" xr:uid="{C0D134C8-ECEC-44B2-A0F0-8769F2F54E17}"/>
    <cellStyle name="60% - Accent4 26" xfId="1138" xr:uid="{EED19DFD-8171-4FCF-8C83-F4A5422186D9}"/>
    <cellStyle name="60% - Accent4 27" xfId="1139" xr:uid="{7353A2E0-B8C4-455F-ABF0-AB009A601934}"/>
    <cellStyle name="60% - Accent4 28" xfId="1140" xr:uid="{BCFD8E05-E90A-4542-8FE0-ECFE085B8A6F}"/>
    <cellStyle name="60% - Accent4 29" xfId="1141" xr:uid="{9B7F4102-5FC8-48E1-90BE-9C26C0B7B1B2}"/>
    <cellStyle name="60% - Accent4 3" xfId="1142" xr:uid="{D5421735-2B92-4A8F-B8CD-3B45B20966C8}"/>
    <cellStyle name="60% - Accent4 3 2" xfId="1143" xr:uid="{6AAFEAE5-06E7-4C04-8236-589D1096643A}"/>
    <cellStyle name="60% - Accent4 3 2 2" xfId="1144" xr:uid="{A2922131-A514-4A34-82B1-6EEE1D54ED9A}"/>
    <cellStyle name="60% - Accent4 3 3" xfId="1145" xr:uid="{DAD74541-C5B2-47B0-AB09-B79055A2D2B3}"/>
    <cellStyle name="60% - Accent4 3 4" xfId="1146" xr:uid="{E83348A9-044B-4AB4-BF9E-D725839B18E4}"/>
    <cellStyle name="60% - Accent4 30" xfId="1147" xr:uid="{20B40D84-2272-4DCA-9232-18E0967FF0F3}"/>
    <cellStyle name="60% - Accent4 31" xfId="1148" xr:uid="{4F09FDDB-2C55-4DBD-B4B9-72757782E2A1}"/>
    <cellStyle name="60% - Accent4 32" xfId="1149" xr:uid="{79B10F66-1B51-4431-BCC9-21BAA34C2B06}"/>
    <cellStyle name="60% - Accent4 33" xfId="1150" xr:uid="{8EC3811B-BC18-4FCA-8987-A21F53FCB119}"/>
    <cellStyle name="60% - Accent4 34" xfId="1151" xr:uid="{D88C98FD-AA2F-4018-B0C6-75F73BE5721A}"/>
    <cellStyle name="60% - Accent4 35" xfId="1152" xr:uid="{D2FFDBD4-5545-4B6B-BFF3-8D4CB8BC3D38}"/>
    <cellStyle name="60% - Accent4 36" xfId="1153" xr:uid="{B25F18ED-CA05-43A8-88C8-37B29BC2F62F}"/>
    <cellStyle name="60% - Accent4 37" xfId="1154" xr:uid="{D89E92A2-1850-495E-8C1D-9ABDC8C2EBE8}"/>
    <cellStyle name="60% - Accent4 38" xfId="1155" xr:uid="{15A7B640-F0A2-42B9-8E02-FCAD6A841F28}"/>
    <cellStyle name="60% - Accent4 39" xfId="1156" xr:uid="{223B1183-0899-4B39-92DA-46C3EFD28BC0}"/>
    <cellStyle name="60% - Accent4 4" xfId="1157" xr:uid="{61C4F587-C8AD-45A7-8523-46FA081D0C0C}"/>
    <cellStyle name="60% - Accent4 4 2" xfId="1158" xr:uid="{307D0416-A211-492F-94B3-68CE5C8A0FFC}"/>
    <cellStyle name="60% - Accent4 40" xfId="1159" xr:uid="{BB063026-6D2C-430D-AB53-EBBC517552EE}"/>
    <cellStyle name="60% - Accent4 41" xfId="1160" xr:uid="{3EF4D4C5-80B1-4CA4-AB24-B7B8070CD141}"/>
    <cellStyle name="60% - Accent4 42" xfId="1161" xr:uid="{FF8CA016-7C6A-47B2-AF4A-0648CA27FFA1}"/>
    <cellStyle name="60% - Accent4 43" xfId="1162" xr:uid="{51DE8C78-413D-451B-BA79-73C97EC70376}"/>
    <cellStyle name="60% - Accent4 5" xfId="1163" xr:uid="{4D8F5502-9A57-48EC-9775-4B2B115F1E2B}"/>
    <cellStyle name="60% - Accent4 5 2" xfId="1164" xr:uid="{A8F05DA7-040B-492D-88CF-BE33A174404B}"/>
    <cellStyle name="60% - Accent4 6" xfId="1165" xr:uid="{FEC14732-4BAA-44CB-97A1-AC76E3FB14BD}"/>
    <cellStyle name="60% - Accent4 6 2" xfId="1166" xr:uid="{AFA6FB1F-8354-4B61-AA3E-25D7B579D512}"/>
    <cellStyle name="60% - Accent4 7" xfId="1167" xr:uid="{85D75448-8254-48E7-AC9A-5204FA04BCF6}"/>
    <cellStyle name="60% - Accent4 8" xfId="1168" xr:uid="{1C40BFC5-A464-4C19-9671-49C8DCFA5D54}"/>
    <cellStyle name="60% - Accent4 9" xfId="1169" xr:uid="{6C8DE6E9-DBD1-47D0-AF36-932515F598FE}"/>
    <cellStyle name="60% - Accent5 10" xfId="1170" xr:uid="{27D30FF0-8DFB-41DD-A098-1A72C70FE918}"/>
    <cellStyle name="60% - Accent5 11" xfId="1171" xr:uid="{12EA3FC1-C602-48D3-B181-8485B1CA70E8}"/>
    <cellStyle name="60% - Accent5 12" xfId="1172" xr:uid="{5E2D08E3-DFB1-4F82-8541-62F91FA05A11}"/>
    <cellStyle name="60% - Accent5 13" xfId="1173" xr:uid="{CF409051-A29D-4E24-B597-FB1AF8998D55}"/>
    <cellStyle name="60% - Accent5 14" xfId="1174" xr:uid="{DDA81ADC-A49D-4873-A8F7-78D535AFE040}"/>
    <cellStyle name="60% - Accent5 15" xfId="1175" xr:uid="{6AF809E3-65EF-4ABF-AA8C-FD483A582176}"/>
    <cellStyle name="60% - Accent5 16" xfId="1176" xr:uid="{F57F3E48-5D4B-4453-8D55-6751B146E5EA}"/>
    <cellStyle name="60% - Accent5 17" xfId="1177" xr:uid="{BE163C69-4CFE-46BD-A759-3E794948ED56}"/>
    <cellStyle name="60% - Accent5 18" xfId="1178" xr:uid="{82345908-BDAD-4033-9149-C11025480259}"/>
    <cellStyle name="60% - Accent5 19" xfId="1179" xr:uid="{5114F2A8-9F12-4075-A9EE-7EA6BF99CA12}"/>
    <cellStyle name="60% - Accent5 2" xfId="1180" xr:uid="{E5700D9F-4145-4D1E-ADEC-1D86C1ECE89D}"/>
    <cellStyle name="60% - Accent5 2 10" xfId="1181" xr:uid="{E9370CAF-7090-463C-9865-2D5DC772D551}"/>
    <cellStyle name="60% - Accent5 2 11" xfId="1182" xr:uid="{43DEE646-271A-4E12-BC77-2021130439A6}"/>
    <cellStyle name="60% - Accent5 2 2" xfId="1183" xr:uid="{D7559166-4396-4C75-B0CF-ECE4ECFBAE01}"/>
    <cellStyle name="60% - Accent5 2 3" xfId="1184" xr:uid="{6200789F-0A01-413B-A9C9-D79DC8C86BFB}"/>
    <cellStyle name="60% - Accent5 2 4" xfId="1185" xr:uid="{FCBA7FB9-441A-42B5-8481-787CAC116E67}"/>
    <cellStyle name="60% - Accent5 2 5" xfId="1186" xr:uid="{E8D4AC48-FFA3-405C-867D-71C68C61DEA9}"/>
    <cellStyle name="60% - Accent5 2 6" xfId="1187" xr:uid="{761F442C-8B6A-4CB6-B876-68B9CD208AAB}"/>
    <cellStyle name="60% - Accent5 2 7" xfId="1188" xr:uid="{08B485C2-7E06-473D-895D-7CE5E7600EA7}"/>
    <cellStyle name="60% - Accent5 2 8" xfId="1189" xr:uid="{435CA2E3-2C10-4D3E-A7D0-0D638EB90EE7}"/>
    <cellStyle name="60% - Accent5 2 9" xfId="1190" xr:uid="{9B2D9D2D-99BD-4F0E-B071-DDED32B32789}"/>
    <cellStyle name="60% - Accent5 20" xfId="1191" xr:uid="{00BB7BF0-D354-4229-A4DF-C07C2FB67E18}"/>
    <cellStyle name="60% - Accent5 21" xfId="1192" xr:uid="{79A9D797-B208-401F-9137-AB25649FCC80}"/>
    <cellStyle name="60% - Accent5 22" xfId="1193" xr:uid="{204A60DA-785C-4318-B90D-5F252D85ADB7}"/>
    <cellStyle name="60% - Accent5 23" xfId="1194" xr:uid="{79F68DC7-C226-4710-A486-618DDE7CC87D}"/>
    <cellStyle name="60% - Accent5 24" xfId="1195" xr:uid="{44EACDC1-75BE-4A8D-B934-D89FA28981AF}"/>
    <cellStyle name="60% - Accent5 25" xfId="1196" xr:uid="{DC70FCE8-A0FC-4BCD-874B-0043B9AE1548}"/>
    <cellStyle name="60% - Accent5 26" xfId="1197" xr:uid="{2EA17616-53F7-4188-8B49-B004801B92D1}"/>
    <cellStyle name="60% - Accent5 27" xfId="1198" xr:uid="{0C67639C-B86B-43DB-A770-90C6CFD1405B}"/>
    <cellStyle name="60% - Accent5 28" xfId="1199" xr:uid="{D7A215B7-22C2-4E63-A552-508F8F70618F}"/>
    <cellStyle name="60% - Accent5 29" xfId="1200" xr:uid="{FC69CC60-CDA7-42BC-AFFC-E623CA71057B}"/>
    <cellStyle name="60% - Accent5 3" xfId="1201" xr:uid="{DC616892-2288-4C67-8F05-386810029EB4}"/>
    <cellStyle name="60% - Accent5 3 2" xfId="1202" xr:uid="{136CACDB-1E76-44C2-9C76-926A3F747A31}"/>
    <cellStyle name="60% - Accent5 3 2 2" xfId="1203" xr:uid="{FCFC1C0D-4BF9-43B5-B7F9-12B8389D7C9E}"/>
    <cellStyle name="60% - Accent5 3 3" xfId="1204" xr:uid="{951EA2FF-48E3-4C00-A352-92A15AE04113}"/>
    <cellStyle name="60% - Accent5 3 4" xfId="1205" xr:uid="{DA5931BE-6963-4F26-AE36-A15A19E9C339}"/>
    <cellStyle name="60% - Accent5 30" xfId="1206" xr:uid="{DD5ABDE4-277E-4006-A12A-BBA50E36F9B2}"/>
    <cellStyle name="60% - Accent5 31" xfId="1207" xr:uid="{77452581-AD3B-49B9-8803-633C966D6EFE}"/>
    <cellStyle name="60% - Accent5 32" xfId="1208" xr:uid="{BF719E67-AD47-478E-9160-FA1B1FF32E04}"/>
    <cellStyle name="60% - Accent5 33" xfId="1209" xr:uid="{B4EDD6EC-439F-4D7E-B736-DE272243011E}"/>
    <cellStyle name="60% - Accent5 34" xfId="1210" xr:uid="{BA840E36-6DC3-45E4-B606-3D562BEC3458}"/>
    <cellStyle name="60% - Accent5 35" xfId="1211" xr:uid="{CECEA78C-1DE9-4259-BDBE-F88919E1FD74}"/>
    <cellStyle name="60% - Accent5 36" xfId="1212" xr:uid="{B1109878-121C-49D4-93F2-F3A826F23B8F}"/>
    <cellStyle name="60% - Accent5 37" xfId="1213" xr:uid="{41F04D85-EE97-49C2-BDFE-D29EAD6CAA9B}"/>
    <cellStyle name="60% - Accent5 38" xfId="1214" xr:uid="{588CBD4F-15E7-4F74-AC02-9AD03FF8E71D}"/>
    <cellStyle name="60% - Accent5 39" xfId="1215" xr:uid="{D8F0B663-CE56-4C6C-968E-7F865177F284}"/>
    <cellStyle name="60% - Accent5 4" xfId="1216" xr:uid="{6AF7FA3E-7B01-4C40-AB53-D7463C170246}"/>
    <cellStyle name="60% - Accent5 4 2" xfId="1217" xr:uid="{F2FC5DB2-1393-4564-956D-F13527B37F0F}"/>
    <cellStyle name="60% - Accent5 40" xfId="1218" xr:uid="{AF524285-3ABC-48DC-8750-34BB12DD2868}"/>
    <cellStyle name="60% - Accent5 41" xfId="1219" xr:uid="{F013DB2D-CB5D-4483-A193-7487AAF54EEA}"/>
    <cellStyle name="60% - Accent5 42" xfId="1220" xr:uid="{507FA863-4AD8-4EA6-8FC7-BDAC3E2562B2}"/>
    <cellStyle name="60% - Accent5 43" xfId="1221" xr:uid="{D0CA6E62-D018-4EC8-8A1E-03285EC69150}"/>
    <cellStyle name="60% - Accent5 5" xfId="1222" xr:uid="{AB928F0D-074D-41A2-95A3-0E22E22B4CF1}"/>
    <cellStyle name="60% - Accent5 5 2" xfId="1223" xr:uid="{82099AAB-E31D-4CD9-9BD2-37C717820EAC}"/>
    <cellStyle name="60% - Accent5 6" xfId="1224" xr:uid="{4DA79AB6-AF9E-4B41-B963-8ADBF27AD604}"/>
    <cellStyle name="60% - Accent5 6 2" xfId="1225" xr:uid="{F35B1A32-51ED-4775-A916-DAAADF826624}"/>
    <cellStyle name="60% - Accent5 7" xfId="1226" xr:uid="{DBA105A2-A2BD-4557-B65E-CC2DDF328043}"/>
    <cellStyle name="60% - Accent5 8" xfId="1227" xr:uid="{A9474801-9F79-40EF-80D9-07AF93DFA942}"/>
    <cellStyle name="60% - Accent5 9" xfId="1228" xr:uid="{A1101B7F-68A7-40EE-95C3-303AB6749F6B}"/>
    <cellStyle name="60% - Accent6 10" xfId="1229" xr:uid="{08DF825C-B97E-4F06-9FB8-5570DF74BB8F}"/>
    <cellStyle name="60% - Accent6 11" xfId="1230" xr:uid="{79AFC626-9ADB-4471-8E25-33C3D32E0854}"/>
    <cellStyle name="60% - Accent6 12" xfId="1231" xr:uid="{93A67702-D473-49D9-8EC5-8AC52BD93FB4}"/>
    <cellStyle name="60% - Accent6 13" xfId="1232" xr:uid="{13B989E1-E81A-442E-9E48-2148824DAD36}"/>
    <cellStyle name="60% - Accent6 14" xfId="1233" xr:uid="{0E35BCFC-886E-4484-982A-A9DC323827B5}"/>
    <cellStyle name="60% - Accent6 15" xfId="1234" xr:uid="{FDCC94D4-374E-4895-ABC3-DB6303EE439E}"/>
    <cellStyle name="60% - Accent6 16" xfId="1235" xr:uid="{3827B136-8E4A-4254-8306-2016CE4BB77C}"/>
    <cellStyle name="60% - Accent6 17" xfId="1236" xr:uid="{867D49DE-DB9E-4EBC-AF55-90697C10609C}"/>
    <cellStyle name="60% - Accent6 18" xfId="1237" xr:uid="{227DDDC8-7BBD-497E-B921-26F30BF0CD65}"/>
    <cellStyle name="60% - Accent6 19" xfId="1238" xr:uid="{2A72D10B-9F4A-475A-BC11-C080FB41AF12}"/>
    <cellStyle name="60% - Accent6 2" xfId="1239" xr:uid="{5F996D47-B981-49A5-8766-90F2E84E5970}"/>
    <cellStyle name="60% - Accent6 2 10" xfId="1240" xr:uid="{C354C80F-52AE-4289-9FEB-56B4211063B2}"/>
    <cellStyle name="60% - Accent6 2 11" xfId="1241" xr:uid="{E513B270-B236-4F23-B126-B94D4BD9913D}"/>
    <cellStyle name="60% - Accent6 2 2" xfId="1242" xr:uid="{EAD1E8E1-F744-4B42-B596-4AB503C4658F}"/>
    <cellStyle name="60% - Accent6 2 3" xfId="1243" xr:uid="{03FFC376-9A09-46CC-A165-984154184509}"/>
    <cellStyle name="60% - Accent6 2 4" xfId="1244" xr:uid="{2B2ADE7B-706B-4939-B86D-AD59EC0281D7}"/>
    <cellStyle name="60% - Accent6 2 5" xfId="1245" xr:uid="{40AA8330-2CBD-4B0B-9E5A-EAA030E74457}"/>
    <cellStyle name="60% - Accent6 2 6" xfId="1246" xr:uid="{3281DD2E-C07B-4B47-926E-A2527632EAB2}"/>
    <cellStyle name="60% - Accent6 2 7" xfId="1247" xr:uid="{B2F96711-4609-46BE-BB84-FA757850ED8F}"/>
    <cellStyle name="60% - Accent6 2 8" xfId="1248" xr:uid="{75009CD2-0A9C-4D38-9EB2-D2BF4392DC2F}"/>
    <cellStyle name="60% - Accent6 2 9" xfId="1249" xr:uid="{2C376C8B-A4CD-4E58-A8A1-71CD09F96CE4}"/>
    <cellStyle name="60% - Accent6 20" xfId="1250" xr:uid="{7058E740-91A7-47A7-BDEE-1286385EC276}"/>
    <cellStyle name="60% - Accent6 21" xfId="1251" xr:uid="{8FB75590-C777-47FD-BC30-C49D89E32CFE}"/>
    <cellStyle name="60% - Accent6 22" xfId="1252" xr:uid="{85AF488B-B866-4D16-B22D-987C242D6AE8}"/>
    <cellStyle name="60% - Accent6 23" xfId="1253" xr:uid="{A8DBDC20-927B-4C4B-B0AE-4F57B12F666A}"/>
    <cellStyle name="60% - Accent6 24" xfId="1254" xr:uid="{D81AE065-5720-4360-B484-22392CE4A51D}"/>
    <cellStyle name="60% - Accent6 25" xfId="1255" xr:uid="{AC081345-034E-4E63-9CAE-01AFA6265945}"/>
    <cellStyle name="60% - Accent6 26" xfId="1256" xr:uid="{CB23F3DF-F3AB-40C2-987A-06A81E23B9A9}"/>
    <cellStyle name="60% - Accent6 27" xfId="1257" xr:uid="{2E4825FD-0651-49B6-A1DC-3B77BC0D609A}"/>
    <cellStyle name="60% - Accent6 28" xfId="1258" xr:uid="{4A069A26-3744-49F2-9FF6-F2AD58DE254E}"/>
    <cellStyle name="60% - Accent6 29" xfId="1259" xr:uid="{B234167B-F7AA-4C33-9CC2-DCF2075595A9}"/>
    <cellStyle name="60% - Accent6 3" xfId="1260" xr:uid="{7CEDC161-65A2-4B6E-A81F-F9FF30B0D7CF}"/>
    <cellStyle name="60% - Accent6 3 2" xfId="1261" xr:uid="{7018E30E-F312-40E4-B5FF-C56CEB8CE843}"/>
    <cellStyle name="60% - Accent6 3 2 2" xfId="1262" xr:uid="{A22672B4-7137-4A40-80A1-D5F00DB2884E}"/>
    <cellStyle name="60% - Accent6 3 3" xfId="1263" xr:uid="{F5923506-69DF-4A74-B615-69146233FB10}"/>
    <cellStyle name="60% - Accent6 3 4" xfId="1264" xr:uid="{EC4073AC-DB43-4164-A160-4E8B99EA13A5}"/>
    <cellStyle name="60% - Accent6 30" xfId="1265" xr:uid="{1F11C8D3-3BE0-4CD6-9BBE-DB1CAD3A48AF}"/>
    <cellStyle name="60% - Accent6 31" xfId="1266" xr:uid="{95386561-6175-4696-B29E-2F74465975B8}"/>
    <cellStyle name="60% - Accent6 32" xfId="1267" xr:uid="{C3537487-9F9C-468B-A33A-064DCF517437}"/>
    <cellStyle name="60% - Accent6 33" xfId="1268" xr:uid="{51ACAC22-6792-4D3C-8E35-2C24F9337F1E}"/>
    <cellStyle name="60% - Accent6 34" xfId="1269" xr:uid="{5CFAF6F5-FD20-4FE8-863B-72A9C9E3993C}"/>
    <cellStyle name="60% - Accent6 35" xfId="1270" xr:uid="{B9A53E1B-C90B-40A8-8AF2-5186F90298C1}"/>
    <cellStyle name="60% - Accent6 36" xfId="1271" xr:uid="{8BAEB645-D2EB-42C0-B525-356167E4F139}"/>
    <cellStyle name="60% - Accent6 37" xfId="1272" xr:uid="{BA470371-B10D-43EA-BF59-4192259BE191}"/>
    <cellStyle name="60% - Accent6 38" xfId="1273" xr:uid="{45A06198-D4F5-428D-961A-D0EEC950FF6B}"/>
    <cellStyle name="60% - Accent6 39" xfId="1274" xr:uid="{E247F78B-6640-453E-B184-9B0154A4CC31}"/>
    <cellStyle name="60% - Accent6 4" xfId="1275" xr:uid="{517B1AD6-7A96-418F-BCB9-F8EDA8669E7F}"/>
    <cellStyle name="60% - Accent6 4 2" xfId="1276" xr:uid="{86CFE801-E166-47A7-941B-4F566EABCE81}"/>
    <cellStyle name="60% - Accent6 40" xfId="1277" xr:uid="{27096100-8FBA-432E-8C6C-0588A97E5C99}"/>
    <cellStyle name="60% - Accent6 41" xfId="1278" xr:uid="{E67C01BD-962D-49F2-A247-D32991D58F31}"/>
    <cellStyle name="60% - Accent6 42" xfId="1279" xr:uid="{B7D32B51-02A5-4804-862D-417717AD79EC}"/>
    <cellStyle name="60% - Accent6 43" xfId="1280" xr:uid="{1EF217E2-C668-43AF-B6AB-AE3BECAC03C8}"/>
    <cellStyle name="60% - Accent6 5" xfId="1281" xr:uid="{42706F46-1F67-450C-95AE-6597B130EB05}"/>
    <cellStyle name="60% - Accent6 5 2" xfId="1282" xr:uid="{DDED6AB8-01D8-413D-B573-AC41BCD08E56}"/>
    <cellStyle name="60% - Accent6 6" xfId="1283" xr:uid="{29481257-B7BD-45B2-9FDA-98AB3F1B77BA}"/>
    <cellStyle name="60% - Accent6 6 2" xfId="1284" xr:uid="{8689C9A6-9FF8-4498-A5FC-317EA7A6B387}"/>
    <cellStyle name="60% - Accent6 7" xfId="1285" xr:uid="{9524E1EE-D55D-40A0-9A6D-53FD6CF3D320}"/>
    <cellStyle name="60% - Accent6 8" xfId="1286" xr:uid="{E17E6554-4238-4357-BBC0-5B42F9C93D3B}"/>
    <cellStyle name="60% - Accent6 9" xfId="1287" xr:uid="{5BFB9EF1-B4B8-4F47-B4BC-7A45B3ED4C17}"/>
    <cellStyle name="60% - Akzent1" xfId="1288" xr:uid="{5FA4752E-77E4-4C3F-8529-37BF5FC39357}"/>
    <cellStyle name="60% - Akzent2" xfId="1289" xr:uid="{416C385D-27A2-4422-B901-9FEDB5D9679F}"/>
    <cellStyle name="60% - Akzent3" xfId="1290" xr:uid="{6DF07259-8952-43DE-8A8D-897C213DAC74}"/>
    <cellStyle name="60% - Akzent4" xfId="1291" xr:uid="{4726746A-F45A-4A56-954B-9AC26E0F5E84}"/>
    <cellStyle name="60% - Akzent5" xfId="1292" xr:uid="{6CCD07FD-0684-4BC2-8467-98D04D614B4B}"/>
    <cellStyle name="60% - Akzent6" xfId="1293" xr:uid="{F5AE1382-21E5-4D77-9528-980A72714E08}"/>
    <cellStyle name="60% - Cor4 2" xfId="1294" xr:uid="{FE688F7E-3338-491A-9F0B-C10F245ACF70}"/>
    <cellStyle name="Accent1 10" xfId="1295" xr:uid="{C4DC9539-5318-40B9-A889-7633B5A2183C}"/>
    <cellStyle name="Accent1 11" xfId="1296" xr:uid="{4818413D-F329-4227-A09B-F605C641A94B}"/>
    <cellStyle name="Accent1 12" xfId="1297" xr:uid="{083FE563-C8C8-467A-8440-15D65F8E20BB}"/>
    <cellStyle name="Accent1 13" xfId="1298" xr:uid="{4352F0EF-8FCE-4087-B035-55625F6D1278}"/>
    <cellStyle name="Accent1 14" xfId="1299" xr:uid="{1E795B27-C3EE-4BEA-88D4-725B1A76955D}"/>
    <cellStyle name="Accent1 15" xfId="1300" xr:uid="{286FE763-5F8F-47A8-A798-21C7FB22EDE8}"/>
    <cellStyle name="Accent1 16" xfId="1301" xr:uid="{36A670E8-EC06-44C4-B622-889CBE3C9DD2}"/>
    <cellStyle name="Accent1 17" xfId="1302" xr:uid="{EEBF15D1-CC42-4371-94E4-77258DC18DE9}"/>
    <cellStyle name="Accent1 18" xfId="1303" xr:uid="{863A72AC-2BDF-43CD-83F8-116631BA7E0F}"/>
    <cellStyle name="Accent1 19" xfId="1304" xr:uid="{B0522203-9A16-4550-B16C-0089C61F0F32}"/>
    <cellStyle name="Accent1 2" xfId="1305" xr:uid="{D09CF3E7-49C8-4A58-BA5F-9D8D62350F29}"/>
    <cellStyle name="Accent1 2 10" xfId="1306" xr:uid="{608F565F-54CF-493A-8471-FB2D792316F6}"/>
    <cellStyle name="Accent1 2 11" xfId="1307" xr:uid="{7269B963-3356-4C9E-A00B-A85799E91F25}"/>
    <cellStyle name="Accent1 2 2" xfId="1308" xr:uid="{C06C9180-EAAC-42B1-BF47-DBDB8C404784}"/>
    <cellStyle name="Accent1 2 3" xfId="1309" xr:uid="{0D154808-CFBD-46E7-A91B-E27EB406B3E8}"/>
    <cellStyle name="Accent1 2 4" xfId="1310" xr:uid="{749A1EC2-1153-4195-9018-358E03E36C31}"/>
    <cellStyle name="Accent1 2 5" xfId="1311" xr:uid="{01B7257E-BAC7-4101-906C-25FC203B148B}"/>
    <cellStyle name="Accent1 2 6" xfId="1312" xr:uid="{09A2DBE3-C0E5-4D6A-8834-555E3AF3FA90}"/>
    <cellStyle name="Accent1 2 7" xfId="1313" xr:uid="{7A87C96D-DCB8-4820-B50A-E25DE20A06CF}"/>
    <cellStyle name="Accent1 2 8" xfId="1314" xr:uid="{55B3450A-2CB6-4046-9AB7-802AA6250DF8}"/>
    <cellStyle name="Accent1 2 9" xfId="1315" xr:uid="{620EA050-7E53-47A8-905E-2D49E660C330}"/>
    <cellStyle name="Accent1 20" xfId="1316" xr:uid="{3FBCB74A-2314-42E5-A093-2673D338C4DF}"/>
    <cellStyle name="Accent1 21" xfId="1317" xr:uid="{A947D959-5DA2-45E1-B621-ED279D73516A}"/>
    <cellStyle name="Accent1 22" xfId="1318" xr:uid="{6AB5AAD9-F0D0-4391-8F35-9469ADC7D6EB}"/>
    <cellStyle name="Accent1 23" xfId="1319" xr:uid="{C7B4F55C-0DC9-4346-BFF7-056A9260F3AF}"/>
    <cellStyle name="Accent1 24" xfId="1320" xr:uid="{23DF5029-36F9-4293-B90E-8125009F8D14}"/>
    <cellStyle name="Accent1 25" xfId="1321" xr:uid="{2F2DB2C6-98EF-43BB-A386-60CD3AACBE2A}"/>
    <cellStyle name="Accent1 26" xfId="1322" xr:uid="{82045F61-3A9E-4663-BE4B-06AB383D13E4}"/>
    <cellStyle name="Accent1 27" xfId="1323" xr:uid="{98026F7D-63E6-47AE-B72F-16CA7631EF99}"/>
    <cellStyle name="Accent1 28" xfId="1324" xr:uid="{63713B28-58A7-4FDD-9A96-7F59B1BDEB82}"/>
    <cellStyle name="Accent1 29" xfId="1325" xr:uid="{B419EFB0-FB75-47AA-9E1D-38719DB36ED5}"/>
    <cellStyle name="Accent1 3" xfId="1326" xr:uid="{60EA326C-CFC2-4777-97F4-6BBF4D009C62}"/>
    <cellStyle name="Accent1 3 2" xfId="1327" xr:uid="{08441E05-0D26-4B2C-BA9B-FABA7BB1A5CB}"/>
    <cellStyle name="Accent1 3 2 2" xfId="1328" xr:uid="{9D855FBE-ABAE-45C8-8738-CFD3870C5D82}"/>
    <cellStyle name="Accent1 3 3" xfId="1329" xr:uid="{274EF00D-A268-4C64-90D2-901EACB6C4A8}"/>
    <cellStyle name="Accent1 3 4" xfId="1330" xr:uid="{7F29E104-C877-4413-BBEF-91E5830FE0B9}"/>
    <cellStyle name="Accent1 30" xfId="1331" xr:uid="{E1A40EAE-5932-4C4F-84BA-E2943039B5CC}"/>
    <cellStyle name="Accent1 31" xfId="1332" xr:uid="{C57E8A85-5FD8-429D-A229-9F711EC639F7}"/>
    <cellStyle name="Accent1 32" xfId="1333" xr:uid="{D9141F63-2B19-43F2-8FC0-F5F42150DFD4}"/>
    <cellStyle name="Accent1 33" xfId="1334" xr:uid="{34410F6D-7259-44D1-BE54-877D463E6D6C}"/>
    <cellStyle name="Accent1 34" xfId="1335" xr:uid="{35CA675C-ECA4-4B75-A9FE-F38582D6B28C}"/>
    <cellStyle name="Accent1 35" xfId="1336" xr:uid="{B24AA7CE-464B-4058-A2F5-EFF0446DD6D5}"/>
    <cellStyle name="Accent1 36" xfId="1337" xr:uid="{1BF638BA-44C7-450B-9A56-402C531F0C15}"/>
    <cellStyle name="Accent1 37" xfId="1338" xr:uid="{382AD092-2798-4DE8-860D-0D7DD54B09E9}"/>
    <cellStyle name="Accent1 38" xfId="1339" xr:uid="{B4AD7102-A80F-438B-B19C-CE8775F3C043}"/>
    <cellStyle name="Accent1 39" xfId="1340" xr:uid="{CA0E4977-CDB8-4D27-8364-DD3169CD0B3A}"/>
    <cellStyle name="Accent1 4" xfId="1341" xr:uid="{7688A237-44D7-4C74-9B64-F0A66E4FE064}"/>
    <cellStyle name="Accent1 4 2" xfId="1342" xr:uid="{C67E9B1F-5EEA-476B-9D1F-088B5C37FCD9}"/>
    <cellStyle name="Accent1 40" xfId="1343" xr:uid="{34BCA992-F737-4B44-BE89-39CE8D6468DB}"/>
    <cellStyle name="Accent1 41" xfId="1344" xr:uid="{A4BC46D8-4C81-4112-9875-B6F2C06EBA7E}"/>
    <cellStyle name="Accent1 42" xfId="1345" xr:uid="{8C804B9F-E8E7-4EA7-B020-94BEE2927C2C}"/>
    <cellStyle name="Accent1 43" xfId="1346" xr:uid="{4C98E479-0A0D-4BC9-965D-7E9867EFD695}"/>
    <cellStyle name="Accent1 5" xfId="1347" xr:uid="{F18A351B-90FF-43CB-A1A1-333E0072B5AA}"/>
    <cellStyle name="Accent1 5 2" xfId="1348" xr:uid="{FC37D0A8-CF1B-432C-A2BC-860EB50F2DE2}"/>
    <cellStyle name="Accent1 6" xfId="1349" xr:uid="{97A3B1A9-F21F-47CE-92C0-8360710E1998}"/>
    <cellStyle name="Accent1 6 2" xfId="1350" xr:uid="{54C1D7AA-CE29-44C6-B32C-FE6621BA529F}"/>
    <cellStyle name="Accent1 7" xfId="1351" xr:uid="{2FCFE7B0-FD4C-4022-9ADB-AE0C861702C6}"/>
    <cellStyle name="Accent1 8" xfId="1352" xr:uid="{86E752D7-8A0E-4D0C-813E-05B2AB5B635C}"/>
    <cellStyle name="Accent1 9" xfId="1353" xr:uid="{3D2B3805-0EDC-4E47-BD88-E9A3708FF8E0}"/>
    <cellStyle name="Accent2 10" xfId="1354" xr:uid="{FDB2DE80-7E10-4800-83CC-129E36FAA2D4}"/>
    <cellStyle name="Accent2 11" xfId="1355" xr:uid="{24C21CF6-EDA4-4DC3-A406-6CF89711A239}"/>
    <cellStyle name="Accent2 12" xfId="1356" xr:uid="{116B8DEB-289C-4D7F-A395-07F435AD47BA}"/>
    <cellStyle name="Accent2 13" xfId="1357" xr:uid="{D4688052-7AE4-4840-9563-9941BDCA9AC6}"/>
    <cellStyle name="Accent2 14" xfId="1358" xr:uid="{D23BA923-21A4-4158-B71C-FD4126B80093}"/>
    <cellStyle name="Accent2 15" xfId="1359" xr:uid="{6561686B-8FBC-438F-B815-66415B0E0747}"/>
    <cellStyle name="Accent2 16" xfId="1360" xr:uid="{2D8D962D-8A24-497A-AF1D-8B2A55E0F236}"/>
    <cellStyle name="Accent2 17" xfId="1361" xr:uid="{AF6D4ACA-84E6-4D34-95E7-5CD8E50D3AB7}"/>
    <cellStyle name="Accent2 18" xfId="1362" xr:uid="{7D2689B9-736E-470F-8C6F-189E8543DDB7}"/>
    <cellStyle name="Accent2 19" xfId="1363" xr:uid="{E28A1C1E-D940-4FA0-A37F-BE845467B425}"/>
    <cellStyle name="Accent2 2" xfId="1364" xr:uid="{4FD54A27-1110-4878-B40B-85CF5C866811}"/>
    <cellStyle name="Accent2 2 10" xfId="1365" xr:uid="{76DEAC62-37FD-4A75-A10A-FF0961F33C7E}"/>
    <cellStyle name="Accent2 2 11" xfId="1366" xr:uid="{90139FEC-7B40-4771-A92D-2DD8B14EF44C}"/>
    <cellStyle name="Accent2 2 2" xfId="1367" xr:uid="{65A89FB9-568A-4D9C-B0C7-95C56B068086}"/>
    <cellStyle name="Accent2 2 3" xfId="1368" xr:uid="{AC5231AE-26C9-4DD8-9D95-F473ACC7AF5F}"/>
    <cellStyle name="Accent2 2 4" xfId="1369" xr:uid="{C1829CE7-4037-49BD-A45E-015A36B46654}"/>
    <cellStyle name="Accent2 2 5" xfId="1370" xr:uid="{67277880-FFD3-4AF7-8943-13996147FD6B}"/>
    <cellStyle name="Accent2 2 6" xfId="1371" xr:uid="{3D419267-C913-4451-A51E-F3EC53F34BA3}"/>
    <cellStyle name="Accent2 2 7" xfId="1372" xr:uid="{9168E1C4-D25C-4E8E-9C22-91697D3E752F}"/>
    <cellStyle name="Accent2 2 8" xfId="1373" xr:uid="{609DD2F9-176B-437F-B039-A7861104B68A}"/>
    <cellStyle name="Accent2 2 9" xfId="1374" xr:uid="{EFDE2B1E-1007-4FE0-BFE9-D49FF4D58017}"/>
    <cellStyle name="Accent2 20" xfId="1375" xr:uid="{A464E2D8-AE5B-4231-8EAA-89A609648105}"/>
    <cellStyle name="Accent2 21" xfId="1376" xr:uid="{2AE8789B-0D14-4696-87DD-3F49B6D0A2B0}"/>
    <cellStyle name="Accent2 22" xfId="1377" xr:uid="{3CF602B5-B026-429E-807E-5E557549EFA4}"/>
    <cellStyle name="Accent2 23" xfId="1378" xr:uid="{7EF7E115-A99C-45CE-9292-2DFDD8CC42AC}"/>
    <cellStyle name="Accent2 24" xfId="1379" xr:uid="{7AC1AC27-4FE3-4C89-9214-BAB37382281C}"/>
    <cellStyle name="Accent2 25" xfId="1380" xr:uid="{A44FF6E3-E4F0-421F-BA60-D383003747BD}"/>
    <cellStyle name="Accent2 26" xfId="1381" xr:uid="{E04B1EFE-8283-41DC-AB2C-8312E155234F}"/>
    <cellStyle name="Accent2 27" xfId="1382" xr:uid="{9FCE2A8C-A1CC-4A77-A9BC-039C040531E9}"/>
    <cellStyle name="Accent2 28" xfId="1383" xr:uid="{99FE40DD-365F-4F2C-9EE9-885C8FAE9371}"/>
    <cellStyle name="Accent2 29" xfId="1384" xr:uid="{60D67DC7-D602-4610-87FF-3AF00ADF959D}"/>
    <cellStyle name="Accent2 3" xfId="1385" xr:uid="{C851503F-6E10-4E8B-A1AA-542E8D125E53}"/>
    <cellStyle name="Accent2 3 2" xfId="1386" xr:uid="{CD0FACAA-96EF-4EDB-BB25-A35A3906A74D}"/>
    <cellStyle name="Accent2 3 2 2" xfId="1387" xr:uid="{0A32C853-E002-448C-918D-3B170399D859}"/>
    <cellStyle name="Accent2 3 3" xfId="1388" xr:uid="{CE156D76-D159-4BBF-8144-135994E3A925}"/>
    <cellStyle name="Accent2 3 4" xfId="1389" xr:uid="{D995BA7F-AA5B-4466-BC5C-EEAAEDCF05F7}"/>
    <cellStyle name="Accent2 30" xfId="1390" xr:uid="{C8E85EAD-0B54-40EF-A5D8-D03A5F6EDAAC}"/>
    <cellStyle name="Accent2 31" xfId="1391" xr:uid="{1370AA84-CFD3-48B2-9213-5F46BFEC0A56}"/>
    <cellStyle name="Accent2 32" xfId="1392" xr:uid="{60E15EF8-7DC6-404E-8A69-B04422F92AF9}"/>
    <cellStyle name="Accent2 33" xfId="1393" xr:uid="{84381CE7-865C-46C1-B483-E433621BC5B2}"/>
    <cellStyle name="Accent2 34" xfId="1394" xr:uid="{4093CCD4-5983-499C-AD56-F8D4DD3DB6FA}"/>
    <cellStyle name="Accent2 35" xfId="1395" xr:uid="{D8072DCA-DBD6-4A18-B477-72DFFAF886EE}"/>
    <cellStyle name="Accent2 36" xfId="1396" xr:uid="{D5AA966F-9151-4524-A860-833C54A4D6DD}"/>
    <cellStyle name="Accent2 37" xfId="1397" xr:uid="{039CBB7C-6F15-4BE3-8711-15383F081698}"/>
    <cellStyle name="Accent2 38" xfId="1398" xr:uid="{4159B019-5A0F-4194-BC01-4E8F628150C8}"/>
    <cellStyle name="Accent2 39" xfId="1399" xr:uid="{42543AB7-2A95-4D13-9FA4-082186E47CD0}"/>
    <cellStyle name="Accent2 4" xfId="1400" xr:uid="{040F10BA-8AEB-4C29-9A38-9CA0888F0D23}"/>
    <cellStyle name="Accent2 4 2" xfId="1401" xr:uid="{5A09FADA-695B-43C4-8B35-754A7F09ACC5}"/>
    <cellStyle name="Accent2 40" xfId="1402" xr:uid="{5DD6E443-439F-4AD5-B69D-E4F855E94714}"/>
    <cellStyle name="Accent2 41" xfId="1403" xr:uid="{312F07E1-3B94-494A-ABEE-D2C4C3D6A957}"/>
    <cellStyle name="Accent2 42" xfId="1404" xr:uid="{0F5A9878-732A-4853-BC84-CAE891EC2B86}"/>
    <cellStyle name="Accent2 43" xfId="1405" xr:uid="{1F703ABF-C2D1-44AA-A552-88715ACC9C7E}"/>
    <cellStyle name="Accent2 5" xfId="1406" xr:uid="{556AC348-EB42-4CC7-8C17-4DCC9E93E046}"/>
    <cellStyle name="Accent2 5 2" xfId="1407" xr:uid="{6AF82F2A-BA51-4108-8336-0C6728C8A0E5}"/>
    <cellStyle name="Accent2 6" xfId="1408" xr:uid="{A72D655C-CABC-43D9-99E6-68766E18F2E7}"/>
    <cellStyle name="Accent2 6 2" xfId="1409" xr:uid="{DDAA8710-077A-47F9-9D5E-DD44806D441C}"/>
    <cellStyle name="Accent2 7" xfId="1410" xr:uid="{C4EB6659-7E62-4844-ADA3-43A53BE4101A}"/>
    <cellStyle name="Accent2 8" xfId="1411" xr:uid="{06FA80FD-ED30-4AC1-94FF-FFE8814C6CBA}"/>
    <cellStyle name="Accent2 9" xfId="1412" xr:uid="{7F98DE11-3827-4375-A739-F4405A4BCC5E}"/>
    <cellStyle name="Accent3 10" xfId="1413" xr:uid="{7F593509-0593-481E-818B-FA48CC98A5A1}"/>
    <cellStyle name="Accent3 11" xfId="1414" xr:uid="{7EF18DE6-3A8F-497D-BF21-B2B40C6F741E}"/>
    <cellStyle name="Accent3 12" xfId="1415" xr:uid="{C6CA6571-4CAC-47DC-9529-B99BA69CDE66}"/>
    <cellStyle name="Accent3 13" xfId="1416" xr:uid="{C9523153-BEF0-4C1F-82B7-9132F61F800E}"/>
    <cellStyle name="Accent3 14" xfId="1417" xr:uid="{B88EF285-9AB7-472A-887E-D85FA5646433}"/>
    <cellStyle name="Accent3 15" xfId="1418" xr:uid="{97E2143D-F575-4FFE-8C5D-9667A0FB6E36}"/>
    <cellStyle name="Accent3 16" xfId="1419" xr:uid="{E11070D9-6B92-4FC7-99C5-0F621FE8F999}"/>
    <cellStyle name="Accent3 17" xfId="1420" xr:uid="{E2EF3895-ABC0-4F9A-AEEF-E08BCC4AF761}"/>
    <cellStyle name="Accent3 18" xfId="1421" xr:uid="{407B1F61-B70A-41CD-ADD9-A53F4FA73414}"/>
    <cellStyle name="Accent3 19" xfId="1422" xr:uid="{C7559DE0-06EB-40EE-860A-31BF4E6F93A2}"/>
    <cellStyle name="Accent3 2" xfId="1423" xr:uid="{267B6DF2-020D-43AC-81BB-81755A6EB2FB}"/>
    <cellStyle name="Accent3 2 10" xfId="1424" xr:uid="{E1876D1F-D006-4C4A-B8A9-A12958AFC6D5}"/>
    <cellStyle name="Accent3 2 11" xfId="1425" xr:uid="{D8862A26-05BA-4E84-90DE-D23FC43B85CA}"/>
    <cellStyle name="Accent3 2 2" xfId="1426" xr:uid="{C2D384DE-37F1-47DB-89D4-2ABF95D0ABC4}"/>
    <cellStyle name="Accent3 2 3" xfId="1427" xr:uid="{E2D11283-2C55-4963-A962-FCDEEDDFED50}"/>
    <cellStyle name="Accent3 2 4" xfId="1428" xr:uid="{05567F7C-A512-41CC-813C-394C413EECE7}"/>
    <cellStyle name="Accent3 2 5" xfId="1429" xr:uid="{2D1F1D9E-8866-49EF-BB17-3F3731F0F182}"/>
    <cellStyle name="Accent3 2 6" xfId="1430" xr:uid="{6C472239-ED24-40AE-AAC1-F116C978629F}"/>
    <cellStyle name="Accent3 2 7" xfId="1431" xr:uid="{7E7D55FF-57BB-478F-ADB0-F5A2309E898B}"/>
    <cellStyle name="Accent3 2 8" xfId="1432" xr:uid="{E71710B8-A22F-43ED-8AF0-6B847EDF3A88}"/>
    <cellStyle name="Accent3 2 9" xfId="1433" xr:uid="{BE30BE02-1D44-4D1F-886A-CD9AA0BE0A8F}"/>
    <cellStyle name="Accent3 20" xfId="1434" xr:uid="{B2A2647D-7B79-4FFB-BEAA-2F82815D4672}"/>
    <cellStyle name="Accent3 21" xfId="1435" xr:uid="{9456499C-26EF-4234-A1EB-628576E5634A}"/>
    <cellStyle name="Accent3 22" xfId="1436" xr:uid="{62C95010-2E4A-426D-96B7-A208AF922FAC}"/>
    <cellStyle name="Accent3 23" xfId="1437" xr:uid="{042BA3F0-45C4-4A6C-8357-9E3F1CA8ED58}"/>
    <cellStyle name="Accent3 24" xfId="1438" xr:uid="{AE60E27C-508B-4B4E-9028-48D53626C4B6}"/>
    <cellStyle name="Accent3 25" xfId="1439" xr:uid="{6F481D9D-43AB-4A47-B6CB-886BAA38938D}"/>
    <cellStyle name="Accent3 26" xfId="1440" xr:uid="{F97A40D7-A214-4180-9719-61F427569264}"/>
    <cellStyle name="Accent3 27" xfId="1441" xr:uid="{D999B50C-F21B-404A-89E0-411A28936BC1}"/>
    <cellStyle name="Accent3 28" xfId="1442" xr:uid="{A1F20F58-4CE5-4147-B0A8-3E16EFF462EF}"/>
    <cellStyle name="Accent3 29" xfId="1443" xr:uid="{962B134F-BA0F-4087-A4ED-E88743158428}"/>
    <cellStyle name="Accent3 3" xfId="1444" xr:uid="{711B0E7E-422E-4586-BDD3-4B7889D43916}"/>
    <cellStyle name="Accent3 3 2" xfId="1445" xr:uid="{24309F21-453D-4EF0-85C6-88FC5FD735F4}"/>
    <cellStyle name="Accent3 3 2 2" xfId="1446" xr:uid="{9C6ADAB4-7F16-49AD-AC52-0CD055B86AAF}"/>
    <cellStyle name="Accent3 3 3" xfId="1447" xr:uid="{0CC964B2-0626-4BCD-969B-4EC07BF844F7}"/>
    <cellStyle name="Accent3 3 4" xfId="1448" xr:uid="{EA058381-17D7-4DE8-A857-2E78FDD84412}"/>
    <cellStyle name="Accent3 30" xfId="1449" xr:uid="{3AFD2E98-867F-4B42-B60C-F4A99181256F}"/>
    <cellStyle name="Accent3 31" xfId="1450" xr:uid="{E47ED6BE-2749-40F5-B7F3-1AE97F3E6EF6}"/>
    <cellStyle name="Accent3 32" xfId="1451" xr:uid="{2C0A7FA8-1591-42A6-8941-549F508EA7AE}"/>
    <cellStyle name="Accent3 33" xfId="1452" xr:uid="{39DDD758-9B5F-4015-AE3E-DA198B2A24CF}"/>
    <cellStyle name="Accent3 34" xfId="1453" xr:uid="{8F73B40A-EA72-4D79-BA70-EBDBA2603077}"/>
    <cellStyle name="Accent3 35" xfId="1454" xr:uid="{DD0F9FB2-F4EE-49B7-9132-82909FA5000B}"/>
    <cellStyle name="Accent3 36" xfId="1455" xr:uid="{F6B0DDEE-DE89-4B78-A072-855ECD3471E9}"/>
    <cellStyle name="Accent3 37" xfId="1456" xr:uid="{0A48A738-9442-4618-8150-ED0C2A2A6259}"/>
    <cellStyle name="Accent3 38" xfId="1457" xr:uid="{88C24D1E-1FD6-4552-AA28-D01F8D59E622}"/>
    <cellStyle name="Accent3 39" xfId="1458" xr:uid="{A91726B3-00C9-4E0C-B3E1-9D41197EB585}"/>
    <cellStyle name="Accent3 4" xfId="1459" xr:uid="{751942F1-12BA-4BAB-9B63-1AA15E4DCE7D}"/>
    <cellStyle name="Accent3 4 2" xfId="1460" xr:uid="{D9DCA62E-6581-45FD-B0D9-C7523A8839D9}"/>
    <cellStyle name="Accent3 40" xfId="1461" xr:uid="{8C4DA6BC-587B-47A5-8EAD-4EBA30F48153}"/>
    <cellStyle name="Accent3 41" xfId="1462" xr:uid="{9EA795AE-4B51-4D44-A204-61FE34C1F9FD}"/>
    <cellStyle name="Accent3 42" xfId="1463" xr:uid="{9B53561A-9B09-4CC7-83E3-8D59ECE9F204}"/>
    <cellStyle name="Accent3 43" xfId="1464" xr:uid="{0DD2D2BC-BFEF-4BBC-8485-4B47335ED3CD}"/>
    <cellStyle name="Accent3 5" xfId="1465" xr:uid="{AE763F84-4A84-4375-992C-5BE25FC84E54}"/>
    <cellStyle name="Accent3 5 2" xfId="1466" xr:uid="{034EAAB6-5264-4FB9-879D-23F873DCE09B}"/>
    <cellStyle name="Accent3 6" xfId="1467" xr:uid="{AB574A1B-77CE-4C08-97FA-25EBCD71CDC6}"/>
    <cellStyle name="Accent3 6 2" xfId="1468" xr:uid="{AB5D76EC-C5D2-4509-A8D4-991D48AAFB6D}"/>
    <cellStyle name="Accent3 7" xfId="1469" xr:uid="{8222D43F-FD30-4F43-B49B-E9B45E22AE91}"/>
    <cellStyle name="Accent3 8" xfId="1470" xr:uid="{0E76AA9C-0083-4685-8341-1D026A7C0BDA}"/>
    <cellStyle name="Accent3 9" xfId="1471" xr:uid="{67FD94B1-CCB1-40DB-99CC-55B0629EB621}"/>
    <cellStyle name="Accent4 10" xfId="1472" xr:uid="{12C61869-7A7F-4261-BCFA-FC917C1B15F7}"/>
    <cellStyle name="Accent4 11" xfId="1473" xr:uid="{D5151B69-486E-43D7-BE61-AC1BFB6F1316}"/>
    <cellStyle name="Accent4 12" xfId="1474" xr:uid="{96632E41-0242-45FB-A960-E55253983828}"/>
    <cellStyle name="Accent4 13" xfId="1475" xr:uid="{E5131AE2-A60E-4A00-802D-6D4D3F4159C7}"/>
    <cellStyle name="Accent4 14" xfId="1476" xr:uid="{3B43065C-E9D7-43C5-B3D4-EA4AC1F0502B}"/>
    <cellStyle name="Accent4 15" xfId="1477" xr:uid="{E2FB9954-A6A5-401D-A171-D259909D11E7}"/>
    <cellStyle name="Accent4 16" xfId="1478" xr:uid="{9AC1059D-6179-45AE-AC13-F49FE559AECB}"/>
    <cellStyle name="Accent4 17" xfId="1479" xr:uid="{943704A2-3C8D-497A-9AAC-038E5841414B}"/>
    <cellStyle name="Accent4 18" xfId="1480" xr:uid="{0F257D39-656C-4015-A54A-CBF6C1E42BD3}"/>
    <cellStyle name="Accent4 19" xfId="1481" xr:uid="{D7CDF6F2-FD89-457C-990F-58A344A62D93}"/>
    <cellStyle name="Accent4 2" xfId="1482" xr:uid="{6E95A963-4765-4AAE-841E-50260901B672}"/>
    <cellStyle name="Accent4 2 10" xfId="1483" xr:uid="{6D557B3F-D3C1-4069-95DA-90901A37A8A7}"/>
    <cellStyle name="Accent4 2 11" xfId="1484" xr:uid="{0D998107-9525-45C6-B762-823B2F8F7DAE}"/>
    <cellStyle name="Accent4 2 2" xfId="1485" xr:uid="{FEA0C67C-F796-41D7-97E5-C98EB3EF3CB5}"/>
    <cellStyle name="Accent4 2 3" xfId="1486" xr:uid="{F26D24BD-0F90-48F7-8010-A0EC8FBEAF83}"/>
    <cellStyle name="Accent4 2 4" xfId="1487" xr:uid="{7903D309-B67D-4415-96DF-522024AEB7D9}"/>
    <cellStyle name="Accent4 2 5" xfId="1488" xr:uid="{FFC81D58-DAA3-421A-97AE-EDE6CB471987}"/>
    <cellStyle name="Accent4 2 6" xfId="1489" xr:uid="{149C2E6E-6556-44EF-947B-A6585B63E1DE}"/>
    <cellStyle name="Accent4 2 7" xfId="1490" xr:uid="{1D5DB36D-A05B-49A5-9FB0-6A92CC790186}"/>
    <cellStyle name="Accent4 2 8" xfId="1491" xr:uid="{459CD7E4-B373-413A-9D77-CB61947C82AC}"/>
    <cellStyle name="Accent4 2 9" xfId="1492" xr:uid="{F3D8487E-9BD9-4B2E-8596-0AFB5D1186BD}"/>
    <cellStyle name="Accent4 20" xfId="1493" xr:uid="{98322C58-C438-43CA-AE03-F0918FCC1E2E}"/>
    <cellStyle name="Accent4 21" xfId="1494" xr:uid="{A1ED5905-FE97-4621-9B9F-BD64AE8843AB}"/>
    <cellStyle name="Accent4 22" xfId="1495" xr:uid="{EE3510F1-5312-4E71-9688-DABB66DA665F}"/>
    <cellStyle name="Accent4 23" xfId="1496" xr:uid="{B29AA549-FE1C-48ED-A05C-C762F14548FB}"/>
    <cellStyle name="Accent4 24" xfId="1497" xr:uid="{353CC049-EC2C-467F-A0E7-BBDE39BB50B3}"/>
    <cellStyle name="Accent4 25" xfId="1498" xr:uid="{C3325698-6995-4BFE-A17A-3C3B3E1E373C}"/>
    <cellStyle name="Accent4 26" xfId="1499" xr:uid="{30DC5072-3684-422F-9129-83F1D2A76E11}"/>
    <cellStyle name="Accent4 27" xfId="1500" xr:uid="{FE8D532D-6366-4E5F-9D27-DEC0D2A2789A}"/>
    <cellStyle name="Accent4 28" xfId="1501" xr:uid="{593113C5-A7E7-4FD5-A7E8-035FF19F470A}"/>
    <cellStyle name="Accent4 29" xfId="1502" xr:uid="{F913E6CC-244D-40A8-8AA0-D8295FBE4250}"/>
    <cellStyle name="Accent4 3" xfId="1503" xr:uid="{EA27D0D3-D51E-4C48-83BF-A83B34A2A930}"/>
    <cellStyle name="Accent4 3 2" xfId="1504" xr:uid="{B083D420-6A09-41CC-9521-26986815DCC7}"/>
    <cellStyle name="Accent4 3 2 2" xfId="1505" xr:uid="{4686EED3-A603-46F6-9D10-057280EDA2EB}"/>
    <cellStyle name="Accent4 3 3" xfId="1506" xr:uid="{220219A6-D6C4-4EE1-BA09-C4ED7CC87948}"/>
    <cellStyle name="Accent4 3 4" xfId="1507" xr:uid="{D7E32FF0-16CB-40BC-BBB4-BC18F9057E5C}"/>
    <cellStyle name="Accent4 30" xfId="1508" xr:uid="{863F4AF5-268E-499B-A845-63A952C8A272}"/>
    <cellStyle name="Accent4 31" xfId="1509" xr:uid="{4AB03D28-08DC-486C-A60A-52C4F39706B9}"/>
    <cellStyle name="Accent4 32" xfId="1510" xr:uid="{D1BFC20B-B7B6-4AB0-A0FE-6C828C1CF328}"/>
    <cellStyle name="Accent4 33" xfId="1511" xr:uid="{9D6631B7-388E-4A6A-A50D-EC3ADC325194}"/>
    <cellStyle name="Accent4 34" xfId="1512" xr:uid="{03AE60D4-13E7-472A-A318-1E539AA2077E}"/>
    <cellStyle name="Accent4 35" xfId="1513" xr:uid="{CB4BE95D-00F2-4C04-9E24-75C7F37E25C2}"/>
    <cellStyle name="Accent4 36" xfId="1514" xr:uid="{54E0943A-9E44-4862-9AF0-807841952071}"/>
    <cellStyle name="Accent4 37" xfId="1515" xr:uid="{219E3D11-0633-4BA5-B22A-93933AE2E64B}"/>
    <cellStyle name="Accent4 38" xfId="1516" xr:uid="{78CE9C24-3A20-4DF7-BFBD-88E2A9EE879C}"/>
    <cellStyle name="Accent4 39" xfId="1517" xr:uid="{256C7D3C-66DD-40F7-8080-2EBD0ED403D9}"/>
    <cellStyle name="Accent4 4" xfId="1518" xr:uid="{5B51F7BE-E02A-45C4-8001-9DA53EB04FC7}"/>
    <cellStyle name="Accent4 4 2" xfId="1519" xr:uid="{F6A75122-884C-4DB4-8466-059DF75C99F8}"/>
    <cellStyle name="Accent4 40" xfId="1520" xr:uid="{9F8D3181-7D3B-4178-9FB9-82ACEE96404E}"/>
    <cellStyle name="Accent4 41" xfId="1521" xr:uid="{3C955717-99F1-40F4-A182-E486AB5613D1}"/>
    <cellStyle name="Accent4 42" xfId="1522" xr:uid="{1496828F-2B91-452B-96DB-C26A8D202819}"/>
    <cellStyle name="Accent4 43" xfId="1523" xr:uid="{252F4BAC-D3CC-4C20-AB07-EB8E4C1F4EF4}"/>
    <cellStyle name="Accent4 5" xfId="1524" xr:uid="{CF78ED39-A3AA-4394-95A3-1382C03FE214}"/>
    <cellStyle name="Accent4 5 2" xfId="1525" xr:uid="{E5E7A318-F4A2-486E-AE6C-52BDBEB7AC5A}"/>
    <cellStyle name="Accent4 6" xfId="1526" xr:uid="{B2F306D2-375F-4658-824B-D5EDB849D45D}"/>
    <cellStyle name="Accent4 6 2" xfId="1527" xr:uid="{45130544-E4D7-4A40-8823-0DFB62A7A190}"/>
    <cellStyle name="Accent4 7" xfId="1528" xr:uid="{7C85CAC7-657E-4FC0-960F-FC5FA2FC3F1B}"/>
    <cellStyle name="Accent4 8" xfId="1529" xr:uid="{C25EA830-42A5-4A1A-BC1E-305E718AB5D0}"/>
    <cellStyle name="Accent4 9" xfId="1530" xr:uid="{7CC4F898-C5E5-43EA-A33E-B5AD6AE21831}"/>
    <cellStyle name="Accent5 10" xfId="1531" xr:uid="{404CDF3C-E563-42B2-8A73-E399AE21EC05}"/>
    <cellStyle name="Accent5 11" xfId="1532" xr:uid="{CFA7DA06-13A9-4EBF-BB8C-D71E2CC2EAA1}"/>
    <cellStyle name="Accent5 12" xfId="1533" xr:uid="{6BA03CDE-509C-4E42-88F6-98D54DB0C46A}"/>
    <cellStyle name="Accent5 13" xfId="1534" xr:uid="{F59A74EE-5630-45F4-BEE8-C268B03590C0}"/>
    <cellStyle name="Accent5 14" xfId="1535" xr:uid="{FBF1F453-FBBC-4DC5-B1DF-B68095A40F30}"/>
    <cellStyle name="Accent5 15" xfId="1536" xr:uid="{48F700E5-C249-435C-89E7-C9A72E74B1D8}"/>
    <cellStyle name="Accent5 16" xfId="1537" xr:uid="{7C514F8B-D944-4C76-829A-1A8DA56B2A30}"/>
    <cellStyle name="Accent5 17" xfId="1538" xr:uid="{FFC09ABC-A589-4638-9755-4C43023F785C}"/>
    <cellStyle name="Accent5 18" xfId="1539" xr:uid="{D75B0613-8FE3-4305-B206-C30AC320971A}"/>
    <cellStyle name="Accent5 19" xfId="1540" xr:uid="{142029EF-1E7C-4607-BBDE-C0C3CD5108A2}"/>
    <cellStyle name="Accent5 2" xfId="1541" xr:uid="{5FC8D300-EBFC-4F3D-82C9-46C046C5D8E3}"/>
    <cellStyle name="Accent5 2 10" xfId="1542" xr:uid="{8FF96E53-342B-42BB-854A-61B05843D58B}"/>
    <cellStyle name="Accent5 2 2" xfId="1543" xr:uid="{3DDB0830-43D4-4485-880A-0598E0CCDB57}"/>
    <cellStyle name="Accent5 2 3" xfId="1544" xr:uid="{3059BB53-D7D5-46C3-A5FA-5B0E711B3931}"/>
    <cellStyle name="Accent5 2 4" xfId="1545" xr:uid="{75F99C7C-2A9F-4ACE-83A1-C48F1FADE05C}"/>
    <cellStyle name="Accent5 2 5" xfId="1546" xr:uid="{A2C31455-A6B6-49F8-AF82-43FBBA74ED5B}"/>
    <cellStyle name="Accent5 2 6" xfId="1547" xr:uid="{20887431-FDEB-444E-94DC-06068020EF5B}"/>
    <cellStyle name="Accent5 2 7" xfId="1548" xr:uid="{9BA66533-8870-4873-9782-A32F96183AC2}"/>
    <cellStyle name="Accent5 2 8" xfId="1549" xr:uid="{9D1BCF1E-AB7B-45DF-A9E9-B04810CA710A}"/>
    <cellStyle name="Accent5 2 9" xfId="1550" xr:uid="{F6F69493-994B-4219-9577-AB121CE0FE07}"/>
    <cellStyle name="Accent5 20" xfId="1551" xr:uid="{18DBB22D-D995-4BEC-A84D-60A7A5468E02}"/>
    <cellStyle name="Accent5 21" xfId="1552" xr:uid="{AFBBC726-4B3B-4903-9214-CC8AB3AA0C85}"/>
    <cellStyle name="Accent5 22" xfId="1553" xr:uid="{B601202D-25E8-407E-A573-9D519200BFE4}"/>
    <cellStyle name="Accent5 23" xfId="1554" xr:uid="{CB5EDBCD-A18E-4630-99B1-3D29A1946936}"/>
    <cellStyle name="Accent5 24" xfId="1555" xr:uid="{11680B4D-C2D9-4D85-A7CE-BBE86831A26C}"/>
    <cellStyle name="Accent5 25" xfId="1556" xr:uid="{80FAE6DD-ABDD-4FD1-9D20-BEBD2529BB37}"/>
    <cellStyle name="Accent5 26" xfId="1557" xr:uid="{EE15179D-BB7F-4FAB-84D4-9A7933DF6108}"/>
    <cellStyle name="Accent5 27" xfId="1558" xr:uid="{C01DCDF3-8673-4738-8622-57DA16DBDDB0}"/>
    <cellStyle name="Accent5 28" xfId="1559" xr:uid="{EEC0B84A-7F2D-4E52-A819-6E60846CF6F3}"/>
    <cellStyle name="Accent5 29" xfId="1560" xr:uid="{8CD7C7E8-A8CC-405C-A462-53AB9BE44505}"/>
    <cellStyle name="Accent5 3" xfId="1561" xr:uid="{4EADA23B-7D4F-42AD-A010-AAADF4228D69}"/>
    <cellStyle name="Accent5 3 2" xfId="1562" xr:uid="{3D24C318-B5DC-4F4F-A397-701397EFE7FD}"/>
    <cellStyle name="Accent5 30" xfId="1563" xr:uid="{B04B5051-20A9-4F8E-AD90-6797C12DBC8A}"/>
    <cellStyle name="Accent5 31" xfId="1564" xr:uid="{18A105CF-DA7F-42C7-879C-6613D2AE3E20}"/>
    <cellStyle name="Accent5 32" xfId="1565" xr:uid="{F440EEB8-E834-49CC-9655-50D6187DC118}"/>
    <cellStyle name="Accent5 33" xfId="1566" xr:uid="{81045149-23C6-4BB0-B4B5-1ABA62C5104B}"/>
    <cellStyle name="Accent5 34" xfId="1567" xr:uid="{B4E83C6D-F7A5-42BB-96F5-0D52762495D0}"/>
    <cellStyle name="Accent5 35" xfId="1568" xr:uid="{A7CE2978-46FC-4DB5-8668-09D7D6B88CA1}"/>
    <cellStyle name="Accent5 36" xfId="1569" xr:uid="{43DFCB26-10A1-4881-8719-23B650158756}"/>
    <cellStyle name="Accent5 37" xfId="1570" xr:uid="{ABAA4046-2950-4734-ABEA-A8311EB22B24}"/>
    <cellStyle name="Accent5 38" xfId="1571" xr:uid="{ACE9EDCD-9FE9-49E0-B636-F07FD0BB0777}"/>
    <cellStyle name="Accent5 39" xfId="1572" xr:uid="{FDD84201-4BD7-478D-8A41-9335B5ED490F}"/>
    <cellStyle name="Accent5 4" xfId="1573" xr:uid="{88C08257-F065-417B-8491-F7C8CEB87643}"/>
    <cellStyle name="Accent5 4 2" xfId="1574" xr:uid="{18E8866B-7A2B-4BFA-B665-B8F7DFADAE76}"/>
    <cellStyle name="Accent5 40" xfId="1575" xr:uid="{71D72AA9-E428-438E-A196-153E725B3CD2}"/>
    <cellStyle name="Accent5 41" xfId="1576" xr:uid="{D8C7CC74-ACF4-4C6F-9015-9ADB6032036A}"/>
    <cellStyle name="Accent5 42" xfId="1577" xr:uid="{B0A60D68-E4FF-4FC7-B94B-473340277620}"/>
    <cellStyle name="Accent5 43" xfId="1578" xr:uid="{BE840A11-97DF-4D80-A7E5-D852699A3866}"/>
    <cellStyle name="Accent5 5" xfId="1579" xr:uid="{AB004743-B730-49B0-B1D9-B3C7C0F8737E}"/>
    <cellStyle name="Accent5 5 2" xfId="1580" xr:uid="{E4A64E6F-793C-48D0-8C2F-3A142B407F01}"/>
    <cellStyle name="Accent5 6" xfId="1581" xr:uid="{1CC3644A-1BC8-46AF-949F-DAE0EF7D52A9}"/>
    <cellStyle name="Accent5 6 2" xfId="1582" xr:uid="{E3919E95-9891-4B66-AB7A-96034DC2FAAD}"/>
    <cellStyle name="Accent5 7" xfId="1583" xr:uid="{2C1A477F-F6D1-4B89-AB71-EA8138176274}"/>
    <cellStyle name="Accent5 8" xfId="1584" xr:uid="{E53C7D2F-3B7B-423D-892F-509B8D2D004F}"/>
    <cellStyle name="Accent5 9" xfId="1585" xr:uid="{8F6EE926-A088-43F5-8AEF-068A08C920FB}"/>
    <cellStyle name="Accent6 10" xfId="1586" xr:uid="{BF0A4D87-2ACF-4BE7-A782-812069D41941}"/>
    <cellStyle name="Accent6 11" xfId="1587" xr:uid="{3D90DA51-6EC9-495A-98AC-4A5F0B8A213A}"/>
    <cellStyle name="Accent6 12" xfId="1588" xr:uid="{AB9EA465-F12B-426D-A074-E123B4216447}"/>
    <cellStyle name="Accent6 13" xfId="1589" xr:uid="{047C21F5-D292-4CDD-9021-5EC5815469EA}"/>
    <cellStyle name="Accent6 14" xfId="1590" xr:uid="{62794ED5-F4CC-41A2-9721-7F553DB795A1}"/>
    <cellStyle name="Accent6 15" xfId="1591" xr:uid="{684526CE-564D-4D48-B2D0-08CD34FE9B4C}"/>
    <cellStyle name="Accent6 16" xfId="1592" xr:uid="{1D106B1F-B5D2-43D5-8F82-5C8758409ADE}"/>
    <cellStyle name="Accent6 17" xfId="1593" xr:uid="{249B34D5-AFEA-44AB-9730-C7ED7CF67BE8}"/>
    <cellStyle name="Accent6 18" xfId="1594" xr:uid="{FFA10F1E-2F52-4BB6-81BD-E14A58C96858}"/>
    <cellStyle name="Accent6 19" xfId="1595" xr:uid="{C5AEC95D-809E-42BD-ACAB-1E4139449942}"/>
    <cellStyle name="Accent6 2" xfId="1596" xr:uid="{9C010823-A25D-4A46-A0EE-817820487530}"/>
    <cellStyle name="Accent6 2 10" xfId="1597" xr:uid="{5BB21BC8-444C-4145-B25F-C322A26DC85C}"/>
    <cellStyle name="Accent6 2 11" xfId="1598" xr:uid="{17590AA0-A28E-407E-9AB9-6C842700404A}"/>
    <cellStyle name="Accent6 2 2" xfId="1599" xr:uid="{9F758F72-C755-4CC2-AB7C-AF713D25C0DB}"/>
    <cellStyle name="Accent6 2 3" xfId="1600" xr:uid="{5B4C7373-F666-446F-9691-A2932409180A}"/>
    <cellStyle name="Accent6 2 4" xfId="1601" xr:uid="{9AFEE84D-9A24-43E7-B661-B4B4A9AA736B}"/>
    <cellStyle name="Accent6 2 5" xfId="1602" xr:uid="{6BE664D7-B607-44E9-AEA8-4F8468C95A4C}"/>
    <cellStyle name="Accent6 2 6" xfId="1603" xr:uid="{8F8FD55A-3C8C-4842-A873-0DEB83022F4D}"/>
    <cellStyle name="Accent6 2 7" xfId="1604" xr:uid="{8FA85A26-2F8F-4D56-B935-027B399E0205}"/>
    <cellStyle name="Accent6 2 8" xfId="1605" xr:uid="{E73CD12A-D74C-4D07-8AB2-233356D67C96}"/>
    <cellStyle name="Accent6 2 9" xfId="1606" xr:uid="{5D52A7A4-2001-488F-B02D-F3F775D1102C}"/>
    <cellStyle name="Accent6 20" xfId="1607" xr:uid="{34F0CB05-8423-45A7-8284-2D4DB3E7AB6C}"/>
    <cellStyle name="Accent6 21" xfId="1608" xr:uid="{9A158A61-D613-4660-8A4C-6F32CBD98D42}"/>
    <cellStyle name="Accent6 22" xfId="1609" xr:uid="{1ADE4030-C309-4812-ACFB-BB43B2C513FD}"/>
    <cellStyle name="Accent6 23" xfId="1610" xr:uid="{23D46C5C-D46F-45C2-96BE-24F673DA4A81}"/>
    <cellStyle name="Accent6 24" xfId="1611" xr:uid="{A8C7B1CD-8CA8-4F0E-BC38-9C6F1F1F3E74}"/>
    <cellStyle name="Accent6 25" xfId="1612" xr:uid="{2B5E5A1B-D19B-475C-A1E0-42229ECCE8E7}"/>
    <cellStyle name="Accent6 26" xfId="1613" xr:uid="{0BD439E1-A3BA-44EB-8351-7AE84601A970}"/>
    <cellStyle name="Accent6 27" xfId="1614" xr:uid="{79E93D20-CB87-4C0A-A559-D3EDD9302843}"/>
    <cellStyle name="Accent6 28" xfId="1615" xr:uid="{765C7D1A-5ADA-412D-B985-EF942B81B8BE}"/>
    <cellStyle name="Accent6 29" xfId="1616" xr:uid="{5A84D77C-605E-470B-9588-FF5D0A3878BC}"/>
    <cellStyle name="Accent6 3" xfId="1617" xr:uid="{C03EAE91-4259-4C28-BB1F-C428F0D74F44}"/>
    <cellStyle name="Accent6 3 2" xfId="1618" xr:uid="{75DAA816-9532-4C13-9D30-F93F17A60DB9}"/>
    <cellStyle name="Accent6 3 2 2" xfId="1619" xr:uid="{63C02CFF-E712-41EB-8F77-191B4C4F02C2}"/>
    <cellStyle name="Accent6 3 3" xfId="1620" xr:uid="{930BBD8E-68E6-46DC-9382-54AAD1FC5FC5}"/>
    <cellStyle name="Accent6 3 4" xfId="1621" xr:uid="{5C958187-A5F9-4A63-AB65-4B94ADC372BA}"/>
    <cellStyle name="Accent6 30" xfId="1622" xr:uid="{B4BA8116-DD93-446A-944C-37749C90BD56}"/>
    <cellStyle name="Accent6 31" xfId="1623" xr:uid="{95870808-047A-424D-873F-5F638A5789F0}"/>
    <cellStyle name="Accent6 32" xfId="1624" xr:uid="{BE89E785-E08C-41BD-B4EB-0C7FC9C8C05B}"/>
    <cellStyle name="Accent6 33" xfId="1625" xr:uid="{38B160D1-360B-417E-832C-294629CD8F91}"/>
    <cellStyle name="Accent6 34" xfId="1626" xr:uid="{8458EC75-0329-452D-8EDB-CF85666655FC}"/>
    <cellStyle name="Accent6 35" xfId="1627" xr:uid="{C10C6A8B-54CE-47C7-AF72-41AB3F065B35}"/>
    <cellStyle name="Accent6 36" xfId="1628" xr:uid="{ACCD8366-7F66-4804-9A8F-C2336ABD1E37}"/>
    <cellStyle name="Accent6 37" xfId="1629" xr:uid="{C4938365-58AF-4B8E-B25B-35888133A6B0}"/>
    <cellStyle name="Accent6 38" xfId="1630" xr:uid="{FECA0BD5-9DF2-4A32-9D65-F529015A92A5}"/>
    <cellStyle name="Accent6 39" xfId="1631" xr:uid="{2329B286-1A08-487F-B913-3A478C0D9788}"/>
    <cellStyle name="Accent6 4" xfId="1632" xr:uid="{240C1528-7D7B-4C3E-B0F1-CF6284853DE9}"/>
    <cellStyle name="Accent6 4 2" xfId="1633" xr:uid="{6780C5DB-946F-47C9-A270-43B36A6CD8C4}"/>
    <cellStyle name="Accent6 40" xfId="1634" xr:uid="{1985B2C7-0AC8-47C8-A134-04B85BD370D9}"/>
    <cellStyle name="Accent6 41" xfId="1635" xr:uid="{774C2D92-80B9-460C-B9D7-7F1EC54AC43B}"/>
    <cellStyle name="Accent6 42" xfId="1636" xr:uid="{0EC81C53-F374-49DC-AA69-7D6889EE1487}"/>
    <cellStyle name="Accent6 43" xfId="1637" xr:uid="{A6E61C10-6C6A-4599-9F12-60B07FC4B595}"/>
    <cellStyle name="Accent6 5" xfId="1638" xr:uid="{3E8D7814-930C-4BD1-AD08-D8ECD455FC98}"/>
    <cellStyle name="Accent6 5 2" xfId="1639" xr:uid="{A3AB0D36-DAAB-47AC-8F2C-CC69206455D7}"/>
    <cellStyle name="Accent6 6" xfId="1640" xr:uid="{E5DE8493-1B4A-415D-AA23-49E34CAA5B81}"/>
    <cellStyle name="Accent6 6 2" xfId="1641" xr:uid="{01B4DEBF-9DB9-4018-807F-BF187EE5E22C}"/>
    <cellStyle name="Accent6 7" xfId="1642" xr:uid="{A16FF05B-EFBC-4C80-9750-47B0BD092AA9}"/>
    <cellStyle name="Accent6 8" xfId="1643" xr:uid="{3BB68E9A-7647-4E92-9093-D95A465F4048}"/>
    <cellStyle name="Accent6 9" xfId="1644" xr:uid="{38D98C68-E9E9-4F53-9A7C-EB407BFB8A90}"/>
    <cellStyle name="AggblueBoldCels" xfId="1645" xr:uid="{C2847628-39EE-4523-8D60-8001671CE130}"/>
    <cellStyle name="AggblueCels" xfId="1646" xr:uid="{C2C2C130-E08E-4012-9B35-2CDDEBC28FEA}"/>
    <cellStyle name="AggBoldCells" xfId="1647" xr:uid="{1A1187CB-C75B-46CB-ABF0-EC491E129AEC}"/>
    <cellStyle name="AggCels" xfId="1648" xr:uid="{DE6FEE03-3934-4D29-9823-3D0F87E34B9E}"/>
    <cellStyle name="AggGreen" xfId="1649" xr:uid="{F8BE7A18-FFB2-40E5-98D0-E825AFAFA05E}"/>
    <cellStyle name="AggGreen12" xfId="1650" xr:uid="{9721323A-CC58-43EE-912A-451EF5EA2501}"/>
    <cellStyle name="AggOrange" xfId="1651" xr:uid="{88C9AAE1-EE4B-484D-A592-0314DF07F978}"/>
    <cellStyle name="AggOrange9" xfId="1652" xr:uid="{35E344E7-2077-40F3-89BC-902C243C0E05}"/>
    <cellStyle name="AggOrangeLB_2x" xfId="1653" xr:uid="{417E85A6-ED04-4575-AC6C-5A89445C7E0B}"/>
    <cellStyle name="AggOrangeLBorder" xfId="1654" xr:uid="{DFACDE0A-A6AD-46A6-A3B2-9439C3353509}"/>
    <cellStyle name="AggOrangeRBorder" xfId="1655" xr:uid="{77E6BED0-CFB0-406D-AE10-41E4D7807110}"/>
    <cellStyle name="Akzent1" xfId="1656" xr:uid="{C99DA8DD-322E-47EF-AC22-FB5CE5F4F0D7}"/>
    <cellStyle name="Akzent2" xfId="1657" xr:uid="{7E98E158-B766-492A-AE3A-1348A54FDB83}"/>
    <cellStyle name="Akzent3" xfId="1658" xr:uid="{BA3B962F-B14C-4473-A610-BC218D1D752F}"/>
    <cellStyle name="Akzent4" xfId="1659" xr:uid="{1C2AADDF-358B-47E1-A624-01A678531408}"/>
    <cellStyle name="Akzent5" xfId="1660" xr:uid="{1298A928-EB07-4299-ABB3-269725682BAC}"/>
    <cellStyle name="Akzent6" xfId="1661" xr:uid="{E0BBEB66-54AF-4B83-985B-6211019B0D0A}"/>
    <cellStyle name="Ausgabe" xfId="1662" xr:uid="{3E790386-51A6-47E2-91A5-1A0794945885}"/>
    <cellStyle name="Bad" xfId="1" builtinId="27"/>
    <cellStyle name="Bad 10" xfId="1663" xr:uid="{9B8A2FF8-B1E9-4B72-9629-8EBBE0FD2AB5}"/>
    <cellStyle name="Bad 11" xfId="1664" xr:uid="{0573C3C5-1B68-4863-9D28-E2813AEC0AA7}"/>
    <cellStyle name="Bad 12" xfId="1665" xr:uid="{184BA423-F680-4853-8C08-9000A21CD9A1}"/>
    <cellStyle name="Bad 13" xfId="1666" xr:uid="{D23B3DBD-FFB2-4802-B925-2CF353A2195E}"/>
    <cellStyle name="Bad 14" xfId="1667" xr:uid="{21F42916-A40F-4123-AE47-08973756EC37}"/>
    <cellStyle name="Bad 15" xfId="1668" xr:uid="{BE64EEA3-04FC-4071-8A20-A925E1733697}"/>
    <cellStyle name="Bad 16" xfId="1669" xr:uid="{2EB8EE23-0DB0-472F-8010-C4EE40352490}"/>
    <cellStyle name="Bad 17" xfId="1670" xr:uid="{1C54C522-B0C8-4841-80A5-7AD328EF6C76}"/>
    <cellStyle name="Bad 18" xfId="1671" xr:uid="{ACFA1A36-12B9-47ED-A85D-1D753469F4BB}"/>
    <cellStyle name="Bad 19" xfId="1672" xr:uid="{75706109-080B-4749-880B-E1415170A08D}"/>
    <cellStyle name="Bad 2" xfId="1673" xr:uid="{232829F4-FFF8-408D-AA10-452104D452F0}"/>
    <cellStyle name="Bad 2 10" xfId="1674" xr:uid="{2E0A40D3-181D-4550-B6BE-744CEBD0A14E}"/>
    <cellStyle name="Bad 2 11" xfId="1675" xr:uid="{08C56975-E27F-47A8-A5BF-6706579E9539}"/>
    <cellStyle name="Bad 2 2" xfId="1676" xr:uid="{466D5D1C-A6F7-4FEF-AB4F-9469F948469B}"/>
    <cellStyle name="Bad 2 3" xfId="1677" xr:uid="{60BC4F3C-07F8-4B64-BB07-DF7E1DC8E3B1}"/>
    <cellStyle name="Bad 2 4" xfId="1678" xr:uid="{5B892B8C-E76E-4E5D-9758-C4C663EC245C}"/>
    <cellStyle name="Bad 2 5" xfId="1679" xr:uid="{3F7E7F94-0047-41FE-8AB5-FEFB764FE0C2}"/>
    <cellStyle name="Bad 2 6" xfId="1680" xr:uid="{22558D2A-BF6C-457D-87C3-972F751B2CE1}"/>
    <cellStyle name="Bad 2 7" xfId="1681" xr:uid="{ACC93499-0715-40B1-8455-A6C0D061270D}"/>
    <cellStyle name="Bad 2 8" xfId="1682" xr:uid="{B518B526-227D-4812-90F3-64D0E48F2A2F}"/>
    <cellStyle name="Bad 2 9" xfId="1683" xr:uid="{C0165236-9AB9-422A-820F-95E5ECC2E7FB}"/>
    <cellStyle name="Bad 20" xfId="1684" xr:uid="{326B5FF1-40FF-4FBF-8932-8A25D7E1EE0F}"/>
    <cellStyle name="Bad 21" xfId="1685" xr:uid="{AC0BC913-5823-4E4C-AC48-A04842B78695}"/>
    <cellStyle name="Bad 22" xfId="1686" xr:uid="{BBB5B0A0-7D5F-4177-AD09-2E346F6DBA57}"/>
    <cellStyle name="Bad 23" xfId="1687" xr:uid="{EEE3BC45-414F-4973-85D5-E8886B850F5E}"/>
    <cellStyle name="Bad 24" xfId="1688" xr:uid="{020B9608-9E13-4B5D-942D-303EF91F060D}"/>
    <cellStyle name="Bad 25" xfId="1689" xr:uid="{928804E0-F661-4547-8A3A-AE993830F739}"/>
    <cellStyle name="Bad 26" xfId="1690" xr:uid="{29C613C7-4123-464E-BE51-C6CCBEA5D1D3}"/>
    <cellStyle name="Bad 27" xfId="1691" xr:uid="{C856E13B-999F-4E27-8584-0F0A3E65355C}"/>
    <cellStyle name="Bad 28" xfId="1692" xr:uid="{F2AF7BD4-4904-4DB3-A04D-73F20572596F}"/>
    <cellStyle name="Bad 29" xfId="1693" xr:uid="{77484ADD-FFAE-4B8C-93C5-0533922D7703}"/>
    <cellStyle name="Bad 3" xfId="1694" xr:uid="{56AE662B-A7B2-4867-A0DC-B73FA341262C}"/>
    <cellStyle name="Bad 3 2" xfId="1695" xr:uid="{ACCFF3A8-8D25-48BE-8F08-86605049FFD8}"/>
    <cellStyle name="Bad 3 2 2" xfId="1696" xr:uid="{28D8C410-01EC-4451-979F-DA1BDBC6BCE5}"/>
    <cellStyle name="Bad 3 3" xfId="1697" xr:uid="{2D3BE415-2C48-4321-A145-A70F68A2A434}"/>
    <cellStyle name="Bad 3 4" xfId="1698" xr:uid="{D999A37D-655D-44C5-A63F-F3AA2F987C04}"/>
    <cellStyle name="Bad 30" xfId="1699" xr:uid="{6F6E058B-D756-4DC7-B739-D58BF9608FFE}"/>
    <cellStyle name="Bad 31" xfId="1700" xr:uid="{FF7DB18D-A1A9-460D-BA9D-976C970E6FBD}"/>
    <cellStyle name="Bad 32" xfId="1701" xr:uid="{5B059B34-8B37-478F-B13E-281B16C6D165}"/>
    <cellStyle name="Bad 33" xfId="1702" xr:uid="{CF8E432D-8B9C-4715-945F-FE22A02432C1}"/>
    <cellStyle name="Bad 34" xfId="1703" xr:uid="{C6F28EB4-79E9-46E1-8A2C-F973339BA850}"/>
    <cellStyle name="Bad 35" xfId="1704" xr:uid="{7DA6AC2E-A556-4342-BA1D-16990E4D9448}"/>
    <cellStyle name="Bad 36" xfId="1705" xr:uid="{1C0665AF-13DA-456E-8F19-48D3D76D70C3}"/>
    <cellStyle name="Bad 37" xfId="1706" xr:uid="{C0580CDB-3C91-477F-99B1-2937FD535E9F}"/>
    <cellStyle name="Bad 38" xfId="1707" xr:uid="{4590E476-7033-40DD-AD1E-F8CBF4785B1D}"/>
    <cellStyle name="Bad 39" xfId="1708" xr:uid="{437FF5BC-140B-4CC1-B716-6BC8072537FB}"/>
    <cellStyle name="Bad 4" xfId="1709" xr:uid="{55EBCF26-5AA5-4F44-B436-FE0B1AAFBE16}"/>
    <cellStyle name="Bad 4 2" xfId="1710" xr:uid="{6A5332F9-36B4-4F50-90D6-C8A0D7422FA8}"/>
    <cellStyle name="Bad 40" xfId="1711" xr:uid="{68600CFA-F2A1-4998-B710-D67351CC8527}"/>
    <cellStyle name="Bad 41" xfId="1712" xr:uid="{6A2C5267-738A-449A-8721-09491CF48283}"/>
    <cellStyle name="Bad 42" xfId="1713" xr:uid="{FAA4A000-C219-49E8-B5E8-DE1610766A58}"/>
    <cellStyle name="Bad 43" xfId="1714" xr:uid="{E103ACD8-8803-4284-9B9A-8CE21D9A807D}"/>
    <cellStyle name="Bad 44" xfId="1715" xr:uid="{6EE18800-CAD1-4AE2-B796-5AF24D5D842E}"/>
    <cellStyle name="Bad 5" xfId="1716" xr:uid="{875CF777-005F-499F-ACBE-0213A185F597}"/>
    <cellStyle name="Bad 5 2" xfId="1717" xr:uid="{F7FFD086-1CB2-4328-B832-360311BB616A}"/>
    <cellStyle name="Bad 6" xfId="1718" xr:uid="{E861B14F-019F-469B-8BF5-9224EA4590D4}"/>
    <cellStyle name="Bad 6 2" xfId="1719" xr:uid="{F389AB8E-0BD3-423B-BBA5-CAD9C5CA9E7A}"/>
    <cellStyle name="Bad 7" xfId="1720" xr:uid="{3BD34982-2CAE-429F-98D6-E279E824C92F}"/>
    <cellStyle name="Bad 8" xfId="1721" xr:uid="{6F000D6E-4514-4EB4-9819-5D1BF72F965E}"/>
    <cellStyle name="Bad 9" xfId="1722" xr:uid="{51B9AB4E-E2D2-4AAB-ADF0-76FCC66BC09D}"/>
    <cellStyle name="Berechnung" xfId="1723" xr:uid="{9BF80639-201E-4484-8429-71FB92184E40}"/>
    <cellStyle name="Body: normal cell" xfId="2" xr:uid="{00000000-0005-0000-0000-000001000000}"/>
    <cellStyle name="Bold GHG Numbers (0.00)" xfId="1724" xr:uid="{118148A4-D02B-422F-A44C-8AB9B60E80D2}"/>
    <cellStyle name="Calculation 10" xfId="1725" xr:uid="{E501F6F2-89DA-49AC-8442-0CC60C7C48B8}"/>
    <cellStyle name="Calculation 11" xfId="1726" xr:uid="{A1AB9D86-36F1-41CD-8E4C-442F745678D7}"/>
    <cellStyle name="Calculation 12" xfId="1727" xr:uid="{941671F6-E298-4E80-9616-997924B3AB0A}"/>
    <cellStyle name="Calculation 13" xfId="1728" xr:uid="{DF57A72C-0891-40DF-9CEE-C723E6EB3159}"/>
    <cellStyle name="Calculation 14" xfId="1729" xr:uid="{F0E5D493-5F2F-492D-9822-EFEBD6F49709}"/>
    <cellStyle name="Calculation 15" xfId="1730" xr:uid="{763161B1-BC1A-450A-A8BC-5EFFED809D2E}"/>
    <cellStyle name="Calculation 16" xfId="1731" xr:uid="{662AD3B5-2EB2-4ADB-AE06-77D577984A10}"/>
    <cellStyle name="Calculation 17" xfId="1732" xr:uid="{CD6DBAF9-D7A2-4DC2-9BA5-A40A72554AB3}"/>
    <cellStyle name="Calculation 18" xfId="1733" xr:uid="{93ED62A7-8341-4D37-B573-A5E90142270C}"/>
    <cellStyle name="Calculation 19" xfId="1734" xr:uid="{A9ACFB06-7CD0-4060-B0BB-8A91B1EFDAD4}"/>
    <cellStyle name="Calculation 2" xfId="1735" xr:uid="{5DEC0E1B-C2E1-4DC3-82AC-E9F80C29EE7D}"/>
    <cellStyle name="Calculation 2 10" xfId="1736" xr:uid="{98A53D7B-B7C8-42BE-BA23-33665A321664}"/>
    <cellStyle name="Calculation 2 11" xfId="1737" xr:uid="{BE894230-4D89-41DF-89DF-1360F0BCD237}"/>
    <cellStyle name="Calculation 2 2" xfId="1738" xr:uid="{45131E84-9392-4317-BD39-4E72F3BF2D5F}"/>
    <cellStyle name="Calculation 2 3" xfId="1739" xr:uid="{DC89C70B-73FB-4C5F-9C57-6C1C7429C496}"/>
    <cellStyle name="Calculation 2 4" xfId="1740" xr:uid="{BE07A289-AB50-4C43-B807-76EC512D4C64}"/>
    <cellStyle name="Calculation 2 5" xfId="1741" xr:uid="{829D9170-1D51-4C1A-8CD8-D37E353AD8C8}"/>
    <cellStyle name="Calculation 2 6" xfId="1742" xr:uid="{935422C1-B8D2-4DF2-A0A1-6F2BE8931954}"/>
    <cellStyle name="Calculation 2 7" xfId="1743" xr:uid="{78530471-B372-4973-8CFF-9EFF066B6FB2}"/>
    <cellStyle name="Calculation 2 8" xfId="1744" xr:uid="{FB258EFC-7DE0-422B-AA42-2904B84DEE59}"/>
    <cellStyle name="Calculation 2 9" xfId="1745" xr:uid="{5660F29B-7795-4672-BD50-13EE907F8E4A}"/>
    <cellStyle name="Calculation 20" xfId="1746" xr:uid="{76823B2A-9AED-436D-A02B-68F75D56F97B}"/>
    <cellStyle name="Calculation 21" xfId="1747" xr:uid="{9769708F-2226-4BE6-91F4-C5EF9AC690E0}"/>
    <cellStyle name="Calculation 22" xfId="1748" xr:uid="{31EA4366-CC55-4DFB-955A-819289EDF525}"/>
    <cellStyle name="Calculation 23" xfId="1749" xr:uid="{74E8985C-0C48-439F-9EAD-6DBBAB9A55E8}"/>
    <cellStyle name="Calculation 24" xfId="1750" xr:uid="{B7B2078E-EBF9-46E4-A0C3-ADA9E07972D2}"/>
    <cellStyle name="Calculation 25" xfId="1751" xr:uid="{DC8C18C5-8B34-4331-BD54-9F38940673A4}"/>
    <cellStyle name="Calculation 26" xfId="1752" xr:uid="{084622D6-30F9-4981-BED1-D5F9EB83995D}"/>
    <cellStyle name="Calculation 27" xfId="1753" xr:uid="{967E83C6-0411-42EF-9E0B-9AD95470A91C}"/>
    <cellStyle name="Calculation 28" xfId="1754" xr:uid="{3059CB0A-487E-4C81-BFDD-FECEC495CE6A}"/>
    <cellStyle name="Calculation 29" xfId="1755" xr:uid="{34359455-243B-4600-AA3F-10CEECC77D55}"/>
    <cellStyle name="Calculation 3" xfId="1756" xr:uid="{8B7B6664-7364-4F28-8DC3-4EF52991C956}"/>
    <cellStyle name="Calculation 3 2" xfId="1757" xr:uid="{9B0F82F5-AEBC-4E63-85D3-A6F50625B56A}"/>
    <cellStyle name="Calculation 3 2 2" xfId="1758" xr:uid="{844F7414-55C6-443F-919E-391F07DAC830}"/>
    <cellStyle name="Calculation 3 3" xfId="1759" xr:uid="{D46A2C25-35DE-41EF-9CE3-12EAD2DB024D}"/>
    <cellStyle name="Calculation 3 4" xfId="1760" xr:uid="{3DA5EABC-E44F-4479-8836-A3C7F0F58181}"/>
    <cellStyle name="Calculation 30" xfId="1761" xr:uid="{568DC4AB-E173-4FEC-A05B-D1C31267CBDB}"/>
    <cellStyle name="Calculation 31" xfId="1762" xr:uid="{BC2DD4C5-6ED5-468D-8A91-7285FA324DC3}"/>
    <cellStyle name="Calculation 32" xfId="1763" xr:uid="{0C489C0E-FDF6-4E7F-A752-65526765F5DE}"/>
    <cellStyle name="Calculation 33" xfId="1764" xr:uid="{DF15C3CF-06A6-40CD-B867-41979F337C1B}"/>
    <cellStyle name="Calculation 34" xfId="1765" xr:uid="{CC52841B-6719-413A-A409-5725F339DCC0}"/>
    <cellStyle name="Calculation 35" xfId="1766" xr:uid="{EE43612F-AC0D-4F05-A18C-963ED6ED9BD6}"/>
    <cellStyle name="Calculation 36" xfId="1767" xr:uid="{18074F8A-8E16-4CC9-93CB-2362BA1ECCEE}"/>
    <cellStyle name="Calculation 37" xfId="1768" xr:uid="{BBFC588D-C40F-426D-97BA-5C7CF94701FA}"/>
    <cellStyle name="Calculation 38" xfId="1769" xr:uid="{9B750442-D952-4EC5-96F6-62BD87F04E70}"/>
    <cellStyle name="Calculation 39" xfId="1770" xr:uid="{6D314B5D-7BA2-4C8B-AB2A-5A49A8B87393}"/>
    <cellStyle name="Calculation 4" xfId="1771" xr:uid="{A868B5C2-FAA9-4F85-A506-DFC78E07C4D9}"/>
    <cellStyle name="Calculation 4 2" xfId="1772" xr:uid="{05780F06-B435-47A1-BE2F-4613706E89F2}"/>
    <cellStyle name="Calculation 40" xfId="1773" xr:uid="{822C1350-78BD-4F7B-AED8-210029B8D713}"/>
    <cellStyle name="Calculation 41" xfId="1774" xr:uid="{D9295572-E6BC-423C-95EA-B0C3BC04B30D}"/>
    <cellStyle name="Calculation 42" xfId="1775" xr:uid="{8058B446-25A9-4B30-9BF4-F919EB4CBAC3}"/>
    <cellStyle name="Calculation 43" xfId="1776" xr:uid="{DCC2A642-C831-4200-9EF5-98556E0ACB2B}"/>
    <cellStyle name="Calculation 5" xfId="1777" xr:uid="{B4EDEA8D-1C98-4B4A-B8AA-EB043B799008}"/>
    <cellStyle name="Calculation 5 2" xfId="1778" xr:uid="{C20FD6B5-D400-455F-9E41-FF5567432B7C}"/>
    <cellStyle name="Calculation 6" xfId="1779" xr:uid="{608F29F8-0BB0-4D73-B7A0-D3080ED47C2F}"/>
    <cellStyle name="Calculation 6 2" xfId="1780" xr:uid="{38634E06-C377-42CC-9511-D953E9B5CCF0}"/>
    <cellStyle name="Calculation 7" xfId="1781" xr:uid="{60FF2804-31F8-4196-BFD7-68A7F5A39D45}"/>
    <cellStyle name="Calculation 8" xfId="1782" xr:uid="{1F373BB3-A3FA-48C2-BC13-8B3321484FBE}"/>
    <cellStyle name="Calculation 9" xfId="1783" xr:uid="{5447CD34-CA86-4294-B861-F91A969C8BBD}"/>
    <cellStyle name="Check Cell 10" xfId="1784" xr:uid="{2F40FEB8-703F-4000-A3BE-486C823DB396}"/>
    <cellStyle name="Check Cell 11" xfId="1785" xr:uid="{2E0EB974-6940-4AAD-BA39-60A72BFA4725}"/>
    <cellStyle name="Check Cell 12" xfId="1786" xr:uid="{BB5724E4-D350-4B5A-83B1-8DE4361FA821}"/>
    <cellStyle name="Check Cell 13" xfId="1787" xr:uid="{4ED7F156-CDED-4F58-909F-F25F07682004}"/>
    <cellStyle name="Check Cell 14" xfId="1788" xr:uid="{B14318D5-ABE1-4362-B35B-DCD179B5CBF9}"/>
    <cellStyle name="Check Cell 15" xfId="1789" xr:uid="{0696E218-4E72-4E06-9154-7045DD73203C}"/>
    <cellStyle name="Check Cell 16" xfId="1790" xr:uid="{680FCC84-B71F-4373-9184-876E75A110F8}"/>
    <cellStyle name="Check Cell 17" xfId="1791" xr:uid="{9E9BEE54-80D1-456D-8888-5F1964C15485}"/>
    <cellStyle name="Check Cell 18" xfId="1792" xr:uid="{08DE01B8-8BA8-498F-943C-286838726EC7}"/>
    <cellStyle name="Check Cell 19" xfId="1793" xr:uid="{13891627-5547-49B2-A8D6-DE19A6E7D7D8}"/>
    <cellStyle name="Check Cell 2" xfId="1794" xr:uid="{F9C288BC-ACD0-4CE4-A080-DEDB95E801E1}"/>
    <cellStyle name="Check Cell 2 10" xfId="1795" xr:uid="{1556B4FB-6105-4253-81D2-D692CFAD1203}"/>
    <cellStyle name="Check Cell 2 2" xfId="1796" xr:uid="{3A1BBCA8-AF45-43EE-A73E-390A2DA4CFE1}"/>
    <cellStyle name="Check Cell 2 3" xfId="1797" xr:uid="{E1C939D0-9B76-4BB9-A7B8-62132907FED1}"/>
    <cellStyle name="Check Cell 2 4" xfId="1798" xr:uid="{67E59ABD-4B36-4647-B924-B8E00C2F6C3D}"/>
    <cellStyle name="Check Cell 2 5" xfId="1799" xr:uid="{1FFC118A-E36E-4240-ACF2-14EFCE78B59A}"/>
    <cellStyle name="Check Cell 2 6" xfId="1800" xr:uid="{0A9BEAE3-7BA9-42B2-82C9-AEB36D74A25F}"/>
    <cellStyle name="Check Cell 2 7" xfId="1801" xr:uid="{F71A0932-B21F-4D7E-9632-2F65961512D5}"/>
    <cellStyle name="Check Cell 2 8" xfId="1802" xr:uid="{576F04E3-BE2F-49D7-9BAE-F6D72AC0F8E5}"/>
    <cellStyle name="Check Cell 2 9" xfId="1803" xr:uid="{01B74099-8985-4664-BB6E-98123D831A07}"/>
    <cellStyle name="Check Cell 20" xfId="1804" xr:uid="{37CD545C-2D50-4832-889D-1C7A3913235D}"/>
    <cellStyle name="Check Cell 21" xfId="1805" xr:uid="{F5587A42-587A-4C6E-9257-C8D2E68794CF}"/>
    <cellStyle name="Check Cell 22" xfId="1806" xr:uid="{EFBA3B82-25C5-48E4-890C-5AD944508B43}"/>
    <cellStyle name="Check Cell 23" xfId="1807" xr:uid="{D2BDE759-0206-4080-B676-B157D6ECC447}"/>
    <cellStyle name="Check Cell 24" xfId="1808" xr:uid="{07F654E6-B969-43A1-84BD-D47C8B0F141A}"/>
    <cellStyle name="Check Cell 25" xfId="1809" xr:uid="{EDAECF7E-7889-4421-BD5D-1B0273B756B3}"/>
    <cellStyle name="Check Cell 26" xfId="1810" xr:uid="{DA4080CD-38F5-4D16-9402-A14A5D57B3A8}"/>
    <cellStyle name="Check Cell 27" xfId="1811" xr:uid="{986507D0-1BEB-4A2F-9891-27A22391D41C}"/>
    <cellStyle name="Check Cell 28" xfId="1812" xr:uid="{D68EA46E-DCC3-453F-B6C4-CFD5B4064F7F}"/>
    <cellStyle name="Check Cell 29" xfId="1813" xr:uid="{F6CAAFF6-EBDC-4D7E-9FB8-11EE8DE647A1}"/>
    <cellStyle name="Check Cell 3" xfId="1814" xr:uid="{8DE8B267-F9EB-4DAE-A248-17ACB55DC84C}"/>
    <cellStyle name="Check Cell 3 2" xfId="1815" xr:uid="{C1091286-2A8E-4772-8806-3943B0E5D563}"/>
    <cellStyle name="Check Cell 30" xfId="1816" xr:uid="{10FDD2E1-792F-4D22-BE0C-A96F98E6E56E}"/>
    <cellStyle name="Check Cell 31" xfId="1817" xr:uid="{B0AEBD10-6759-4DB7-91AF-39EE8804D3AF}"/>
    <cellStyle name="Check Cell 32" xfId="1818" xr:uid="{14509CE1-B7E6-4169-874E-BECA3D1A7ED6}"/>
    <cellStyle name="Check Cell 33" xfId="1819" xr:uid="{BB8EE1E2-8B77-40CC-880F-9DC6284173D6}"/>
    <cellStyle name="Check Cell 34" xfId="1820" xr:uid="{C43C70C8-3282-447B-9EEF-7D7B93B9FCD2}"/>
    <cellStyle name="Check Cell 35" xfId="1821" xr:uid="{4971EC27-7AF1-49BA-B49F-736735635D89}"/>
    <cellStyle name="Check Cell 36" xfId="1822" xr:uid="{E2652B2B-FD76-4591-B085-39A1480E442B}"/>
    <cellStyle name="Check Cell 37" xfId="1823" xr:uid="{CD465B84-092B-4610-8E71-C69E1DF72F62}"/>
    <cellStyle name="Check Cell 38" xfId="1824" xr:uid="{D370F074-0D1B-47D9-A774-C9F6E0674F0D}"/>
    <cellStyle name="Check Cell 39" xfId="1825" xr:uid="{4D6828A6-489A-45FE-8842-1E14E10BAE6A}"/>
    <cellStyle name="Check Cell 4" xfId="1826" xr:uid="{7CE25A7F-E850-49C1-850C-CF6337724F41}"/>
    <cellStyle name="Check Cell 4 2" xfId="1827" xr:uid="{7ECBA905-EF34-4FDB-A8CB-E908B531FD30}"/>
    <cellStyle name="Check Cell 40" xfId="1828" xr:uid="{2D77C9D2-6285-401A-AB65-4DBF81D324EB}"/>
    <cellStyle name="Check Cell 41" xfId="1829" xr:uid="{3CC3E1D9-BA9E-4D7E-9097-028A79741C8D}"/>
    <cellStyle name="Check Cell 42" xfId="1830" xr:uid="{C7395F56-4C0F-411B-B646-E045B78809FC}"/>
    <cellStyle name="Check Cell 43" xfId="1831" xr:uid="{BEF60D7E-A666-4447-BF2F-83BC221D40E2}"/>
    <cellStyle name="Check Cell 5" xfId="1832" xr:uid="{2D67D0BA-AAD0-48F9-B6A9-DCC016827CE4}"/>
    <cellStyle name="Check Cell 5 2" xfId="1833" xr:uid="{35F86BA5-63BC-45D9-A4FD-EB8E695DD3B5}"/>
    <cellStyle name="Check Cell 6" xfId="1834" xr:uid="{77770774-C4C5-468F-8C27-8038D266E6FA}"/>
    <cellStyle name="Check Cell 6 2" xfId="1835" xr:uid="{E126C948-ACE4-4997-B120-FE2C3C81D2A3}"/>
    <cellStyle name="Check Cell 7" xfId="1836" xr:uid="{81537366-A3CB-4E07-AB0E-01C4825BBCFA}"/>
    <cellStyle name="Check Cell 8" xfId="1837" xr:uid="{EAF0B800-FF8C-4CFF-962B-3BA1A8B237FD}"/>
    <cellStyle name="Check Cell 9" xfId="1838" xr:uid="{6A6E9F4C-8D6A-4516-A643-9482840BF6CB}"/>
    <cellStyle name="coin" xfId="1839" xr:uid="{7FF3C154-BA40-4E4D-ACB8-3371F8888745}"/>
    <cellStyle name="Comma" xfId="30" builtinId="3"/>
    <cellStyle name="Comma [0] 2 10" xfId="1840" xr:uid="{47089643-D973-4470-937F-05AB19E7DE5D}"/>
    <cellStyle name="Comma [0] 2 10 2" xfId="1841" xr:uid="{F217955D-C7D7-47BF-B03E-481D1844535C}"/>
    <cellStyle name="Comma [0] 2 10 3" xfId="1842" xr:uid="{FCFB7FBC-3491-4E80-844E-01C4624F21E0}"/>
    <cellStyle name="Comma [0] 2 2" xfId="1843" xr:uid="{6B87E50F-3DD9-4BB7-8812-358E7F4E7E05}"/>
    <cellStyle name="Comma [0] 2 2 2" xfId="1844" xr:uid="{154CE099-1574-4C29-82DE-D82678581FF4}"/>
    <cellStyle name="Comma [0] 2 2 3" xfId="1845" xr:uid="{DE21FF3A-4D9D-4A63-A08B-E5022E659D6D}"/>
    <cellStyle name="Comma [0] 2 3" xfId="1846" xr:uid="{3219E840-DCE6-4B7A-8C14-737D0004FA64}"/>
    <cellStyle name="Comma [0] 2 3 2" xfId="1847" xr:uid="{3F968686-59E8-4442-AF8D-0D258B77F66A}"/>
    <cellStyle name="Comma [0] 2 3 3" xfId="1848" xr:uid="{6D53A8BB-8374-46E5-9158-BAAC8BEFDBDC}"/>
    <cellStyle name="Comma [0] 2 4" xfId="1849" xr:uid="{CEDEB851-B6BD-4022-B193-A03BCADCDDF4}"/>
    <cellStyle name="Comma [0] 2 4 2" xfId="1850" xr:uid="{7890E8DB-86DA-4403-900D-9027068E3BC0}"/>
    <cellStyle name="Comma [0] 2 4 3" xfId="1851" xr:uid="{48318C10-5049-414B-9E08-A680CFCC956C}"/>
    <cellStyle name="Comma [0] 2 5" xfId="1852" xr:uid="{C04BC51B-FD87-4AD4-A3AB-636E7A7FD1FE}"/>
    <cellStyle name="Comma [0] 2 5 2" xfId="1853" xr:uid="{FD55B76E-9877-45D5-ABE9-6B08F93E8906}"/>
    <cellStyle name="Comma [0] 2 5 3" xfId="1854" xr:uid="{8B3556FA-E265-4907-9F80-E6A6719EDE47}"/>
    <cellStyle name="Comma [0] 2 6" xfId="1855" xr:uid="{4B21C32A-462A-4170-800B-CECCD68070DC}"/>
    <cellStyle name="Comma [0] 2 6 2" xfId="1856" xr:uid="{11E77475-8575-460C-A2FB-223F657AF195}"/>
    <cellStyle name="Comma [0] 2 6 3" xfId="1857" xr:uid="{410CEAF8-72EE-4F5F-B526-B81187876C52}"/>
    <cellStyle name="Comma [0] 2 7" xfId="1858" xr:uid="{5AB07141-C88B-4A70-9B1A-D65547FD6209}"/>
    <cellStyle name="Comma [0] 2 7 2" xfId="1859" xr:uid="{2436FC87-7197-44C9-B73C-56639887A6CC}"/>
    <cellStyle name="Comma [0] 2 7 3" xfId="1860" xr:uid="{16EFEE14-765F-4B0F-834A-234EED4DDEA1}"/>
    <cellStyle name="Comma [0] 2 8" xfId="1861" xr:uid="{35D541B8-D4B0-4D99-ACC6-AD3BCEB95372}"/>
    <cellStyle name="Comma [0] 2 8 2" xfId="1862" xr:uid="{9FE897B1-45E4-4EBA-828E-FE1D4E2A16FE}"/>
    <cellStyle name="Comma [0] 2 8 3" xfId="1863" xr:uid="{6E7CA377-2B21-4F36-A9CF-7961F7FD117C}"/>
    <cellStyle name="Comma [0] 2 9" xfId="1864" xr:uid="{35A9E6C3-0CB8-4551-9B38-C215184B01F4}"/>
    <cellStyle name="Comma [0] 2 9 2" xfId="1865" xr:uid="{7ADDD030-9F22-47EF-839C-E1A3983A8E1C}"/>
    <cellStyle name="Comma [0] 2 9 3" xfId="1866" xr:uid="{8A5DD05E-2DE4-4A79-8BBB-CBE5C2066AA1}"/>
    <cellStyle name="Comma 10" xfId="1867" xr:uid="{88DD307B-83D2-4CC2-AC8B-3C52DCD2969B}"/>
    <cellStyle name="Comma 10 10" xfId="1868" xr:uid="{CCA3595C-1EDA-4A3C-BEFC-56B8248AA57B}"/>
    <cellStyle name="Comma 10 11" xfId="1869" xr:uid="{9C85173B-FE27-4399-9BC1-9EFCB4EC1C87}"/>
    <cellStyle name="Comma 10 2" xfId="1870" xr:uid="{33D98245-369D-4B6C-A491-D870C71481C1}"/>
    <cellStyle name="Comma 10 2 10" xfId="1871" xr:uid="{C008DFFC-6B8A-480B-BEDC-A996056103A8}"/>
    <cellStyle name="Comma 10 2 10 2" xfId="1872" xr:uid="{4A60EA92-7437-46F0-B3F7-A86870A7AD77}"/>
    <cellStyle name="Comma 10 2 10 3" xfId="1873" xr:uid="{44E27F4A-8FF2-4474-823F-9062DB725C7B}"/>
    <cellStyle name="Comma 10 2 11" xfId="1874" xr:uid="{FA1C75A1-EBA0-4C77-8486-B83FE047092E}"/>
    <cellStyle name="Comma 10 2 11 2" xfId="1875" xr:uid="{DD4A318A-ABF8-4924-AF3F-01093F94977F}"/>
    <cellStyle name="Comma 10 2 11 3" xfId="1876" xr:uid="{2D664FA8-1256-4E9B-9496-F44FE3AA1FB0}"/>
    <cellStyle name="Comma 10 2 12" xfId="1877" xr:uid="{8A039F29-0D03-4E31-B656-8DF0FE7E64C4}"/>
    <cellStyle name="Comma 10 2 12 2" xfId="1878" xr:uid="{196AAB50-671D-455E-8018-D4F7F688DB5F}"/>
    <cellStyle name="Comma 10 2 12 3" xfId="1879" xr:uid="{44A82E60-C219-48BD-9D8F-33FE8DF0859F}"/>
    <cellStyle name="Comma 10 2 13" xfId="1880" xr:uid="{FA418968-7C1C-4430-AD70-15747E97C8E3}"/>
    <cellStyle name="Comma 10 2 13 2" xfId="1881" xr:uid="{46DEE854-7490-42AC-8218-9733597A0454}"/>
    <cellStyle name="Comma 10 2 13 3" xfId="1882" xr:uid="{21F4921D-36F2-425C-AA1C-746FEBFA1239}"/>
    <cellStyle name="Comma 10 2 14" xfId="1883" xr:uid="{F6349A6B-EBF3-4677-B28C-C2B21C5DFDC9}"/>
    <cellStyle name="Comma 10 2 14 2" xfId="1884" xr:uid="{E72AD7E5-5D24-4913-A5F3-D7EB597A17B5}"/>
    <cellStyle name="Comma 10 2 14 3" xfId="1885" xr:uid="{322E757B-B4AD-484F-A369-ABFEED63C8AF}"/>
    <cellStyle name="Comma 10 2 15" xfId="1886" xr:uid="{03B2DCE7-767F-4C4B-B902-7FE79319F8EB}"/>
    <cellStyle name="Comma 10 2 15 2" xfId="1887" xr:uid="{27B34AF5-A2E1-4F5B-806F-E830BB16817C}"/>
    <cellStyle name="Comma 10 2 15 3" xfId="1888" xr:uid="{64D160BA-68FD-42DD-BB3B-EE9400423893}"/>
    <cellStyle name="Comma 10 2 16" xfId="1889" xr:uid="{4B27CCC3-2A2E-4930-B059-4B568AC2EC19}"/>
    <cellStyle name="Comma 10 2 16 2" xfId="1890" xr:uid="{082B2E0A-FDC9-4A49-8A4F-416969F50002}"/>
    <cellStyle name="Comma 10 2 16 3" xfId="1891" xr:uid="{942C13B3-BC6F-458B-8905-3B895A1AD0D9}"/>
    <cellStyle name="Comma 10 2 17" xfId="1892" xr:uid="{090C22B4-4FCC-4FB4-9BFE-F6C7FB3C3EC2}"/>
    <cellStyle name="Comma 10 2 17 2" xfId="1893" xr:uid="{CDB0CC65-1686-4DDB-97FE-DDCB256F5057}"/>
    <cellStyle name="Comma 10 2 17 3" xfId="1894" xr:uid="{DF44998E-32B7-484C-B648-B65FA362E9EE}"/>
    <cellStyle name="Comma 10 2 18" xfId="1895" xr:uid="{74B9EF70-B5E0-46D1-AA08-DCAF896E6314}"/>
    <cellStyle name="Comma 10 2 19" xfId="1896" xr:uid="{A121E4B8-438F-473B-A80E-C8F2257922DD}"/>
    <cellStyle name="Comma 10 2 2" xfId="1897" xr:uid="{DF128B79-FD03-4DA3-B9EA-C897977306F0}"/>
    <cellStyle name="Comma 10 2 2 2" xfId="1898" xr:uid="{B8B31B19-FD85-491F-B51A-5399CEBBF284}"/>
    <cellStyle name="Comma 10 2 2 3" xfId="1899" xr:uid="{E3D46378-C5C9-4AB7-AE62-228E1CBF807D}"/>
    <cellStyle name="Comma 10 2 3" xfId="1900" xr:uid="{F0A34816-7DDE-4EAE-B38E-09EF86DC380C}"/>
    <cellStyle name="Comma 10 2 3 2" xfId="1901" xr:uid="{8679E8A7-555C-41F4-B469-15595294F6D1}"/>
    <cellStyle name="Comma 10 2 3 3" xfId="1902" xr:uid="{18E52412-E772-47EE-9862-7FCCB759AFA0}"/>
    <cellStyle name="Comma 10 2 4" xfId="1903" xr:uid="{D010858A-4064-489B-B06E-D0B80A9C0C54}"/>
    <cellStyle name="Comma 10 2 4 2" xfId="1904" xr:uid="{886C19E5-B4DA-4F53-9BBA-D9FEDCC2C7F7}"/>
    <cellStyle name="Comma 10 2 4 3" xfId="1905" xr:uid="{DA5F0055-CE0B-4A1B-BEAE-040B873723F8}"/>
    <cellStyle name="Comma 10 2 5" xfId="1906" xr:uid="{F850D754-42F3-4C25-A12F-73B8077FC8DE}"/>
    <cellStyle name="Comma 10 2 5 2" xfId="1907" xr:uid="{C80ADB6B-ACD3-49BE-B384-4791C428F33B}"/>
    <cellStyle name="Comma 10 2 5 3" xfId="1908" xr:uid="{FB6FAC4B-D026-4FAB-A0AB-4F63574AA430}"/>
    <cellStyle name="Comma 10 2 6" xfId="1909" xr:uid="{E6D86380-6B18-4AB1-A3EC-45A8915761DD}"/>
    <cellStyle name="Comma 10 2 6 2" xfId="1910" xr:uid="{7C8BB028-9D10-4D98-AA59-C460DC72B53E}"/>
    <cellStyle name="Comma 10 2 6 3" xfId="1911" xr:uid="{E03774A0-AC89-4035-9B4B-00781ABA19F8}"/>
    <cellStyle name="Comma 10 2 7" xfId="1912" xr:uid="{03A6519B-A272-4A9E-A17A-0478506FF786}"/>
    <cellStyle name="Comma 10 2 7 2" xfId="1913" xr:uid="{FC4D8C39-CD53-42FE-9DBB-6F2773EC1879}"/>
    <cellStyle name="Comma 10 2 7 3" xfId="1914" xr:uid="{0D216DD0-AE35-488D-B346-59D9D1CA7014}"/>
    <cellStyle name="Comma 10 2 8" xfId="1915" xr:uid="{A43D3789-EEBD-4229-9916-667A175500D7}"/>
    <cellStyle name="Comma 10 2 8 2" xfId="1916" xr:uid="{7ECDB06F-8E69-4ED2-BCDE-763F9CD5F94B}"/>
    <cellStyle name="Comma 10 2 8 3" xfId="1917" xr:uid="{4215C5D6-975B-45CC-9DE6-62C9D7529396}"/>
    <cellStyle name="Comma 10 2 9" xfId="1918" xr:uid="{D1A5D997-1AA5-4381-93EB-CC8388F13F52}"/>
    <cellStyle name="Comma 10 2 9 2" xfId="1919" xr:uid="{D7A1AEEC-035B-401B-A149-2BF8A91C9C22}"/>
    <cellStyle name="Comma 10 2 9 3" xfId="1920" xr:uid="{59CFF290-B832-406C-AE9F-78F73115996E}"/>
    <cellStyle name="Comma 10 3" xfId="1921" xr:uid="{C3ADBD31-BED0-4D34-8673-E65C28C81D39}"/>
    <cellStyle name="Comma 10 3 10" xfId="1922" xr:uid="{FD7ACE3C-668C-4C17-BED4-A83D83CD7A1D}"/>
    <cellStyle name="Comma 10 3 10 2" xfId="1923" xr:uid="{B3A7C8BE-FBB6-48E7-97DF-04DC06AF1798}"/>
    <cellStyle name="Comma 10 3 10 3" xfId="1924" xr:uid="{9E208918-01A8-48AE-B218-07F11C9EA268}"/>
    <cellStyle name="Comma 10 3 11" xfId="1925" xr:uid="{4C97135E-0B0B-4E81-98AB-9D53DCC2C4DC}"/>
    <cellStyle name="Comma 10 3 11 2" xfId="1926" xr:uid="{81D00361-5111-4613-AA4B-D49CBD528129}"/>
    <cellStyle name="Comma 10 3 11 3" xfId="1927" xr:uid="{CB4954D6-ABAE-4F46-8670-D3898BA9EFCE}"/>
    <cellStyle name="Comma 10 3 12" xfId="1928" xr:uid="{8F38891D-A814-45EF-874F-75C679D20C20}"/>
    <cellStyle name="Comma 10 3 12 2" xfId="1929" xr:uid="{F1BBF4CD-F7D9-4185-A84C-998BA212A70E}"/>
    <cellStyle name="Comma 10 3 12 3" xfId="1930" xr:uid="{D450F473-67DE-4531-A069-0186C643E15A}"/>
    <cellStyle name="Comma 10 3 13" xfId="1931" xr:uid="{62590AB3-1206-4112-B8DC-83C866182459}"/>
    <cellStyle name="Comma 10 3 13 2" xfId="1932" xr:uid="{16055011-A125-4AEE-B7AC-8E01E9AD6227}"/>
    <cellStyle name="Comma 10 3 13 3" xfId="1933" xr:uid="{4E935584-D797-49A5-AA7A-9D74477B1CD2}"/>
    <cellStyle name="Comma 10 3 14" xfId="1934" xr:uid="{476E3022-9ADC-417A-83A0-73EFDA89BB79}"/>
    <cellStyle name="Comma 10 3 14 2" xfId="1935" xr:uid="{20C12F85-C628-4A4C-9E49-ADCA9E63D25D}"/>
    <cellStyle name="Comma 10 3 14 3" xfId="1936" xr:uid="{9E588580-F442-4B17-A63E-8B782956240D}"/>
    <cellStyle name="Comma 10 3 15" xfId="1937" xr:uid="{686DAF10-0187-48D8-92C3-D741FD311C8F}"/>
    <cellStyle name="Comma 10 3 15 2" xfId="1938" xr:uid="{7EA9A132-CE28-413F-8E01-9CDDBD1CFB1E}"/>
    <cellStyle name="Comma 10 3 15 3" xfId="1939" xr:uid="{7066D512-8BB1-43D0-A9FF-B49B44B0BAED}"/>
    <cellStyle name="Comma 10 3 16" xfId="1940" xr:uid="{7C5E55AE-210E-4B5C-899B-949116A64357}"/>
    <cellStyle name="Comma 10 3 16 2" xfId="1941" xr:uid="{5CCFDEFE-2D3B-4034-A44E-C7FA25FA5DD8}"/>
    <cellStyle name="Comma 10 3 16 3" xfId="1942" xr:uid="{0F52ABDA-0AF7-4EEA-A101-BE4E0A4D685B}"/>
    <cellStyle name="Comma 10 3 17" xfId="1943" xr:uid="{F1A420E4-1922-462E-958A-C9465396C25B}"/>
    <cellStyle name="Comma 10 3 17 2" xfId="1944" xr:uid="{E69FD17E-3612-4398-90F3-A3C39226C0D7}"/>
    <cellStyle name="Comma 10 3 17 3" xfId="1945" xr:uid="{A441DE00-6DB5-40F9-AA95-1EF0237658C0}"/>
    <cellStyle name="Comma 10 3 18" xfId="1946" xr:uid="{59C628BD-99F2-492C-8AE1-386AAC63AE42}"/>
    <cellStyle name="Comma 10 3 19" xfId="1947" xr:uid="{785E9D33-06D2-4DA6-BB4B-E5E7A3287A23}"/>
    <cellStyle name="Comma 10 3 2" xfId="1948" xr:uid="{E1CFBBE8-830E-48A1-81A2-2E5DE10D9FDB}"/>
    <cellStyle name="Comma 10 3 2 2" xfId="1949" xr:uid="{B8A38EE6-103C-47F8-A8D6-9C7B1DCB77E1}"/>
    <cellStyle name="Comma 10 3 2 3" xfId="1950" xr:uid="{B34DA54F-B145-4CE3-B611-6854C4B0A68A}"/>
    <cellStyle name="Comma 10 3 3" xfId="1951" xr:uid="{2E9981DA-D9B7-4283-B785-8D64CC071147}"/>
    <cellStyle name="Comma 10 3 3 2" xfId="1952" xr:uid="{97437B00-20DA-498A-9F9D-96F321B94688}"/>
    <cellStyle name="Comma 10 3 3 3" xfId="1953" xr:uid="{C997F65C-DA45-4C2D-9BEF-5782648B2D67}"/>
    <cellStyle name="Comma 10 3 4" xfId="1954" xr:uid="{AB3C98E3-0853-48C3-8CF9-0C1D34B37E8B}"/>
    <cellStyle name="Comma 10 3 4 2" xfId="1955" xr:uid="{C1A675AF-A5C2-47C1-8FD2-948E51DBBA9C}"/>
    <cellStyle name="Comma 10 3 4 3" xfId="1956" xr:uid="{66E7B88F-8FE5-4B3B-8F9E-C9ED6E4156A2}"/>
    <cellStyle name="Comma 10 3 5" xfId="1957" xr:uid="{BF392CBF-2FF3-4266-91C5-E6EFBCEBF9DE}"/>
    <cellStyle name="Comma 10 3 5 2" xfId="1958" xr:uid="{DB96A8F3-0252-4659-BF2B-4BB9DCD07CF4}"/>
    <cellStyle name="Comma 10 3 5 3" xfId="1959" xr:uid="{DC080D1E-1E3E-45BC-A406-6322783D6DD9}"/>
    <cellStyle name="Comma 10 3 6" xfId="1960" xr:uid="{5A0E0220-2667-4938-B117-AD754E6196CF}"/>
    <cellStyle name="Comma 10 3 6 2" xfId="1961" xr:uid="{3A1D3437-95BC-41F5-A94C-FCF6F0AAC630}"/>
    <cellStyle name="Comma 10 3 6 3" xfId="1962" xr:uid="{A86F35E4-6530-44C6-85E3-956EA2AF7099}"/>
    <cellStyle name="Comma 10 3 7" xfId="1963" xr:uid="{04E17747-40CC-4424-8DBA-6D5D011D6677}"/>
    <cellStyle name="Comma 10 3 7 2" xfId="1964" xr:uid="{5EA78D75-A397-43D0-ABBB-A853B47A720A}"/>
    <cellStyle name="Comma 10 3 7 3" xfId="1965" xr:uid="{9710B051-31E9-406E-995B-9AD2A4AC7B4B}"/>
    <cellStyle name="Comma 10 3 8" xfId="1966" xr:uid="{4DD51B75-AECE-40F0-A9F6-38368605F82F}"/>
    <cellStyle name="Comma 10 3 8 2" xfId="1967" xr:uid="{A82B095F-DCD5-4BE7-A82D-34DBF2880075}"/>
    <cellStyle name="Comma 10 3 8 3" xfId="1968" xr:uid="{2120F352-D990-47C6-8786-E2A155D887CF}"/>
    <cellStyle name="Comma 10 3 9" xfId="1969" xr:uid="{E3CB006C-E3FD-44C1-A4CE-A884333DC22B}"/>
    <cellStyle name="Comma 10 3 9 2" xfId="1970" xr:uid="{A0486EC3-3A91-4583-85B6-D141A4E4F468}"/>
    <cellStyle name="Comma 10 3 9 3" xfId="1971" xr:uid="{69754BE4-BA88-45C7-BD4B-9F9E5F4FF45B}"/>
    <cellStyle name="Comma 10 4" xfId="1972" xr:uid="{2FC41B89-7900-4627-BBBE-FD803A224F15}"/>
    <cellStyle name="Comma 10 4 10" xfId="1973" xr:uid="{746656D0-FFE1-4FF4-A59F-B79868E8EE57}"/>
    <cellStyle name="Comma 10 4 10 2" xfId="1974" xr:uid="{C91AE731-91EA-4CE6-A6F6-23EC99111F87}"/>
    <cellStyle name="Comma 10 4 10 3" xfId="1975" xr:uid="{44F60795-A459-4BEA-A0B4-F31F1A50172D}"/>
    <cellStyle name="Comma 10 4 11" xfId="1976" xr:uid="{0A5D79E9-FF08-473E-985A-AA32B2EF3313}"/>
    <cellStyle name="Comma 10 4 11 2" xfId="1977" xr:uid="{9A64F6E8-3F6B-41DB-96F8-4F01478B59C0}"/>
    <cellStyle name="Comma 10 4 11 3" xfId="1978" xr:uid="{31C808CC-A298-47CC-B0D1-324F864E4678}"/>
    <cellStyle name="Comma 10 4 12" xfId="1979" xr:uid="{302C1CFA-75D2-48B9-A56E-E5C72D0508A3}"/>
    <cellStyle name="Comma 10 4 12 2" xfId="1980" xr:uid="{9FB596EE-4099-4032-A706-BFB8CE6F52F2}"/>
    <cellStyle name="Comma 10 4 12 3" xfId="1981" xr:uid="{D06E4DC6-DFA7-4962-8F33-6B220804D8CD}"/>
    <cellStyle name="Comma 10 4 13" xfId="1982" xr:uid="{9AACA33A-DD61-4B08-9053-6C9A06DFB8F5}"/>
    <cellStyle name="Comma 10 4 13 2" xfId="1983" xr:uid="{04C0F4B3-A695-4B94-9E55-31C76633D710}"/>
    <cellStyle name="Comma 10 4 13 3" xfId="1984" xr:uid="{9BECC05E-9883-43DD-A5BA-C451BF5B735D}"/>
    <cellStyle name="Comma 10 4 14" xfId="1985" xr:uid="{CE9DE549-E348-4D82-93C8-B4487CF437FA}"/>
    <cellStyle name="Comma 10 4 14 2" xfId="1986" xr:uid="{3080D622-E3D6-40D4-9AAB-6F055762494E}"/>
    <cellStyle name="Comma 10 4 14 3" xfId="1987" xr:uid="{55F827A8-4F93-4084-BF99-C2EBD4F4759F}"/>
    <cellStyle name="Comma 10 4 15" xfId="1988" xr:uid="{99CEC57E-0AD5-43A0-8EC0-A50A697E1F11}"/>
    <cellStyle name="Comma 10 4 15 2" xfId="1989" xr:uid="{47C41BE6-4E08-482E-BD18-EA985CF0E70F}"/>
    <cellStyle name="Comma 10 4 15 3" xfId="1990" xr:uid="{9FE7966F-1EC3-44C5-B06F-B3CA7AC57003}"/>
    <cellStyle name="Comma 10 4 16" xfId="1991" xr:uid="{E42FBAEF-5A6D-417B-BA02-8B64E6A0A5D5}"/>
    <cellStyle name="Comma 10 4 16 2" xfId="1992" xr:uid="{27E2ABF1-2A81-4E69-AC6A-4214DC6521E4}"/>
    <cellStyle name="Comma 10 4 16 3" xfId="1993" xr:uid="{DE4EEA4A-5BB1-4B92-A908-C273F3825CEB}"/>
    <cellStyle name="Comma 10 4 17" xfId="1994" xr:uid="{53E272CB-BF32-4121-95A2-BA2904ED9F4C}"/>
    <cellStyle name="Comma 10 4 17 2" xfId="1995" xr:uid="{352714B0-2298-4A48-AA92-2C71B62AB830}"/>
    <cellStyle name="Comma 10 4 17 3" xfId="1996" xr:uid="{FE9207DF-6C51-4C12-A22D-409D9317B3AD}"/>
    <cellStyle name="Comma 10 4 18" xfId="1997" xr:uid="{EDDB299F-5ADC-44CE-B148-4A7ABCBAA72B}"/>
    <cellStyle name="Comma 10 4 19" xfId="1998" xr:uid="{CC6B16B3-9FAD-4CAE-85C0-0112432F348B}"/>
    <cellStyle name="Comma 10 4 2" xfId="1999" xr:uid="{2EB5B5EC-CB68-4D53-BD15-F2FAA262AD08}"/>
    <cellStyle name="Comma 10 4 2 2" xfId="2000" xr:uid="{9E615098-24D6-462F-AFD6-0B378474C451}"/>
    <cellStyle name="Comma 10 4 2 3" xfId="2001" xr:uid="{B22DD561-9399-4512-8BD3-E8C6AD356C61}"/>
    <cellStyle name="Comma 10 4 3" xfId="2002" xr:uid="{69E1CD22-EC51-4432-8684-68CED546DB72}"/>
    <cellStyle name="Comma 10 4 3 2" xfId="2003" xr:uid="{1D1278CF-147D-4E52-AC47-413CE51DA069}"/>
    <cellStyle name="Comma 10 4 3 3" xfId="2004" xr:uid="{3B5B9D68-1C9A-44FC-8764-D7A4C5707D8D}"/>
    <cellStyle name="Comma 10 4 4" xfId="2005" xr:uid="{748BF148-A7BE-4968-96AF-723730D6C309}"/>
    <cellStyle name="Comma 10 4 4 2" xfId="2006" xr:uid="{649339E4-3001-4DFC-A9AD-77EB15783385}"/>
    <cellStyle name="Comma 10 4 4 3" xfId="2007" xr:uid="{68C6E958-B5A3-46BD-AB68-827A2E9756D1}"/>
    <cellStyle name="Comma 10 4 5" xfId="2008" xr:uid="{5AF327DA-EA2C-44AB-AE47-B9F780321EEE}"/>
    <cellStyle name="Comma 10 4 5 2" xfId="2009" xr:uid="{6849F6F6-1B16-4356-8BF0-3DAB87DE9074}"/>
    <cellStyle name="Comma 10 4 5 3" xfId="2010" xr:uid="{0715BCF6-10FC-4933-B834-054BE6EB25FB}"/>
    <cellStyle name="Comma 10 4 6" xfId="2011" xr:uid="{8C246AA2-6587-40C7-9F81-F381C7A736E5}"/>
    <cellStyle name="Comma 10 4 6 2" xfId="2012" xr:uid="{0A2D8A07-9FA3-48B9-84C3-99E78A7E33EB}"/>
    <cellStyle name="Comma 10 4 6 3" xfId="2013" xr:uid="{3647783F-48CE-4A39-9477-3AA56803525E}"/>
    <cellStyle name="Comma 10 4 7" xfId="2014" xr:uid="{3CEE8E43-DC50-456A-88D1-3C0CA0E6EBA7}"/>
    <cellStyle name="Comma 10 4 7 2" xfId="2015" xr:uid="{BD6E0BF3-F7A7-46E3-8E2A-CEAA02897BA7}"/>
    <cellStyle name="Comma 10 4 7 3" xfId="2016" xr:uid="{3C928794-687D-4E4A-92DA-60BD6C23A5CB}"/>
    <cellStyle name="Comma 10 4 8" xfId="2017" xr:uid="{D68ECA6D-4DCA-4158-AC62-B2C03403787D}"/>
    <cellStyle name="Comma 10 4 8 2" xfId="2018" xr:uid="{04215200-F6B9-45F1-AA3B-FFBB27039BB3}"/>
    <cellStyle name="Comma 10 4 8 3" xfId="2019" xr:uid="{DEDC0979-D546-4EBE-A8EA-D75F8A339438}"/>
    <cellStyle name="Comma 10 4 9" xfId="2020" xr:uid="{D711FE2D-4A20-4F4E-9FFD-A6C571E96A5B}"/>
    <cellStyle name="Comma 10 4 9 2" xfId="2021" xr:uid="{8545A2A3-5159-4FD8-BF59-9FF9E1023CFB}"/>
    <cellStyle name="Comma 10 4 9 3" xfId="2022" xr:uid="{12B032B2-FC85-48EC-AACA-2859A18E93A5}"/>
    <cellStyle name="Comma 10 5" xfId="2023" xr:uid="{A9640B0C-0C10-4C44-918C-C513238F5E47}"/>
    <cellStyle name="Comma 10 5 10" xfId="2024" xr:uid="{EBBBEBA0-19FE-4019-8A3A-C7604426AA5E}"/>
    <cellStyle name="Comma 10 5 10 2" xfId="2025" xr:uid="{FD9812CB-925B-44AD-9223-021F127E79CA}"/>
    <cellStyle name="Comma 10 5 10 3" xfId="2026" xr:uid="{4FFFB194-B7FA-454B-AB86-B0D3EB967DC9}"/>
    <cellStyle name="Comma 10 5 11" xfId="2027" xr:uid="{C9716E6C-52BB-4CE2-9D4A-5A8760685D89}"/>
    <cellStyle name="Comma 10 5 11 2" xfId="2028" xr:uid="{4362AE81-EA09-44EE-B690-54FB51C635E2}"/>
    <cellStyle name="Comma 10 5 11 3" xfId="2029" xr:uid="{D28DD89E-9035-4AF2-8EB3-56CF973707A4}"/>
    <cellStyle name="Comma 10 5 12" xfId="2030" xr:uid="{00208395-5E4D-48D6-B68C-9CD6273B30E8}"/>
    <cellStyle name="Comma 10 5 12 2" xfId="2031" xr:uid="{1B5E8489-4608-475B-BD1F-E866BE745A9C}"/>
    <cellStyle name="Comma 10 5 12 3" xfId="2032" xr:uid="{FDBDC73E-A34A-4C6A-B4DA-0A1AE6E7042C}"/>
    <cellStyle name="Comma 10 5 13" xfId="2033" xr:uid="{897B2C55-3C56-4752-9952-BE544FB276FE}"/>
    <cellStyle name="Comma 10 5 13 2" xfId="2034" xr:uid="{DCEE8B75-326D-4DC5-B1FB-5C6BEE24AF8A}"/>
    <cellStyle name="Comma 10 5 13 3" xfId="2035" xr:uid="{3277EDE9-824D-436D-BC32-1DFE48FEFE69}"/>
    <cellStyle name="Comma 10 5 14" xfId="2036" xr:uid="{C2FBFE72-75F2-4625-926E-5166D4BEE2EC}"/>
    <cellStyle name="Comma 10 5 14 2" xfId="2037" xr:uid="{4188EF0B-52E1-4F74-9A34-E6D304C893F7}"/>
    <cellStyle name="Comma 10 5 14 3" xfId="2038" xr:uid="{5A3EFB8C-5D55-4899-AA16-5BCDCD15314E}"/>
    <cellStyle name="Comma 10 5 15" xfId="2039" xr:uid="{CB768856-8B5B-4B4F-8F42-31A1C7759730}"/>
    <cellStyle name="Comma 10 5 15 2" xfId="2040" xr:uid="{40869DD0-934B-4B3B-8E9F-7BCD1267EE94}"/>
    <cellStyle name="Comma 10 5 15 3" xfId="2041" xr:uid="{7EAEBC82-87E2-43C2-BCCB-061E12649E97}"/>
    <cellStyle name="Comma 10 5 16" xfId="2042" xr:uid="{F02F3FC4-7405-4B15-96C5-4C12EB6600BE}"/>
    <cellStyle name="Comma 10 5 16 2" xfId="2043" xr:uid="{86C40DE8-BFBB-4867-A2D0-5800A988834D}"/>
    <cellStyle name="Comma 10 5 16 3" xfId="2044" xr:uid="{B38BF7C2-A2C6-4A7C-9ADD-286032E57283}"/>
    <cellStyle name="Comma 10 5 17" xfId="2045" xr:uid="{B37F98C4-2D4E-4808-AAAF-95FA9429F946}"/>
    <cellStyle name="Comma 10 5 17 2" xfId="2046" xr:uid="{E8D79D85-69C4-4A5E-AE77-CEF0758EB20C}"/>
    <cellStyle name="Comma 10 5 17 3" xfId="2047" xr:uid="{7A8B4BDE-0B04-4CDE-AB05-E0112EE813E5}"/>
    <cellStyle name="Comma 10 5 18" xfId="2048" xr:uid="{3BC15827-4FB1-497D-A25D-E0A31D58B56B}"/>
    <cellStyle name="Comma 10 5 19" xfId="2049" xr:uid="{0B5922D9-9915-4BA7-995D-DDE8B35A7962}"/>
    <cellStyle name="Comma 10 5 2" xfId="2050" xr:uid="{77085E9E-BC60-423B-BBD8-8F055E489F64}"/>
    <cellStyle name="Comma 10 5 2 2" xfId="2051" xr:uid="{722E49F1-CE12-401A-A9E1-8A0949906AF0}"/>
    <cellStyle name="Comma 10 5 2 3" xfId="2052" xr:uid="{CBFA788A-99A4-4782-84CF-6375CB1FE9EC}"/>
    <cellStyle name="Comma 10 5 3" xfId="2053" xr:uid="{D9A35D71-A007-4661-B4D9-F1B694EBE643}"/>
    <cellStyle name="Comma 10 5 3 2" xfId="2054" xr:uid="{38A4B3BD-D21E-436F-9BD5-AB59EDD7CBFE}"/>
    <cellStyle name="Comma 10 5 3 3" xfId="2055" xr:uid="{41759F56-2D61-4850-A5D1-010A88EDA5A3}"/>
    <cellStyle name="Comma 10 5 4" xfId="2056" xr:uid="{97CCE652-6A09-4D2E-960F-7C32E0E2A743}"/>
    <cellStyle name="Comma 10 5 4 2" xfId="2057" xr:uid="{B2E18075-F61E-4E9B-89F0-6F80283C8932}"/>
    <cellStyle name="Comma 10 5 4 3" xfId="2058" xr:uid="{423FB3BC-F5CA-4997-9DFC-7A1657562F0B}"/>
    <cellStyle name="Comma 10 5 5" xfId="2059" xr:uid="{4B372F53-A8FF-40A5-9B85-6AFD892F1103}"/>
    <cellStyle name="Comma 10 5 5 2" xfId="2060" xr:uid="{6BBD6F29-A35E-451B-9F33-DF6399445776}"/>
    <cellStyle name="Comma 10 5 5 3" xfId="2061" xr:uid="{72E8B9AC-87A2-4404-A10C-539B44813238}"/>
    <cellStyle name="Comma 10 5 6" xfId="2062" xr:uid="{E56D1B62-CC6A-4F3A-8DA9-9B6F61CB8B17}"/>
    <cellStyle name="Comma 10 5 6 2" xfId="2063" xr:uid="{479B76E5-E21A-4D26-A9F5-1A4BBE7863CA}"/>
    <cellStyle name="Comma 10 5 6 3" xfId="2064" xr:uid="{BE6C4E73-D694-4DB8-B9BA-7F43DB982FC6}"/>
    <cellStyle name="Comma 10 5 7" xfId="2065" xr:uid="{559876DF-26A4-4F5F-A645-524161EFDE1C}"/>
    <cellStyle name="Comma 10 5 7 2" xfId="2066" xr:uid="{0073A1B9-A454-4AC5-93F9-FC369C67E6C4}"/>
    <cellStyle name="Comma 10 5 7 3" xfId="2067" xr:uid="{91B47C90-7912-48CA-B89C-C44C0E03BB75}"/>
    <cellStyle name="Comma 10 5 8" xfId="2068" xr:uid="{9CFBD56D-41F2-4B4C-AD13-6FC396471D71}"/>
    <cellStyle name="Comma 10 5 8 2" xfId="2069" xr:uid="{2EC32342-4A26-4190-81B1-12BE607D7C5B}"/>
    <cellStyle name="Comma 10 5 8 3" xfId="2070" xr:uid="{CD454019-A411-420E-9D3F-CA31C2365140}"/>
    <cellStyle name="Comma 10 5 9" xfId="2071" xr:uid="{63D64572-F2BA-44EF-B0F5-3F75BD826EBE}"/>
    <cellStyle name="Comma 10 5 9 2" xfId="2072" xr:uid="{2842692E-F72F-4270-A4CC-705E6C867B89}"/>
    <cellStyle name="Comma 10 5 9 3" xfId="2073" xr:uid="{542F677A-7349-4A69-9C31-B6FB990DBDF9}"/>
    <cellStyle name="Comma 10 6" xfId="2074" xr:uid="{A04FA22F-5E18-4C9F-895D-EECBBC48F5D5}"/>
    <cellStyle name="Comma 10 6 10" xfId="2075" xr:uid="{DED92572-9FCF-4D1E-8272-82C10A15D933}"/>
    <cellStyle name="Comma 10 6 10 2" xfId="2076" xr:uid="{0164344B-F13B-40AD-A583-E48B26A1B542}"/>
    <cellStyle name="Comma 10 6 10 3" xfId="2077" xr:uid="{40804DEE-0B57-4487-83A5-7276639F0166}"/>
    <cellStyle name="Comma 10 6 11" xfId="2078" xr:uid="{4E1E54D5-7040-4149-9477-264FF100315E}"/>
    <cellStyle name="Comma 10 6 11 2" xfId="2079" xr:uid="{4112F648-75B6-45FB-AFC2-A933AD8EC354}"/>
    <cellStyle name="Comma 10 6 11 3" xfId="2080" xr:uid="{1AC422E7-5ED2-413E-9811-02A8A093117A}"/>
    <cellStyle name="Comma 10 6 12" xfId="2081" xr:uid="{BDDF0C04-04DB-45E4-AF87-434E7CF7827E}"/>
    <cellStyle name="Comma 10 6 12 2" xfId="2082" xr:uid="{A0517BF7-D64A-40BA-9364-5123726859D2}"/>
    <cellStyle name="Comma 10 6 12 3" xfId="2083" xr:uid="{C2AB068E-5389-49F6-A91D-DF0872E9C348}"/>
    <cellStyle name="Comma 10 6 13" xfId="2084" xr:uid="{545A5CBC-B291-4517-998D-6D7C094807F8}"/>
    <cellStyle name="Comma 10 6 13 2" xfId="2085" xr:uid="{16CA5C46-6E24-4ABC-82B7-F36A67439CBB}"/>
    <cellStyle name="Comma 10 6 13 3" xfId="2086" xr:uid="{294583FF-4CCD-47AF-9266-A1581CEE2597}"/>
    <cellStyle name="Comma 10 6 14" xfId="2087" xr:uid="{200E975F-F9A8-4B42-9990-FC74163A68C9}"/>
    <cellStyle name="Comma 10 6 14 2" xfId="2088" xr:uid="{905B657E-4CC6-470D-8944-A2899CF69EC2}"/>
    <cellStyle name="Comma 10 6 14 3" xfId="2089" xr:uid="{90BACE9E-33F3-4FA5-9C9C-893DAA3543A7}"/>
    <cellStyle name="Comma 10 6 15" xfId="2090" xr:uid="{DCE6F7D8-2978-4F15-8C8B-0E2F4ECAEB35}"/>
    <cellStyle name="Comma 10 6 15 2" xfId="2091" xr:uid="{D0D56458-5459-4A04-80CA-FED74E235C71}"/>
    <cellStyle name="Comma 10 6 15 3" xfId="2092" xr:uid="{ED49B94C-C3FC-4AAC-A3D4-07A9079BF09A}"/>
    <cellStyle name="Comma 10 6 16" xfId="2093" xr:uid="{857196B3-3370-4696-9970-D3757EA8899F}"/>
    <cellStyle name="Comma 10 6 16 2" xfId="2094" xr:uid="{385F4F68-2680-41B1-A63F-5A44FC6F47C2}"/>
    <cellStyle name="Comma 10 6 16 3" xfId="2095" xr:uid="{1BA5EAD0-0FDA-4450-9C47-D662A5449DD5}"/>
    <cellStyle name="Comma 10 6 17" xfId="2096" xr:uid="{807D9E63-0618-46D9-B9EE-B865E1695CC3}"/>
    <cellStyle name="Comma 10 6 17 2" xfId="2097" xr:uid="{746CBC47-D840-4F77-A74C-D9BAD1118B0C}"/>
    <cellStyle name="Comma 10 6 17 3" xfId="2098" xr:uid="{298F7035-A87D-4E7A-9B90-C4F9BC48CD8C}"/>
    <cellStyle name="Comma 10 6 18" xfId="2099" xr:uid="{2CA64EED-88B9-4578-BAD7-6689014A9177}"/>
    <cellStyle name="Comma 10 6 19" xfId="2100" xr:uid="{AA27F73C-F225-44A0-B459-1F5B7C3EA827}"/>
    <cellStyle name="Comma 10 6 2" xfId="2101" xr:uid="{0AD4891F-D0E0-44F3-975C-F9AEDE815166}"/>
    <cellStyle name="Comma 10 6 2 2" xfId="2102" xr:uid="{CC1035FC-2A99-4E0F-98C4-E5629885CF91}"/>
    <cellStyle name="Comma 10 6 2 3" xfId="2103" xr:uid="{FA303F4E-D064-4B60-B578-A867131E5900}"/>
    <cellStyle name="Comma 10 6 3" xfId="2104" xr:uid="{366D280D-2DFD-4542-AA93-17F0325C556B}"/>
    <cellStyle name="Comma 10 6 3 2" xfId="2105" xr:uid="{89A004C3-2AED-4BD8-8DCC-B1515D54DF5D}"/>
    <cellStyle name="Comma 10 6 3 3" xfId="2106" xr:uid="{36E1C4CB-AD50-4464-A27F-1A2A12F1BBD3}"/>
    <cellStyle name="Comma 10 6 4" xfId="2107" xr:uid="{F14A2A1B-C716-49B6-9910-A77E577D6CA8}"/>
    <cellStyle name="Comma 10 6 4 2" xfId="2108" xr:uid="{1B8C0864-9AB6-4B8E-9A7C-1A5E52FCADAB}"/>
    <cellStyle name="Comma 10 6 4 3" xfId="2109" xr:uid="{AED0B7E8-DB6B-4E03-85CF-C3DCA583FDC6}"/>
    <cellStyle name="Comma 10 6 5" xfId="2110" xr:uid="{893B6D55-7EE8-4EEF-BEDC-27D3102DCD8A}"/>
    <cellStyle name="Comma 10 6 5 2" xfId="2111" xr:uid="{C625692E-DAF1-42F5-A229-B5992664D816}"/>
    <cellStyle name="Comma 10 6 5 3" xfId="2112" xr:uid="{FBA00481-097C-4B0F-865C-9701146C146C}"/>
    <cellStyle name="Comma 10 6 6" xfId="2113" xr:uid="{7E400902-3CCF-4CD9-89DD-F76D6C705248}"/>
    <cellStyle name="Comma 10 6 6 2" xfId="2114" xr:uid="{16458997-6CE8-47F2-A72C-613918C509F1}"/>
    <cellStyle name="Comma 10 6 6 3" xfId="2115" xr:uid="{D8FA9D14-007C-488F-8045-516FE4F8B6C0}"/>
    <cellStyle name="Comma 10 6 7" xfId="2116" xr:uid="{887B48D7-CCD9-4502-8244-A448E452EAAE}"/>
    <cellStyle name="Comma 10 6 7 2" xfId="2117" xr:uid="{9985BA5D-1A78-4724-9213-2CFA8164CA7D}"/>
    <cellStyle name="Comma 10 6 7 3" xfId="2118" xr:uid="{EA03259B-6BCC-4F61-B563-2264D0F9746B}"/>
    <cellStyle name="Comma 10 6 8" xfId="2119" xr:uid="{40B1F240-2500-4740-B290-94EFF0EBAF79}"/>
    <cellStyle name="Comma 10 6 8 2" xfId="2120" xr:uid="{A27AFD94-C4B1-423E-8BF7-F45D7C4EBA79}"/>
    <cellStyle name="Comma 10 6 8 3" xfId="2121" xr:uid="{A0085688-18F0-4948-B5BF-5CCA8995965C}"/>
    <cellStyle name="Comma 10 6 9" xfId="2122" xr:uid="{07F97B43-0E8B-4196-ADC3-B028C6E96A57}"/>
    <cellStyle name="Comma 10 6 9 2" xfId="2123" xr:uid="{0BE4FD04-0861-4EF3-8342-6314DE4EDDD5}"/>
    <cellStyle name="Comma 10 6 9 3" xfId="2124" xr:uid="{893115FD-51BF-4B81-8D47-BC9DA0AE5AA9}"/>
    <cellStyle name="Comma 10 7" xfId="2125" xr:uid="{E93E090E-24B1-440E-9646-A5DF4F9FD637}"/>
    <cellStyle name="Comma 10 7 10" xfId="2126" xr:uid="{9DEA9A21-ADC0-4CA2-8EAB-3DBD7A8D49C3}"/>
    <cellStyle name="Comma 10 7 10 2" xfId="2127" xr:uid="{A8FD1A80-9085-470C-8622-93305CE7CB34}"/>
    <cellStyle name="Comma 10 7 10 3" xfId="2128" xr:uid="{314DC30F-C8D1-40C3-8948-B42F088F0CB5}"/>
    <cellStyle name="Comma 10 7 11" xfId="2129" xr:uid="{F4F74466-9694-4690-81EB-EB2D9726E3D2}"/>
    <cellStyle name="Comma 10 7 11 2" xfId="2130" xr:uid="{3FB14FAB-71CC-4E7B-A9E0-43EDBCDDC373}"/>
    <cellStyle name="Comma 10 7 11 3" xfId="2131" xr:uid="{DFC9D5A9-1E03-4BF9-96CC-0BC50C9BBB19}"/>
    <cellStyle name="Comma 10 7 12" xfId="2132" xr:uid="{CCE9149A-EF2B-4267-958E-AE88AD93BDF2}"/>
    <cellStyle name="Comma 10 7 12 2" xfId="2133" xr:uid="{C8757D60-EDAE-47B3-B913-16D180640E7A}"/>
    <cellStyle name="Comma 10 7 12 3" xfId="2134" xr:uid="{0BBE9B22-98DE-4871-A266-44D8E9E29486}"/>
    <cellStyle name="Comma 10 7 13" xfId="2135" xr:uid="{7DD20454-8F36-4A43-968C-9DE7AC32D4EC}"/>
    <cellStyle name="Comma 10 7 13 2" xfId="2136" xr:uid="{A17EF441-C09E-4FD0-BD5C-7A5BF02DE90A}"/>
    <cellStyle name="Comma 10 7 13 3" xfId="2137" xr:uid="{80610B5B-5E0B-45D4-92D1-4D8783466C63}"/>
    <cellStyle name="Comma 10 7 14" xfId="2138" xr:uid="{C18A1C92-FB05-4028-BDA4-04A3A84DB867}"/>
    <cellStyle name="Comma 10 7 14 2" xfId="2139" xr:uid="{63F7D028-2990-49D2-B537-88084C8F7C4B}"/>
    <cellStyle name="Comma 10 7 14 3" xfId="2140" xr:uid="{4D6CB2CB-6F9F-4547-9C96-8EECC9EDFDBA}"/>
    <cellStyle name="Comma 10 7 15" xfId="2141" xr:uid="{B5958259-EFB2-4B58-AA2D-8C331FD58C46}"/>
    <cellStyle name="Comma 10 7 15 2" xfId="2142" xr:uid="{28C94677-6BD1-4A6B-BAB1-582030CD1379}"/>
    <cellStyle name="Comma 10 7 15 3" xfId="2143" xr:uid="{610F93C0-436D-42F1-A6B8-7F71B0C114CD}"/>
    <cellStyle name="Comma 10 7 16" xfId="2144" xr:uid="{9636ABC7-9FD2-4FF3-B639-7AB34CF3486A}"/>
    <cellStyle name="Comma 10 7 16 2" xfId="2145" xr:uid="{36306C8A-3C46-43C5-83CC-6276DA9B0EF3}"/>
    <cellStyle name="Comma 10 7 16 3" xfId="2146" xr:uid="{2880A074-273C-490F-BA03-062A49BEC280}"/>
    <cellStyle name="Comma 10 7 17" xfId="2147" xr:uid="{B13D7450-267F-4101-AE8F-27DBA995F7C9}"/>
    <cellStyle name="Comma 10 7 17 2" xfId="2148" xr:uid="{0A93D7AB-C50E-4743-9911-7EA433893858}"/>
    <cellStyle name="Comma 10 7 17 3" xfId="2149" xr:uid="{6BFC5E8B-087C-4838-A1B0-B9F953B299FC}"/>
    <cellStyle name="Comma 10 7 18" xfId="2150" xr:uid="{8F9A581C-833B-4BD2-8DF5-1E7723AD381A}"/>
    <cellStyle name="Comma 10 7 19" xfId="2151" xr:uid="{F375E482-2682-40C9-B140-D3F57F6C1C69}"/>
    <cellStyle name="Comma 10 7 2" xfId="2152" xr:uid="{24CFC49A-C4DE-4EFD-A10F-96D75BB9447A}"/>
    <cellStyle name="Comma 10 7 2 2" xfId="2153" xr:uid="{470AF1C9-0AFB-4702-ACDF-2B47D18BDA73}"/>
    <cellStyle name="Comma 10 7 2 3" xfId="2154" xr:uid="{E4192C30-CB1D-4E16-85EF-216988D8C714}"/>
    <cellStyle name="Comma 10 7 3" xfId="2155" xr:uid="{6C911738-7BDE-4F0A-A8AE-DCE5F8A0E41F}"/>
    <cellStyle name="Comma 10 7 3 2" xfId="2156" xr:uid="{75501EA9-25DF-45FE-ACEA-9BE170957508}"/>
    <cellStyle name="Comma 10 7 3 3" xfId="2157" xr:uid="{DA98B2F6-D85F-471F-B959-749C26FE5A69}"/>
    <cellStyle name="Comma 10 7 4" xfId="2158" xr:uid="{EE133C93-2605-4699-865C-EEAA76D1BB99}"/>
    <cellStyle name="Comma 10 7 4 2" xfId="2159" xr:uid="{F7F86D19-7BAC-4424-8336-4E5D7EFAA527}"/>
    <cellStyle name="Comma 10 7 4 3" xfId="2160" xr:uid="{8B89975C-88BB-4C33-9C6E-9DB5DA3AA5A5}"/>
    <cellStyle name="Comma 10 7 5" xfId="2161" xr:uid="{E252CD88-4C27-4E1A-BE7B-4586DA157E3C}"/>
    <cellStyle name="Comma 10 7 5 2" xfId="2162" xr:uid="{F6D810D6-5987-4E6B-AD6A-587EBF600B64}"/>
    <cellStyle name="Comma 10 7 5 3" xfId="2163" xr:uid="{D80BF35B-A035-4BF1-917D-DE91231FBCDF}"/>
    <cellStyle name="Comma 10 7 6" xfId="2164" xr:uid="{3D304826-49BE-488B-AEE2-540D79FE1B67}"/>
    <cellStyle name="Comma 10 7 6 2" xfId="2165" xr:uid="{E32CD77E-CA25-4FDB-9084-507350B67DA0}"/>
    <cellStyle name="Comma 10 7 6 3" xfId="2166" xr:uid="{4B7EEC74-9656-4706-AC8C-4F44F9A2D010}"/>
    <cellStyle name="Comma 10 7 7" xfId="2167" xr:uid="{A8A02526-00A1-4AE9-BA41-47C9F745103F}"/>
    <cellStyle name="Comma 10 7 7 2" xfId="2168" xr:uid="{3FA2CD86-BFEC-4165-9539-B6FF337F165A}"/>
    <cellStyle name="Comma 10 7 7 3" xfId="2169" xr:uid="{4720807D-DB20-48E3-9DB8-E1F9B9292432}"/>
    <cellStyle name="Comma 10 7 8" xfId="2170" xr:uid="{B1269821-DB81-4C93-9956-7CB95B995889}"/>
    <cellStyle name="Comma 10 7 8 2" xfId="2171" xr:uid="{2D49FEE0-0851-4C0A-9CE2-BFD93CD1977A}"/>
    <cellStyle name="Comma 10 7 8 3" xfId="2172" xr:uid="{95BD5C86-6F03-4DCE-973B-F3B6379477DC}"/>
    <cellStyle name="Comma 10 7 9" xfId="2173" xr:uid="{28B2307A-12C2-40C1-AEAE-4BAEB8D7417E}"/>
    <cellStyle name="Comma 10 7 9 2" xfId="2174" xr:uid="{2AA771D9-16A2-4E14-9451-2A7BBA4FFAB9}"/>
    <cellStyle name="Comma 10 7 9 3" xfId="2175" xr:uid="{86D232B4-D28C-45A2-BEDA-7B8F1520488E}"/>
    <cellStyle name="Comma 10 8" xfId="2176" xr:uid="{471255E8-610E-426D-A250-525B7886196F}"/>
    <cellStyle name="Comma 10 8 10" xfId="2177" xr:uid="{1E471011-6FB1-4BBB-812C-9479807442E6}"/>
    <cellStyle name="Comma 10 8 10 2" xfId="2178" xr:uid="{356B9620-369A-4B4F-BFF3-C0CC0742D867}"/>
    <cellStyle name="Comma 10 8 10 3" xfId="2179" xr:uid="{737EDEAE-750C-4D95-9CBD-0E0D297C466B}"/>
    <cellStyle name="Comma 10 8 11" xfId="2180" xr:uid="{DA6E75CD-7590-418F-9B57-B8DE0B556598}"/>
    <cellStyle name="Comma 10 8 11 2" xfId="2181" xr:uid="{29978C47-F852-4B30-9D93-B061060C9834}"/>
    <cellStyle name="Comma 10 8 11 3" xfId="2182" xr:uid="{69974005-90C4-47D3-9F40-4B545B9119DA}"/>
    <cellStyle name="Comma 10 8 12" xfId="2183" xr:uid="{4C7AC428-568C-4DA1-947D-5E96EF03E053}"/>
    <cellStyle name="Comma 10 8 12 2" xfId="2184" xr:uid="{2684888E-6108-4703-BE52-BFA7FDE93D64}"/>
    <cellStyle name="Comma 10 8 12 3" xfId="2185" xr:uid="{66EE1B73-B45A-4547-88A0-6617EC17A55D}"/>
    <cellStyle name="Comma 10 8 13" xfId="2186" xr:uid="{C30AA560-BA5F-42DD-B59A-62DAF3A60456}"/>
    <cellStyle name="Comma 10 8 13 2" xfId="2187" xr:uid="{02D1CFFF-8815-4E6F-B286-BE2609D7BDB2}"/>
    <cellStyle name="Comma 10 8 13 3" xfId="2188" xr:uid="{00ABA467-6C66-4CE4-BE47-64C51F43A901}"/>
    <cellStyle name="Comma 10 8 14" xfId="2189" xr:uid="{25A8240F-EAC8-4C4A-99E3-3EDF5CC13F0C}"/>
    <cellStyle name="Comma 10 8 14 2" xfId="2190" xr:uid="{B8505E04-99E6-46E4-8AF8-F65006AA156C}"/>
    <cellStyle name="Comma 10 8 14 3" xfId="2191" xr:uid="{84774EBA-DAEF-428F-8A8A-704341674848}"/>
    <cellStyle name="Comma 10 8 15" xfId="2192" xr:uid="{C1C555E2-C85D-4E75-BC57-3CDBC3206B3A}"/>
    <cellStyle name="Comma 10 8 15 2" xfId="2193" xr:uid="{28E29631-EE29-4A2A-8D97-F3886D1506F5}"/>
    <cellStyle name="Comma 10 8 15 3" xfId="2194" xr:uid="{D82F04BA-0E44-4AD5-B2D8-6822E21F32DE}"/>
    <cellStyle name="Comma 10 8 16" xfId="2195" xr:uid="{2B77BCC2-B3E4-4BE8-81C7-EEAB45E6BDCA}"/>
    <cellStyle name="Comma 10 8 16 2" xfId="2196" xr:uid="{DD1CC40C-FE19-4B22-9C92-541C2D8476D3}"/>
    <cellStyle name="Comma 10 8 16 3" xfId="2197" xr:uid="{2A47EDA6-2501-4B8A-B791-50C63750E97F}"/>
    <cellStyle name="Comma 10 8 17" xfId="2198" xr:uid="{B6050A04-07A4-4558-9573-774B0D197170}"/>
    <cellStyle name="Comma 10 8 17 2" xfId="2199" xr:uid="{447ADB48-3EAD-4A7C-960D-ABA37C4FF397}"/>
    <cellStyle name="Comma 10 8 17 3" xfId="2200" xr:uid="{2CC10745-8753-4D40-8E0E-FFF48E934542}"/>
    <cellStyle name="Comma 10 8 18" xfId="2201" xr:uid="{46F99A57-621A-464D-A766-21EED8ED8DF9}"/>
    <cellStyle name="Comma 10 8 19" xfId="2202" xr:uid="{DF9F0DFA-DE24-43FC-A60A-40FFE7CBB558}"/>
    <cellStyle name="Comma 10 8 2" xfId="2203" xr:uid="{8F4FE3B4-3CDA-4C6E-907E-89B9AFDC9D96}"/>
    <cellStyle name="Comma 10 8 2 2" xfId="2204" xr:uid="{AAC922D2-56A0-4A23-A10B-FC53E9AA1337}"/>
    <cellStyle name="Comma 10 8 2 3" xfId="2205" xr:uid="{3FD48213-AC95-47B5-9470-ACD8A0D2BDA3}"/>
    <cellStyle name="Comma 10 8 3" xfId="2206" xr:uid="{B28D5A30-2854-47DA-A173-96E24021D190}"/>
    <cellStyle name="Comma 10 8 3 2" xfId="2207" xr:uid="{BC4586D3-63D5-4972-8F09-D22FCEFB0F72}"/>
    <cellStyle name="Comma 10 8 3 3" xfId="2208" xr:uid="{38DBC6A6-3C3C-46A4-93C4-0AF0EC128436}"/>
    <cellStyle name="Comma 10 8 4" xfId="2209" xr:uid="{6B18B5F0-4469-47FA-BAF3-D3588CDAEB18}"/>
    <cellStyle name="Comma 10 8 4 2" xfId="2210" xr:uid="{DA87F841-898E-4020-A132-A94F8F4C67DC}"/>
    <cellStyle name="Comma 10 8 4 3" xfId="2211" xr:uid="{09DA48C5-1FAA-4543-9B75-876BE5CB093B}"/>
    <cellStyle name="Comma 10 8 5" xfId="2212" xr:uid="{0C253AF9-493A-4BFC-BD4F-EF3251289002}"/>
    <cellStyle name="Comma 10 8 5 2" xfId="2213" xr:uid="{4521F1EE-8F78-4646-95A8-692147F0EEC0}"/>
    <cellStyle name="Comma 10 8 5 3" xfId="2214" xr:uid="{AB3ED6A7-D93E-47A4-9B37-42C110225AD5}"/>
    <cellStyle name="Comma 10 8 6" xfId="2215" xr:uid="{7B79FDAA-50C3-4EEA-BA3F-39FC0A0D8CE9}"/>
    <cellStyle name="Comma 10 8 6 2" xfId="2216" xr:uid="{BBFD9496-64B7-4A0E-890F-C5B48EF2087C}"/>
    <cellStyle name="Comma 10 8 6 3" xfId="2217" xr:uid="{34FB1B01-4740-483F-B0D2-068D56B20FC0}"/>
    <cellStyle name="Comma 10 8 7" xfId="2218" xr:uid="{8F065C00-0D93-440F-A61A-34D489B91265}"/>
    <cellStyle name="Comma 10 8 7 2" xfId="2219" xr:uid="{21137D49-44D5-4808-AA0A-CCEE97D0F63F}"/>
    <cellStyle name="Comma 10 8 7 3" xfId="2220" xr:uid="{6E11B6BE-D2B7-435F-9DC7-0D159F76E2BC}"/>
    <cellStyle name="Comma 10 8 8" xfId="2221" xr:uid="{3AF49298-8E35-47D7-8A37-1DFCC8245C6D}"/>
    <cellStyle name="Comma 10 8 8 2" xfId="2222" xr:uid="{4FE9A3BB-3D19-424E-81C8-8E3187A66D27}"/>
    <cellStyle name="Comma 10 8 8 3" xfId="2223" xr:uid="{F9D09580-2162-4785-811D-DADD38B21684}"/>
    <cellStyle name="Comma 10 8 9" xfId="2224" xr:uid="{4A83B58B-46D3-4C6C-B302-A79838534997}"/>
    <cellStyle name="Comma 10 8 9 2" xfId="2225" xr:uid="{8CEAF6CB-593A-4CB2-BF1A-65319B0FD907}"/>
    <cellStyle name="Comma 10 8 9 3" xfId="2226" xr:uid="{1A052428-6771-4058-80A7-FAF5FE8E9E2C}"/>
    <cellStyle name="Comma 10 9" xfId="2227" xr:uid="{C842659E-3016-422F-A8B8-6DAD000FD551}"/>
    <cellStyle name="Comma 10 9 2" xfId="2228" xr:uid="{DC606D87-B37E-4F51-97F7-16070422C4FB}"/>
    <cellStyle name="Comma 10 9 3" xfId="2229" xr:uid="{5FA4570E-B618-4FD8-A716-40FDB7281DCB}"/>
    <cellStyle name="Comma 11" xfId="2230" xr:uid="{650DB23F-1EAE-46A9-A78E-5818AC12B593}"/>
    <cellStyle name="Comma 11 2" xfId="2231" xr:uid="{E2CACFA2-C637-4442-8B64-61AD67F43414}"/>
    <cellStyle name="Comma 12" xfId="2232" xr:uid="{ED36D3D8-6C80-42F8-B51F-292E0A5A8270}"/>
    <cellStyle name="Comma 12 2" xfId="2233" xr:uid="{5789EB2F-05C0-41A0-A9D4-30789BB52D95}"/>
    <cellStyle name="Comma 13" xfId="2234" xr:uid="{8C74A986-ACB3-49E3-B220-4D34BE6AE42E}"/>
    <cellStyle name="Comma 13 2" xfId="2235" xr:uid="{E24765F7-870E-4831-B548-B68D0216C514}"/>
    <cellStyle name="Comma 14" xfId="2236" xr:uid="{923E0CDA-01B8-42A7-A8D6-68318DBD939B}"/>
    <cellStyle name="Comma 14 2" xfId="2237" xr:uid="{1D856A63-50D8-466E-B50E-094F415AC995}"/>
    <cellStyle name="Comma 14 2 2" xfId="2238" xr:uid="{70C2F518-7020-4FF0-A981-43DFCDC6FE8C}"/>
    <cellStyle name="Comma 14 2 3" xfId="2239" xr:uid="{D3E02D20-A4EB-4FA5-8747-8AE2419982CE}"/>
    <cellStyle name="Comma 14 3" xfId="2240" xr:uid="{FD45871B-C855-42A9-8ACB-21EB5B7B6ECE}"/>
    <cellStyle name="Comma 15" xfId="2241" xr:uid="{81629110-5EA2-4AAB-9DA1-750DE2EF562C}"/>
    <cellStyle name="Comma 15 2" xfId="2242" xr:uid="{7FB685A7-76D8-463E-81FC-228D51318CC4}"/>
    <cellStyle name="Comma 15 2 2" xfId="2243" xr:uid="{A1563808-2AFE-4EF8-9661-E3929B5F1103}"/>
    <cellStyle name="Comma 15 2 3" xfId="2244" xr:uid="{622FE373-8C27-433E-8EEC-1922C65C2104}"/>
    <cellStyle name="Comma 15 3" xfId="2245" xr:uid="{E4F42302-267B-4FC8-A87F-3A020C226358}"/>
    <cellStyle name="Comma 15 3 2" xfId="2246" xr:uid="{23193EC7-66E2-45A0-925D-3706ECA73497}"/>
    <cellStyle name="Comma 15 4" xfId="2247" xr:uid="{3EF2B295-2688-4813-874B-6953276FCFD5}"/>
    <cellStyle name="Comma 15 5" xfId="2248" xr:uid="{76E61ACB-BFAC-490E-9BBE-B99AB203DF35}"/>
    <cellStyle name="Comma 16" xfId="2249" xr:uid="{BE6AEEDC-4DC3-4E14-BA61-B0522B11DF14}"/>
    <cellStyle name="Comma 16 2" xfId="2250" xr:uid="{17CD4AD2-BDE3-475F-8E5E-1742A9C6B4A6}"/>
    <cellStyle name="Comma 16 2 2" xfId="2251" xr:uid="{01557E22-0471-4D23-BF1C-2B6C043EBB69}"/>
    <cellStyle name="Comma 16 2 3" xfId="2252" xr:uid="{8ACF2B45-17ED-45A3-B712-6B67DE02E9D4}"/>
    <cellStyle name="Comma 16 3" xfId="2253" xr:uid="{E41A2579-B0C4-49EB-B894-D1999800A94A}"/>
    <cellStyle name="Comma 16 3 2" xfId="2254" xr:uid="{FD8C5D57-4FD7-4C11-8AB8-7B67F69A49D5}"/>
    <cellStyle name="Comma 16 4" xfId="2255" xr:uid="{140C1C92-9F9A-41E8-979C-15E7806A2EC4}"/>
    <cellStyle name="Comma 16 5" xfId="2256" xr:uid="{D5D72116-7C2F-4F22-B4D1-955E24BFF1EA}"/>
    <cellStyle name="Comma 17" xfId="2257" xr:uid="{B02C248A-FD3E-4FF8-A484-971959453084}"/>
    <cellStyle name="Comma 17 2" xfId="2258" xr:uid="{724701EC-BFBC-4B72-ADF4-A31C3FA0B143}"/>
    <cellStyle name="Comma 17 2 2" xfId="2259" xr:uid="{81491EBF-ED21-46A1-B1C7-D39F8A6C0C40}"/>
    <cellStyle name="Comma 17 2 3" xfId="2260" xr:uid="{AB483F47-174C-453C-B8BB-F163612417ED}"/>
    <cellStyle name="Comma 17 3" xfId="2261" xr:uid="{8CDC0462-7494-409B-AD09-8C0D20511E17}"/>
    <cellStyle name="Comma 17 4" xfId="2262" xr:uid="{9134616B-EBC0-494F-B83F-87515D66443B}"/>
    <cellStyle name="Comma 18" xfId="2263" xr:uid="{2369B22C-BEA1-44A3-93FA-A5EF4309D9EF}"/>
    <cellStyle name="Comma 18 2" xfId="2264" xr:uid="{ACFBA248-8126-49A6-9A87-BEA44AFA0CD7}"/>
    <cellStyle name="Comma 18 2 2" xfId="2265" xr:uid="{B9289B02-0E7D-48C0-B867-6E58FDBBFCB7}"/>
    <cellStyle name="Comma 18 3" xfId="2266" xr:uid="{4AF6F245-E038-4FCE-8784-5894895F37A1}"/>
    <cellStyle name="Comma 19" xfId="2267" xr:uid="{374CAD57-CFFA-4536-A90E-6F4EDA10EEDA}"/>
    <cellStyle name="Comma 19 2" xfId="2268" xr:uid="{72D864F2-60F3-419A-9C1D-AE5CBBF70EF6}"/>
    <cellStyle name="Comma 19 2 2" xfId="2269" xr:uid="{B13C497B-03EE-4190-AB13-BC3BC3B88ED4}"/>
    <cellStyle name="Comma 19 3" xfId="2270" xr:uid="{EA070459-C521-4C6A-82C2-B035282FD81C}"/>
    <cellStyle name="Comma 2" xfId="3" xr:uid="{00000000-0005-0000-0000-000002000000}"/>
    <cellStyle name="Comma 2 10" xfId="2272" xr:uid="{E9F2D611-78A4-4D41-BCE0-F0718CD91F95}"/>
    <cellStyle name="Comma 2 10 2" xfId="2273" xr:uid="{5A116595-214A-415B-8CF1-2F6AB27979A1}"/>
    <cellStyle name="Comma 2 10 3" xfId="2274" xr:uid="{52BD0374-E7AC-4247-8834-E2C8084F5DFD}"/>
    <cellStyle name="Comma 2 10 4" xfId="2275" xr:uid="{96C26E26-FC56-4EA5-BE3E-03B8FEF7A0C6}"/>
    <cellStyle name="Comma 2 11" xfId="2276" xr:uid="{8C2306B0-6139-49EA-94DB-1F49E6A4004B}"/>
    <cellStyle name="Comma 2 11 2" xfId="2277" xr:uid="{FFC82F61-7D3E-4BE1-91D8-99651F1235D9}"/>
    <cellStyle name="Comma 2 11 3" xfId="2278" xr:uid="{3B38CC08-9CB5-4960-8586-790E05548896}"/>
    <cellStyle name="Comma 2 11 4" xfId="2279" xr:uid="{8F0972D0-1A2D-41AA-8983-35D80FE9DA01}"/>
    <cellStyle name="Comma 2 12" xfId="2280" xr:uid="{5E71EDEA-3FF2-4149-9F46-09D5E0F0907E}"/>
    <cellStyle name="Comma 2 12 2" xfId="2281" xr:uid="{EFCA3D90-CDEA-41AD-A240-0F0EB781F030}"/>
    <cellStyle name="Comma 2 12 3" xfId="2282" xr:uid="{54949D3A-4F3A-454B-ACFF-3D0BF3C2B892}"/>
    <cellStyle name="Comma 2 12 4" xfId="2283" xr:uid="{D8CC4A12-FA4E-40A2-92D7-4FAFC598A9D8}"/>
    <cellStyle name="Comma 2 13" xfId="2284" xr:uid="{FA82F1B8-B5FA-400A-868C-6ECF59552A7C}"/>
    <cellStyle name="Comma 2 13 2" xfId="2285" xr:uid="{59E81F82-3B5A-4F26-9246-77EC1264D00A}"/>
    <cellStyle name="Comma 2 13 3" xfId="2286" xr:uid="{2F541F3D-1E91-41C2-BAD2-FF9C7785D036}"/>
    <cellStyle name="Comma 2 13 4" xfId="2287" xr:uid="{E22D0C21-B909-48EC-BAE6-37F8101BDE7E}"/>
    <cellStyle name="Comma 2 14" xfId="2288" xr:uid="{B6124B2B-EAE6-4E8B-A9D1-7ED7F7A03D62}"/>
    <cellStyle name="Comma 2 15" xfId="2289" xr:uid="{A02B1FE9-5757-440F-8E33-F218817DE6F4}"/>
    <cellStyle name="Comma 2 16" xfId="2290" xr:uid="{ACC8EF50-C1B9-49BC-A85B-FCB829686CE6}"/>
    <cellStyle name="Comma 2 17" xfId="2291" xr:uid="{362BCBE8-16D0-40C0-BEB7-F55095330991}"/>
    <cellStyle name="Comma 2 17 2" xfId="2292" xr:uid="{E44DC694-D319-447C-94FD-BF8B32318270}"/>
    <cellStyle name="Comma 2 18" xfId="2293" xr:uid="{9E0996BC-FDE8-4175-9F70-B251E67B79EF}"/>
    <cellStyle name="Comma 2 18 2" xfId="2294" xr:uid="{A8A9EE82-5E8D-4049-BA1C-2AB00FBE4FD4}"/>
    <cellStyle name="Comma 2 19" xfId="2295" xr:uid="{378E8614-9F75-4F34-92D1-5E0F5AED295E}"/>
    <cellStyle name="Comma 2 19 2" xfId="2296" xr:uid="{9C0C2E7F-E4C3-4515-9C56-654A227FE70B}"/>
    <cellStyle name="Comma 2 19 2 2" xfId="2297" xr:uid="{68EA4F0A-46D7-4685-83A4-32136EE5EFE4}"/>
    <cellStyle name="Comma 2 19 3" xfId="2298" xr:uid="{D387E34F-85CF-4C48-B3D8-B6D27D429E3C}"/>
    <cellStyle name="Comma 2 19 3 2" xfId="2299" xr:uid="{34AC4F6B-D34D-46E1-A01F-6CB60C992482}"/>
    <cellStyle name="Comma 2 19 3 2 2" xfId="2300" xr:uid="{AF86E529-5487-4C49-B541-EDBA665811B8}"/>
    <cellStyle name="Comma 2 19 4" xfId="2301" xr:uid="{491672B7-DCE2-49CC-AED3-FBFF2A8CB0AA}"/>
    <cellStyle name="Comma 2 19 4 2" xfId="2302" xr:uid="{33F74ECA-D1DB-4425-9306-98CAC7531A08}"/>
    <cellStyle name="Comma 2 2" xfId="29" xr:uid="{00000000-0005-0000-0000-000003000000}"/>
    <cellStyle name="Comma 2 2 10" xfId="2303" xr:uid="{8CC88F64-C4BB-4930-AD6D-CF6CF69D9350}"/>
    <cellStyle name="Comma 2 2 2" xfId="2304" xr:uid="{45EF0D08-695D-4058-9623-9EBF42DE3B2F}"/>
    <cellStyle name="Comma 2 2 2 2" xfId="2305" xr:uid="{3B3AB0DC-B950-499B-8E54-057581EDC58D}"/>
    <cellStyle name="Comma 2 2 2 2 2" xfId="2306" xr:uid="{C3B618D6-401B-40DC-8EBD-CDC2DF8CB78E}"/>
    <cellStyle name="Comma 2 2 2 2 3" xfId="2307" xr:uid="{13C399D9-C869-4F61-A487-DCC4EEAB0A64}"/>
    <cellStyle name="Comma 2 2 2 3" xfId="2308" xr:uid="{FF776CF4-0F6F-481B-801C-F738E62768AB}"/>
    <cellStyle name="Comma 2 2 2 3 2" xfId="2309" xr:uid="{150C2575-ECAE-47D8-A6FD-F65F686EB1F9}"/>
    <cellStyle name="Comma 2 2 2 3 3" xfId="2310" xr:uid="{A970085B-8FAC-48F7-9790-0FFA4E6675C1}"/>
    <cellStyle name="Comma 2 2 2 4" xfId="2311" xr:uid="{FAF12133-A471-448B-BEF0-0B876F216379}"/>
    <cellStyle name="Comma 2 2 2 4 2" xfId="2312" xr:uid="{A60668F6-353F-422B-84BB-0486CF269EC5}"/>
    <cellStyle name="Comma 2 2 2 4 2 2" xfId="2313" xr:uid="{69601142-2976-442F-B1E4-C37ABCFE16E9}"/>
    <cellStyle name="Comma 2 2 2 4 2 3" xfId="2314" xr:uid="{3A80B931-7B1F-4795-A63F-6765DD270DB1}"/>
    <cellStyle name="Comma 2 2 2 4 3" xfId="2315" xr:uid="{B3A16E1C-BA22-4713-AB83-B5BA0185A31D}"/>
    <cellStyle name="Comma 2 2 2 4 3 2" xfId="2316" xr:uid="{8B19FD6B-38DC-4C3D-BAEB-E44F755C431F}"/>
    <cellStyle name="Comma 2 2 2 4 3 3" xfId="2317" xr:uid="{4FCFF898-94F2-4701-ACD4-81F969A86E1E}"/>
    <cellStyle name="Comma 2 2 2 4 4" xfId="2318" xr:uid="{96905C25-1766-4CF5-9DC3-C4F6C2DEDD97}"/>
    <cellStyle name="Comma 2 2 2 4 5" xfId="2319" xr:uid="{3DE4C419-883E-4CB4-AD1B-ACFF4689DDD2}"/>
    <cellStyle name="Comma 2 2 2 5" xfId="2320" xr:uid="{556E3E81-37B1-426F-B01E-1F0CAD34302E}"/>
    <cellStyle name="Comma 2 2 2 5 2" xfId="2321" xr:uid="{20E5C430-5938-4B68-83D6-86D67B5464BF}"/>
    <cellStyle name="Comma 2 2 2 5 3" xfId="2322" xr:uid="{61FB2038-2B37-4E17-98D4-EAFC80C54026}"/>
    <cellStyle name="Comma 2 2 2 6" xfId="2323" xr:uid="{8E361D9E-E2D6-4480-85F2-5A534C85B4A2}"/>
    <cellStyle name="Comma 2 2 2 7" xfId="2324" xr:uid="{FC55DF7F-B931-4FFF-950F-7B527C3F9183}"/>
    <cellStyle name="Comma 2 2 2 8" xfId="2325" xr:uid="{5B923189-CB03-491F-B91D-9DFB26CD01DB}"/>
    <cellStyle name="Comma 2 2 3" xfId="2326" xr:uid="{1DBDC0AC-E2E9-45AA-8675-A4EDAE57013D}"/>
    <cellStyle name="Comma 2 2 3 2" xfId="2327" xr:uid="{E80B845A-2176-43EC-AC02-745E55F30A60}"/>
    <cellStyle name="Comma 2 2 3 2 2" xfId="2328" xr:uid="{7FE7497D-90D9-4BEF-8BF9-1A3600A2C793}"/>
    <cellStyle name="Comma 2 2 3 2 3" xfId="2329" xr:uid="{ED444D31-FA6C-42B3-8352-5D70404CE5BD}"/>
    <cellStyle name="Comma 2 2 3 3" xfId="2330" xr:uid="{7D4BB6AC-70AD-4D7B-9CED-ABA04B29073C}"/>
    <cellStyle name="Comma 2 2 3 3 2" xfId="2331" xr:uid="{63A96791-CC33-46AF-A49D-D0D78EAB6882}"/>
    <cellStyle name="Comma 2 2 3 3 3" xfId="2332" xr:uid="{D25FC7FB-1611-400A-A940-210B6B5C5D4F}"/>
    <cellStyle name="Comma 2 2 3 4" xfId="2333" xr:uid="{E4C6B7F6-AD42-427D-A950-BB8B314E750C}"/>
    <cellStyle name="Comma 2 2 3 4 2" xfId="2334" xr:uid="{43CF7438-E35E-4911-8DE1-266115FEAABE}"/>
    <cellStyle name="Comma 2 2 3 4 2 2" xfId="2335" xr:uid="{BD188933-F856-4500-9937-B837D407E76F}"/>
    <cellStyle name="Comma 2 2 3 4 2 3" xfId="2336" xr:uid="{68626384-BDF3-4AF8-A6A3-6B7332F7B579}"/>
    <cellStyle name="Comma 2 2 3 4 3" xfId="2337" xr:uid="{B0E0F2CB-AA4E-4329-AE50-264AFE329B49}"/>
    <cellStyle name="Comma 2 2 3 4 4" xfId="2338" xr:uid="{8092A35E-8A8A-4544-A16E-1F7053B09FF7}"/>
    <cellStyle name="Comma 2 2 3 5" xfId="2339" xr:uid="{54BCB9B1-2AFC-4662-9A0E-286BB3AFD657}"/>
    <cellStyle name="Comma 2 2 3 5 2" xfId="2340" xr:uid="{3AA47414-9C51-4AFA-BD80-458CB1C91E63}"/>
    <cellStyle name="Comma 2 2 3 5 3" xfId="2341" xr:uid="{18265D23-66C3-4D78-886B-AE1146A798E0}"/>
    <cellStyle name="Comma 2 2 3 6" xfId="2342" xr:uid="{8B6A9ACA-891D-41B1-A004-A83CFCA079CD}"/>
    <cellStyle name="Comma 2 2 4" xfId="2343" xr:uid="{24593A85-66E8-4E63-98B4-0221CBD92011}"/>
    <cellStyle name="Comma 2 2 4 2" xfId="2344" xr:uid="{0C2C8185-F66D-4B00-B02E-6949A597704C}"/>
    <cellStyle name="Comma 2 2 4 2 2" xfId="2345" xr:uid="{5E7352D1-516A-43B7-9D73-917A0E4E8E23}"/>
    <cellStyle name="Comma 2 2 4 2 3" xfId="2346" xr:uid="{A43D1984-63EA-4F6C-96C6-F0BEC83504BC}"/>
    <cellStyle name="Comma 2 2 4 3" xfId="2347" xr:uid="{0878D0DD-1014-4B8F-ACFE-AB81709B2143}"/>
    <cellStyle name="Comma 2 2 4 4" xfId="2348" xr:uid="{A002CC93-5134-4AEE-BADD-56B106376591}"/>
    <cellStyle name="Comma 2 2 5" xfId="2349" xr:uid="{013F54FF-F52E-4D83-982E-D1FE69119FA3}"/>
    <cellStyle name="Comma 2 2 5 2" xfId="2350" xr:uid="{AAAC8E69-E75D-46A8-A338-571E409E6855}"/>
    <cellStyle name="Comma 2 2 5 3" xfId="2351" xr:uid="{823705C1-C3D1-430E-8EEA-756ED274F324}"/>
    <cellStyle name="Comma 2 2 6" xfId="2352" xr:uid="{B05F194F-C750-460C-9779-8526929E0D4A}"/>
    <cellStyle name="Comma 2 2 6 2" xfId="2353" xr:uid="{147A0938-7431-4B09-B4C8-23FA90DA6FF5}"/>
    <cellStyle name="Comma 2 2 6 2 2" xfId="2354" xr:uid="{7680A687-C8AB-4B92-B8FE-05620A613F27}"/>
    <cellStyle name="Comma 2 2 6 2 3" xfId="2355" xr:uid="{6DA55090-9F3B-44F9-9162-33AECB72CC20}"/>
    <cellStyle name="Comma 2 2 6 3" xfId="2356" xr:uid="{6B4FB113-1A82-42AF-B320-2FD33167F151}"/>
    <cellStyle name="Comma 2 2 6 3 2" xfId="2357" xr:uid="{468430A1-E4EB-495B-8633-4D4A93AAF39C}"/>
    <cellStyle name="Comma 2 2 6 3 3" xfId="2358" xr:uid="{6F2E4D27-4140-4FB3-8154-37D32AF170C4}"/>
    <cellStyle name="Comma 2 2 6 4" xfId="2359" xr:uid="{CC5ACCDF-34FF-4B54-A654-7AA37EEEA3D9}"/>
    <cellStyle name="Comma 2 2 6 5" xfId="2360" xr:uid="{472CAFDB-7EF9-43A2-B141-57A2394B0292}"/>
    <cellStyle name="Comma 2 2 7" xfId="2361" xr:uid="{D466F6E9-8033-449F-8AA1-9E5F0330C98A}"/>
    <cellStyle name="Comma 2 2 7 2" xfId="2362" xr:uid="{C3BEA87A-3569-4AC2-AB60-74FBD09963E4}"/>
    <cellStyle name="Comma 2 2 7 3" xfId="2363" xr:uid="{156911EA-2F1B-43F5-A1E3-B494BF5A8DAE}"/>
    <cellStyle name="Comma 2 2 8" xfId="2364" xr:uid="{038C8579-186A-4147-9404-8AEDC5660A85}"/>
    <cellStyle name="Comma 2 2 9" xfId="2365" xr:uid="{67DEEDAB-AB55-43E2-A49D-B915BC6451A7}"/>
    <cellStyle name="Comma 2 20" xfId="2366" xr:uid="{D1BB0C74-5904-40D1-8A30-60C426304EC0}"/>
    <cellStyle name="Comma 2 20 2" xfId="2367" xr:uid="{369E37BC-54AC-4727-AC78-65A9B1EF534D}"/>
    <cellStyle name="Comma 2 21" xfId="2368" xr:uid="{DBB4924C-E77F-4448-B6DF-9170B206ACB0}"/>
    <cellStyle name="Comma 2 21 2" xfId="2369" xr:uid="{D5BFBC62-1845-41FA-A81F-6DB71F531808}"/>
    <cellStyle name="Comma 2 22" xfId="2370" xr:uid="{246609FA-1513-47FB-9A76-329A20DD9805}"/>
    <cellStyle name="Comma 2 22 2" xfId="2371" xr:uid="{01127844-430E-43CF-AF52-AC05BE47CE03}"/>
    <cellStyle name="Comma 2 22 3" xfId="2372" xr:uid="{6852B223-B56D-47C2-A425-EB268B2B9F5F}"/>
    <cellStyle name="Comma 2 23" xfId="2271" xr:uid="{E597D767-A39A-486B-ADE8-A95CB28555E4}"/>
    <cellStyle name="Comma 2 3" xfId="2373" xr:uid="{319AAD59-618B-4064-805A-B87BF5513F71}"/>
    <cellStyle name="Comma 2 3 2" xfId="2374" xr:uid="{2456E5BB-D999-4B5A-8085-99501F8484B0}"/>
    <cellStyle name="Comma 2 3 2 2" xfId="2375" xr:uid="{C2D3A6E9-F5DD-4D75-A50B-BF62E093D0A3}"/>
    <cellStyle name="Comma 2 3 2 2 2" xfId="2376" xr:uid="{7F790627-210D-4D68-9F66-80C420A64F19}"/>
    <cellStyle name="Comma 2 3 2 2 3" xfId="2377" xr:uid="{E4C63381-70E4-4796-8711-6A20C60D8B15}"/>
    <cellStyle name="Comma 2 3 2 3" xfId="2378" xr:uid="{38ACA66A-5752-482C-BCC7-476606BF70EA}"/>
    <cellStyle name="Comma 2 3 2 3 2" xfId="2379" xr:uid="{049A55A7-86AA-4DF5-8105-BE25CEFD67AA}"/>
    <cellStyle name="Comma 2 3 2 3 3" xfId="2380" xr:uid="{DED851ED-6B4C-4340-B74B-3306F04E0855}"/>
    <cellStyle name="Comma 2 3 2 4" xfId="2381" xr:uid="{66B10679-E2CD-4C3C-80FE-A22DD599015A}"/>
    <cellStyle name="Comma 2 3 2 4 2" xfId="2382" xr:uid="{016BFBFC-CD69-4752-91EB-555AE34ED201}"/>
    <cellStyle name="Comma 2 3 2 4 2 2" xfId="2383" xr:uid="{9CB9B2AA-0692-41BC-956B-4342CCDE9730}"/>
    <cellStyle name="Comma 2 3 2 4 2 3" xfId="2384" xr:uid="{E998865B-7FAA-4658-B624-B544EF2BD9AC}"/>
    <cellStyle name="Comma 2 3 2 4 3" xfId="2385" xr:uid="{EDC8E89A-FF7A-41BD-82E0-898AB5630E8A}"/>
    <cellStyle name="Comma 2 3 2 4 3 2" xfId="2386" xr:uid="{A4227D04-8818-42CB-90E4-CA89120E35BF}"/>
    <cellStyle name="Comma 2 3 2 4 3 3" xfId="2387" xr:uid="{127AC69D-64B3-46F4-A4C2-C73D9ACCBD5A}"/>
    <cellStyle name="Comma 2 3 2 4 4" xfId="2388" xr:uid="{E9CEC18A-B3D0-4820-AC98-1E1D9578E255}"/>
    <cellStyle name="Comma 2 3 2 4 4 2" xfId="2389" xr:uid="{72BFB56B-B501-4F85-80C5-AA4AFCA1D77E}"/>
    <cellStyle name="Comma 2 3 2 4 4 3" xfId="2390" xr:uid="{B5CB54BB-AAAD-4AE9-9325-43C55F6FBE2F}"/>
    <cellStyle name="Comma 2 3 2 4 5" xfId="2391" xr:uid="{8DE86E22-B970-4161-BA9F-E2D32D0D7F9B}"/>
    <cellStyle name="Comma 2 3 2 4 6" xfId="2392" xr:uid="{380AD2D9-0664-4086-A02C-616E847321E4}"/>
    <cellStyle name="Comma 2 3 2 5" xfId="2393" xr:uid="{821E8A8E-DC1E-4976-9A88-78BA3A740984}"/>
    <cellStyle name="Comma 2 3 2 5 2" xfId="2394" xr:uid="{5C9EE32E-3CFD-410F-A8C1-A144B5374CC2}"/>
    <cellStyle name="Comma 2 3 2 5 3" xfId="2395" xr:uid="{2554E163-1022-4ED0-BDDD-4829614FC3AF}"/>
    <cellStyle name="Comma 2 3 2 6" xfId="2396" xr:uid="{88BD0111-0BE9-4299-9707-1CA9B41D1973}"/>
    <cellStyle name="Comma 2 3 2 6 2" xfId="2397" xr:uid="{E19CAD83-291D-4C1A-B5AD-87D2506D38F5}"/>
    <cellStyle name="Comma 2 3 2 6 3" xfId="2398" xr:uid="{25771E14-2D56-4BA8-AAC2-DD79280AC076}"/>
    <cellStyle name="Comma 2 3 2 7" xfId="2399" xr:uid="{83BE67B7-E772-42ED-8B2F-76CE5F25AB66}"/>
    <cellStyle name="Comma 2 3 3" xfId="2400" xr:uid="{511C9C6C-91C6-4A53-83E6-1399ED42915A}"/>
    <cellStyle name="Comma 2 3 3 2" xfId="2401" xr:uid="{089553B3-3275-42BF-8DF7-CDF527EBDB0D}"/>
    <cellStyle name="Comma 2 3 3 2 2" xfId="2402" xr:uid="{6642D29A-A0D2-4FC4-B085-42AE1CE51F02}"/>
    <cellStyle name="Comma 2 3 3 2 3" xfId="2403" xr:uid="{A811DCC2-07B8-484A-A413-C2C9805B10C4}"/>
    <cellStyle name="Comma 2 3 3 3" xfId="2404" xr:uid="{C564C866-0633-4C3D-A9A7-CE54DE97AA5A}"/>
    <cellStyle name="Comma 2 3 3 3 2" xfId="2405" xr:uid="{14A3D976-D4B6-421C-AA41-3CFCFB644CAB}"/>
    <cellStyle name="Comma 2 3 3 3 3" xfId="2406" xr:uid="{1D2EFBA6-FE10-44D2-907E-70B24EE48A9D}"/>
    <cellStyle name="Comma 2 3 3 4" xfId="2407" xr:uid="{63F0587E-0C21-46D2-AD61-9196BEE4BB30}"/>
    <cellStyle name="Comma 2 3 3 4 2" xfId="2408" xr:uid="{0E5789A6-FCE6-436A-81B6-67783498C9A8}"/>
    <cellStyle name="Comma 2 3 3 4 2 2" xfId="2409" xr:uid="{F22CDD99-6332-4CF7-A104-D22D8A9AE19A}"/>
    <cellStyle name="Comma 2 3 3 4 2 3" xfId="2410" xr:uid="{2D7679AC-DA72-4B80-912E-9164C89CDFBE}"/>
    <cellStyle name="Comma 2 3 3 4 3" xfId="2411" xr:uid="{F0EB8BC5-AA9B-4A32-8E07-AF25560296CC}"/>
    <cellStyle name="Comma 2 3 3 4 4" xfId="2412" xr:uid="{1FF9C8B9-FB56-4347-99B2-E9459B085E33}"/>
    <cellStyle name="Comma 2 3 3 5" xfId="2413" xr:uid="{856A0A09-488C-48C6-8FD8-52877BFD4723}"/>
    <cellStyle name="Comma 2 3 3 6" xfId="2414" xr:uid="{0168FDA9-8768-45E8-85B8-E59FF06C705B}"/>
    <cellStyle name="Comma 2 3 4" xfId="2415" xr:uid="{731CBB64-2D3D-4220-8F2A-5EF631C74BA0}"/>
    <cellStyle name="Comma 2 3 4 2" xfId="2416" xr:uid="{C2C51736-6265-48B6-8250-F70F0BA33914}"/>
    <cellStyle name="Comma 2 3 4 2 2" xfId="2417" xr:uid="{74907084-52DF-4748-AA85-273C0AB3F7D9}"/>
    <cellStyle name="Comma 2 3 4 2 3" xfId="2418" xr:uid="{76D105B9-29C7-4073-A46D-4C84AB7CD63F}"/>
    <cellStyle name="Comma 2 3 4 3" xfId="2419" xr:uid="{BA2F43B9-EA4B-4A3B-ADD0-3C74722C3FE4}"/>
    <cellStyle name="Comma 2 3 4 4" xfId="2420" xr:uid="{31ADA81D-28F9-4BD8-B369-C5C0D425DCE4}"/>
    <cellStyle name="Comma 2 3 5" xfId="2421" xr:uid="{FB2DD90D-8D2F-471F-B6E9-E48421E91F8F}"/>
    <cellStyle name="Comma 2 3 5 2" xfId="2422" xr:uid="{0F6C3BDA-50C6-484F-A369-375CE3BBD2DF}"/>
    <cellStyle name="Comma 2 3 5 3" xfId="2423" xr:uid="{6899EBED-BDD4-49CD-A2D1-D1604076B0A7}"/>
    <cellStyle name="Comma 2 3 6" xfId="2424" xr:uid="{4BF9B41E-5537-448B-B8EC-27837A2FE2CE}"/>
    <cellStyle name="Comma 2 3 6 2" xfId="2425" xr:uid="{4F4A2C84-4983-4EF2-B9F0-04AFDA116656}"/>
    <cellStyle name="Comma 2 3 6 2 2" xfId="2426" xr:uid="{CF87C609-B595-43DE-BFF1-BDF9787033CE}"/>
    <cellStyle name="Comma 2 3 6 2 3" xfId="2427" xr:uid="{7CDECB7B-7245-4B7B-B58F-638D5E5FFFD2}"/>
    <cellStyle name="Comma 2 3 6 3" xfId="2428" xr:uid="{8BD0F9B7-158D-48CA-8E8F-EAF58F55F1BB}"/>
    <cellStyle name="Comma 2 3 6 4" xfId="2429" xr:uid="{A255B5FA-7243-4223-B844-05BD6C47273C}"/>
    <cellStyle name="Comma 2 3 7" xfId="2430" xr:uid="{AC125F2C-FBBB-4751-A3AD-F5461E967AE8}"/>
    <cellStyle name="Comma 2 3 8" xfId="2431" xr:uid="{B46AF4F7-B557-407B-88B0-6393D2E6E9A8}"/>
    <cellStyle name="Comma 2 3 8 2" xfId="2432" xr:uid="{BF2238A4-FCCC-400C-B57B-CBB41F15293E}"/>
    <cellStyle name="Comma 2 3 8 3" xfId="2433" xr:uid="{335D3379-FEF8-496F-BC01-27F323B47453}"/>
    <cellStyle name="Comma 2 4" xfId="2434" xr:uid="{F83E199E-49D1-4DE4-AC2C-FBD645631497}"/>
    <cellStyle name="Comma 2 4 2" xfId="2435" xr:uid="{2E6ACD21-D398-4CE0-B63F-E782B1CBCF1D}"/>
    <cellStyle name="Comma 2 4 2 2" xfId="2436" xr:uid="{5AA32E69-5929-4A96-B992-29C3A2132993}"/>
    <cellStyle name="Comma 2 4 2 2 2" xfId="2437" xr:uid="{FA43F54D-B863-414F-9ED5-7D2B61183081}"/>
    <cellStyle name="Comma 2 4 2 2 3" xfId="2438" xr:uid="{D9E4AAF5-D394-4765-98EB-AB8D2070812F}"/>
    <cellStyle name="Comma 2 4 2 3" xfId="2439" xr:uid="{DE7DEB88-47AF-4C2E-BDE4-0C44C47A37A9}"/>
    <cellStyle name="Comma 2 4 3" xfId="2440" xr:uid="{88D404F5-30E4-4E97-9565-C51AFE3319EC}"/>
    <cellStyle name="Comma 2 4 3 2" xfId="2441" xr:uid="{C02D24AC-D16F-4D3D-998C-82D4FEE740DF}"/>
    <cellStyle name="Comma 2 4 3 2 2" xfId="2442" xr:uid="{DE7D0489-A679-484D-BB3A-D2888EDA23E1}"/>
    <cellStyle name="Comma 2 4 3 2 3" xfId="2443" xr:uid="{A5B065A4-E664-4BA7-95BA-5A731954FB4E}"/>
    <cellStyle name="Comma 2 4 4" xfId="2444" xr:uid="{7E7EB15B-0A9D-45D6-A574-0D5F6CB77733}"/>
    <cellStyle name="Comma 2 4 4 2" xfId="2445" xr:uid="{629DBD58-CDA7-489F-8D5D-9C060696530F}"/>
    <cellStyle name="Comma 2 4 4 2 2" xfId="2446" xr:uid="{16DB5644-4910-4917-B2FA-B5A129F57C7C}"/>
    <cellStyle name="Comma 2 4 4 2 3" xfId="2447" xr:uid="{26AFB9D2-2DB3-4D27-A475-BFD857B13C26}"/>
    <cellStyle name="Comma 2 4 4 3" xfId="2448" xr:uid="{6DA9634A-9BF7-4258-B412-06E16CB60B58}"/>
    <cellStyle name="Comma 2 4 4 3 2" xfId="2449" xr:uid="{0B1BBA42-A37A-4726-A34C-28BFA005586B}"/>
    <cellStyle name="Comma 2 4 4 3 3" xfId="2450" xr:uid="{D2708D08-EDCA-419B-A164-5225742384A6}"/>
    <cellStyle name="Comma 2 4 4 4" xfId="2451" xr:uid="{957FEF07-DE48-4FCA-8233-C19BE7D8F1F7}"/>
    <cellStyle name="Comma 2 4 4 4 2" xfId="2452" xr:uid="{4CAAE27A-83B1-4E95-AB38-FC70F69E4428}"/>
    <cellStyle name="Comma 2 4 4 4 3" xfId="2453" xr:uid="{0B8D2903-9C75-4828-81C1-CDE0BFF1AEB4}"/>
    <cellStyle name="Comma 2 4 4 5" xfId="2454" xr:uid="{AE941953-7EDE-4E2E-811E-0083A182ED9D}"/>
    <cellStyle name="Comma 2 4 4 6" xfId="2455" xr:uid="{ACBE1D58-0A2E-4E4F-B117-5059D6AE96F6}"/>
    <cellStyle name="Comma 2 4 5" xfId="2456" xr:uid="{AAB8FAD4-7440-4435-B910-A924CBEA66DF}"/>
    <cellStyle name="Comma 2 4 5 2" xfId="2457" xr:uid="{CCA64AAE-99AA-499A-952D-5F1A66F43A38}"/>
    <cellStyle name="Comma 2 4 5 3" xfId="2458" xr:uid="{8EB030C4-406C-4641-A54D-E74B7BE96395}"/>
    <cellStyle name="Comma 2 4 6" xfId="2459" xr:uid="{D3ABFA8A-D107-4457-AAFC-FCE860C83CCA}"/>
    <cellStyle name="Comma 2 4 7" xfId="2460" xr:uid="{A1FB8DAF-79F1-4266-83E9-1268F3492748}"/>
    <cellStyle name="Comma 2 4 8" xfId="2461" xr:uid="{0EBE0376-BC6D-4B8D-AF66-5FADD9D40E8C}"/>
    <cellStyle name="Comma 2 5" xfId="2462" xr:uid="{BE192718-BD79-43CB-B7B6-BE028B466F9F}"/>
    <cellStyle name="Comma 2 5 2" xfId="2463" xr:uid="{95992F17-42B9-4072-A51F-BF24A364DCC8}"/>
    <cellStyle name="Comma 2 5 2 2" xfId="2464" xr:uid="{13B1F5EB-1DCB-4C03-A813-D560CFF7DD69}"/>
    <cellStyle name="Comma 2 5 2 3" xfId="2465" xr:uid="{3D2DCB1A-4FAD-497A-BF21-2D667335BCDB}"/>
    <cellStyle name="Comma 2 5 3" xfId="2466" xr:uid="{233991A3-380E-4ABE-89EF-3CE8254D46DE}"/>
    <cellStyle name="Comma 2 5 3 2" xfId="2467" xr:uid="{674F4F82-618D-4CE2-9058-D23123F39210}"/>
    <cellStyle name="Comma 2 5 3 3" xfId="2468" xr:uid="{6555819F-B039-4AC9-B4C0-76061EAD751B}"/>
    <cellStyle name="Comma 2 5 4" xfId="2469" xr:uid="{77C37050-D0F3-47DC-958D-FD7DEC50C266}"/>
    <cellStyle name="Comma 2 5 4 2" xfId="2470" xr:uid="{ACF0A137-C282-45EB-89E0-5EABFC51947C}"/>
    <cellStyle name="Comma 2 5 4 2 2" xfId="2471" xr:uid="{490F9960-70C3-45F7-B440-42DF939472F2}"/>
    <cellStyle name="Comma 2 5 4 2 3" xfId="2472" xr:uid="{1F707FA0-A65A-42DD-B0A1-7B3BC0ACD7AD}"/>
    <cellStyle name="Comma 2 5 4 3" xfId="2473" xr:uid="{81ABFEC9-7069-49B6-9388-DEE9034BC6EA}"/>
    <cellStyle name="Comma 2 5 4 4" xfId="2474" xr:uid="{2572FA62-495D-4326-A752-33FAB8518717}"/>
    <cellStyle name="Comma 2 5 5" xfId="2475" xr:uid="{B5B175D2-8903-4E28-A271-0CBCAD894997}"/>
    <cellStyle name="Comma 2 5 6" xfId="2476" xr:uid="{D3799217-AD4E-4074-BF3A-E2B003583FB7}"/>
    <cellStyle name="Comma 2 5 7" xfId="2477" xr:uid="{08FE1551-13F4-469E-A747-A177D8C85DFB}"/>
    <cellStyle name="Comma 2 6" xfId="2478" xr:uid="{C4D51193-F9AC-4D56-9E1C-7890580D5B87}"/>
    <cellStyle name="Comma 2 6 2" xfId="2479" xr:uid="{53D6808A-C2B2-45AC-B3B8-1CFE31AC12C0}"/>
    <cellStyle name="Comma 2 6 2 2" xfId="2480" xr:uid="{5EA11FB6-A094-475B-995A-2D7A475C875F}"/>
    <cellStyle name="Comma 2 6 2 2 2" xfId="2481" xr:uid="{E478222F-30D4-49C7-BB6C-BED3B153BCA5}"/>
    <cellStyle name="Comma 2 6 2 2 3" xfId="2482" xr:uid="{1928F8DC-B872-47F7-9E51-D088F9D28D5E}"/>
    <cellStyle name="Comma 2 6 2 3" xfId="2483" xr:uid="{B852E97E-C06E-486B-B98A-4C90D33F32C0}"/>
    <cellStyle name="Comma 2 6 2 4" xfId="2484" xr:uid="{73612452-3E6F-4EC8-91F1-4C71E915D3F6}"/>
    <cellStyle name="Comma 2 6 3" xfId="2485" xr:uid="{488AD8E0-F303-423F-AC33-7223E4F13646}"/>
    <cellStyle name="Comma 2 6 4" xfId="2486" xr:uid="{296A2C2F-47D7-425E-9B64-10EB89FE7CB4}"/>
    <cellStyle name="Comma 2 6 5" xfId="2487" xr:uid="{912DD19E-553E-4637-B97E-46E884DABAEE}"/>
    <cellStyle name="Comma 2 7" xfId="2488" xr:uid="{DCB11249-2DA7-462B-B3A6-4571BEE663E7}"/>
    <cellStyle name="Comma 2 7 2" xfId="2489" xr:uid="{C6CBD19D-492F-4D6F-B837-AC67EC3B54FF}"/>
    <cellStyle name="Comma 2 7 2 2" xfId="2490" xr:uid="{EF741991-E9B9-48FE-9DF9-DE6A0494DC1A}"/>
    <cellStyle name="Comma 2 7 2 2 2" xfId="2491" xr:uid="{5D591C03-536E-4EAC-ABA6-A84F3082119D}"/>
    <cellStyle name="Comma 2 7 2 2 3" xfId="2492" xr:uid="{03D45863-81CB-4593-BE25-A841FC885FDF}"/>
    <cellStyle name="Comma 2 7 2 3" xfId="2493" xr:uid="{7D4B51C8-F58B-4E6E-9463-6DD44BC12ED7}"/>
    <cellStyle name="Comma 2 7 2 4" xfId="2494" xr:uid="{F1782B42-0380-407F-9536-1FC4AB090A46}"/>
    <cellStyle name="Comma 2 7 3" xfId="2495" xr:uid="{DE313A2E-3B0E-49FA-B939-F5EA8451653D}"/>
    <cellStyle name="Comma 2 7 4" xfId="2496" xr:uid="{699DB727-4C84-48BA-B634-29184D399AEF}"/>
    <cellStyle name="Comma 2 7 5" xfId="2497" xr:uid="{7D886282-090B-425C-A60F-6489E02EE9F0}"/>
    <cellStyle name="Comma 2 8" xfId="2498" xr:uid="{1DB0F31B-A3B7-4290-9D4D-1675A9F0E166}"/>
    <cellStyle name="Comma 2 8 2" xfId="2499" xr:uid="{E7072BD4-5703-46D3-B17F-B1C2DDFE7B00}"/>
    <cellStyle name="Comma 2 8 2 2" xfId="2500" xr:uid="{66E94C70-50EF-4C7E-B208-A123C20A979C}"/>
    <cellStyle name="Comma 2 8 2 3" xfId="2501" xr:uid="{96213F2B-7701-44DC-AD14-991C962F1475}"/>
    <cellStyle name="Comma 2 8 3" xfId="2502" xr:uid="{311136A6-843B-4886-A77F-FB544BD85536}"/>
    <cellStyle name="Comma 2 8 3 2" xfId="2503" xr:uid="{D0A4927F-A252-4449-B642-0B561A9867EF}"/>
    <cellStyle name="Comma 2 8 3 3" xfId="2504" xr:uid="{8DE9F17F-822E-42CE-ACED-D90CF97EDDF4}"/>
    <cellStyle name="Comma 2 8 4" xfId="2505" xr:uid="{B08BC98D-4E65-41B9-A940-F28CC8A20195}"/>
    <cellStyle name="Comma 2 8 4 2" xfId="2506" xr:uid="{F1EA7D99-5B6F-49E4-A887-6CA7C08A06E2}"/>
    <cellStyle name="Comma 2 8 4 3" xfId="2507" xr:uid="{CB225E34-B42E-440B-A6F1-DCCC9E13045E}"/>
    <cellStyle name="Comma 2 8 5" xfId="2508" xr:uid="{FDEBBC4F-2A23-48B7-B5C6-F87C3EC312C4}"/>
    <cellStyle name="Comma 2 8 6" xfId="2509" xr:uid="{BD3A4EE1-8B39-46A1-82A7-E01C03820B91}"/>
    <cellStyle name="Comma 2 8 7" xfId="2510" xr:uid="{4D45B7A2-AB30-4D2A-AEEF-0B3B445A8AAA}"/>
    <cellStyle name="Comma 2 9" xfId="2511" xr:uid="{B9BAE177-EAC2-4D7B-9CF9-30E91D566E45}"/>
    <cellStyle name="Comma 2 9 2" xfId="2512" xr:uid="{56B95B8C-6B75-4BD7-8618-7A1EAD37D072}"/>
    <cellStyle name="Comma 2 9 3" xfId="2513" xr:uid="{4C7D348F-C2BA-4D6F-B2E0-3088531654E6}"/>
    <cellStyle name="Comma 2 9 4" xfId="2514" xr:uid="{E40D8C78-C18D-4842-A775-C03471BB724A}"/>
    <cellStyle name="Comma 2_PrimaryEnergyPrices_TIMES" xfId="2515" xr:uid="{0779DE69-CD82-46BB-AAFE-C08C00F90E21}"/>
    <cellStyle name="Comma 20" xfId="2516" xr:uid="{D2A6C748-5D78-4CF4-8545-EB9C77A47F5D}"/>
    <cellStyle name="Comma 20 2" xfId="2517" xr:uid="{A2007618-094D-4224-BC9E-BBB3CDA7D107}"/>
    <cellStyle name="Comma 21" xfId="2518" xr:uid="{5159C9B1-F0D6-4BF4-AC43-D7EAD10616FF}"/>
    <cellStyle name="Comma 21 2" xfId="2519" xr:uid="{EA5FAD8E-7C0E-4506-B09C-D791F7DFC5D2}"/>
    <cellStyle name="Comma 22" xfId="2520" xr:uid="{22C5186C-AD48-4823-9E11-8835C9EC51BD}"/>
    <cellStyle name="Comma 22 2" xfId="2521" xr:uid="{AA4C6429-41C6-4589-B0EC-D856BADF3C7C}"/>
    <cellStyle name="Comma 23" xfId="2522" xr:uid="{1449133D-CCF7-406F-890A-68644A16C81F}"/>
    <cellStyle name="Comma 23 2" xfId="2523" xr:uid="{5F669609-8958-43CA-AAF9-04FAA62D48A3}"/>
    <cellStyle name="Comma 24" xfId="2524" xr:uid="{D4059276-5662-4E60-B0D0-1CE23F432D98}"/>
    <cellStyle name="Comma 24 2" xfId="2525" xr:uid="{30241925-2587-4624-80A0-D68F911FF02D}"/>
    <cellStyle name="Comma 25" xfId="2526" xr:uid="{582551A6-7D3E-4DE5-A17C-BF56285915E1}"/>
    <cellStyle name="Comma 25 2" xfId="2527" xr:uid="{72E8861A-EE17-47C3-8E8B-111D9C89C3F0}"/>
    <cellStyle name="Comma 26" xfId="2528" xr:uid="{6B0D4B61-E05D-4013-877A-E9195023B9CE}"/>
    <cellStyle name="Comma 26 2" xfId="2529" xr:uid="{1CDCF447-6E2E-40ED-A39D-C663455604AF}"/>
    <cellStyle name="Comma 27" xfId="2530" xr:uid="{84E6B937-1D9E-4E5F-A1F6-E4EC689A646B}"/>
    <cellStyle name="Comma 28" xfId="2531" xr:uid="{8FD3F249-AE95-4BAB-89BD-DA6EF1F24435}"/>
    <cellStyle name="Comma 29" xfId="2532" xr:uid="{21CFDFE8-EE06-4050-A894-9A9A4642AFD1}"/>
    <cellStyle name="Comma 3" xfId="2533" xr:uid="{AE0CA869-CDB3-4191-870C-EBFCFC1389DD}"/>
    <cellStyle name="Comma 3 10" xfId="2534" xr:uid="{93F2300E-091D-4320-9123-1612CA9C53B6}"/>
    <cellStyle name="Comma 3 10 2" xfId="2535" xr:uid="{AB41A510-3E3F-4564-887F-63F6A109C773}"/>
    <cellStyle name="Comma 3 10 2 2" xfId="2536" xr:uid="{B0467DD4-0D55-4296-852E-621CD6BD97D1}"/>
    <cellStyle name="Comma 3 10 3" xfId="2537" xr:uid="{2C641236-A49E-4ACC-9D54-853A3BF3B367}"/>
    <cellStyle name="Comma 3 11" xfId="2538" xr:uid="{20667F02-B389-4FD8-8E51-AE497A529A3A}"/>
    <cellStyle name="Comma 3 11 2" xfId="2539" xr:uid="{8632A5DF-A226-4547-9334-D6F9FF5A6157}"/>
    <cellStyle name="Comma 3 11 3" xfId="2540" xr:uid="{5DDC6685-E5DA-438C-B4A9-51579BB16377}"/>
    <cellStyle name="Comma 3 12" xfId="2541" xr:uid="{AF435E78-208F-42B9-9457-0E21AC6C28C5}"/>
    <cellStyle name="Comma 3 13" xfId="2542" xr:uid="{36134735-5C5E-464C-9AEB-7E3756DA01CF}"/>
    <cellStyle name="Comma 3 13 2" xfId="2543" xr:uid="{B943331B-0D0E-40C3-80B9-6D5EED069DDB}"/>
    <cellStyle name="Comma 3 13 3" xfId="2544" xr:uid="{68D35B0E-ED6A-4D0C-A456-7E3279085FCC}"/>
    <cellStyle name="Comma 3 2" xfId="2545" xr:uid="{F4ECBD78-35F3-4B8C-88EA-BDAF182C9F82}"/>
    <cellStyle name="Comma 3 2 2" xfId="2546" xr:uid="{AF068782-5C79-44C3-A8EB-91344669478F}"/>
    <cellStyle name="Comma 3 2 2 2" xfId="2547" xr:uid="{2770B509-6A86-4B7E-87E4-C873AC5BFCC9}"/>
    <cellStyle name="Comma 3 2 2 3" xfId="2548" xr:uid="{1C38B2E6-0F9B-4A45-A3C2-D527969B6B74}"/>
    <cellStyle name="Comma 3 2 3" xfId="2549" xr:uid="{4A314987-01F9-45CA-92CC-9066FBAE695F}"/>
    <cellStyle name="Comma 3 2 3 2" xfId="2550" xr:uid="{13635927-7B35-486C-B9B4-97B762C0C62B}"/>
    <cellStyle name="Comma 3 2 3 3" xfId="2551" xr:uid="{E444517D-2953-4961-9E9F-4106D397B47F}"/>
    <cellStyle name="Comma 3 2 4" xfId="2552" xr:uid="{C1843174-7EC9-4A50-A23B-96A26757AF7A}"/>
    <cellStyle name="Comma 3 2 5" xfId="2553" xr:uid="{19A2D58E-6429-4DC0-AB8D-91E66B2D25A2}"/>
    <cellStyle name="Comma 3 2 5 2" xfId="2554" xr:uid="{D0BD2676-DAED-4A20-AC5A-3AE96B742319}"/>
    <cellStyle name="Comma 3 2 5 3" xfId="2555" xr:uid="{4B4E7CFF-7D3A-4865-A164-307B64EEDC66}"/>
    <cellStyle name="Comma 3 3" xfId="2556" xr:uid="{57322AB9-B6F8-4394-A769-EFEC032E6CF7}"/>
    <cellStyle name="Comma 3 3 2" xfId="2557" xr:uid="{B93EACA8-6B26-48A9-901C-BEC2646BC20F}"/>
    <cellStyle name="Comma 3 3 2 2" xfId="2558" xr:uid="{8E426EC1-4DED-4AF4-84D1-B2CB1305B307}"/>
    <cellStyle name="Comma 3 3 2 3" xfId="2559" xr:uid="{D59005AF-3C6D-45B1-8428-DBED33585DFF}"/>
    <cellStyle name="Comma 3 3 3" xfId="2560" xr:uid="{CCD431DD-3114-47B8-854E-739B587B7895}"/>
    <cellStyle name="Comma 3 3 3 2" xfId="2561" xr:uid="{104A562B-60E0-4CC7-A18B-27B537E890C2}"/>
    <cellStyle name="Comma 3 3 3 2 2" xfId="2562" xr:uid="{540055CD-2269-49EA-B743-650840A39DEC}"/>
    <cellStyle name="Comma 3 3 3 2 2 2" xfId="2563" xr:uid="{CD1647B2-E97B-4A16-B5F8-1CB2E8F3BCCD}"/>
    <cellStyle name="Comma 3 3 3 2 3" xfId="2564" xr:uid="{09DA09F4-B149-4385-A26C-1783D7D6B0A4}"/>
    <cellStyle name="Comma 3 3 3 3" xfId="2565" xr:uid="{FE088AF9-4739-45B3-9316-B210CA03E10F}"/>
    <cellStyle name="Comma 3 3 3 3 2" xfId="2566" xr:uid="{CE66E414-C9DF-418F-8A9A-BF788F5083CD}"/>
    <cellStyle name="Comma 3 3 3 3 2 2" xfId="2567" xr:uid="{A82C36FD-4565-4C6E-A2BF-AA64112F4BF0}"/>
    <cellStyle name="Comma 3 3 3 3 3" xfId="2568" xr:uid="{683C10A1-79CB-454E-923E-D5747DAF9D15}"/>
    <cellStyle name="Comma 3 3 3 4" xfId="2569" xr:uid="{358A39A9-F575-4FDF-88B2-4CB29937B12D}"/>
    <cellStyle name="Comma 3 3 3 4 2" xfId="2570" xr:uid="{594DF41D-7E28-4512-ADF4-89CF554833A1}"/>
    <cellStyle name="Comma 3 3 3 5" xfId="2571" xr:uid="{874926DF-2FA6-4081-8A5F-1B57DE58D98B}"/>
    <cellStyle name="Comma 3 3 3 6" xfId="2572" xr:uid="{8AE89607-A7A7-4E03-AFB2-106D52B3980A}"/>
    <cellStyle name="Comma 3 3 3 7" xfId="2573" xr:uid="{BBBC4AE6-C1D4-4B73-84C3-659BC27C2699}"/>
    <cellStyle name="Comma 3 3 4" xfId="2574" xr:uid="{A2E69825-6D9C-4EE0-BC5C-459FFC464240}"/>
    <cellStyle name="Comma 3 3 4 2" xfId="2575" xr:uid="{BCA4D1C8-95A9-46F0-BEED-AFAF5D323234}"/>
    <cellStyle name="Comma 3 3 4 2 2" xfId="2576" xr:uid="{6E4F7CCA-6441-4B2C-96B6-1C3334D638EF}"/>
    <cellStyle name="Comma 3 3 4 2 2 2" xfId="2577" xr:uid="{AA525DD9-4DA7-4CB7-8387-4D3158669EAE}"/>
    <cellStyle name="Comma 3 3 4 2 3" xfId="2578" xr:uid="{9F068074-2D64-466B-8080-67434DF70D3D}"/>
    <cellStyle name="Comma 3 3 4 3" xfId="2579" xr:uid="{C23A1297-D1FA-4385-9EC0-7DC7EE8FD5EA}"/>
    <cellStyle name="Comma 3 3 4 3 2" xfId="2580" xr:uid="{BE84E9C4-0573-417B-9040-49D2497568BA}"/>
    <cellStyle name="Comma 3 3 4 4" xfId="2581" xr:uid="{400047C3-A24C-44D7-858D-5231F7E31DF9}"/>
    <cellStyle name="Comma 3 3 4 5" xfId="2582" xr:uid="{3C5010E7-499B-42E5-BFF4-9378CE62E549}"/>
    <cellStyle name="Comma 3 3 4 6" xfId="2583" xr:uid="{31C37B27-54A2-41DB-A842-811F85A47BF9}"/>
    <cellStyle name="Comma 3 3 5" xfId="2584" xr:uid="{FEC95991-6623-497E-BC5F-168B0C82C4DE}"/>
    <cellStyle name="Comma 3 3 6" xfId="2585" xr:uid="{29607634-B05E-4F93-904E-C627F6926FCF}"/>
    <cellStyle name="Comma 3 3 6 2" xfId="2586" xr:uid="{C5D04C5C-5230-44BE-BA33-83400192DBE8}"/>
    <cellStyle name="Comma 3 3 7" xfId="2587" xr:uid="{E40DD616-9BCC-4B97-8A9C-F776B9A24003}"/>
    <cellStyle name="Comma 3 3 8" xfId="2588" xr:uid="{37930C22-517D-4D62-A120-1E31E0E8E65E}"/>
    <cellStyle name="Comma 3 4" xfId="2589" xr:uid="{8E55B3CA-4360-4159-815A-BE2482658A23}"/>
    <cellStyle name="Comma 3 4 2" xfId="2590" xr:uid="{8AD5BE44-A777-493D-A5F7-5A2C07476E36}"/>
    <cellStyle name="Comma 3 4 2 2" xfId="2591" xr:uid="{EA179CF9-FC27-4F38-B687-FD185C625C02}"/>
    <cellStyle name="Comma 3 4 2 3" xfId="2592" xr:uid="{C20AB4D5-ECED-4FCB-A91F-B6545B12FA3C}"/>
    <cellStyle name="Comma 3 4 3" xfId="2593" xr:uid="{82FE6506-776D-493C-99FD-33AB21244DD9}"/>
    <cellStyle name="Comma 3 4 4" xfId="2594" xr:uid="{0D2A0A19-3ED8-417B-8DAB-1B73E6955AC9}"/>
    <cellStyle name="Comma 3 5" xfId="2595" xr:uid="{A42A7F9B-2C61-4A3B-B983-C9C857602282}"/>
    <cellStyle name="Comma 3 5 2" xfId="2596" xr:uid="{760EE0D2-8E30-4876-8F3E-9B1A83D7D7DC}"/>
    <cellStyle name="Comma 3 5 3" xfId="2597" xr:uid="{5E889072-5D58-4AB3-9509-8C7063DE168D}"/>
    <cellStyle name="Comma 3 6" xfId="2598" xr:uid="{81100E07-F25B-44C6-8ABC-AD2027AB5FAB}"/>
    <cellStyle name="Comma 3 6 2" xfId="2599" xr:uid="{D3176288-2E5F-41C1-9428-C797D6B48558}"/>
    <cellStyle name="Comma 3 6 3" xfId="2600" xr:uid="{4141FD7A-2272-41B6-86E6-271D99F5ED4F}"/>
    <cellStyle name="Comma 3 7" xfId="2601" xr:uid="{2353E7DC-6BA2-4EDE-87A0-7121DB88A37D}"/>
    <cellStyle name="Comma 3 7 2" xfId="2602" xr:uid="{D59A3A75-CF52-4B5B-A4B4-118C1AF98C8A}"/>
    <cellStyle name="Comma 3 7 3" xfId="2603" xr:uid="{956B63EC-A8F3-4264-A935-735D0BECC6F8}"/>
    <cellStyle name="Comma 3 8" xfId="2604" xr:uid="{F26EF9F9-7A6A-40EF-8117-19EEF4834934}"/>
    <cellStyle name="Comma 3 8 2" xfId="2605" xr:uid="{BD596B95-6F6E-457F-AF4C-1C486FFA528C}"/>
    <cellStyle name="Comma 3 8 3" xfId="2606" xr:uid="{2D2755C9-66ED-4735-A754-1B4F7643310C}"/>
    <cellStyle name="Comma 3 9" xfId="2607" xr:uid="{4299CA09-BB1E-48F1-ADAE-7AB68595DEC3}"/>
    <cellStyle name="Comma 3 9 2" xfId="2608" xr:uid="{133DDE0B-0DC2-40AF-9A72-A51C3E66F3E2}"/>
    <cellStyle name="Comma 3 9 3" xfId="2609" xr:uid="{29A682A7-6E2E-47E4-BBD8-7362D32E16E3}"/>
    <cellStyle name="Comma 4" xfId="2610" xr:uid="{257CEFB5-99FE-401A-80C9-7EF70BF5F86A}"/>
    <cellStyle name="Comma 4 10" xfId="2611" xr:uid="{1CAF041A-F471-4A11-98C3-0689166652CF}"/>
    <cellStyle name="Comma 4 11" xfId="2612" xr:uid="{9906AAD7-11E7-4C51-87C7-690FA1101434}"/>
    <cellStyle name="Comma 4 12" xfId="2613" xr:uid="{D86FD952-0442-417D-99A1-382E3FE152CE}"/>
    <cellStyle name="Comma 4 2" xfId="2614" xr:uid="{204608F3-BC09-4718-8450-13DA1A12126D}"/>
    <cellStyle name="Comma 4 2 2" xfId="2615" xr:uid="{332927E4-DABC-4313-B846-B293E940E685}"/>
    <cellStyle name="Comma 4 2 2 2" xfId="2616" xr:uid="{6B1CD055-C267-4098-9BD8-4F051A078D9D}"/>
    <cellStyle name="Comma 4 2 2 3" xfId="2617" xr:uid="{C4924A34-3E42-4D57-B2FF-3CD12FD19938}"/>
    <cellStyle name="Comma 4 2 3" xfId="2618" xr:uid="{E3A69E69-B7CC-410B-9DF6-B538B4E48AB5}"/>
    <cellStyle name="Comma 4 2 4" xfId="2619" xr:uid="{8536921D-893F-4851-9062-727100311985}"/>
    <cellStyle name="Comma 4 3" xfId="2620" xr:uid="{FA5588BA-E208-4391-992D-64E11AAE0C8E}"/>
    <cellStyle name="Comma 4 3 2" xfId="2621" xr:uid="{E22726EC-3453-4DC6-90AC-17532861141A}"/>
    <cellStyle name="Comma 4 3 3" xfId="2622" xr:uid="{E0B62825-B019-4353-890F-1667AF136A8F}"/>
    <cellStyle name="Comma 4 4" xfId="2623" xr:uid="{849E5EC8-C7F8-4BB8-87BA-532F3E736D75}"/>
    <cellStyle name="Comma 4 4 2" xfId="2624" xr:uid="{A5EC9C08-509B-457E-9AD3-35BA94E62113}"/>
    <cellStyle name="Comma 4 4 3" xfId="2625" xr:uid="{318C2A0C-F761-4271-9EAC-6E4485EB7934}"/>
    <cellStyle name="Comma 4 5" xfId="2626" xr:uid="{BE8AD643-ED63-464C-B5DC-60C39F0B8615}"/>
    <cellStyle name="Comma 4 5 2" xfId="2627" xr:uid="{1F40DFF3-AD00-4B5D-8CFF-DEB90414657D}"/>
    <cellStyle name="Comma 4 5 3" xfId="2628" xr:uid="{7B9DE7DF-5FB3-4767-8D6F-8458F96FCEEA}"/>
    <cellStyle name="Comma 4 6" xfId="2629" xr:uid="{8C401DBC-D2C5-4E06-B5F4-8A2D9FD5ADA6}"/>
    <cellStyle name="Comma 4 6 2" xfId="2630" xr:uid="{567E56E4-886B-4EFB-B1C4-2219858FF767}"/>
    <cellStyle name="Comma 4 6 3" xfId="2631" xr:uid="{2A7A53A9-3102-4699-AFEC-0A5BE55C20B1}"/>
    <cellStyle name="Comma 4 7" xfId="2632" xr:uid="{ACA37845-6BE5-4331-A3F1-8D61A1CD41D6}"/>
    <cellStyle name="Comma 4 7 2" xfId="2633" xr:uid="{96589AC7-A765-4AEC-9A6D-8024D3F8839B}"/>
    <cellStyle name="Comma 4 7 3" xfId="2634" xr:uid="{3051FBA7-1F5F-409B-9F11-89D854B9E213}"/>
    <cellStyle name="Comma 4 8" xfId="2635" xr:uid="{1722D6BF-FE5B-44BC-A1E9-6C861A3779AD}"/>
    <cellStyle name="Comma 4 8 2" xfId="2636" xr:uid="{8133C4F4-53D7-4B54-8275-2BF4F7B127FE}"/>
    <cellStyle name="Comma 4 8 3" xfId="2637" xr:uid="{25D28D07-BEFE-4B99-A8F7-291A26D12A56}"/>
    <cellStyle name="Comma 4 9" xfId="2638" xr:uid="{930F65B5-5C27-4BDA-8163-40F96E321D53}"/>
    <cellStyle name="Comma 4 9 2" xfId="2639" xr:uid="{EB468D61-027B-498C-BD45-714F95E77158}"/>
    <cellStyle name="Comma 4 9 3" xfId="2640" xr:uid="{673F0A8F-2B6D-4544-ACB4-811E8A3E284A}"/>
    <cellStyle name="Comma 5" xfId="2641" xr:uid="{00B932B6-D631-4142-BE4C-F0A2EEBC58DA}"/>
    <cellStyle name="Comma 5 10" xfId="2642" xr:uid="{E9C902B3-F5A7-4129-9B6E-DB2386174F32}"/>
    <cellStyle name="Comma 5 2" xfId="2643" xr:uid="{5A357E88-C92E-44CB-AA0C-B50537794D4A}"/>
    <cellStyle name="Comma 5 2 2" xfId="2644" xr:uid="{F4A47900-D3C8-436C-A654-04E44C27E6AC}"/>
    <cellStyle name="Comma 5 2 3" xfId="2645" xr:uid="{68739ADC-B821-4013-B55D-19988EB68B19}"/>
    <cellStyle name="Comma 5 3" xfId="2646" xr:uid="{6049F1DD-9A61-4694-8A32-5D2DC6EB61FD}"/>
    <cellStyle name="Comma 5 3 2" xfId="2647" xr:uid="{5FF55A25-1F7B-406A-836C-FEF2E0D8C4E2}"/>
    <cellStyle name="Comma 5 3 2 2" xfId="2648" xr:uid="{FF129B6E-F7F4-45B5-AA42-7D4BC0D0D5FB}"/>
    <cellStyle name="Comma 5 3 2 3" xfId="2649" xr:uid="{CE7A5EE5-B5ED-4066-AC97-3D65E1F12FB5}"/>
    <cellStyle name="Comma 5 3 3" xfId="2650" xr:uid="{11AE4BD6-123A-4127-96D6-30DC2CAAFD09}"/>
    <cellStyle name="Comma 5 3 4" xfId="2651" xr:uid="{EF23EDF8-8BA9-4327-B7DE-1987F785C6AC}"/>
    <cellStyle name="Comma 5 4" xfId="2652" xr:uid="{E20F6CB7-CEB3-4A98-8F88-C5A99192FF51}"/>
    <cellStyle name="Comma 5 4 2" xfId="2653" xr:uid="{DF517BB0-5E40-48BA-9C47-5E068025A0AD}"/>
    <cellStyle name="Comma 5 4 3" xfId="2654" xr:uid="{E602225C-9540-4295-80A6-AC85EA7165C0}"/>
    <cellStyle name="Comma 5 5" xfId="2655" xr:uid="{6BC98FEF-40FA-4A06-B175-69BE86D32F92}"/>
    <cellStyle name="Comma 5 5 2" xfId="2656" xr:uid="{1EF080E0-2AE5-4EFE-BAE8-5958D8A74666}"/>
    <cellStyle name="Comma 5 5 3" xfId="2657" xr:uid="{740AE328-C03D-40E7-AD6A-9809CF71CAA5}"/>
    <cellStyle name="Comma 5 6" xfId="2658" xr:uid="{456D3231-3497-4F0E-B7EE-9116270CD7BE}"/>
    <cellStyle name="Comma 5 6 2" xfId="2659" xr:uid="{E812B6A9-25BC-4622-B0C1-63AE251766F3}"/>
    <cellStyle name="Comma 5 6 3" xfId="2660" xr:uid="{AF5F0874-3D03-4E4D-A258-BB314EDC196C}"/>
    <cellStyle name="Comma 5 7" xfId="2661" xr:uid="{A27BBD12-97F5-49A9-93E4-335AC34CF521}"/>
    <cellStyle name="Comma 5 7 2" xfId="2662" xr:uid="{D4EF04E2-3FB4-46D9-8166-45A77E36EE27}"/>
    <cellStyle name="Comma 5 7 3" xfId="2663" xr:uid="{F6197DDA-0891-4EAC-941F-81F4B1645076}"/>
    <cellStyle name="Comma 5 8" xfId="2664" xr:uid="{DC014659-AE8E-456F-BF6D-897685EBCF4C}"/>
    <cellStyle name="Comma 5 8 2" xfId="2665" xr:uid="{117576D4-F821-43B3-BC92-B1DD3AF8EB9B}"/>
    <cellStyle name="Comma 5 8 3" xfId="2666" xr:uid="{086D51E0-FBBA-4FAF-8848-1929C5F68C0E}"/>
    <cellStyle name="Comma 5 9" xfId="2667" xr:uid="{FAD36255-38D1-4BD4-9F4B-27172875E0C1}"/>
    <cellStyle name="Comma 6" xfId="2668" xr:uid="{D7BD6AD6-5F20-4C29-9D4C-2ECFFE3DDC99}"/>
    <cellStyle name="Comma 6 10" xfId="2669" xr:uid="{EC389190-7DAC-4660-992E-F6C5F0281BDB}"/>
    <cellStyle name="Comma 6 2" xfId="2670" xr:uid="{55D83169-A36D-40E6-861C-9C8D8D9DF922}"/>
    <cellStyle name="Comma 6 2 2" xfId="2671" xr:uid="{39DF2284-5511-4E21-9099-BE01B0D24B7D}"/>
    <cellStyle name="Comma 6 2 3" xfId="2672" xr:uid="{E79CD841-49E1-43A6-ACF6-1F0715E994D9}"/>
    <cellStyle name="Comma 6 3" xfId="2673" xr:uid="{448160A7-89A6-4B24-828B-465E75368070}"/>
    <cellStyle name="Comma 6 3 2" xfId="2674" xr:uid="{B380F989-7DF9-4DA6-B60B-61183DD26086}"/>
    <cellStyle name="Comma 6 3 3" xfId="2675" xr:uid="{7C7090FA-5CE5-43B2-84B3-425770A6D357}"/>
    <cellStyle name="Comma 6 4" xfId="2676" xr:uid="{0BAB15D5-6741-4D44-B4D1-5CBC72D5E1E9}"/>
    <cellStyle name="Comma 6 4 2" xfId="2677" xr:uid="{A8CAD0BD-E296-4784-964E-2749409E3DDB}"/>
    <cellStyle name="Comma 6 4 3" xfId="2678" xr:uid="{69868DC3-E58B-4064-976E-95734F6D8132}"/>
    <cellStyle name="Comma 6 5" xfId="2679" xr:uid="{8CAD2410-7D5D-4E94-BE1A-7FE3C294D64E}"/>
    <cellStyle name="Comma 6 5 2" xfId="2680" xr:uid="{35AC0C99-080C-4D77-8E38-A7319812096C}"/>
    <cellStyle name="Comma 6 5 3" xfId="2681" xr:uid="{933B287E-A1DE-4A01-9C81-608113D8156F}"/>
    <cellStyle name="Comma 6 6" xfId="2682" xr:uid="{A809BCC7-0E3A-4CF2-99AE-11FF28F68080}"/>
    <cellStyle name="Comma 6 6 2" xfId="2683" xr:uid="{E330114B-3501-4015-9626-925945E7F155}"/>
    <cellStyle name="Comma 6 6 3" xfId="2684" xr:uid="{63063838-94DA-466C-BD9A-B4E469D21B53}"/>
    <cellStyle name="Comma 6 7" xfId="2685" xr:uid="{CBAD380E-7F60-42E6-BDDF-F93ACD73E8D9}"/>
    <cellStyle name="Comma 6 7 2" xfId="2686" xr:uid="{81A9B055-636F-47E6-9E60-987CBFDA3489}"/>
    <cellStyle name="Comma 6 7 3" xfId="2687" xr:uid="{CB6F6689-F161-4D82-973E-2568BD9C4967}"/>
    <cellStyle name="Comma 6 8" xfId="2688" xr:uid="{B4CFD1BD-0AE5-4C8E-BF5C-C90EE1395481}"/>
    <cellStyle name="Comma 6 8 2" xfId="2689" xr:uid="{6C4AFB7A-6F9A-419A-8DCA-9FBCA10B700A}"/>
    <cellStyle name="Comma 6 8 3" xfId="2690" xr:uid="{96C3BC2C-D15C-4DDC-ACFF-4517D2126044}"/>
    <cellStyle name="Comma 6 9" xfId="2691" xr:uid="{0E76B803-076C-4806-BCE9-1823467568B6}"/>
    <cellStyle name="Comma 7" xfId="2692" xr:uid="{44F79BFC-6A8D-467D-BCB1-98FA97A95441}"/>
    <cellStyle name="Comma 7 10" xfId="2693" xr:uid="{C09297C1-DB2C-409F-876C-DFA7E79441D6}"/>
    <cellStyle name="Comma 7 10 2" xfId="2694" xr:uid="{89E21458-6C68-4C46-8EEC-44E14BC7B170}"/>
    <cellStyle name="Comma 7 10 3" xfId="2695" xr:uid="{A2ADE2C9-EE38-4E81-8726-9B1AF8104671}"/>
    <cellStyle name="Comma 7 11" xfId="2696" xr:uid="{E4F20280-F5D9-4221-B8F7-7C750A518C35}"/>
    <cellStyle name="Comma 7 11 2" xfId="2697" xr:uid="{6BD516D9-DF7F-4D26-AFED-E607A3BCBE59}"/>
    <cellStyle name="Comma 7 12" xfId="2698" xr:uid="{72E68E83-C863-41B8-B194-9A9BB516F71A}"/>
    <cellStyle name="Comma 7 12 2" xfId="2699" xr:uid="{82C862D8-94EA-4C33-BA55-E3A376CBECBB}"/>
    <cellStyle name="Comma 7 12 3" xfId="2700" xr:uid="{1968E258-8335-4341-A68C-0A32FD4BAE7F}"/>
    <cellStyle name="Comma 7 13" xfId="2701" xr:uid="{C238EFD5-E84E-427A-A0F7-AB7635BBA447}"/>
    <cellStyle name="Comma 7 13 2" xfId="2702" xr:uid="{3D98D126-63C7-4618-98D8-B679CF91DE29}"/>
    <cellStyle name="Comma 7 13 3" xfId="2703" xr:uid="{C75863A3-B977-403E-9A5F-BC84A09712A8}"/>
    <cellStyle name="Comma 7 14" xfId="2704" xr:uid="{A40AD28F-5BBC-41C1-A8F6-14B47BDA6F98}"/>
    <cellStyle name="Comma 7 14 2" xfId="2705" xr:uid="{A57F236A-2B5A-49CA-BAC5-7E94752B60F7}"/>
    <cellStyle name="Comma 7 14 3" xfId="2706" xr:uid="{A2979AEF-4CC9-4C41-8595-E11B2317C246}"/>
    <cellStyle name="Comma 7 15" xfId="2707" xr:uid="{94CDA366-F746-46B5-A077-8F0409E0F5F1}"/>
    <cellStyle name="Comma 7 15 2" xfId="2708" xr:uid="{F95ACF01-A331-4559-954C-5FECAA3A3509}"/>
    <cellStyle name="Comma 7 15 3" xfId="2709" xr:uid="{37180D20-0CBA-468C-8D5E-03A5FA7304F2}"/>
    <cellStyle name="Comma 7 16" xfId="2710" xr:uid="{B35AEE50-5825-4345-9E32-D09E62151BA3}"/>
    <cellStyle name="Comma 7 16 2" xfId="2711" xr:uid="{C660466C-1252-4E9D-8811-66C448E8D904}"/>
    <cellStyle name="Comma 7 17" xfId="2712" xr:uid="{7D4046B3-54E3-409D-8ED6-7D952799EC92}"/>
    <cellStyle name="Comma 7 17 2" xfId="2713" xr:uid="{21688C54-6E8E-4EDA-AA00-2B0911F7D769}"/>
    <cellStyle name="Comma 7 18" xfId="2714" xr:uid="{A04E2079-297F-4554-B569-88B058E94357}"/>
    <cellStyle name="Comma 7 18 2" xfId="2715" xr:uid="{0DAD6B66-549F-4F0A-99E6-C67FCF832686}"/>
    <cellStyle name="Comma 7 19" xfId="2716" xr:uid="{218CA15F-183A-4C6F-9C7A-2F0E87466FF8}"/>
    <cellStyle name="Comma 7 19 2" xfId="2717" xr:uid="{A466BA45-D8F3-4474-B8D9-C0797269A763}"/>
    <cellStyle name="Comma 7 2" xfId="2718" xr:uid="{EEE13FBF-8705-44E0-BC93-92A5E3E2FF54}"/>
    <cellStyle name="Comma 7 2 2" xfId="2719" xr:uid="{A9F560B2-CC38-4569-875B-28730D151C44}"/>
    <cellStyle name="Comma 7 2 3" xfId="2720" xr:uid="{C88FC851-A395-479A-AE2C-E9620750BA26}"/>
    <cellStyle name="Comma 7 20" xfId="2721" xr:uid="{E6CE4E13-3F83-4BF3-8970-4FF4244630EA}"/>
    <cellStyle name="Comma 7 20 2" xfId="2722" xr:uid="{71793436-B7FB-42B2-AABA-5FE09C6DD1D4}"/>
    <cellStyle name="Comma 7 21" xfId="2723" xr:uid="{5F93D343-B313-4EBA-A421-1B7DC5F9D159}"/>
    <cellStyle name="Comma 7 21 2" xfId="2724" xr:uid="{F2E9430B-A762-4B00-9122-ED65776166B8}"/>
    <cellStyle name="Comma 7 3" xfId="2725" xr:uid="{382F8DE7-C897-4FC5-B0F7-7A4DC60F7830}"/>
    <cellStyle name="Comma 7 3 10" xfId="2726" xr:uid="{7A2A55E1-D25F-4E72-9043-EEA20E669AEF}"/>
    <cellStyle name="Comma 7 3 10 2" xfId="2727" xr:uid="{9CE8A01B-E04E-4350-8CDD-C91906EFC116}"/>
    <cellStyle name="Comma 7 3 10 3" xfId="2728" xr:uid="{E37B12BE-5255-4430-939C-241D5A5E1E25}"/>
    <cellStyle name="Comma 7 3 11" xfId="2729" xr:uid="{0672E27E-184B-4185-A72D-187678D3065E}"/>
    <cellStyle name="Comma 7 3 11 2" xfId="2730" xr:uid="{511BA6BE-AE54-423F-9346-01DB88ED1F07}"/>
    <cellStyle name="Comma 7 3 11 3" xfId="2731" xr:uid="{36C7C76F-FB84-4474-BF69-AF9BE4588948}"/>
    <cellStyle name="Comma 7 3 12" xfId="2732" xr:uid="{B8109716-75AE-44E9-9AD2-07576AA62091}"/>
    <cellStyle name="Comma 7 3 12 2" xfId="2733" xr:uid="{656AEA66-9ADC-4549-9C18-E58F98F24DD0}"/>
    <cellStyle name="Comma 7 3 12 3" xfId="2734" xr:uid="{D4DFA164-1580-48AB-877A-5684FA7EF704}"/>
    <cellStyle name="Comma 7 3 13" xfId="2735" xr:uid="{910AD745-7DC5-44C5-B883-4E169A10220C}"/>
    <cellStyle name="Comma 7 3 13 2" xfId="2736" xr:uid="{763D2370-90F1-42FA-A702-87758E350A48}"/>
    <cellStyle name="Comma 7 3 13 3" xfId="2737" xr:uid="{80B2520A-F71B-450D-9CB2-5F2480CFDAB8}"/>
    <cellStyle name="Comma 7 3 14" xfId="2738" xr:uid="{E607EDB2-3404-4D91-99FB-895B5D6CA3A1}"/>
    <cellStyle name="Comma 7 3 14 2" xfId="2739" xr:uid="{BE1CF72D-9CAF-4F8E-952C-B970F85981EC}"/>
    <cellStyle name="Comma 7 3 14 3" xfId="2740" xr:uid="{A45D2F14-7FD8-4232-8468-72C3B60312A7}"/>
    <cellStyle name="Comma 7 3 15" xfId="2741" xr:uid="{2C9FC559-D529-449F-BC4A-4F8E48C88C4A}"/>
    <cellStyle name="Comma 7 3 15 2" xfId="2742" xr:uid="{9C2B68B3-CC83-4AE8-95E3-0A9AFE227683}"/>
    <cellStyle name="Comma 7 3 15 3" xfId="2743" xr:uid="{3AE0C16E-B8BE-4C05-BDFF-9D895F022FE1}"/>
    <cellStyle name="Comma 7 3 2" xfId="2744" xr:uid="{20C4D72C-BB2B-4A1C-9C87-FC13796E6331}"/>
    <cellStyle name="Comma 7 3 2 2" xfId="2745" xr:uid="{2F57AA9A-2C4F-4A59-9BD9-B728A1323C3B}"/>
    <cellStyle name="Comma 7 3 2 3" xfId="2746" xr:uid="{52F335B8-F24C-41A5-AEAE-9F2485DDE95A}"/>
    <cellStyle name="Comma 7 3 3" xfId="2747" xr:uid="{8BFEDB3C-8BDC-4986-ADE8-7EA10DC75BA2}"/>
    <cellStyle name="Comma 7 3 3 2" xfId="2748" xr:uid="{4CFB68CA-FB00-4D07-9B64-24CC95D85112}"/>
    <cellStyle name="Comma 7 3 3 3" xfId="2749" xr:uid="{74B97414-49A6-4C1F-9F33-32DA715A732F}"/>
    <cellStyle name="Comma 7 3 4" xfId="2750" xr:uid="{C1DC0980-2B6A-4888-8DC9-CAA19F56D38E}"/>
    <cellStyle name="Comma 7 3 4 2" xfId="2751" xr:uid="{50B35685-1C23-4398-B547-A9EE807B7F93}"/>
    <cellStyle name="Comma 7 3 4 3" xfId="2752" xr:uid="{89899DEA-9773-48FF-B817-DC264F4E632E}"/>
    <cellStyle name="Comma 7 3 5" xfId="2753" xr:uid="{FF1B5008-8089-408D-8487-D24C40A5B6D1}"/>
    <cellStyle name="Comma 7 3 5 2" xfId="2754" xr:uid="{5B1C3B85-1CB8-42EE-B955-572B45FD48CC}"/>
    <cellStyle name="Comma 7 3 5 3" xfId="2755" xr:uid="{2A54DFCF-DB6D-42F6-8639-5AAC8328A52B}"/>
    <cellStyle name="Comma 7 3 6" xfId="2756" xr:uid="{862A95BA-5C97-426E-8642-316F09DE8C86}"/>
    <cellStyle name="Comma 7 3 6 2" xfId="2757" xr:uid="{E6CA90FD-039F-458B-83EC-19A16FFC1946}"/>
    <cellStyle name="Comma 7 3 6 3" xfId="2758" xr:uid="{96DAB882-4CA9-4D60-B3D5-9DAABA29F8BA}"/>
    <cellStyle name="Comma 7 3 7" xfId="2759" xr:uid="{E5EC24E0-971F-41FE-82B0-476BBD77C165}"/>
    <cellStyle name="Comma 7 3 7 2" xfId="2760" xr:uid="{2490E979-6238-40FD-AD38-0517889B9C32}"/>
    <cellStyle name="Comma 7 3 7 3" xfId="2761" xr:uid="{713C6626-00B9-44DE-AE5E-E16103199E97}"/>
    <cellStyle name="Comma 7 3 8" xfId="2762" xr:uid="{21834B81-DD47-4DEB-8B4D-DDEFE837C599}"/>
    <cellStyle name="Comma 7 3 8 2" xfId="2763" xr:uid="{ADD3E315-D12C-419E-9C59-20830058D4AF}"/>
    <cellStyle name="Comma 7 3 8 3" xfId="2764" xr:uid="{046C3344-FB43-42B0-BF48-4C2B333E687B}"/>
    <cellStyle name="Comma 7 3 9" xfId="2765" xr:uid="{DB7E8D0C-32AA-4033-AD56-198B69B13C84}"/>
    <cellStyle name="Comma 7 3 9 2" xfId="2766" xr:uid="{CB59AC77-D315-4C83-8C0B-C39CB7B5977C}"/>
    <cellStyle name="Comma 7 3 9 3" xfId="2767" xr:uid="{1298D124-ADBE-4159-960C-BD5575986430}"/>
    <cellStyle name="Comma 7 4" xfId="2768" xr:uid="{7D3362CD-6965-483F-BACD-DE11F2F142E0}"/>
    <cellStyle name="Comma 7 4 2" xfId="2769" xr:uid="{2F9CFC89-E62D-4C2E-87B0-DBA303E927F6}"/>
    <cellStyle name="Comma 7 4 3" xfId="2770" xr:uid="{121493B5-2B94-4F3D-BED7-AD98565E9FFE}"/>
    <cellStyle name="Comma 7 5" xfId="2771" xr:uid="{827B5834-CAD8-4EC3-BDB1-600C066B7287}"/>
    <cellStyle name="Comma 7 5 2" xfId="2772" xr:uid="{E6A6BDBE-98EA-4A22-9D5A-5329BE530E2F}"/>
    <cellStyle name="Comma 7 5 3" xfId="2773" xr:uid="{AA0FEF69-D0A6-4E05-82AC-9A7828D1B263}"/>
    <cellStyle name="Comma 7 6" xfId="2774" xr:uid="{55E31929-BBDE-4466-A5BF-F726ADADCE78}"/>
    <cellStyle name="Comma 7 6 2" xfId="2775" xr:uid="{9C10DF0C-4648-4772-BA51-83BB69ED0B27}"/>
    <cellStyle name="Comma 7 6 3" xfId="2776" xr:uid="{C0D1C550-A5D0-43E0-9780-8FA09CD2E7F8}"/>
    <cellStyle name="Comma 7 7" xfId="2777" xr:uid="{01DD1B81-AD7D-45D5-A9F9-6CA8827D0916}"/>
    <cellStyle name="Comma 7 7 2" xfId="2778" xr:uid="{0AF04EBC-5D62-4576-9389-58527B97DDE8}"/>
    <cellStyle name="Comma 7 7 3" xfId="2779" xr:uid="{BDA9A892-1772-43A6-8489-FB598FB867A0}"/>
    <cellStyle name="Comma 7 8" xfId="2780" xr:uid="{58271E36-5F93-4548-8054-9501AA4B6536}"/>
    <cellStyle name="Comma 7 8 2" xfId="2781" xr:uid="{D25DCC6E-5261-44BC-A1BC-06DA25B22F8D}"/>
    <cellStyle name="Comma 7 8 3" xfId="2782" xr:uid="{03CC49A6-FE34-427F-9357-1784ACCAC721}"/>
    <cellStyle name="Comma 7 9" xfId="2783" xr:uid="{5A88CAB9-6146-41FD-9D65-AD2F01EEB280}"/>
    <cellStyle name="Comma 7 9 2" xfId="2784" xr:uid="{0D98EED8-AB75-4827-B485-B7CE3F134F10}"/>
    <cellStyle name="Comma 7 9 3" xfId="2785" xr:uid="{B1DEAF12-84EA-4361-9AE8-B60E7054BBAD}"/>
    <cellStyle name="Comma 8" xfId="2786" xr:uid="{25E36B7D-B8C9-430A-92A6-8B9268007F75}"/>
    <cellStyle name="Comma 8 2" xfId="2787" xr:uid="{26DCA21E-AE2A-4D7F-AE45-6378FD8C860B}"/>
    <cellStyle name="Comma 8 2 2" xfId="2788" xr:uid="{2F41317D-CF9B-4E4F-A19C-ED7A04F57FA4}"/>
    <cellStyle name="Comma 8 2 2 2" xfId="2789" xr:uid="{0A3A2F99-6248-4C7A-A33A-B2DC22E9B65F}"/>
    <cellStyle name="Comma 8 2 2 2 2" xfId="2790" xr:uid="{7D33F9DE-1210-4C5B-81FA-9BE0C0DAAF7F}"/>
    <cellStyle name="Comma 8 2 2 2 3" xfId="2791" xr:uid="{FB5FA36F-6F1C-44BE-B8AE-C895E288EA13}"/>
    <cellStyle name="Comma 8 2 3" xfId="2792" xr:uid="{A3FDF482-BEDA-4374-AA50-6A64A3F805D6}"/>
    <cellStyle name="Comma 8 3" xfId="2793" xr:uid="{F0C3DDCB-36B3-4D6A-BDB1-CDC9FAD73113}"/>
    <cellStyle name="Comma 8 3 2" xfId="2794" xr:uid="{153654C9-EC01-4982-870C-71F2483942C2}"/>
    <cellStyle name="Comma 8 4" xfId="2795" xr:uid="{BDC8239E-DA60-46A9-8604-95F9F8AA1FA9}"/>
    <cellStyle name="Comma 8 4 2" xfId="2796" xr:uid="{FA84D5CD-CCA9-4444-8C19-DA4A75F13AF9}"/>
    <cellStyle name="Comma 8 5" xfId="2797" xr:uid="{9B51E88D-EC76-4C99-AD6A-5C8256DE67D3}"/>
    <cellStyle name="Comma 8 5 2" xfId="2798" xr:uid="{577DC40A-14E6-4075-9CF7-7795E7592FBF}"/>
    <cellStyle name="Comma 8 6" xfId="2799" xr:uid="{04324AEB-0D9F-4DA1-9AFD-8A61DCA23E4C}"/>
    <cellStyle name="Comma 8 6 2" xfId="2800" xr:uid="{3798875D-0780-4928-90A4-92262F0CF4EF}"/>
    <cellStyle name="Comma 8 7" xfId="2801" xr:uid="{039D00C9-10AB-468E-AEEA-7281886000FB}"/>
    <cellStyle name="Comma 8 7 2" xfId="2802" xr:uid="{BDA8D35B-E2DE-40FC-AE67-E76922F88458}"/>
    <cellStyle name="Comma 8 8" xfId="2803" xr:uid="{DDAF19D4-602D-4E4F-805D-C52846B55444}"/>
    <cellStyle name="Comma 8 8 2" xfId="2804" xr:uid="{883BE097-9CB4-4566-9CC4-B70604A2A066}"/>
    <cellStyle name="Comma 9" xfId="2805" xr:uid="{B143937D-8431-4245-8018-E564863358C8}"/>
    <cellStyle name="Comma 9 10" xfId="2806" xr:uid="{560D6D73-FFB8-4859-A9B2-E8CD761D0FF1}"/>
    <cellStyle name="Comma 9 10 2" xfId="2807" xr:uid="{A1B5B710-D3E2-4CB4-B924-A91F0CBDE669}"/>
    <cellStyle name="Comma 9 10 3" xfId="2808" xr:uid="{CEC79562-A8B7-497D-861C-5E83CFB514B0}"/>
    <cellStyle name="Comma 9 2" xfId="2809" xr:uid="{1BE1691F-B6C6-4AFC-8F30-E127B390A854}"/>
    <cellStyle name="Comma 9 2 2" xfId="2810" xr:uid="{EC5B8104-8328-4A5D-A5E2-7393166A29C4}"/>
    <cellStyle name="Comma 9 2 3" xfId="2811" xr:uid="{0D64F5E9-87D9-46AD-AE95-184ADDE2AF14}"/>
    <cellStyle name="Comma 9 3" xfId="2812" xr:uid="{EA79A7B3-3CBF-4584-BFBA-72F0BA78B683}"/>
    <cellStyle name="Comma 9 3 2" xfId="2813" xr:uid="{C04FCDCD-A686-44FF-961D-B1BF221B4CA0}"/>
    <cellStyle name="Comma 9 3 3" xfId="2814" xr:uid="{939418B5-6556-44D2-ADFF-A6B24D322523}"/>
    <cellStyle name="Comma 9 4" xfId="2815" xr:uid="{5C280CAE-48FE-4153-B2F1-12121011EFA9}"/>
    <cellStyle name="Comma 9 4 2" xfId="2816" xr:uid="{CBE852E8-C026-49C7-AC84-65A95FA0BEE3}"/>
    <cellStyle name="Comma 9 4 3" xfId="2817" xr:uid="{EC9DC515-3402-4F43-9822-9CEB85FF3325}"/>
    <cellStyle name="Comma 9 5" xfId="2818" xr:uid="{A2F74172-9AA1-4ECE-8CF2-3E01A55AAAF5}"/>
    <cellStyle name="Comma 9 5 2" xfId="2819" xr:uid="{E570A5B1-C474-4004-9BE8-085EA5EB0DF3}"/>
    <cellStyle name="Comma 9 5 3" xfId="2820" xr:uid="{BEF4EE6E-14B9-428A-BD5C-20BE1A3C79C2}"/>
    <cellStyle name="Comma 9 6" xfId="2821" xr:uid="{1076FACE-15E0-4ABC-9549-2A8D8C249CD8}"/>
    <cellStyle name="Comma 9 6 2" xfId="2822" xr:uid="{9F624593-D183-4DC5-AB0F-62688EC134D7}"/>
    <cellStyle name="Comma 9 6 3" xfId="2823" xr:uid="{4DEC4215-9DCC-4598-AFB8-61D80929509F}"/>
    <cellStyle name="Comma 9 7" xfId="2824" xr:uid="{86B935C5-61A5-46F7-BFF4-D2BC9BE1DEDF}"/>
    <cellStyle name="Comma 9 7 2" xfId="2825" xr:uid="{D4329DCA-AF6D-473F-8AF2-0B7EE1E2D996}"/>
    <cellStyle name="Comma 9 7 3" xfId="2826" xr:uid="{80DA8235-8B75-4980-97DC-A92C0DDB86E8}"/>
    <cellStyle name="Comma 9 8" xfId="2827" xr:uid="{E53C6240-9B01-4DBC-B953-CDE819AD12BD}"/>
    <cellStyle name="Comma 9 8 2" xfId="2828" xr:uid="{455762F0-3D6B-4E46-9B5C-DE13D7BF68CD}"/>
    <cellStyle name="Comma 9 8 3" xfId="2829" xr:uid="{3D93AFC0-D4EC-48CD-A082-8898A93BD2C1}"/>
    <cellStyle name="Comma 9 9" xfId="2830" xr:uid="{8F9A19C0-4549-40E1-9B5C-3C25FCF28418}"/>
    <cellStyle name="Comma 9 9 2" xfId="2831" xr:uid="{B61FE02F-F8A8-4F70-9B98-D9E4D03EDE94}"/>
    <cellStyle name="Comma 9 9 3" xfId="2832" xr:uid="{735AE33A-2A11-4FEF-9CE0-DCCC96C5E1EF}"/>
    <cellStyle name="Constants" xfId="2833" xr:uid="{C56F9786-DE1A-4C66-B5A4-06EA39E3B2F2}"/>
    <cellStyle name="Currency" xfId="31" builtinId="4"/>
    <cellStyle name="Currency 2" xfId="2834" xr:uid="{50EC54B9-EC79-44B7-B03F-CADE159D9081}"/>
    <cellStyle name="Currency 2 2" xfId="2835" xr:uid="{7F0F4F25-EEFA-4FA2-94CA-C4DA48C9A991}"/>
    <cellStyle name="Currency 2 3" xfId="2836" xr:uid="{F9A53661-9EE6-4636-97DA-BF86543F99BF}"/>
    <cellStyle name="CustomCellsOrange" xfId="2837" xr:uid="{8AC757AD-3BB6-481A-B283-B82DCDECE94D}"/>
    <cellStyle name="CustomizationCells" xfId="2838" xr:uid="{1C506BD1-CD1B-4998-B5D2-F9845A89C3E2}"/>
    <cellStyle name="CustomizationGreenCells" xfId="2839" xr:uid="{E5055DC7-BCAF-4695-B380-4DB8A1A912F7}"/>
    <cellStyle name="Date" xfId="4" xr:uid="{00000000-0005-0000-0000-000004000000}"/>
    <cellStyle name="DocBox_EmptyRow" xfId="2840" xr:uid="{F735C291-3A50-419A-A035-1E8FA87A0B42}"/>
    <cellStyle name="donn_normal" xfId="2841" xr:uid="{D3EDB478-684C-4043-A242-361BD78C08F9}"/>
    <cellStyle name="Eingabe" xfId="2842" xr:uid="{DF52BC2A-DAE8-44B5-86A3-A334B9A27191}"/>
    <cellStyle name="Empty_B_border" xfId="2843" xr:uid="{B245AE11-4DA8-43F4-A41D-EB8900BBE769}"/>
    <cellStyle name="ent_col_ser" xfId="2844" xr:uid="{C480CBEC-9414-4F06-A150-F3223E565E4C}"/>
    <cellStyle name="entete_source" xfId="2845" xr:uid="{19DA7E38-9865-4111-97CD-D5BC1299FBF2}"/>
    <cellStyle name="Ergebnis" xfId="2846" xr:uid="{B603CD18-D1BD-4884-A808-7D2CCF23A9B9}"/>
    <cellStyle name="Erklärender Text" xfId="2847" xr:uid="{650BC36A-FD16-425F-8CCD-8C1277C2175A}"/>
    <cellStyle name="Estilo 1" xfId="2848" xr:uid="{F0137F85-E9DF-4B14-8D42-4FEDB5DF7092}"/>
    <cellStyle name="Euro" xfId="2849" xr:uid="{B7567654-4CEE-4DC4-B30E-3485F2AA568F}"/>
    <cellStyle name="Euro 10" xfId="2850" xr:uid="{1DD56988-3895-43D3-99CD-077EF849A44A}"/>
    <cellStyle name="Euro 10 2" xfId="2851" xr:uid="{41F09ECC-EFAC-477C-9DBE-704E7D4786B5}"/>
    <cellStyle name="Euro 11" xfId="2852" xr:uid="{EA073EBB-5D24-4C20-B883-52DB4F410C35}"/>
    <cellStyle name="Euro 11 2" xfId="2853" xr:uid="{D6886E33-F32D-4818-9E7C-4061F8804D02}"/>
    <cellStyle name="Euro 12" xfId="2854" xr:uid="{00459294-965A-4907-806E-733B1C30F85F}"/>
    <cellStyle name="Euro 13" xfId="2855" xr:uid="{19E89167-A008-492B-B982-42C2D7F1A9B4}"/>
    <cellStyle name="Euro 14" xfId="2856" xr:uid="{2E98446C-DD4A-43CA-925C-9742F13F6F86}"/>
    <cellStyle name="Euro 15" xfId="2857" xr:uid="{2FDD1D5D-C746-42E8-BA77-36E505B16087}"/>
    <cellStyle name="Euro 16" xfId="2858" xr:uid="{5B16DF7D-348D-4918-894F-C6BD4F0676BD}"/>
    <cellStyle name="Euro 17" xfId="2859" xr:uid="{85ED3A92-A724-4EFB-AB6E-D2E8D12BCE6C}"/>
    <cellStyle name="Euro 18" xfId="2860" xr:uid="{51C3AD80-E71B-4AFC-85D9-63FDFC52485A}"/>
    <cellStyle name="Euro 19" xfId="2861" xr:uid="{ACD2F74A-8907-4B69-B9F1-80CD2B1FB928}"/>
    <cellStyle name="Euro 2" xfId="2862" xr:uid="{FFA467EA-75E8-4900-950D-CD70BAF094B5}"/>
    <cellStyle name="Euro 2 2" xfId="2863" xr:uid="{F6D3CAE6-1FA9-460C-BBBA-3B5DD5FEDA33}"/>
    <cellStyle name="Euro 2 2 2" xfId="2864" xr:uid="{A4982D82-E725-4549-AA98-EE97AF1BC285}"/>
    <cellStyle name="Euro 2 2 2 2" xfId="2865" xr:uid="{6EB00A9E-00EE-416A-8F89-FD84FD105BCB}"/>
    <cellStyle name="Euro 2 2 3" xfId="2866" xr:uid="{C80E3DA3-B6D1-4C9D-92EF-2B93B4F89F34}"/>
    <cellStyle name="Euro 2 2 4" xfId="2867" xr:uid="{C1155FB6-A686-4911-86BA-EB9E6F3F5C71}"/>
    <cellStyle name="Euro 2 2 4 2" xfId="2868" xr:uid="{0C8E412F-593A-4387-B8D2-B6E07793D60E}"/>
    <cellStyle name="Euro 2 2 4 3" xfId="2869" xr:uid="{22450E9D-646A-40B1-A094-CF17FE7BAABA}"/>
    <cellStyle name="Euro 2 2 5" xfId="2870" xr:uid="{1811F3AE-80BD-4062-BE9C-7CEA71C5EB8C}"/>
    <cellStyle name="Euro 2 2 6" xfId="2871" xr:uid="{1789D84B-D1EB-4955-A988-C5F188728294}"/>
    <cellStyle name="Euro 2 3" xfId="2872" xr:uid="{EAB14C50-DFC4-4678-8666-4F21257266DF}"/>
    <cellStyle name="Euro 2 3 2" xfId="2873" xr:uid="{7DCE7676-DA64-4A28-B0CA-9F4B57C17A77}"/>
    <cellStyle name="Euro 2 4" xfId="2874" xr:uid="{086B6D4F-7E5A-41FE-B829-9714D02BE0E4}"/>
    <cellStyle name="Euro 2 4 2" xfId="2875" xr:uid="{7C5AD2BB-96A8-4D47-B5CF-920EAC5AEE2C}"/>
    <cellStyle name="Euro 2 4 3" xfId="2876" xr:uid="{609D2B26-5074-4C2E-AC2B-5A8C4B72EFBE}"/>
    <cellStyle name="Euro 2 4 4" xfId="2877" xr:uid="{C0242FDB-8F6D-434D-9E34-5C4D93F0C501}"/>
    <cellStyle name="Euro 2 5" xfId="2878" xr:uid="{92688F2B-5BA4-4537-98FE-23C1A7770A88}"/>
    <cellStyle name="Euro 2 6" xfId="2879" xr:uid="{3F23986A-703E-4150-91DF-0397A1C56C3B}"/>
    <cellStyle name="Euro 2 7" xfId="2880" xr:uid="{21CDBE57-2CCB-4476-B299-F0FDB849528A}"/>
    <cellStyle name="Euro 2 8" xfId="2881" xr:uid="{AF62F0B8-66E1-4C21-9A40-6836725DED26}"/>
    <cellStyle name="Euro 20" xfId="2882" xr:uid="{CDABC234-9E3C-48B9-83B1-D2B25B347034}"/>
    <cellStyle name="Euro 21" xfId="2883" xr:uid="{26E5A027-8D29-4F08-AAC3-B1180A538642}"/>
    <cellStyle name="Euro 22" xfId="2884" xr:uid="{0630BD6B-9472-470A-B57D-01EF0C3F0B95}"/>
    <cellStyle name="Euro 23" xfId="2885" xr:uid="{C2219B7E-7F96-4052-BD5E-F957AF13B164}"/>
    <cellStyle name="Euro 24" xfId="2886" xr:uid="{D2762A4F-15C8-4411-BA5F-14E34CF8F78B}"/>
    <cellStyle name="Euro 25" xfId="2887" xr:uid="{CB3E47B7-4A3C-4EFC-A6A4-7DA618A2DF76}"/>
    <cellStyle name="Euro 26" xfId="2888" xr:uid="{DE6A70F9-BD5D-4D80-AB9A-6260EBDAE67C}"/>
    <cellStyle name="Euro 27" xfId="2889" xr:uid="{91A5A2BF-5226-43C8-B9E3-F0CF498D3A83}"/>
    <cellStyle name="Euro 28" xfId="2890" xr:uid="{FA93871B-4D9E-4944-BD19-E4CAC7F326FE}"/>
    <cellStyle name="Euro 29" xfId="2891" xr:uid="{67F62494-6AE8-49DB-BD3C-E9F8DB6199D0}"/>
    <cellStyle name="Euro 3" xfId="2892" xr:uid="{2183B61D-0BC6-44B7-BB4B-4D1878ACD174}"/>
    <cellStyle name="Euro 3 10" xfId="2893" xr:uid="{0CA7FEF5-7126-45B8-90DF-02F8C1966BB0}"/>
    <cellStyle name="Euro 3 2" xfId="2894" xr:uid="{8C5AF9AF-B5D3-462A-8F74-0732D9CF6F5E}"/>
    <cellStyle name="Euro 3 2 2" xfId="2895" xr:uid="{7C5B2806-D906-48DE-8B68-9C86822BF688}"/>
    <cellStyle name="Euro 3 2 2 2" xfId="2896" xr:uid="{DBA16F74-53B5-4294-A46E-645443AFE37C}"/>
    <cellStyle name="Euro 3 3" xfId="2897" xr:uid="{CEF08817-3973-46BB-99CC-1EB6A7B70D74}"/>
    <cellStyle name="Euro 3 3 2" xfId="2898" xr:uid="{FAA782C6-D891-4433-96B1-CC68141B2320}"/>
    <cellStyle name="Euro 3 3 3" xfId="2899" xr:uid="{4640A1DD-9B89-4257-B1DE-BBD7681A6259}"/>
    <cellStyle name="Euro 3 3 4" xfId="2900" xr:uid="{07684BEC-DA35-4327-B698-4A264ACC9D77}"/>
    <cellStyle name="Euro 3 3 4 2" xfId="2901" xr:uid="{08025A5D-CFBF-4F11-A17F-D11C20B8D261}"/>
    <cellStyle name="Euro 3 3 5" xfId="2902" xr:uid="{FDA7508B-272E-4B4E-B6A5-68EEE415C629}"/>
    <cellStyle name="Euro 3 4" xfId="2903" xr:uid="{BFCD122C-060B-4E2C-A1E2-04F5D62DCECD}"/>
    <cellStyle name="Euro 3 4 2" xfId="2904" xr:uid="{B0011ADD-E344-4C19-89F6-7808D46C9669}"/>
    <cellStyle name="Euro 3 5" xfId="2905" xr:uid="{B470FA80-D799-4426-8CBB-6D5303A635F4}"/>
    <cellStyle name="Euro 3 6" xfId="2906" xr:uid="{6791BBA8-A53B-4874-9F05-01CCC6FF3D7A}"/>
    <cellStyle name="Euro 3 7" xfId="2907" xr:uid="{22EBDE84-82AE-493E-8461-B4C24CC476AF}"/>
    <cellStyle name="Euro 3 8" xfId="2908" xr:uid="{26482FDA-CFCC-48BB-BB5B-C582D1DE5BC2}"/>
    <cellStyle name="Euro 3 9" xfId="2909" xr:uid="{E632F38A-4B29-490D-8AAF-E83CD957FBAF}"/>
    <cellStyle name="Euro 3_PrimaryEnergyPrices_TIMES" xfId="2910" xr:uid="{02084FBE-1B2E-4BFE-A520-04F42EF9B6FB}"/>
    <cellStyle name="Euro 30" xfId="2911" xr:uid="{61D3437A-BEDD-4879-BC23-4AF45B8CFEA3}"/>
    <cellStyle name="Euro 31" xfId="2912" xr:uid="{316A0428-CA8C-46D9-82C5-E2C764787035}"/>
    <cellStyle name="Euro 32" xfId="2913" xr:uid="{50287F4C-4D01-4D38-9CDB-C2FC91D22932}"/>
    <cellStyle name="Euro 33" xfId="2914" xr:uid="{6307952B-887B-4182-BFF8-08A6E7C571CA}"/>
    <cellStyle name="Euro 34" xfId="2915" xr:uid="{09ADE3AF-A74B-4B8C-B0BC-C55DD319216A}"/>
    <cellStyle name="Euro 35" xfId="2916" xr:uid="{81A86EED-842F-4B48-8ABE-27603DC6AE11}"/>
    <cellStyle name="Euro 36" xfId="2917" xr:uid="{A9299984-27F0-45F2-9BD9-8E9CDBB9A3EB}"/>
    <cellStyle name="Euro 37" xfId="2918" xr:uid="{0D142400-703D-4DD6-ACA3-10FB13043FDF}"/>
    <cellStyle name="Euro 38" xfId="2919" xr:uid="{6D8A0999-369C-4084-9803-D0D137C50A04}"/>
    <cellStyle name="Euro 39" xfId="2920" xr:uid="{87F2EB5B-6D89-4152-89FD-1403AB3F7B1A}"/>
    <cellStyle name="Euro 4" xfId="2921" xr:uid="{09531335-F218-4518-8642-95D43984CFCF}"/>
    <cellStyle name="Euro 4 2" xfId="2922" xr:uid="{A100C0A9-BD0A-4807-B364-1F85D075C6B5}"/>
    <cellStyle name="Euro 4 2 2" xfId="2923" xr:uid="{1EA56CE5-4520-496B-A453-E58DEC099915}"/>
    <cellStyle name="Euro 4 2 2 2" xfId="2924" xr:uid="{E8D6E0DD-8E81-4277-9688-BB1A1375D01D}"/>
    <cellStyle name="Euro 4 3" xfId="2925" xr:uid="{AE80610D-C31E-4551-AC08-90912BEB1BB8}"/>
    <cellStyle name="Euro 4 3 2" xfId="2926" xr:uid="{57702B3F-AF40-4281-9973-77F9973FF0CE}"/>
    <cellStyle name="Euro 4 3 3" xfId="2927" xr:uid="{7E4CD8A2-EA44-46C1-8617-DCE5EE1A0AEF}"/>
    <cellStyle name="Euro 4 3 4" xfId="2928" xr:uid="{9C4CAAD1-BD32-4E13-9D4C-48D086FD7D53}"/>
    <cellStyle name="Euro 4 3 4 2" xfId="2929" xr:uid="{E11C8E3B-B277-4DEF-A587-6D46F501AC23}"/>
    <cellStyle name="Euro 4 3 5" xfId="2930" xr:uid="{1EBEE5C6-B23E-42C9-B090-EC11D2F5542D}"/>
    <cellStyle name="Euro 4 4" xfId="2931" xr:uid="{50B5FBB7-88F4-43DC-9E13-D755F784688B}"/>
    <cellStyle name="Euro 4 4 2" xfId="2932" xr:uid="{97D09D9E-2B69-4BDD-AE42-942E123DC96F}"/>
    <cellStyle name="Euro 4 4 3" xfId="2933" xr:uid="{74E9A5E4-B6EE-4E83-B762-8EC9AC8FB2D9}"/>
    <cellStyle name="Euro 4 4 4" xfId="2934" xr:uid="{56CB8FF9-9104-4569-878E-094E403EB994}"/>
    <cellStyle name="Euro 4 5" xfId="2935" xr:uid="{7E422F23-2602-4AC4-8BB8-611CB70F9A7D}"/>
    <cellStyle name="Euro 40" xfId="2936" xr:uid="{9C00A0CD-8E54-438F-A5E6-8EEA997CB5D0}"/>
    <cellStyle name="Euro 41" xfId="2937" xr:uid="{5A2D648D-68C1-4DD0-8865-CA3B4FB590A2}"/>
    <cellStyle name="Euro 42" xfId="2938" xr:uid="{AE4D2AF2-882B-41B2-9A1B-D913859E5311}"/>
    <cellStyle name="Euro 43" xfId="2939" xr:uid="{79CEE685-8CFF-483C-BC02-3C9433DBCAC5}"/>
    <cellStyle name="Euro 44" xfId="2940" xr:uid="{B4EEB7E1-D035-44CD-8CB6-5CD204DD123A}"/>
    <cellStyle name="Euro 45" xfId="2941" xr:uid="{322E4164-7040-4A53-9EA6-A1884488D731}"/>
    <cellStyle name="Euro 46" xfId="2942" xr:uid="{3484EC9B-39C9-4B00-AF4A-8B112FD7C891}"/>
    <cellStyle name="Euro 47" xfId="2943" xr:uid="{F5C08AE2-1431-41BA-811D-17848942C728}"/>
    <cellStyle name="Euro 48" xfId="2944" xr:uid="{713CFF3A-46F2-4EBB-993E-0C2AC0C2CD04}"/>
    <cellStyle name="Euro 48 2" xfId="2945" xr:uid="{07614EE9-AB78-4866-9000-9897E67E9DD9}"/>
    <cellStyle name="Euro 49" xfId="2946" xr:uid="{39518F2F-8000-4A07-935C-C881A887ABE0}"/>
    <cellStyle name="Euro 49 2" xfId="2947" xr:uid="{86BD85CF-230F-409E-895F-40AFC0C2CB61}"/>
    <cellStyle name="Euro 5" xfId="2948" xr:uid="{12665BFA-846C-4EC0-AD42-30D287F8C0A0}"/>
    <cellStyle name="Euro 5 2" xfId="2949" xr:uid="{54121CFC-DEBF-4CB0-85F9-9FE33E884A6A}"/>
    <cellStyle name="Euro 5 2 2" xfId="2950" xr:uid="{58B6E086-56DE-4B2C-B602-6A65FC47A2F0}"/>
    <cellStyle name="Euro 5 3" xfId="2951" xr:uid="{FAADB012-F6A9-453B-884D-9D13A8FF1C62}"/>
    <cellStyle name="Euro 5 3 2" xfId="2952" xr:uid="{6C4ADEE0-50CC-464C-98E1-AA7740E50FBF}"/>
    <cellStyle name="Euro 5 4" xfId="2953" xr:uid="{066DF1E8-2C41-47F5-8FF1-85D255074C5B}"/>
    <cellStyle name="Euro 5 4 2" xfId="2954" xr:uid="{58575339-4F8E-45B3-AB6F-8C7E30CCFC8E}"/>
    <cellStyle name="Euro 50" xfId="2955" xr:uid="{BDB637A6-5D43-466C-802C-3F5126007B95}"/>
    <cellStyle name="Euro 50 2" xfId="2956" xr:uid="{2AF0140F-89E8-42E1-AFC5-78EDF0E3A67A}"/>
    <cellStyle name="Euro 51" xfId="2957" xr:uid="{4FE85C7C-3420-416E-9344-634727AF12C9}"/>
    <cellStyle name="Euro 51 2" xfId="2958" xr:uid="{082FB481-013D-4C0A-8E65-BC82FD7E5FD9}"/>
    <cellStyle name="Euro 52" xfId="2959" xr:uid="{003D520A-BF45-4BFB-8B0C-AB327DA51BFB}"/>
    <cellStyle name="Euro 52 2" xfId="2960" xr:uid="{5D72EBCD-FE18-47C3-B4DC-B4AEDF29D037}"/>
    <cellStyle name="Euro 53" xfId="2961" xr:uid="{3BADE5DE-6F05-4F3E-ADB5-AA959F7B03DB}"/>
    <cellStyle name="Euro 53 2" xfId="2962" xr:uid="{199AF438-1D63-42D9-BA71-69E38D13D2D3}"/>
    <cellStyle name="Euro 54" xfId="2963" xr:uid="{5917F3C2-454B-4798-9B94-76AE1AC9C2BF}"/>
    <cellStyle name="Euro 54 2" xfId="2964" xr:uid="{F5FC1108-D023-43B6-B6E8-AD47891AD1CB}"/>
    <cellStyle name="Euro 55" xfId="2965" xr:uid="{10D97CDF-4562-4E85-8EE6-36F4C1EF6A39}"/>
    <cellStyle name="Euro 55 2" xfId="2966" xr:uid="{93049917-0C4F-4693-A6BC-1D693D640943}"/>
    <cellStyle name="Euro 56" xfId="2967" xr:uid="{E8FE6823-BFF1-45A3-8C48-19DECE3A3B28}"/>
    <cellStyle name="Euro 56 2" xfId="2968" xr:uid="{9952A149-04C4-459F-8C5A-CB93F4CCA19D}"/>
    <cellStyle name="Euro 57" xfId="2969" xr:uid="{A2292C65-AAB0-4E7A-A3D7-B4EE323A7D86}"/>
    <cellStyle name="Euro 58" xfId="2970" xr:uid="{475946E1-75E9-416F-9F49-3221C8AFCD42}"/>
    <cellStyle name="Euro 58 2" xfId="2971" xr:uid="{C5E248F4-7BEE-4782-849A-C2495711E869}"/>
    <cellStyle name="Euro 58 3" xfId="2972" xr:uid="{FB1C2937-F386-4AE0-A90C-1E7F321CD2D2}"/>
    <cellStyle name="Euro 58 4" xfId="2973" xr:uid="{75A5F24A-3F99-4A25-A333-55E28D672AC3}"/>
    <cellStyle name="Euro 58 5" xfId="2974" xr:uid="{CAA7B405-B6B0-4796-86A7-00AFBBF4F3F0}"/>
    <cellStyle name="Euro 59" xfId="2975" xr:uid="{20D947B3-C325-4008-B664-C1513A0B86E4}"/>
    <cellStyle name="Euro 6" xfId="2976" xr:uid="{481E85E5-CC44-40D2-B80E-2442D492841E}"/>
    <cellStyle name="Euro 6 2" xfId="2977" xr:uid="{383DDFE8-99AC-4078-807D-7D9543E0DCF5}"/>
    <cellStyle name="Euro 6 2 2" xfId="2978" xr:uid="{BC695694-7E06-4D05-A746-76E57E9EF870}"/>
    <cellStyle name="Euro 6 2 3" xfId="2979" xr:uid="{4AE2C031-3A94-4C61-9844-2F4D3F346CE7}"/>
    <cellStyle name="Euro 6 3" xfId="2980" xr:uid="{BA6BC5B9-7DD8-48CC-9F0B-44090A92AFB4}"/>
    <cellStyle name="Euro 6 3 2" xfId="2981" xr:uid="{C0A77252-9C90-406B-AB2C-E64BC36B6DC7}"/>
    <cellStyle name="Euro 6 4" xfId="2982" xr:uid="{9DE03C48-927F-40A9-8B16-8E0625753CA2}"/>
    <cellStyle name="Euro 6 5" xfId="2983" xr:uid="{A1C2F332-F5A0-4022-8223-1C6B9D0E0C9E}"/>
    <cellStyle name="Euro 60" xfId="2984" xr:uid="{AB84AA7B-FCAF-4029-B2DE-A1D321B90812}"/>
    <cellStyle name="Euro 61" xfId="2985" xr:uid="{79EC7D9A-0D89-4F74-BF67-C8177BF883A7}"/>
    <cellStyle name="Euro 61 2" xfId="2986" xr:uid="{54989090-D983-4E97-AB4D-B9BA93F68A8E}"/>
    <cellStyle name="Euro 61 3" xfId="2987" xr:uid="{16D26D61-9834-47BC-A30F-96EF37434D6D}"/>
    <cellStyle name="Euro 62" xfId="2988" xr:uid="{41145F50-C576-479A-904B-A51F21CD2D14}"/>
    <cellStyle name="Euro 62 2" xfId="2989" xr:uid="{BAEAFE3A-C90E-499D-B3EB-371F11529A8B}"/>
    <cellStyle name="Euro 7" xfId="2990" xr:uid="{A712C7B0-3673-41D8-8F77-30A186C59BAF}"/>
    <cellStyle name="Euro 7 2" xfId="2991" xr:uid="{E2EAE90B-846A-4B2C-8535-485D3190EE93}"/>
    <cellStyle name="Euro 7 3" xfId="2992" xr:uid="{9AB62971-DE16-487C-97E2-B9A5832476FD}"/>
    <cellStyle name="Euro 7 3 2" xfId="2993" xr:uid="{D5F31313-73E7-4665-AA85-BEED3DCDA0AB}"/>
    <cellStyle name="Euro 8" xfId="2994" xr:uid="{19AC5953-1B49-47C4-9D21-05F6AFB1EE36}"/>
    <cellStyle name="Euro 8 2" xfId="2995" xr:uid="{A5814D1F-61F1-4423-B511-C5DF5E87B410}"/>
    <cellStyle name="Euro 9" xfId="2996" xr:uid="{6724970C-8EB8-4781-9EB5-EED0A91348E4}"/>
    <cellStyle name="Euro 9 2" xfId="2997" xr:uid="{C035E1B2-D660-498E-A0B8-4C633F551C92}"/>
    <cellStyle name="Euro_Potentials in TIMES" xfId="2998" xr:uid="{278473E8-6449-436D-BEDD-161FEF9A2A4B}"/>
    <cellStyle name="Explanatory Text 10" xfId="2999" xr:uid="{285B15B4-A052-49F7-98B7-380903076414}"/>
    <cellStyle name="Explanatory Text 11" xfId="3000" xr:uid="{12D7052C-B69F-483E-AB8F-C784768D2C12}"/>
    <cellStyle name="Explanatory Text 12" xfId="3001" xr:uid="{892CF6AC-E003-42AA-84FF-B2D2240DB017}"/>
    <cellStyle name="Explanatory Text 13" xfId="3002" xr:uid="{1D060D5D-A60A-4CF3-BB4D-FA9CEAD4D261}"/>
    <cellStyle name="Explanatory Text 14" xfId="3003" xr:uid="{2FE3388F-D846-4DCE-859C-B988605ADE7B}"/>
    <cellStyle name="Explanatory Text 15" xfId="3004" xr:uid="{96B9B3F3-4732-4724-AD5D-CFC3410FD9FE}"/>
    <cellStyle name="Explanatory Text 16" xfId="3005" xr:uid="{BB623D1D-805F-49A8-837E-B035B069CA8F}"/>
    <cellStyle name="Explanatory Text 17" xfId="3006" xr:uid="{047A57C2-C296-4473-AD4C-130929B42213}"/>
    <cellStyle name="Explanatory Text 18" xfId="3007" xr:uid="{6F5F3FD4-43C4-42C7-ACF3-E85CEE7808D3}"/>
    <cellStyle name="Explanatory Text 19" xfId="3008" xr:uid="{E57040DA-A53C-4CE6-9A6C-911D4800D838}"/>
    <cellStyle name="Explanatory Text 2" xfId="3009" xr:uid="{00FC6F81-E0E9-4173-876F-DF6A8A552B9D}"/>
    <cellStyle name="Explanatory Text 2 10" xfId="3010" xr:uid="{EC87B27C-C46C-475E-A27C-E3828CC1ED7C}"/>
    <cellStyle name="Explanatory Text 2 2" xfId="3011" xr:uid="{8990F30E-FD1C-4EF3-BD6F-DE3B75369D44}"/>
    <cellStyle name="Explanatory Text 2 3" xfId="3012" xr:uid="{17594FF4-9CF8-4084-8C05-2CE39A870C05}"/>
    <cellStyle name="Explanatory Text 2 4" xfId="3013" xr:uid="{27584487-78EF-452E-8B0C-F7006470D298}"/>
    <cellStyle name="Explanatory Text 2 5" xfId="3014" xr:uid="{DA1906B2-81DA-41A6-A3CC-7F62A44F0CA1}"/>
    <cellStyle name="Explanatory Text 2 6" xfId="3015" xr:uid="{A5AA4A74-3DF6-48D5-9E46-5A78B63C2D88}"/>
    <cellStyle name="Explanatory Text 2 7" xfId="3016" xr:uid="{77F1330C-312F-49A3-B97A-D37F6A2A7657}"/>
    <cellStyle name="Explanatory Text 2 8" xfId="3017" xr:uid="{795AE913-F244-48EC-ACFD-9FAE2844ED58}"/>
    <cellStyle name="Explanatory Text 2 9" xfId="3018" xr:uid="{575600EE-7DCC-4242-88A1-206ADD455353}"/>
    <cellStyle name="Explanatory Text 20" xfId="3019" xr:uid="{AD51101A-2253-4AFD-A16F-F098136C3AEE}"/>
    <cellStyle name="Explanatory Text 21" xfId="3020" xr:uid="{697C1974-0548-44B0-B3CB-F80F2C230357}"/>
    <cellStyle name="Explanatory Text 22" xfId="3021" xr:uid="{8442D0CC-A253-4504-A15A-B54E2D172A2D}"/>
    <cellStyle name="Explanatory Text 23" xfId="3022" xr:uid="{79D19744-73B9-471D-8E36-CFF413202709}"/>
    <cellStyle name="Explanatory Text 24" xfId="3023" xr:uid="{23F62FD2-3596-4C2B-9FF0-9C93A99B0F0C}"/>
    <cellStyle name="Explanatory Text 25" xfId="3024" xr:uid="{66122E32-032C-4D04-A665-6B86E3044A34}"/>
    <cellStyle name="Explanatory Text 26" xfId="3025" xr:uid="{715CDD06-8A1E-42F8-A4BE-30462F0440A6}"/>
    <cellStyle name="Explanatory Text 27" xfId="3026" xr:uid="{772F1327-AC62-46C8-9975-231AE8BC7CAC}"/>
    <cellStyle name="Explanatory Text 28" xfId="3027" xr:uid="{1AE37B4A-CBD0-4A96-AD9F-916B3BC8FA4C}"/>
    <cellStyle name="Explanatory Text 29" xfId="3028" xr:uid="{C63F6F78-EBEA-4463-92C0-1C220BDD7BBF}"/>
    <cellStyle name="Explanatory Text 3" xfId="3029" xr:uid="{DAC27A42-7055-4992-8165-9423B9C5EBDD}"/>
    <cellStyle name="Explanatory Text 3 2" xfId="3030" xr:uid="{7CD5B491-A818-481F-9231-8F557505CC72}"/>
    <cellStyle name="Explanatory Text 30" xfId="3031" xr:uid="{7F579FA8-7ED7-4108-95CD-B52BB7993C63}"/>
    <cellStyle name="Explanatory Text 31" xfId="3032" xr:uid="{1B3DC6FD-9693-43DD-81C4-ED53AB1A4CFD}"/>
    <cellStyle name="Explanatory Text 32" xfId="3033" xr:uid="{5E93D4C1-74FE-48FB-937B-72A68D88CA39}"/>
    <cellStyle name="Explanatory Text 33" xfId="3034" xr:uid="{35E48B91-1616-448C-984E-D1D241E295DE}"/>
    <cellStyle name="Explanatory Text 34" xfId="3035" xr:uid="{49C7FEF6-BA50-4428-9EE5-95408BB86290}"/>
    <cellStyle name="Explanatory Text 35" xfId="3036" xr:uid="{626A1575-F572-4040-9F14-2673C42EBC5F}"/>
    <cellStyle name="Explanatory Text 36" xfId="3037" xr:uid="{83C166AA-0F99-40EB-A333-2C377D6E5E69}"/>
    <cellStyle name="Explanatory Text 37" xfId="3038" xr:uid="{4BBE1676-2E90-4498-B7AB-8AF76894FA5B}"/>
    <cellStyle name="Explanatory Text 38" xfId="3039" xr:uid="{C06C8B85-9931-4214-91F9-D4101C039DF7}"/>
    <cellStyle name="Explanatory Text 39" xfId="3040" xr:uid="{CB0BD20B-F6F6-4403-B82E-F78519BD3449}"/>
    <cellStyle name="Explanatory Text 4" xfId="3041" xr:uid="{01C04C64-E872-4FCB-830C-C1E1A2B1469B}"/>
    <cellStyle name="Explanatory Text 4 2" xfId="3042" xr:uid="{CD5D8E73-6087-44BB-87EA-F04FED9CAC14}"/>
    <cellStyle name="Explanatory Text 40" xfId="3043" xr:uid="{80232E1F-18F4-4A3F-878F-D7AFD4BD66DC}"/>
    <cellStyle name="Explanatory Text 41" xfId="3044" xr:uid="{62D6622D-B38C-4626-A7BD-3BC47B0B92B8}"/>
    <cellStyle name="Explanatory Text 42" xfId="3045" xr:uid="{49E5565C-4E1C-47EB-ABD6-D836921098CD}"/>
    <cellStyle name="Explanatory Text 43" xfId="3046" xr:uid="{DEE528D9-7E38-4A86-A1EE-B8E4B3C29CB6}"/>
    <cellStyle name="Explanatory Text 5" xfId="3047" xr:uid="{C45BCE28-62FF-4D90-B590-DF510121C22F}"/>
    <cellStyle name="Explanatory Text 5 2" xfId="3048" xr:uid="{5746EA69-A6E5-4A83-9B45-DD9D9CF9DD7A}"/>
    <cellStyle name="Explanatory Text 6" xfId="3049" xr:uid="{94EC44FA-7719-4A3B-93F8-DE9B8F7A59AE}"/>
    <cellStyle name="Explanatory Text 6 2" xfId="3050" xr:uid="{B7750DF2-AEC5-4057-B978-1555350FC7E2}"/>
    <cellStyle name="Explanatory Text 7" xfId="3051" xr:uid="{17B3F134-F794-473B-A73E-0DE6583814AA}"/>
    <cellStyle name="Explanatory Text 8" xfId="3052" xr:uid="{C642E8FC-EFA4-4F08-AE4A-6E0CAD2A7BCB}"/>
    <cellStyle name="Explanatory Text 9" xfId="3053" xr:uid="{616AE11F-93F1-4EAB-92BE-2B0EBA5786C4}"/>
    <cellStyle name="Fixed" xfId="5" xr:uid="{00000000-0005-0000-0000-000005000000}"/>
    <cellStyle name="Float" xfId="3054" xr:uid="{86D0EDD2-333F-4482-9279-0E168D7EFFA2}"/>
    <cellStyle name="Float 2" xfId="3055" xr:uid="{7301490F-34A3-4C67-980D-45DAAF258B8D}"/>
    <cellStyle name="Float 2 2" xfId="3056" xr:uid="{E14E0159-2B7F-407C-A81D-F73DA29485F2}"/>
    <cellStyle name="Float 3" xfId="3057" xr:uid="{64FF94ED-C606-43C8-83C5-34082DE56F2F}"/>
    <cellStyle name="Float 3 2" xfId="3058" xr:uid="{CA310A29-F969-4339-A0C9-4DF10D8710E9}"/>
    <cellStyle name="Float 3 3" xfId="3059" xr:uid="{16DE25E6-BEA6-41E7-B950-4F1EDD2BFD4B}"/>
    <cellStyle name="Float 4" xfId="3060" xr:uid="{50E9AB99-4FA7-4E6E-93F4-51C825E585ED}"/>
    <cellStyle name="Font: Calibri, 9pt regular" xfId="6" xr:uid="{00000000-0005-0000-0000-000006000000}"/>
    <cellStyle name="Footnotes: all except top row" xfId="7" xr:uid="{00000000-0005-0000-0000-000007000000}"/>
    <cellStyle name="Footnotes: top row" xfId="8" xr:uid="{00000000-0005-0000-0000-000008000000}"/>
    <cellStyle name="Good 10" xfId="3061" xr:uid="{FC86400A-2CED-4E7D-B2AD-1F4275499239}"/>
    <cellStyle name="Good 11" xfId="3062" xr:uid="{FE32573B-9F0C-40D3-B3D9-F97B1803B6C3}"/>
    <cellStyle name="Good 12" xfId="3063" xr:uid="{E9E2DCDC-4EF3-4DAD-8D27-837A272A116A}"/>
    <cellStyle name="Good 13" xfId="3064" xr:uid="{269B8B83-DAA1-434D-951E-1D147D8D008B}"/>
    <cellStyle name="Good 14" xfId="3065" xr:uid="{5CEA181B-0F36-4D5F-993D-CA03281B3706}"/>
    <cellStyle name="Good 15" xfId="3066" xr:uid="{176FBB1C-53CA-4E00-B752-73DA1B8C167D}"/>
    <cellStyle name="Good 16" xfId="3067" xr:uid="{5D05B091-4B9E-4B6E-B34B-A8BE2419A626}"/>
    <cellStyle name="Good 17" xfId="3068" xr:uid="{19ACAE80-5068-42E7-99B1-49B31262F64A}"/>
    <cellStyle name="Good 18" xfId="3069" xr:uid="{D8A946AA-1FCC-4962-B13F-6E0BE64F808F}"/>
    <cellStyle name="Good 19" xfId="3070" xr:uid="{23A83B52-DE6E-4DE6-A58E-D005DDAB41B8}"/>
    <cellStyle name="Good 2" xfId="3071" xr:uid="{AAF75C66-FBEF-4B26-A4DA-137CF1F69B0B}"/>
    <cellStyle name="Good 2 10" xfId="3072" xr:uid="{A7015DA9-DCF7-4DE2-9CFE-9A73D030092D}"/>
    <cellStyle name="Good 2 11" xfId="3073" xr:uid="{EEC809C2-9C99-459D-89F7-0277E3F3EDB6}"/>
    <cellStyle name="Good 2 12" xfId="3074" xr:uid="{7E0A90F4-F3F5-4D70-900C-3105D9D3C1D3}"/>
    <cellStyle name="Good 2 2" xfId="3075" xr:uid="{EC0720B8-E75E-4F5C-8ACC-A6216F7AE645}"/>
    <cellStyle name="Good 2 2 2" xfId="3076" xr:uid="{9F5B3FD4-5307-4637-B5C0-F8A98A24D43E}"/>
    <cellStyle name="Good 2 2 2 2" xfId="3077" xr:uid="{E26C381C-5057-4401-813F-9CB02CA06F14}"/>
    <cellStyle name="Good 2 2 3" xfId="3078" xr:uid="{F78B6FD2-C6EB-4512-989C-B966B4593DDB}"/>
    <cellStyle name="Good 2 3" xfId="3079" xr:uid="{BEC12E3B-1394-4155-9243-952CA9167E25}"/>
    <cellStyle name="Good 2 3 2" xfId="3080" xr:uid="{17AEC5BC-D66D-4915-B488-A4B4A5C23DC9}"/>
    <cellStyle name="Good 2 3 3" xfId="3081" xr:uid="{13726B36-58AF-451F-9D80-4BC37AA67C07}"/>
    <cellStyle name="Good 2 4" xfId="3082" xr:uid="{65BDBCB6-7D13-46D3-BB1A-F225D8A9C105}"/>
    <cellStyle name="Good 2 5" xfId="3083" xr:uid="{5212CAC0-D117-4E8E-9B0E-05019AB2E5A4}"/>
    <cellStyle name="Good 2 6" xfId="3084" xr:uid="{A3CC15D6-B710-4FF9-9FF8-29DC6D690C82}"/>
    <cellStyle name="Good 2 7" xfId="3085" xr:uid="{499D83DF-7702-482B-A7E2-CE3B4F6B24B6}"/>
    <cellStyle name="Good 2 8" xfId="3086" xr:uid="{8FAC1C2D-0894-4261-9B0C-BAB32426D20A}"/>
    <cellStyle name="Good 2 9" xfId="3087" xr:uid="{A339EB8C-E6EB-495B-A39B-9B5CA3EC4083}"/>
    <cellStyle name="Good 20" xfId="3088" xr:uid="{0B502736-43EE-4F30-820F-BFC7340C714C}"/>
    <cellStyle name="Good 21" xfId="3089" xr:uid="{1A187928-9C03-4F51-855D-257782092573}"/>
    <cellStyle name="Good 22" xfId="3090" xr:uid="{B3A1C231-0FE4-477B-B4FC-7332F209F6DB}"/>
    <cellStyle name="Good 23" xfId="3091" xr:uid="{DC39247E-14D4-49E1-9FC6-DD276F46DDDB}"/>
    <cellStyle name="Good 24" xfId="3092" xr:uid="{33D75E32-E217-4815-A189-1B1FFB26FB08}"/>
    <cellStyle name="Good 25" xfId="3093" xr:uid="{2AAC0538-F86A-4E73-86C0-ABCAD1F2CB22}"/>
    <cellStyle name="Good 26" xfId="3094" xr:uid="{FCD7BB07-B023-4AA8-9AD2-92652241723B}"/>
    <cellStyle name="Good 27" xfId="3095" xr:uid="{A10238C8-571B-4A4C-8D04-5063A5F744C2}"/>
    <cellStyle name="Good 28" xfId="3096" xr:uid="{4122D26F-E92F-4031-9836-04CE89874710}"/>
    <cellStyle name="Good 29" xfId="3097" xr:uid="{A83E9CC8-395D-49DE-AF33-240017FF5032}"/>
    <cellStyle name="Good 3" xfId="3098" xr:uid="{8C55E744-A967-4D0F-A301-D8F833E7A0E2}"/>
    <cellStyle name="Good 3 2" xfId="3099" xr:uid="{EFAF4EED-D312-4E35-91AF-1764115920B9}"/>
    <cellStyle name="Good 3 2 2" xfId="3100" xr:uid="{08D34A54-730C-4C59-8B63-78BFF5329345}"/>
    <cellStyle name="Good 3 3" xfId="3101" xr:uid="{1DB3464F-AEC9-46D2-ACCA-FDF31BB87098}"/>
    <cellStyle name="Good 3 4" xfId="3102" xr:uid="{F014C9D4-BD16-4BE3-A3E7-09CCCE854AE5}"/>
    <cellStyle name="Good 30" xfId="3103" xr:uid="{A9C7F74E-32C4-4EEE-9312-8FCD437883F5}"/>
    <cellStyle name="Good 31" xfId="3104" xr:uid="{F9F3CB56-0981-42A9-9C20-0E04EEEA243D}"/>
    <cellStyle name="Good 32" xfId="3105" xr:uid="{40DA5E98-934C-47A3-937C-4145AD3DC61E}"/>
    <cellStyle name="Good 33" xfId="3106" xr:uid="{C593706E-0B18-4999-81A5-30C12CDD389A}"/>
    <cellStyle name="Good 34" xfId="3107" xr:uid="{6CEA317A-6F86-4A8D-895A-C9EC6B548E3D}"/>
    <cellStyle name="Good 35" xfId="3108" xr:uid="{737B8A68-7FF6-4132-A798-2755BDD83DB2}"/>
    <cellStyle name="Good 36" xfId="3109" xr:uid="{56674AA8-B8BB-4F9F-A31F-4F8D126390A4}"/>
    <cellStyle name="Good 37" xfId="3110" xr:uid="{AE2F188A-76DA-49CD-A361-E7A03CDEAB8B}"/>
    <cellStyle name="Good 38" xfId="3111" xr:uid="{4C864E65-A26D-4F18-9D02-FF947461012C}"/>
    <cellStyle name="Good 39" xfId="3112" xr:uid="{1F1EDB63-BD32-4515-AE08-75235B807B2E}"/>
    <cellStyle name="Good 4" xfId="3113" xr:uid="{5B66BFFD-113D-49BE-A7CD-2DAE0E2B74EE}"/>
    <cellStyle name="Good 4 2" xfId="3114" xr:uid="{40ABFFFB-4C44-4AC2-8E7E-D5621594943C}"/>
    <cellStyle name="Good 40" xfId="3115" xr:uid="{67AFA7F2-11D2-4E3A-A8CF-F0727116141C}"/>
    <cellStyle name="Good 41" xfId="3116" xr:uid="{968F6BFF-FF95-449A-BD20-3EB45EA29E68}"/>
    <cellStyle name="Good 42" xfId="3117" xr:uid="{A85DFFB6-6F1F-4434-8614-297DF3255F34}"/>
    <cellStyle name="Good 5" xfId="3118" xr:uid="{80FA0AB6-D9D8-4230-80FF-2A5373C85F96}"/>
    <cellStyle name="Good 5 2" xfId="3119" xr:uid="{EBAEC5FA-6DE9-4511-A1F2-6B56E5D1A859}"/>
    <cellStyle name="Good 6" xfId="3120" xr:uid="{F443AB06-6E89-4152-A417-82112C441D54}"/>
    <cellStyle name="Good 6 2" xfId="3121" xr:uid="{B4193397-CF47-4574-A800-21D8651A29A6}"/>
    <cellStyle name="Good 7" xfId="3122" xr:uid="{B58E1F7C-7064-434B-B767-D8AA3433271D}"/>
    <cellStyle name="Good 8" xfId="3123" xr:uid="{7263CD78-C612-4828-B30E-1BE550B92CC9}"/>
    <cellStyle name="Good 9" xfId="3124" xr:uid="{556E1DE7-24CE-4993-A3B4-DA5F89C44E0A}"/>
    <cellStyle name="Gut" xfId="3125" xr:uid="{F4B34AB7-3815-48DE-A137-89917883F399}"/>
    <cellStyle name="Header: bottom row" xfId="9" xr:uid="{00000000-0005-0000-0000-000009000000}"/>
    <cellStyle name="Header: top rows" xfId="10" xr:uid="{00000000-0005-0000-0000-00000A000000}"/>
    <cellStyle name="Heading 1 10" xfId="3126" xr:uid="{EBA6D89B-0D0F-45F0-B9BF-EE7760A91589}"/>
    <cellStyle name="Heading 1 11" xfId="3127" xr:uid="{F107708D-B2AD-4387-95BA-AC505919155E}"/>
    <cellStyle name="Heading 1 12" xfId="3128" xr:uid="{06A1651A-E7C6-479F-A4D7-E9F6994B660B}"/>
    <cellStyle name="Heading 1 13" xfId="3129" xr:uid="{A32AABED-211D-4F69-900B-6BA334FFE7FF}"/>
    <cellStyle name="Heading 1 14" xfId="3130" xr:uid="{BAA023D9-904D-440A-B0D4-871D83D9BDB8}"/>
    <cellStyle name="Heading 1 15" xfId="3131" xr:uid="{39F50894-EFB7-447B-A773-44F0C8FE604E}"/>
    <cellStyle name="Heading 1 16" xfId="3132" xr:uid="{779E391D-A316-4ECD-9910-76DF4D91708B}"/>
    <cellStyle name="Heading 1 17" xfId="3133" xr:uid="{D2AC7B1E-9F53-458D-9AE2-75F1E083017E}"/>
    <cellStyle name="Heading 1 18" xfId="3134" xr:uid="{AA24E82B-C8D7-4B86-941A-3A7E0815E51E}"/>
    <cellStyle name="Heading 1 19" xfId="3135" xr:uid="{9AB7A1B0-A23D-4528-974F-7F6900AD5C7C}"/>
    <cellStyle name="Heading 1 2" xfId="3136" xr:uid="{98D80628-7B2D-4381-B550-AD39030294F1}"/>
    <cellStyle name="Heading 1 2 10" xfId="3137" xr:uid="{982E7ECC-B9A8-47A0-8E42-AE126576A73F}"/>
    <cellStyle name="Heading 1 2 11" xfId="3138" xr:uid="{A45E7FC0-92A6-4EC7-BC6E-4F9C05893E8E}"/>
    <cellStyle name="Heading 1 2 2" xfId="3139" xr:uid="{97C3BBEC-A021-4E82-8E9B-4FB01FEA497A}"/>
    <cellStyle name="Heading 1 2 3" xfId="3140" xr:uid="{72B97EEA-767E-413A-A237-940D592EBBE9}"/>
    <cellStyle name="Heading 1 2 4" xfId="3141" xr:uid="{4215FA91-2107-44A7-AF9B-4F4230EAEA82}"/>
    <cellStyle name="Heading 1 2 5" xfId="3142" xr:uid="{1BC3BC98-3141-4E79-8981-74847201F55F}"/>
    <cellStyle name="Heading 1 2 6" xfId="3143" xr:uid="{77FA9717-FD0B-4833-B026-664F61D63FE3}"/>
    <cellStyle name="Heading 1 2 7" xfId="3144" xr:uid="{69FE5189-AAD1-4A43-88FE-FC49FE7C23F4}"/>
    <cellStyle name="Heading 1 2 8" xfId="3145" xr:uid="{9A9BDC0C-C081-4F66-9286-52E389F525E7}"/>
    <cellStyle name="Heading 1 2 9" xfId="3146" xr:uid="{EC37352E-F2C0-459A-AEC4-876A617863AD}"/>
    <cellStyle name="Heading 1 20" xfId="3147" xr:uid="{08244802-65EC-4C98-AF15-CD7B42B6ED25}"/>
    <cellStyle name="Heading 1 21" xfId="3148" xr:uid="{FAF02C8C-D5A2-45B8-97A8-EEE4757A5C40}"/>
    <cellStyle name="Heading 1 22" xfId="3149" xr:uid="{D7CEC570-1AFC-4B73-9B56-B78353AB9691}"/>
    <cellStyle name="Heading 1 23" xfId="3150" xr:uid="{87AEE0D6-38B2-43DF-AA85-0C4F93553CA4}"/>
    <cellStyle name="Heading 1 24" xfId="3151" xr:uid="{F9393038-06E3-4679-84C6-0E43CCF5ED28}"/>
    <cellStyle name="Heading 1 25" xfId="3152" xr:uid="{9B5B7F29-5710-4699-A09F-86A2C8B73AEE}"/>
    <cellStyle name="Heading 1 26" xfId="3153" xr:uid="{B9714AD3-B303-4645-B7B3-A26E3F405F4E}"/>
    <cellStyle name="Heading 1 27" xfId="3154" xr:uid="{B0172DB4-D188-4955-A6A8-DCE790D69C6E}"/>
    <cellStyle name="Heading 1 28" xfId="3155" xr:uid="{E81ECA1D-135F-4847-849C-D334C657962E}"/>
    <cellStyle name="Heading 1 29" xfId="3156" xr:uid="{45195E5F-B2A7-4D21-89CC-2250CE13213A}"/>
    <cellStyle name="Heading 1 3" xfId="3157" xr:uid="{E46B111A-9C6A-4E5F-B214-53949A90425D}"/>
    <cellStyle name="Heading 1 3 2" xfId="3158" xr:uid="{40EB43C9-C2D8-42FF-9EC1-D5BE2EF205B0}"/>
    <cellStyle name="Heading 1 3 2 2" xfId="3159" xr:uid="{BA471E62-47CB-4889-80F6-91963BE30EE0}"/>
    <cellStyle name="Heading 1 3 3" xfId="3160" xr:uid="{EF010773-08C6-4AC8-9AB2-88B4FA2511D8}"/>
    <cellStyle name="Heading 1 3 4" xfId="3161" xr:uid="{929D4A2B-A6E0-49FF-B4E9-ECFA714696EE}"/>
    <cellStyle name="Heading 1 30" xfId="3162" xr:uid="{1B73B12C-E885-4521-83AE-9CF272279A54}"/>
    <cellStyle name="Heading 1 31" xfId="3163" xr:uid="{7ABBA9C4-C28C-4971-A108-EF250E122E72}"/>
    <cellStyle name="Heading 1 32" xfId="3164" xr:uid="{0867F30D-16C7-42ED-950B-561F5B2A2FE4}"/>
    <cellStyle name="Heading 1 33" xfId="3165" xr:uid="{6EFB38EB-8062-4D91-A06B-317D050DCA0C}"/>
    <cellStyle name="Heading 1 34" xfId="3166" xr:uid="{51450678-A8F9-4889-BBB7-848BEFFA9453}"/>
    <cellStyle name="Heading 1 35" xfId="3167" xr:uid="{109E9FC4-EDE9-4D2A-A749-879B1E6A3780}"/>
    <cellStyle name="Heading 1 36" xfId="3168" xr:uid="{05DEE035-0BFA-43F6-8130-D9312263FEBD}"/>
    <cellStyle name="Heading 1 37" xfId="3169" xr:uid="{552AA9AB-4578-4187-A5B0-0710E8D9AAAC}"/>
    <cellStyle name="Heading 1 38" xfId="3170" xr:uid="{2CC2FC92-C51B-402B-BF09-F90654881E75}"/>
    <cellStyle name="Heading 1 39" xfId="3171" xr:uid="{DDDC3982-7251-43EB-8547-B64639246DB4}"/>
    <cellStyle name="Heading 1 4" xfId="3172" xr:uid="{6DC52904-21E2-4EF1-8A28-E964B86511A4}"/>
    <cellStyle name="Heading 1 4 2" xfId="3173" xr:uid="{35CD6FEB-FF52-4C47-8D81-39412FF312D2}"/>
    <cellStyle name="Heading 1 40" xfId="3174" xr:uid="{B0CF9C11-D66D-48FA-AF75-E6DE58959FA0}"/>
    <cellStyle name="Heading 1 41" xfId="3175" xr:uid="{D6BFAD58-0A9D-47E5-B8A7-57AD0AD5DE22}"/>
    <cellStyle name="Heading 1 5" xfId="3176" xr:uid="{0554628D-22CF-4F6B-B0CE-8D8F1F564278}"/>
    <cellStyle name="Heading 1 5 2" xfId="3177" xr:uid="{C78F4F64-9BE2-4D64-92B1-6984DEBB10A5}"/>
    <cellStyle name="Heading 1 6" xfId="3178" xr:uid="{AAB8255E-01DA-4BCF-A004-540E378F3C3B}"/>
    <cellStyle name="Heading 1 6 2" xfId="3179" xr:uid="{37896708-631F-4572-BF22-6CCF717C8219}"/>
    <cellStyle name="Heading 1 7" xfId="3180" xr:uid="{8A506846-1C3C-409B-8E9E-3721807A83A8}"/>
    <cellStyle name="Heading 1 8" xfId="3181" xr:uid="{934D8564-4848-4E3E-9801-2567F3209ED9}"/>
    <cellStyle name="Heading 1 9" xfId="3182" xr:uid="{AE7BBE1D-3F84-4EAA-A94C-CBBF5B18702E}"/>
    <cellStyle name="Heading 2 10" xfId="3183" xr:uid="{0D335C57-C75E-4427-A84C-7EB4660145A3}"/>
    <cellStyle name="Heading 2 11" xfId="3184" xr:uid="{9E038C68-72D2-4462-9464-94D0D564748F}"/>
    <cellStyle name="Heading 2 12" xfId="3185" xr:uid="{F12AA014-E535-4E66-9D3F-AA1A618E94AE}"/>
    <cellStyle name="Heading 2 13" xfId="3186" xr:uid="{82463025-4D27-44C9-B40D-126DD0BB1ED8}"/>
    <cellStyle name="Heading 2 14" xfId="3187" xr:uid="{7C9DD2BB-6138-4B6E-9269-1FECED9266B3}"/>
    <cellStyle name="Heading 2 15" xfId="3188" xr:uid="{34BFD176-1ED9-4B8D-A417-AB26394422E5}"/>
    <cellStyle name="Heading 2 16" xfId="3189" xr:uid="{638EB094-0718-4617-B289-25F300822FEB}"/>
    <cellStyle name="Heading 2 17" xfId="3190" xr:uid="{E3FCCD74-1388-4A90-B48F-5E548B153076}"/>
    <cellStyle name="Heading 2 18" xfId="3191" xr:uid="{487A563F-BF34-4C02-BC00-123C8B14ABB4}"/>
    <cellStyle name="Heading 2 19" xfId="3192" xr:uid="{E964CFE4-F65E-450E-9C38-548D6887DD3D}"/>
    <cellStyle name="Heading 2 2" xfId="3193" xr:uid="{D613EBC2-AE3C-4FD6-A6B6-769B607A8556}"/>
    <cellStyle name="Heading 2 2 10" xfId="3194" xr:uid="{598B7817-B16A-4466-B694-068E30F8A2F0}"/>
    <cellStyle name="Heading 2 2 11" xfId="3195" xr:uid="{8BB3C4C6-C4EA-4EFC-A6D6-B4BB67E8E05A}"/>
    <cellStyle name="Heading 2 2 2" xfId="3196" xr:uid="{AED485B2-83E4-4DED-ACD4-FEFE8439255B}"/>
    <cellStyle name="Heading 2 2 3" xfId="3197" xr:uid="{D0BC9022-1DD7-49CD-A8C9-56FD269BC254}"/>
    <cellStyle name="Heading 2 2 4" xfId="3198" xr:uid="{83CD8E6A-2487-4132-A481-B9DC74D06151}"/>
    <cellStyle name="Heading 2 2 5" xfId="3199" xr:uid="{99133B2A-DA5B-4ED7-9D98-97212E89B66B}"/>
    <cellStyle name="Heading 2 2 6" xfId="3200" xr:uid="{D8E571AD-4EA8-40EA-A541-AC5C70765AB3}"/>
    <cellStyle name="Heading 2 2 7" xfId="3201" xr:uid="{E8FEF77F-7475-4314-BCBB-2A67CA99B039}"/>
    <cellStyle name="Heading 2 2 8" xfId="3202" xr:uid="{5E72D8EB-211D-47A6-8937-DCB06CC80050}"/>
    <cellStyle name="Heading 2 2 9" xfId="3203" xr:uid="{6FE2899B-F294-4210-9F23-7D2F8DE889B9}"/>
    <cellStyle name="Heading 2 20" xfId="3204" xr:uid="{7AE7AC56-A6CF-471C-AC5D-4A3AFAD4F17B}"/>
    <cellStyle name="Heading 2 21" xfId="3205" xr:uid="{E9784F57-9733-4895-A048-8B60F47DFF88}"/>
    <cellStyle name="Heading 2 22" xfId="3206" xr:uid="{916275E0-2F80-49E9-93D4-DC4645F29419}"/>
    <cellStyle name="Heading 2 23" xfId="3207" xr:uid="{7253F26C-BC9B-48BC-B561-D647FBB97816}"/>
    <cellStyle name="Heading 2 24" xfId="3208" xr:uid="{73E0172F-29F5-4EE5-BE4D-B2206A4C8B68}"/>
    <cellStyle name="Heading 2 25" xfId="3209" xr:uid="{BDDCD8AD-169A-4213-886F-006DEB39F7EF}"/>
    <cellStyle name="Heading 2 26" xfId="3210" xr:uid="{1641E869-6BCD-4A33-B550-EA3C354C5E3A}"/>
    <cellStyle name="Heading 2 27" xfId="3211" xr:uid="{6B78678B-3DDD-4F46-85F9-6CA56BB363C8}"/>
    <cellStyle name="Heading 2 28" xfId="3212" xr:uid="{62816BDB-34E5-4824-A6C1-792E902ED00C}"/>
    <cellStyle name="Heading 2 29" xfId="3213" xr:uid="{E029A6C5-58EE-402E-8B72-F5CA4194E448}"/>
    <cellStyle name="Heading 2 3" xfId="3214" xr:uid="{E65212A8-6AC7-4FD7-994D-59E77073E368}"/>
    <cellStyle name="Heading 2 3 2" xfId="3215" xr:uid="{15EC7DA0-5301-440C-A9E2-9936203F478D}"/>
    <cellStyle name="Heading 2 3 2 2" xfId="3216" xr:uid="{BAF877E8-A918-4C2C-BD36-0DBE27A315CC}"/>
    <cellStyle name="Heading 2 3 3" xfId="3217" xr:uid="{9B879F64-1F88-40FD-B566-7EC39E652475}"/>
    <cellStyle name="Heading 2 3 4" xfId="3218" xr:uid="{3EDBCC01-DD4D-4A8E-BB39-8C8439CB0C41}"/>
    <cellStyle name="Heading 2 30" xfId="3219" xr:uid="{F85218F4-63E4-4863-AE3D-474B129B99A1}"/>
    <cellStyle name="Heading 2 31" xfId="3220" xr:uid="{7C04BE9E-0C5D-4753-A6CB-E4EC7D9ECD87}"/>
    <cellStyle name="Heading 2 32" xfId="3221" xr:uid="{06088B6C-4F11-487E-A8B4-727818603BE3}"/>
    <cellStyle name="Heading 2 33" xfId="3222" xr:uid="{49DD23E3-3411-4613-BD0D-D3ABAEF3E403}"/>
    <cellStyle name="Heading 2 34" xfId="3223" xr:uid="{AB807124-CFB6-46DB-98CE-819BD7A7676C}"/>
    <cellStyle name="Heading 2 35" xfId="3224" xr:uid="{EC5D28DF-FCD6-4E73-9691-DC72BA70A2F8}"/>
    <cellStyle name="Heading 2 36" xfId="3225" xr:uid="{365F98E8-C7E9-4658-B592-B475AA8D6D8E}"/>
    <cellStyle name="Heading 2 37" xfId="3226" xr:uid="{7E879646-C6A9-47BC-A2F2-893FD576B484}"/>
    <cellStyle name="Heading 2 38" xfId="3227" xr:uid="{D4119683-6CAE-44E5-96BA-890879375187}"/>
    <cellStyle name="Heading 2 39" xfId="3228" xr:uid="{FA88CD9C-D04C-40B6-8624-323B8D2FABF9}"/>
    <cellStyle name="Heading 2 4" xfId="3229" xr:uid="{31000EEC-D65C-46E4-829A-C479043358A9}"/>
    <cellStyle name="Heading 2 4 2" xfId="3230" xr:uid="{B2A8889B-D355-4BC6-8F1E-6C5A92839E59}"/>
    <cellStyle name="Heading 2 40" xfId="3231" xr:uid="{652704F4-8D77-4B22-B942-5E371F18CFAF}"/>
    <cellStyle name="Heading 2 41" xfId="3232" xr:uid="{832DD516-40A0-4FF4-85FC-CEA20E001EC3}"/>
    <cellStyle name="Heading 2 5" xfId="3233" xr:uid="{94B753E5-4546-463B-866A-F4DEC406FAFE}"/>
    <cellStyle name="Heading 2 5 2" xfId="3234" xr:uid="{3FC40727-CAEE-4101-B758-F322FEADFCC4}"/>
    <cellStyle name="Heading 2 6" xfId="3235" xr:uid="{8EA797A2-0215-4B3D-AF29-D6C2A2A243B1}"/>
    <cellStyle name="Heading 2 6 2" xfId="3236" xr:uid="{4785A6AA-8E8B-4FFA-842F-1AF0D08C8F94}"/>
    <cellStyle name="Heading 2 7" xfId="3237" xr:uid="{87858F54-8AE3-4680-A880-C537903C740B}"/>
    <cellStyle name="Heading 2 8" xfId="3238" xr:uid="{2F3A87BC-EC2B-4740-B2A2-B77C85164068}"/>
    <cellStyle name="Heading 2 9" xfId="3239" xr:uid="{38F6FFF4-F75B-45CE-8104-B5E7070FE750}"/>
    <cellStyle name="Heading 3 10" xfId="3240" xr:uid="{D885A7E9-BAE5-4984-8A8D-B857FD4553D3}"/>
    <cellStyle name="Heading 3 11" xfId="3241" xr:uid="{72E2CEB1-48F8-4678-A0E6-3B41162532A0}"/>
    <cellStyle name="Heading 3 12" xfId="3242" xr:uid="{019B8F68-541A-4A9D-B598-381F9ED7B4F3}"/>
    <cellStyle name="Heading 3 13" xfId="3243" xr:uid="{D1E8E578-02A0-451C-8530-7A6BB0CAB780}"/>
    <cellStyle name="Heading 3 14" xfId="3244" xr:uid="{681BA83A-F316-4259-803B-919F53F92449}"/>
    <cellStyle name="Heading 3 15" xfId="3245" xr:uid="{7111A338-395C-40C9-8B2D-9A2DD743C0B2}"/>
    <cellStyle name="Heading 3 16" xfId="3246" xr:uid="{3229CDFE-CB59-4C85-81DA-E448B08770B6}"/>
    <cellStyle name="Heading 3 17" xfId="3247" xr:uid="{1ED546C6-D583-4782-9B83-8EA3DC2FEBB9}"/>
    <cellStyle name="Heading 3 18" xfId="3248" xr:uid="{55D1DCE0-E5FD-43AD-9567-D0479EDD3BBD}"/>
    <cellStyle name="Heading 3 19" xfId="3249" xr:uid="{DBDA379E-6A53-4F55-BF87-A8CDF010CE2C}"/>
    <cellStyle name="Heading 3 2" xfId="3250" xr:uid="{34939F34-A4B9-4EB7-AE28-858DFFB96638}"/>
    <cellStyle name="Heading 3 2 10" xfId="3251" xr:uid="{7FA73346-EF8E-476B-96F8-1E6833592576}"/>
    <cellStyle name="Heading 3 2 11" xfId="3252" xr:uid="{B5D51441-FEA4-4ABB-8210-222FEF12764B}"/>
    <cellStyle name="Heading 3 2 2" xfId="3253" xr:uid="{6F10C26C-55D8-454B-B1B1-787D1A0C4679}"/>
    <cellStyle name="Heading 3 2 3" xfId="3254" xr:uid="{6B8240E1-0863-4053-BD53-3D331C92DAF3}"/>
    <cellStyle name="Heading 3 2 4" xfId="3255" xr:uid="{C4255097-61FF-4D7E-9CA4-98F75E77F3D1}"/>
    <cellStyle name="Heading 3 2 5" xfId="3256" xr:uid="{AAD26847-818E-42AA-9398-76373FCE75FE}"/>
    <cellStyle name="Heading 3 2 6" xfId="3257" xr:uid="{0E27A488-7EA0-4861-92F0-9F7CD41182CE}"/>
    <cellStyle name="Heading 3 2 7" xfId="3258" xr:uid="{D930982F-3789-48FC-BA56-723DC167D6E8}"/>
    <cellStyle name="Heading 3 2 8" xfId="3259" xr:uid="{383E9FC4-5120-4D93-9B9C-DF4742CC3ADD}"/>
    <cellStyle name="Heading 3 2 9" xfId="3260" xr:uid="{5731A1A7-CD44-4461-88EE-8BC611D25BC4}"/>
    <cellStyle name="Heading 3 20" xfId="3261" xr:uid="{CDC96C0A-10DB-42B9-8DA2-1467DD90C0AD}"/>
    <cellStyle name="Heading 3 21" xfId="3262" xr:uid="{ED476C3C-8062-4EEA-83B3-F782F8665227}"/>
    <cellStyle name="Heading 3 22" xfId="3263" xr:uid="{14828581-8C8B-4577-85C7-0636C912A59D}"/>
    <cellStyle name="Heading 3 23" xfId="3264" xr:uid="{DCF3EB41-1AC3-4057-AF49-771AE811E805}"/>
    <cellStyle name="Heading 3 24" xfId="3265" xr:uid="{6D03D93E-C516-45D2-AB1C-24E54DA856DD}"/>
    <cellStyle name="Heading 3 25" xfId="3266" xr:uid="{A2324EEE-BF49-4749-B313-F1F6D45E6EBB}"/>
    <cellStyle name="Heading 3 26" xfId="3267" xr:uid="{3DD72CD7-4629-4A8C-AC1D-56F18009AD17}"/>
    <cellStyle name="Heading 3 27" xfId="3268" xr:uid="{4B48576B-0CB4-485F-BCD9-4102FF727756}"/>
    <cellStyle name="Heading 3 28" xfId="3269" xr:uid="{CD9CAC6E-4C74-4732-ADE4-711E5E9B5FCF}"/>
    <cellStyle name="Heading 3 29" xfId="3270" xr:uid="{0ADF73CC-D870-4CDE-A7AF-B707F93CDA47}"/>
    <cellStyle name="Heading 3 3" xfId="3271" xr:uid="{42B6B519-7A51-4A55-A230-83ABBDD17A99}"/>
    <cellStyle name="Heading 3 3 2" xfId="3272" xr:uid="{A1893CBA-AC9B-43E7-A543-638E62FDAC0B}"/>
    <cellStyle name="Heading 3 3 2 2" xfId="3273" xr:uid="{FB4050EB-1422-411F-AE3A-DBDD6AF66D4F}"/>
    <cellStyle name="Heading 3 3 3" xfId="3274" xr:uid="{01549392-6BBF-4B67-9180-EC106D2FF380}"/>
    <cellStyle name="Heading 3 3 4" xfId="3275" xr:uid="{11DB3CE3-25BD-4A13-BB03-65BC30E479A6}"/>
    <cellStyle name="Heading 3 30" xfId="3276" xr:uid="{93F64309-9822-4B7F-99D6-9FF6F960E6A0}"/>
    <cellStyle name="Heading 3 31" xfId="3277" xr:uid="{EB0D48D9-9B25-4E19-B41A-88BB9D6FAE94}"/>
    <cellStyle name="Heading 3 32" xfId="3278" xr:uid="{DB3210C9-7987-4B1E-A700-BB03A67C3E70}"/>
    <cellStyle name="Heading 3 33" xfId="3279" xr:uid="{F051F8AC-A5B0-46D0-8852-CB682A7F372B}"/>
    <cellStyle name="Heading 3 34" xfId="3280" xr:uid="{D8D00A1E-0626-4DCF-8566-162EB8BCB255}"/>
    <cellStyle name="Heading 3 35" xfId="3281" xr:uid="{332DDB3D-0D14-461D-868F-2833DA6A0176}"/>
    <cellStyle name="Heading 3 36" xfId="3282" xr:uid="{AFFAFCFE-E6AC-4524-B334-506A36B44480}"/>
    <cellStyle name="Heading 3 37" xfId="3283" xr:uid="{2CEB1DF6-88B1-4CD4-BABC-D24C8B40BC5C}"/>
    <cellStyle name="Heading 3 38" xfId="3284" xr:uid="{8775C5D5-276A-433A-BF5C-65699ED94000}"/>
    <cellStyle name="Heading 3 39" xfId="3285" xr:uid="{A7DD15B1-AE18-4677-A988-A3B5778DDEE6}"/>
    <cellStyle name="Heading 3 4" xfId="3286" xr:uid="{C0A65D24-01F5-4D4A-823F-6FB644726BCA}"/>
    <cellStyle name="Heading 3 4 2" xfId="3287" xr:uid="{7E7D5599-A276-4DFE-A4E4-B2D54F1325E2}"/>
    <cellStyle name="Heading 3 40" xfId="3288" xr:uid="{0C812AC3-CE82-4F76-9EC6-C740A7E34DD3}"/>
    <cellStyle name="Heading 3 41" xfId="3289" xr:uid="{B62B4CE8-E17B-4206-AB01-E272FD656ED6}"/>
    <cellStyle name="Heading 3 5" xfId="3290" xr:uid="{E4FA1DD9-6849-412A-B13F-B245EFE5298C}"/>
    <cellStyle name="Heading 3 5 2" xfId="3291" xr:uid="{3F0A0BE9-14C1-49B9-ADD7-9578FAD86CEB}"/>
    <cellStyle name="Heading 3 6" xfId="3292" xr:uid="{6202A8B9-01AE-43AD-9802-4F5023C77E52}"/>
    <cellStyle name="Heading 3 6 2" xfId="3293" xr:uid="{E5C81FB8-8890-40F9-BD01-3DDC822F6CB5}"/>
    <cellStyle name="Heading 3 7" xfId="3294" xr:uid="{AB3ABE39-2D17-4704-B66C-31F0D6D243EC}"/>
    <cellStyle name="Heading 3 8" xfId="3295" xr:uid="{3BE74EE8-997E-4797-AAB3-6378D176924A}"/>
    <cellStyle name="Heading 3 9" xfId="3296" xr:uid="{80A26C46-6D66-4841-AF13-FA3E241A8F8B}"/>
    <cellStyle name="Heading 4 10" xfId="3297" xr:uid="{473F3258-2210-4C41-8D92-0EF1B8C9065F}"/>
    <cellStyle name="Heading 4 11" xfId="3298" xr:uid="{11B75746-5B36-47D8-965D-96182962B5CF}"/>
    <cellStyle name="Heading 4 12" xfId="3299" xr:uid="{14393A3D-862F-4A3B-90D6-5C4D8CE7C5A9}"/>
    <cellStyle name="Heading 4 13" xfId="3300" xr:uid="{470464DF-5979-442E-8E7B-033EB460201C}"/>
    <cellStyle name="Heading 4 14" xfId="3301" xr:uid="{8AC9C861-A349-488F-B1E7-B9CE131B83AF}"/>
    <cellStyle name="Heading 4 15" xfId="3302" xr:uid="{90465055-1AA1-4DC4-B175-02ED382AF4A7}"/>
    <cellStyle name="Heading 4 16" xfId="3303" xr:uid="{B3645F1D-11A5-40C8-9B99-7C66F3785F24}"/>
    <cellStyle name="Heading 4 17" xfId="3304" xr:uid="{BA56828D-6305-4B74-860F-0A777C05B88B}"/>
    <cellStyle name="Heading 4 18" xfId="3305" xr:uid="{67B07511-3B9D-4E6A-9244-AC4F6768F26C}"/>
    <cellStyle name="Heading 4 19" xfId="3306" xr:uid="{5B51C70D-13CE-4C77-AECD-8A8EC7152B9D}"/>
    <cellStyle name="Heading 4 2" xfId="3307" xr:uid="{5BD0E614-067E-4F5C-9EDF-34032D20F91E}"/>
    <cellStyle name="Heading 4 2 10" xfId="3308" xr:uid="{7143FE01-832A-4CEB-8097-39DF094D2471}"/>
    <cellStyle name="Heading 4 2 11" xfId="3309" xr:uid="{442B78E6-959B-4130-8F33-655E16824FB2}"/>
    <cellStyle name="Heading 4 2 2" xfId="3310" xr:uid="{0F25CFF7-899B-4FE4-8E8D-C7EE5DB8E505}"/>
    <cellStyle name="Heading 4 2 3" xfId="3311" xr:uid="{82E4ECF0-25B3-4836-886B-835BAF1BFDC5}"/>
    <cellStyle name="Heading 4 2 4" xfId="3312" xr:uid="{24118EE9-6FE4-4D51-B723-F3922A8F85C1}"/>
    <cellStyle name="Heading 4 2 5" xfId="3313" xr:uid="{57D4E723-67D3-4D41-A539-ADB2F85A3679}"/>
    <cellStyle name="Heading 4 2 6" xfId="3314" xr:uid="{27150DF3-595A-4C47-8A5A-78AE473C0150}"/>
    <cellStyle name="Heading 4 2 7" xfId="3315" xr:uid="{DB6BEBB4-F464-46DF-9923-CC7236362EE6}"/>
    <cellStyle name="Heading 4 2 8" xfId="3316" xr:uid="{27B65D0D-B7AE-400D-904B-AF93043B337D}"/>
    <cellStyle name="Heading 4 2 9" xfId="3317" xr:uid="{9FBD9F32-4AED-4F37-92F4-6DDCAB8981C2}"/>
    <cellStyle name="Heading 4 20" xfId="3318" xr:uid="{BC1FA63E-E354-47AF-A277-AE22E61F79DF}"/>
    <cellStyle name="Heading 4 21" xfId="3319" xr:uid="{67FA3123-4EA4-4FAE-A5C1-DF4A63BFCD57}"/>
    <cellStyle name="Heading 4 22" xfId="3320" xr:uid="{68019734-ABA7-457A-BE18-62B744AEE0E5}"/>
    <cellStyle name="Heading 4 23" xfId="3321" xr:uid="{FFEA302B-9E67-4688-BFC1-7982E4248B2B}"/>
    <cellStyle name="Heading 4 24" xfId="3322" xr:uid="{4AB2C230-BF8B-4661-ACD6-42B56554A946}"/>
    <cellStyle name="Heading 4 25" xfId="3323" xr:uid="{B1CEAFE2-FA7F-48D1-B146-5B9591977895}"/>
    <cellStyle name="Heading 4 26" xfId="3324" xr:uid="{253D164A-DEC1-48E3-B44F-06BA77C824EA}"/>
    <cellStyle name="Heading 4 27" xfId="3325" xr:uid="{8651499B-4954-4A24-A0A5-4516FBC42DE2}"/>
    <cellStyle name="Heading 4 28" xfId="3326" xr:uid="{92DA8DF7-D33C-46B6-8C5A-89744DE8F913}"/>
    <cellStyle name="Heading 4 29" xfId="3327" xr:uid="{A88FC242-E9E7-4F18-B101-32C0E8B74BC2}"/>
    <cellStyle name="Heading 4 3" xfId="3328" xr:uid="{05264DE0-FA77-45B0-BA30-54231C7A2DDE}"/>
    <cellStyle name="Heading 4 3 2" xfId="3329" xr:uid="{8BE68895-D41C-49EC-9999-6DA501000E4A}"/>
    <cellStyle name="Heading 4 3 2 2" xfId="3330" xr:uid="{32A603EB-0985-448F-AE44-A5DEAA01B5CF}"/>
    <cellStyle name="Heading 4 3 3" xfId="3331" xr:uid="{C741EAA5-AE88-4234-B69E-CDF4DA5D5041}"/>
    <cellStyle name="Heading 4 3 4" xfId="3332" xr:uid="{DFD386F2-EBBB-4759-ABB8-AFF827E8F9BF}"/>
    <cellStyle name="Heading 4 30" xfId="3333" xr:uid="{5B0DDE93-870D-49D4-BE09-68CABBDEC43A}"/>
    <cellStyle name="Heading 4 31" xfId="3334" xr:uid="{1C9C392B-B223-4271-B36C-E11B008E6237}"/>
    <cellStyle name="Heading 4 32" xfId="3335" xr:uid="{6452B937-AEC6-4BBE-AC24-81411DFC5D5D}"/>
    <cellStyle name="Heading 4 33" xfId="3336" xr:uid="{9D5EC55A-7564-406D-9366-A26EFB09F063}"/>
    <cellStyle name="Heading 4 34" xfId="3337" xr:uid="{41728404-AE78-4AFE-B0B4-DFF9816E5270}"/>
    <cellStyle name="Heading 4 35" xfId="3338" xr:uid="{D134169E-AA14-4305-8653-3F8D94BAA46D}"/>
    <cellStyle name="Heading 4 36" xfId="3339" xr:uid="{ADDCCC7C-7959-47DD-BC78-24B1BCC17ACB}"/>
    <cellStyle name="Heading 4 37" xfId="3340" xr:uid="{512B02C6-6009-41BF-AA6A-52A191999C48}"/>
    <cellStyle name="Heading 4 38" xfId="3341" xr:uid="{BD318561-9EF8-4C22-9FA4-21C1D1DF076A}"/>
    <cellStyle name="Heading 4 39" xfId="3342" xr:uid="{607EC0F6-439B-4DC9-A667-ECD6E04F474F}"/>
    <cellStyle name="Heading 4 4" xfId="3343" xr:uid="{1F565DB2-A8DF-4164-9670-7EAAD8DABE38}"/>
    <cellStyle name="Heading 4 4 2" xfId="3344" xr:uid="{E9FA83C0-3278-4A80-9162-DB7B89DCCE59}"/>
    <cellStyle name="Heading 4 40" xfId="3345" xr:uid="{8EC74406-5648-4269-A0EB-7B042E72F444}"/>
    <cellStyle name="Heading 4 41" xfId="3346" xr:uid="{9389E9C2-2556-45BB-8D74-3934CB2E84B8}"/>
    <cellStyle name="Heading 4 5" xfId="3347" xr:uid="{B926CD19-9238-4411-A0B1-56C4935B446A}"/>
    <cellStyle name="Heading 4 5 2" xfId="3348" xr:uid="{2134B8EF-DFA8-4730-9A84-E66C1C699C28}"/>
    <cellStyle name="Heading 4 6" xfId="3349" xr:uid="{59ED6475-1D24-41DF-B1DD-A90E70644224}"/>
    <cellStyle name="Heading 4 6 2" xfId="3350" xr:uid="{0DD62C6E-6E07-48CA-8902-B97C5F78530D}"/>
    <cellStyle name="Heading 4 7" xfId="3351" xr:uid="{73EDF1DC-9D9D-47FA-A1BF-7AC4DC29F994}"/>
    <cellStyle name="Heading 4 8" xfId="3352" xr:uid="{40157B9E-873A-401C-958C-23540D2C28F6}"/>
    <cellStyle name="Heading 4 9" xfId="3353" xr:uid="{E25767C5-2709-40C5-9997-E71B4E6F44A8}"/>
    <cellStyle name="Heading1" xfId="11" xr:uid="{00000000-0005-0000-0000-00000B000000}"/>
    <cellStyle name="Heading2" xfId="12" xr:uid="{00000000-0005-0000-0000-00000C000000}"/>
    <cellStyle name="Headline" xfId="3354" xr:uid="{A84CBF3C-9396-4413-B909-16D8692FAC09}"/>
    <cellStyle name="Hyperlink" xfId="32" builtinId="8"/>
    <cellStyle name="Hyperlink 2" xfId="3355" xr:uid="{B7E81E9B-FF86-43DE-BDA0-FA47B09C1D55}"/>
    <cellStyle name="Hyperlink 2 2" xfId="3356" xr:uid="{AAAB9F82-A6A4-4C7F-B7C0-9DCEBCC21367}"/>
    <cellStyle name="Hyperlink 3" xfId="3357" xr:uid="{DB6CC211-1CD8-445F-A6EA-03F16A3B58E0}"/>
    <cellStyle name="Input" xfId="13" builtinId="20"/>
    <cellStyle name="Input 10 2" xfId="3358" xr:uid="{81F83376-3E75-4503-BCE9-BFCB2D9DF281}"/>
    <cellStyle name="Input 11 2" xfId="3359" xr:uid="{7A3E7829-DC06-4932-8C45-15E0453B406C}"/>
    <cellStyle name="Input 12 2" xfId="3360" xr:uid="{29A7153B-0F38-40B5-BC55-1646577C69AF}"/>
    <cellStyle name="Input 13 2" xfId="3361" xr:uid="{E074289C-CEDB-4C49-8ABF-3945BABB4200}"/>
    <cellStyle name="Input 14 2" xfId="3362" xr:uid="{E8226BD3-D237-4161-A2C9-7ECEAC6B1CDA}"/>
    <cellStyle name="Input 15 2" xfId="3363" xr:uid="{22444CE3-5CB9-4495-8E17-19CFB88F6C5E}"/>
    <cellStyle name="Input 16 2" xfId="3364" xr:uid="{B6B1B575-2168-4ACD-B06E-066702B40225}"/>
    <cellStyle name="Input 17 2" xfId="3365" xr:uid="{88E41FBC-0647-4169-ACCB-9F5405088D0D}"/>
    <cellStyle name="Input 18 2" xfId="3366" xr:uid="{5908DA4C-16A3-4874-A928-934B07D6D47B}"/>
    <cellStyle name="Input 19 2" xfId="3367" xr:uid="{E45749AF-BECE-49C7-8ADF-4EF0AB7A4481}"/>
    <cellStyle name="Input 2" xfId="3368" xr:uid="{7CE18BC9-BCBD-424A-A969-9074394010BD}"/>
    <cellStyle name="Input 2 10" xfId="3369" xr:uid="{D1FE6B47-AF24-4BD7-8E98-B04A612DD3BD}"/>
    <cellStyle name="Input 2 11" xfId="3370" xr:uid="{DF5DA249-20AA-4D8F-90B6-A835B4C4C8AE}"/>
    <cellStyle name="Input 2 12" xfId="3371" xr:uid="{5795AE23-583B-4A9D-B156-CF673F17D14F}"/>
    <cellStyle name="Input 2 2" xfId="3372" xr:uid="{588BF8AB-8777-4002-95DD-DA22D1D3063F}"/>
    <cellStyle name="Input 2 2 2" xfId="3373" xr:uid="{A20BF000-0D21-4049-A32F-59AD85636C90}"/>
    <cellStyle name="Input 2 2 3" xfId="3374" xr:uid="{4CB8AE18-4ED3-476D-8250-1567569F2F1C}"/>
    <cellStyle name="Input 2 3" xfId="3375" xr:uid="{9070D3E2-5DE5-487C-A297-9F46BB7F87C5}"/>
    <cellStyle name="Input 2 3 2" xfId="3376" xr:uid="{2018C68A-7BA9-46A0-AB9C-AF175B429C32}"/>
    <cellStyle name="Input 2 3 2 2" xfId="3377" xr:uid="{E9293DFA-6B64-4597-A76F-F5AE3B4D2B8D}"/>
    <cellStyle name="Input 2 3 3" xfId="3378" xr:uid="{52AC0BF1-C42D-4385-AF9C-7B1ADBA34649}"/>
    <cellStyle name="Input 2 4" xfId="3379" xr:uid="{11463102-B717-426B-8B55-4119BC2D505F}"/>
    <cellStyle name="Input 2 5" xfId="3380" xr:uid="{D6366575-8F73-44D0-970C-52645B3DE4EC}"/>
    <cellStyle name="Input 2 6" xfId="3381" xr:uid="{B2F8CA9E-73AB-444B-AFC7-3EDD232ED0D8}"/>
    <cellStyle name="Input 2 7" xfId="3382" xr:uid="{4C7AB7E1-79DB-4FDE-BE29-BD56698B6D19}"/>
    <cellStyle name="Input 2 8" xfId="3383" xr:uid="{D0DB1B9C-E5A4-4B34-916A-CDFB6720BC6C}"/>
    <cellStyle name="Input 2 9" xfId="3384" xr:uid="{73BFC075-E66A-47BC-BE25-C435386A7FBD}"/>
    <cellStyle name="Input 2_PrimaryEnergyPrices_TIMES" xfId="3385" xr:uid="{74212103-D210-4810-B336-25D47851CC3E}"/>
    <cellStyle name="Input 20 2" xfId="3386" xr:uid="{E584D9F4-822E-4A32-A48A-3478EA530CD3}"/>
    <cellStyle name="Input 21 2" xfId="3387" xr:uid="{8FA4019A-35BA-41D2-BA35-C87AD402CE83}"/>
    <cellStyle name="Input 22 2" xfId="3388" xr:uid="{92BDDB5D-81A1-405F-8643-DF5394A6A926}"/>
    <cellStyle name="Input 23 2" xfId="3389" xr:uid="{6873474D-4A91-434C-806B-0F85B25D7F6A}"/>
    <cellStyle name="Input 24 2" xfId="3390" xr:uid="{90FD17E7-1198-46F0-8312-1F5990AA767A}"/>
    <cellStyle name="Input 25 2" xfId="3391" xr:uid="{7B718379-AE3B-4DDC-A682-DDA5725069BA}"/>
    <cellStyle name="Input 26 2" xfId="3392" xr:uid="{E22238B9-F341-4D86-BE2A-03AB26388B14}"/>
    <cellStyle name="Input 27 2" xfId="3393" xr:uid="{BAEEFBB0-7E86-4A6B-8BA8-216248B80659}"/>
    <cellStyle name="Input 28 2" xfId="3394" xr:uid="{8BB1DB45-5501-4900-828F-8240A9FD234B}"/>
    <cellStyle name="Input 29 2" xfId="3395" xr:uid="{A559041C-DA1E-48C3-8DB2-A9A2EB5EFFC4}"/>
    <cellStyle name="Input 3" xfId="3396" xr:uid="{03A47FB0-7818-4370-9AF7-FE6FA9EDD011}"/>
    <cellStyle name="Input 3 2" xfId="3397" xr:uid="{8951C593-07A2-4976-9EBD-563571F7FF94}"/>
    <cellStyle name="Input 3 3" xfId="3398" xr:uid="{299F0E82-0E78-44E1-849A-848BC228685B}"/>
    <cellStyle name="Input 3 3 2" xfId="3399" xr:uid="{8E6B585D-696F-495D-B29D-770CF03B415B}"/>
    <cellStyle name="Input 3 4" xfId="3400" xr:uid="{020A5B4A-0024-48C8-8AF3-F6D75E7C67CA}"/>
    <cellStyle name="Input 3 5" xfId="3401" xr:uid="{D5FA849F-B21D-4A11-B51F-E8DC43FC03BD}"/>
    <cellStyle name="Input 30 2" xfId="3402" xr:uid="{C6F02CF5-D59C-4B6A-B1B1-CF1431B73E12}"/>
    <cellStyle name="Input 31 2" xfId="3403" xr:uid="{EFEAB640-DAB8-47CB-8C38-B205EE924AE9}"/>
    <cellStyle name="Input 32 2" xfId="3404" xr:uid="{1509BFB6-9BF9-4F25-84A2-190E1B5F8069}"/>
    <cellStyle name="Input 33 2" xfId="3405" xr:uid="{31DEAFB9-46D2-4146-BFA0-B19CC3BCC7C7}"/>
    <cellStyle name="Input 34" xfId="3406" xr:uid="{FE63B48B-B61A-48CF-9E30-2B93CF56E45A}"/>
    <cellStyle name="Input 34 2" xfId="3407" xr:uid="{F713BAB8-A007-47A0-85DF-F7FB59F99A7E}"/>
    <cellStyle name="Input 34_ELC_final" xfId="3408" xr:uid="{0F1AEA4E-0A14-4376-8B6A-A186D9D502DA}"/>
    <cellStyle name="Input 35" xfId="3409" xr:uid="{6129E4F2-B0CC-48F4-A46F-AD6C112815E9}"/>
    <cellStyle name="Input 36" xfId="3410" xr:uid="{44CF4B35-3FD5-4304-97D0-F6B1607E8851}"/>
    <cellStyle name="Input 37" xfId="3411" xr:uid="{2B343BDF-CF1C-4740-9E6F-5EE486F16D93}"/>
    <cellStyle name="Input 38" xfId="3412" xr:uid="{407F7DE1-ECB2-4952-98B1-5789FECCDEAB}"/>
    <cellStyle name="Input 39" xfId="3413" xr:uid="{FF6F1A9A-D956-474D-934A-5F65A5B79A79}"/>
    <cellStyle name="Input 4" xfId="3414" xr:uid="{DAC2B7E3-E365-40ED-A071-6C4566C3CEBE}"/>
    <cellStyle name="Input 4 2" xfId="3415" xr:uid="{205AE45E-9450-4515-9CBB-A81B1E29B550}"/>
    <cellStyle name="Input 40" xfId="3416" xr:uid="{2BE8011C-B5CF-475B-9713-1FCE027773A6}"/>
    <cellStyle name="Input 5" xfId="3417" xr:uid="{A0708BF2-479C-4020-A8A2-7268A932EA32}"/>
    <cellStyle name="Input 5 2" xfId="3418" xr:uid="{7860BBD8-1D30-4C70-B5A6-86935F9DC2A8}"/>
    <cellStyle name="Input 6" xfId="3419" xr:uid="{06AEEA5B-7F23-4AC0-875B-C27FCD6D9ADC}"/>
    <cellStyle name="Input 6 2" xfId="3420" xr:uid="{E28ACBAA-7FDD-4E8C-855D-35ACFB86E693}"/>
    <cellStyle name="Input 7 2" xfId="3421" xr:uid="{75E19560-22BB-4D16-A190-6C889FDE4609}"/>
    <cellStyle name="Input 8 2" xfId="3422" xr:uid="{4B1CC6B4-F952-47D5-9CA3-8048FE55B5CF}"/>
    <cellStyle name="Input 9 2" xfId="3423" xr:uid="{FD25419E-AD5A-4418-9F2B-9EB4FAA75C0D}"/>
    <cellStyle name="InputCells" xfId="3424" xr:uid="{8E4AF7CE-8F92-4F02-8458-E924D730610A}"/>
    <cellStyle name="InputCells12" xfId="3425" xr:uid="{15713F4B-1A5A-4EEF-94C0-F9EDF1665780}"/>
    <cellStyle name="IntCells" xfId="3426" xr:uid="{3EEF7E01-0F29-413D-97D5-3714E90D40AA}"/>
    <cellStyle name="ligne_titre_0" xfId="3427" xr:uid="{FF3A2404-DF5E-4920-A022-5F1C8D00604B}"/>
    <cellStyle name="Linked Cell 10" xfId="3428" xr:uid="{BCDA478F-12C5-46A6-B25F-9016C6F1A484}"/>
    <cellStyle name="Linked Cell 11" xfId="3429" xr:uid="{25198C1D-5BE7-4362-9A0F-946B5526FE7B}"/>
    <cellStyle name="Linked Cell 12" xfId="3430" xr:uid="{13550601-44A3-4935-A4B1-2669290F6B8D}"/>
    <cellStyle name="Linked Cell 13" xfId="3431" xr:uid="{D1131259-C960-4142-8216-105E7E9DA609}"/>
    <cellStyle name="Linked Cell 14" xfId="3432" xr:uid="{98F7653C-B229-41FB-87C8-EBEFD6F93BB3}"/>
    <cellStyle name="Linked Cell 15" xfId="3433" xr:uid="{03A70A37-8ECD-4979-AB97-399F14F53520}"/>
    <cellStyle name="Linked Cell 16" xfId="3434" xr:uid="{A9EA74EC-91F8-4529-A408-C97A645768F9}"/>
    <cellStyle name="Linked Cell 17" xfId="3435" xr:uid="{525B8432-8547-4E4D-9636-8B5E083C2024}"/>
    <cellStyle name="Linked Cell 18" xfId="3436" xr:uid="{6E1A69B3-7826-4F27-A510-5FE54B52B14A}"/>
    <cellStyle name="Linked Cell 19" xfId="3437" xr:uid="{22C19255-2513-4BB4-B1E1-8592BD358593}"/>
    <cellStyle name="Linked Cell 2" xfId="3438" xr:uid="{F232395E-C8AB-4445-8B84-2703DF25AD55}"/>
    <cellStyle name="Linked Cell 2 10" xfId="3439" xr:uid="{5663B68F-9D66-478F-B4B2-E54B035467A7}"/>
    <cellStyle name="Linked Cell 2 11" xfId="3440" xr:uid="{045F0802-F1E7-4E4A-AB11-A77DDDF3DA42}"/>
    <cellStyle name="Linked Cell 2 2" xfId="3441" xr:uid="{DC4E70F7-B265-46C6-B8D1-F530DF38B179}"/>
    <cellStyle name="Linked Cell 2 3" xfId="3442" xr:uid="{65D17F23-63EC-49E9-9A56-1AFEB2A7117B}"/>
    <cellStyle name="Linked Cell 2 4" xfId="3443" xr:uid="{125FB1BB-615C-4DB2-8D8F-6389EC4762B9}"/>
    <cellStyle name="Linked Cell 2 5" xfId="3444" xr:uid="{E4B57C29-E938-41FC-8F8B-4E3B639AA06B}"/>
    <cellStyle name="Linked Cell 2 6" xfId="3445" xr:uid="{47FBA634-B4E2-429E-A84B-461DB9FB8E6B}"/>
    <cellStyle name="Linked Cell 2 7" xfId="3446" xr:uid="{76DABF03-C8A1-4E0B-A8D9-9AE5CA468719}"/>
    <cellStyle name="Linked Cell 2 8" xfId="3447" xr:uid="{76C56EAB-EF23-45CF-8AD0-0B390448E406}"/>
    <cellStyle name="Linked Cell 2 9" xfId="3448" xr:uid="{CF141B5D-3F5A-4912-B195-2E067B72F950}"/>
    <cellStyle name="Linked Cell 20" xfId="3449" xr:uid="{41BFFEA9-D992-48F2-B8D6-62382D4F60CF}"/>
    <cellStyle name="Linked Cell 21" xfId="3450" xr:uid="{5F3F35D3-AE51-4048-B764-8F547E9C5A98}"/>
    <cellStyle name="Linked Cell 22" xfId="3451" xr:uid="{B2C51F5B-F9B7-4F86-96BF-5A0E35365BB3}"/>
    <cellStyle name="Linked Cell 23" xfId="3452" xr:uid="{60DB8BBD-32D8-4A55-9C27-A2D7A1ACFE12}"/>
    <cellStyle name="Linked Cell 24" xfId="3453" xr:uid="{D2D55500-5499-4175-963C-62EB24052B8D}"/>
    <cellStyle name="Linked Cell 25" xfId="3454" xr:uid="{520AEDD2-B9A1-46A4-B3CE-C8FD5A067E0A}"/>
    <cellStyle name="Linked Cell 26" xfId="3455" xr:uid="{7FFACC51-7223-428E-B22E-DD25F408239D}"/>
    <cellStyle name="Linked Cell 27" xfId="3456" xr:uid="{3AC3C16B-A051-4ACD-A56D-41D16E0DFD1E}"/>
    <cellStyle name="Linked Cell 28" xfId="3457" xr:uid="{09DB18A1-BD38-4C35-924C-049B8BCEFA35}"/>
    <cellStyle name="Linked Cell 29" xfId="3458" xr:uid="{A79623B2-2F09-4D9C-BCF5-A48064DE6B0D}"/>
    <cellStyle name="Linked Cell 3" xfId="3459" xr:uid="{C90DC2AB-9951-4F95-A123-32DC2EFB3878}"/>
    <cellStyle name="Linked Cell 3 2" xfId="3460" xr:uid="{7665E192-9403-4194-8923-68D2765992DA}"/>
    <cellStyle name="Linked Cell 3 2 2" xfId="3461" xr:uid="{FD54AF0D-EC1A-4B77-9FFC-515AF3A528EE}"/>
    <cellStyle name="Linked Cell 3 3" xfId="3462" xr:uid="{036D6978-BCD6-4C99-960F-F2C62964463C}"/>
    <cellStyle name="Linked Cell 3 4" xfId="3463" xr:uid="{61FB4114-1453-477D-B0A9-389ED814B616}"/>
    <cellStyle name="Linked Cell 30" xfId="3464" xr:uid="{C157710A-D518-4560-BED5-2A706D513FE8}"/>
    <cellStyle name="Linked Cell 31" xfId="3465" xr:uid="{F39AA122-77A1-4602-9C33-6F69C1F1453A}"/>
    <cellStyle name="Linked Cell 32" xfId="3466" xr:uid="{9119522F-0F55-4336-9864-E2B607D45097}"/>
    <cellStyle name="Linked Cell 33" xfId="3467" xr:uid="{750C48DB-F475-4D0D-A18F-D1C0F4EBFF14}"/>
    <cellStyle name="Linked Cell 34" xfId="3468" xr:uid="{6E9C922A-8A07-49BD-A4DC-C0B26ED0EE2D}"/>
    <cellStyle name="Linked Cell 35" xfId="3469" xr:uid="{573442A6-BB24-46D0-A4F7-ADAEE56E1E6C}"/>
    <cellStyle name="Linked Cell 36" xfId="3470" xr:uid="{604C7E89-49C3-46F1-8357-E787E6728CF3}"/>
    <cellStyle name="Linked Cell 37" xfId="3471" xr:uid="{4B4BBE0B-5735-495E-BEB9-2220DE86D421}"/>
    <cellStyle name="Linked Cell 38" xfId="3472" xr:uid="{8EC4DD62-40AC-4E20-AD60-866C39550353}"/>
    <cellStyle name="Linked Cell 39" xfId="3473" xr:uid="{921EC6E6-150D-406D-90A0-790693F727E6}"/>
    <cellStyle name="Linked Cell 4" xfId="3474" xr:uid="{440D13D3-C038-48BE-A51A-8C739703B6C3}"/>
    <cellStyle name="Linked Cell 4 2" xfId="3475" xr:uid="{ECA2E7B4-9767-4520-BEC1-7E67574624CB}"/>
    <cellStyle name="Linked Cell 40" xfId="3476" xr:uid="{B36B341F-D833-494F-ADAB-AFDF2A11B9C7}"/>
    <cellStyle name="Linked Cell 41" xfId="3477" xr:uid="{5D172F14-5E01-42E6-A9D1-DED7229E6A5D}"/>
    <cellStyle name="Linked Cell 5" xfId="3478" xr:uid="{5D19F318-4B57-4A2B-8A09-34421591DAEF}"/>
    <cellStyle name="Linked Cell 5 2" xfId="3479" xr:uid="{88B6548C-A344-44EE-B708-496CB92763BB}"/>
    <cellStyle name="Linked Cell 6" xfId="3480" xr:uid="{A9585F50-4CA2-4190-991A-4E4FFC2849D4}"/>
    <cellStyle name="Linked Cell 6 2" xfId="3481" xr:uid="{0A312D74-921D-44A2-8019-838503575D0C}"/>
    <cellStyle name="Linked Cell 7" xfId="3482" xr:uid="{626825A3-222A-4E7C-A628-B69DB709FF9C}"/>
    <cellStyle name="Linked Cell 8" xfId="3483" xr:uid="{4926FA0C-6940-470A-9D25-556E7AF615AF}"/>
    <cellStyle name="Linked Cell 9" xfId="3484" xr:uid="{195E22F0-CA61-46C9-904E-E99752137427}"/>
    <cellStyle name="Migliaia_Oil&amp;Gas IFE ARC POLITO" xfId="3485" xr:uid="{2E582B5D-93A9-4632-91DC-1648B56E1BC3}"/>
    <cellStyle name="Neutral 10" xfId="3486" xr:uid="{10BF6D37-8650-4950-9FF9-2E813367A63A}"/>
    <cellStyle name="Neutral 11" xfId="3487" xr:uid="{82AE8C2D-BA3C-4B81-921C-7299A58DFA55}"/>
    <cellStyle name="Neutral 12" xfId="3488" xr:uid="{6FA0327F-98EB-40EB-B85A-10155E80B957}"/>
    <cellStyle name="Neutral 13" xfId="3489" xr:uid="{FDF160DC-D08F-4641-B6EF-C2B9D6A381D1}"/>
    <cellStyle name="Neutral 14" xfId="3490" xr:uid="{CB2C14F0-F8E8-403D-A0F2-D41F7284AF3E}"/>
    <cellStyle name="Neutral 15" xfId="3491" xr:uid="{5F5BA89E-79D1-4598-B2DF-C27E9704A31A}"/>
    <cellStyle name="Neutral 16" xfId="3492" xr:uid="{76845E4B-7155-405E-BEC9-CBEE16918EF7}"/>
    <cellStyle name="Neutral 17" xfId="3493" xr:uid="{CCAE423A-00F7-4042-B287-A412D5AA8DBF}"/>
    <cellStyle name="Neutral 18" xfId="3494" xr:uid="{9083841D-8ADC-4589-B984-C9C7E720D358}"/>
    <cellStyle name="Neutral 19" xfId="3495" xr:uid="{D44EBE7D-7120-4F94-A1EE-FFB40693788F}"/>
    <cellStyle name="Neutral 2" xfId="3496" xr:uid="{FAFF34B4-0919-4F61-AFE7-73538FE16B0E}"/>
    <cellStyle name="Neutral 2 10" xfId="3497" xr:uid="{77B2A572-EEE6-4876-8786-057C6BBE2B50}"/>
    <cellStyle name="Neutral 2 11" xfId="3498" xr:uid="{F01CF09E-6BF3-44AC-ADE2-38CCB52119BF}"/>
    <cellStyle name="Neutral 2 2" xfId="3499" xr:uid="{F8E65E30-47C9-4BF9-A942-2339DB52209D}"/>
    <cellStyle name="Neutral 2 3" xfId="3500" xr:uid="{12DB3C95-F4BA-44DC-A83E-A2E1929D72A5}"/>
    <cellStyle name="Neutral 2 4" xfId="3501" xr:uid="{E479D496-98BC-40A1-AB86-E0B09EBFD204}"/>
    <cellStyle name="Neutral 2 5" xfId="3502" xr:uid="{BEB9AD82-D8C5-4EF3-8B03-617C371DEA12}"/>
    <cellStyle name="Neutral 2 6" xfId="3503" xr:uid="{60E8CF7D-1F69-42ED-83E6-9784AB9DE7E0}"/>
    <cellStyle name="Neutral 2 7" xfId="3504" xr:uid="{F08A0581-089C-4CEE-A0C9-D4BCCFE100C1}"/>
    <cellStyle name="Neutral 2 8" xfId="3505" xr:uid="{42103368-6906-4AAF-8ACA-53729D5B654B}"/>
    <cellStyle name="Neutral 2 9" xfId="3506" xr:uid="{A9ED83B1-3176-4D6B-B0AA-2F6E337F01E1}"/>
    <cellStyle name="Neutral 20" xfId="3507" xr:uid="{47983D15-DF51-494B-A15C-93F732E63052}"/>
    <cellStyle name="Neutral 21" xfId="3508" xr:uid="{934C7F09-FA0A-4194-84E4-CF6CE5101FC0}"/>
    <cellStyle name="Neutral 22" xfId="3509" xr:uid="{36A907FF-B81B-46B4-A77B-B7EB91DF2CC8}"/>
    <cellStyle name="Neutral 23" xfId="3510" xr:uid="{2D19EDEA-2407-48D0-A658-85C885938A14}"/>
    <cellStyle name="Neutral 24" xfId="3511" xr:uid="{BE9ECD85-A0EC-4FC7-B359-04DB6D9F0B7C}"/>
    <cellStyle name="Neutral 25" xfId="3512" xr:uid="{8741E106-9CE8-45ED-9FC1-735369ED6033}"/>
    <cellStyle name="Neutral 26" xfId="3513" xr:uid="{53D923FA-88C6-45FD-935C-6026EDB27241}"/>
    <cellStyle name="Neutral 27" xfId="3514" xr:uid="{5A36309D-661C-4DBD-B541-1A41BBDD9ABA}"/>
    <cellStyle name="Neutral 28" xfId="3515" xr:uid="{54383EC2-B2F1-499B-BAF1-B780B04635EC}"/>
    <cellStyle name="Neutral 29" xfId="3516" xr:uid="{F18F4643-E1B7-4ACE-A230-6CE9F75FA1B8}"/>
    <cellStyle name="Neutral 3" xfId="3517" xr:uid="{5C87F4E5-FD34-4C37-87E1-53779FAAA714}"/>
    <cellStyle name="Neutral 3 2" xfId="3518" xr:uid="{FB97AEC6-8B42-48DE-B4B8-95BDEA14FEAA}"/>
    <cellStyle name="Neutral 3 2 2" xfId="3519" xr:uid="{95300D3D-C223-4825-BD28-94B49141260F}"/>
    <cellStyle name="Neutral 3 3" xfId="3520" xr:uid="{CCC439DA-5CDC-4CC7-BD55-08EB20EAB840}"/>
    <cellStyle name="Neutral 3 3 2" xfId="3521" xr:uid="{6CE010EB-573B-4FC7-AB42-F1D8F6C7C917}"/>
    <cellStyle name="Neutral 3 4" xfId="3522" xr:uid="{5531EBC5-BE51-44D0-88DA-0C102D5B1253}"/>
    <cellStyle name="Neutral 3 5" xfId="3523" xr:uid="{13CA6654-5C1D-4AA5-8D70-F3CC2CE8E9FD}"/>
    <cellStyle name="Neutral 3 6" xfId="3524" xr:uid="{1ACF5154-2A88-46EE-97CF-F2C0B877D549}"/>
    <cellStyle name="Neutral 3 7" xfId="3525" xr:uid="{30CBFF7B-BADE-41A3-B994-F28BFC610ADE}"/>
    <cellStyle name="Neutral 30" xfId="3526" xr:uid="{1982078D-2ECE-4B0C-BAD0-CD5CAE28A5B9}"/>
    <cellStyle name="Neutral 31" xfId="3527" xr:uid="{9446E8D8-4852-4FF5-A5D0-330B5F0DC5AE}"/>
    <cellStyle name="Neutral 32" xfId="3528" xr:uid="{F80D5A99-F724-44D0-926A-6DAC79B434AA}"/>
    <cellStyle name="Neutral 33" xfId="3529" xr:uid="{3CB136E4-C793-45B3-9F11-A07665A253B6}"/>
    <cellStyle name="Neutral 34" xfId="3530" xr:uid="{A2D1CA9A-0C3C-49EF-88DD-C3E128B3858D}"/>
    <cellStyle name="Neutral 35" xfId="3531" xr:uid="{E0ADE6A7-9950-4BD1-B3AE-ABABD019AFD5}"/>
    <cellStyle name="Neutral 36" xfId="3532" xr:uid="{A7230D85-C8CC-414D-A3B2-326E9A36499F}"/>
    <cellStyle name="Neutral 37" xfId="3533" xr:uid="{54751D32-D700-4098-AF3B-61C9FA64916B}"/>
    <cellStyle name="Neutral 38" xfId="3534" xr:uid="{420F6F67-89AF-4239-98E2-02C8CAC0E047}"/>
    <cellStyle name="Neutral 39" xfId="3535" xr:uid="{371BC627-EEAA-4B4C-8035-9D3DE77FA6C3}"/>
    <cellStyle name="Neutral 4" xfId="3536" xr:uid="{B1B65241-2CDD-492E-88F0-002E5DEAF611}"/>
    <cellStyle name="Neutral 4 2" xfId="3537" xr:uid="{35B048CD-5D6D-4440-B61A-3591E7569494}"/>
    <cellStyle name="Neutral 40" xfId="3538" xr:uid="{D7800C29-686E-4525-AB90-6C0E2994875B}"/>
    <cellStyle name="Neutral 41" xfId="3539" xr:uid="{1161C4CE-5EBE-4FC9-8ABC-57A7B03F8A29}"/>
    <cellStyle name="Neutral 42" xfId="3540" xr:uid="{E1B9F99F-646E-4699-A1B1-4A7F331F2523}"/>
    <cellStyle name="Neutral 43" xfId="3541" xr:uid="{29BE4CCE-5D14-405C-9799-A5D7573B8CBA}"/>
    <cellStyle name="Neutral 5" xfId="3542" xr:uid="{0A3F9CE8-558A-4E89-B996-3641858FF3F9}"/>
    <cellStyle name="Neutral 5 2" xfId="3543" xr:uid="{F2550E6E-94B7-4A51-A090-F3E48ED69DA3}"/>
    <cellStyle name="Neutral 6" xfId="3544" xr:uid="{FDAA4FBE-A35A-4BB2-B03E-6ACBF412D9D2}"/>
    <cellStyle name="Neutral 6 2" xfId="3545" xr:uid="{B2AA6264-B180-4A03-BB9F-078950EC7E81}"/>
    <cellStyle name="Neutral 7" xfId="3546" xr:uid="{9A332948-0DE9-41DE-8E39-9F3D7005D770}"/>
    <cellStyle name="Neutral 8" xfId="3547" xr:uid="{E58B8E25-6EEA-4378-80F3-DB810592D944}"/>
    <cellStyle name="Neutral 9" xfId="3548" xr:uid="{A6EF2287-7FC9-48E7-9258-41FE9141134D}"/>
    <cellStyle name="Normal" xfId="0" builtinId="0"/>
    <cellStyle name="Normal 10" xfId="3549" xr:uid="{E042CBEF-6867-40F0-8CF9-C1699BE0B875}"/>
    <cellStyle name="Normal 10 2" xfId="3550" xr:uid="{47FD9937-BA4D-4BBF-9CD1-AFE8A301BA8F}"/>
    <cellStyle name="Normal 10 2 2" xfId="3551" xr:uid="{EC86F785-CC42-42DB-8E61-0DB7B6DBEABF}"/>
    <cellStyle name="Normal 10 2 2 2" xfId="3552" xr:uid="{77E77F8D-E3C3-4E84-B258-A10704B3C166}"/>
    <cellStyle name="Normal 10 2 2 3" xfId="3553" xr:uid="{2676EDBD-5058-4922-A015-2A6075EAFD5F}"/>
    <cellStyle name="Normal 10 2 2 3 2" xfId="3554" xr:uid="{B7200454-885A-47E8-9DE6-3C94ED03B0AB}"/>
    <cellStyle name="Normal 10 2 2 3 2 2" xfId="3555" xr:uid="{ACED4C78-2716-4070-96AF-29AE7FF686A8}"/>
    <cellStyle name="Normal 10 2 2 3 2 2 2" xfId="3556" xr:uid="{B63A8FF4-E91A-48BB-8D0B-E2B3A9316F4E}"/>
    <cellStyle name="Normal 10 2 2 3 2 3" xfId="3557" xr:uid="{E804E675-8B5B-42E6-9255-2583B70954C2}"/>
    <cellStyle name="Normal 10 2 2 3 3" xfId="3558" xr:uid="{314F6452-EE10-4BC3-846B-87B7D9246C40}"/>
    <cellStyle name="Normal 10 2 2 3 3 2" xfId="3559" xr:uid="{F3009F78-8F0E-430D-990A-D4FEE291F408}"/>
    <cellStyle name="Normal 10 2 2 3 3 2 2" xfId="3560" xr:uid="{397CB158-FFF1-4771-98C8-3C00293BBC98}"/>
    <cellStyle name="Normal 10 2 2 3 3 3" xfId="3561" xr:uid="{FC5E4B62-231B-4618-82C0-4B58117BFB23}"/>
    <cellStyle name="Normal 10 2 2 3 4" xfId="3562" xr:uid="{08029A8B-7B98-40CF-B649-CB6CE1582B14}"/>
    <cellStyle name="Normal 10 2 2 3 4 2" xfId="3563" xr:uid="{DED32631-8729-4E46-B715-2B9A86CB6AA4}"/>
    <cellStyle name="Normal 10 2 2 3 5" xfId="3564" xr:uid="{FF27B87F-F5D3-46E4-BA38-AD9C4C1BB91F}"/>
    <cellStyle name="Normal 10 2 2 4" xfId="3565" xr:uid="{75DE56C0-D3E6-4796-92DB-70E865A767DC}"/>
    <cellStyle name="Normal 10 2 2 4 2" xfId="3566" xr:uid="{599A3467-6AC9-4E16-943F-C8FDEC36CF94}"/>
    <cellStyle name="Normal 10 2 2 4 2 2" xfId="3567" xr:uid="{25B45827-858C-4FB0-8273-E3111CB9CDC0}"/>
    <cellStyle name="Normal 10 2 2 4 3" xfId="3568" xr:uid="{63ED88D5-5B4A-499C-ACA6-BC362BBD4F77}"/>
    <cellStyle name="Normal 10 2 2 4 4" xfId="3569" xr:uid="{CECF6C6A-DFD6-4DA0-B3FB-9B9DA6B8532C}"/>
    <cellStyle name="Normal 10 2 2 5" xfId="3570" xr:uid="{0DBB3A6B-CEA8-426C-B212-FD83A0641E1E}"/>
    <cellStyle name="Normal 10 2 2 5 2" xfId="3571" xr:uid="{404C65A0-9ABF-4119-AD4B-FEB1384EAAA5}"/>
    <cellStyle name="Normal 10 2 2 5 2 2" xfId="3572" xr:uid="{67867A7E-D214-4519-80B1-D6265ACA2884}"/>
    <cellStyle name="Normal 10 2 2 5 3" xfId="3573" xr:uid="{FBC29600-49DA-41AD-BD9B-2E66A6E74B63}"/>
    <cellStyle name="Normal 10 2 2 6" xfId="3574" xr:uid="{21F558A6-B50E-4354-8CFC-0184ED661F4B}"/>
    <cellStyle name="Normal 10 2 2 6 2" xfId="3575" xr:uid="{A4D9C740-72C2-4918-B744-D2790A535F22}"/>
    <cellStyle name="Normal 10 2 2 7" xfId="3576" xr:uid="{F3AA52B4-1FB9-46D7-954A-4C1BBEB3A767}"/>
    <cellStyle name="Normal 10 2 3" xfId="3577" xr:uid="{D35C36A5-5DEE-4D4F-B8C1-74A77685BB25}"/>
    <cellStyle name="Normal 10 2 3 2" xfId="3578" xr:uid="{401B2267-1C43-48E6-85ED-31A7A7176B90}"/>
    <cellStyle name="Normal 10 2 3 2 2" xfId="3579" xr:uid="{065D659D-A62A-4130-9DE6-C79B2E815A47}"/>
    <cellStyle name="Normal 10 2 3 2 2 2" xfId="3580" xr:uid="{DB5EED9C-1AAD-4CAA-8163-C411A9695F7F}"/>
    <cellStyle name="Normal 10 2 3 2 2 2 2" xfId="3581" xr:uid="{DD442E50-B7E4-4383-BAA3-E7C45DA109D2}"/>
    <cellStyle name="Normal 10 2 3 2 2 3" xfId="3582" xr:uid="{18B473EE-0269-40D9-80DB-B436A2AB4099}"/>
    <cellStyle name="Normal 10 2 3 2 3" xfId="3583" xr:uid="{412AF959-524D-4066-85EA-B26C4D1CF45C}"/>
    <cellStyle name="Normal 10 2 3 2 3 2" xfId="3584" xr:uid="{B9940AEA-B4A2-41A9-BF1D-0CD334F7CDDC}"/>
    <cellStyle name="Normal 10 2 3 2 3 2 2" xfId="3585" xr:uid="{97FE00E4-501C-4ACD-8567-6B08ECB63596}"/>
    <cellStyle name="Normal 10 2 3 2 3 3" xfId="3586" xr:uid="{AB5A53BB-A484-48F9-9F86-6F00D9620911}"/>
    <cellStyle name="Normal 10 2 3 2 4" xfId="3587" xr:uid="{EBC01BF4-2A8A-42F1-8168-BDE65436CE09}"/>
    <cellStyle name="Normal 10 2 3 2 4 2" xfId="3588" xr:uid="{E71A132D-4B8D-4553-9852-24898D66827B}"/>
    <cellStyle name="Normal 10 2 3 2 5" xfId="3589" xr:uid="{0C31405A-4FFC-4A2B-8BAD-0BBC2EB25DEE}"/>
    <cellStyle name="Normal 10 2 3 3" xfId="3590" xr:uid="{91136AB6-E4F6-4DB6-8573-55F1E17ACA89}"/>
    <cellStyle name="Normal 10 2 3 3 2" xfId="3591" xr:uid="{3BC0EE83-22D6-4DED-9DA6-3BE14B347E89}"/>
    <cellStyle name="Normal 10 2 3 3 2 2" xfId="3592" xr:uid="{D417CC85-0AFF-4415-925D-9D90143FB2AF}"/>
    <cellStyle name="Normal 10 2 3 3 3" xfId="3593" xr:uid="{2F93D7CC-25FE-46BD-A3CF-0BE9E3C7709E}"/>
    <cellStyle name="Normal 10 2 3 4" xfId="3594" xr:uid="{FE26A737-C1E0-4455-A825-9DEB8F1830DE}"/>
    <cellStyle name="Normal 10 2 3 4 2" xfId="3595" xr:uid="{3843AA8F-6625-42B8-BF2A-E5347DBF363C}"/>
    <cellStyle name="Normal 10 2 3 4 2 2" xfId="3596" xr:uid="{D5AD5C18-8225-4F03-99AF-C52055752DE5}"/>
    <cellStyle name="Normal 10 2 3 4 3" xfId="3597" xr:uid="{07BCE2E2-A93A-47D1-8756-DB3603A528FA}"/>
    <cellStyle name="Normal 10 2 3 5" xfId="3598" xr:uid="{F09E6364-ACCC-4E46-A760-16B71A0E566F}"/>
    <cellStyle name="Normal 10 2 3 5 2" xfId="3599" xr:uid="{B572D9B2-FE1F-4C4D-A417-93651AA55639}"/>
    <cellStyle name="Normal 10 2 3 6" xfId="3600" xr:uid="{21FC069C-D4BD-4AC7-A8BE-2133E4EE9706}"/>
    <cellStyle name="Normal 10 2 4" xfId="3601" xr:uid="{FB2AEA5D-D2E1-42C9-BFE5-A700528C90FE}"/>
    <cellStyle name="Normal 10 2 5" xfId="3602" xr:uid="{D04DB13F-52E8-4C29-AC57-817DF5A0415B}"/>
    <cellStyle name="Normal 10 2 5 2" xfId="3603" xr:uid="{F6DA8B86-3712-4E6C-AC6B-BA60D1D39AD0}"/>
    <cellStyle name="Normal 10 2 5 2 2" xfId="3604" xr:uid="{96E1A9AF-7DA8-44FB-95E8-4F291862CBE5}"/>
    <cellStyle name="Normal 10 2 5 2 2 2" xfId="3605" xr:uid="{ACCE6A59-E79F-4BA4-88C3-080EEA63B60A}"/>
    <cellStyle name="Normal 10 2 5 2 2 2 2" xfId="3606" xr:uid="{F5C090F9-0886-4E47-8AFE-274F03EE4D4B}"/>
    <cellStyle name="Normal 10 2 5 2 2 3" xfId="3607" xr:uid="{F7DD981E-BA1A-463B-AF9A-B41822C9510D}"/>
    <cellStyle name="Normal 10 2 5 2 3" xfId="3608" xr:uid="{E69CAFAF-3101-4707-81B5-CF38E6025B11}"/>
    <cellStyle name="Normal 10 2 5 2 3 2" xfId="3609" xr:uid="{69E7BEF3-7417-4F1F-8F55-C92E18607A11}"/>
    <cellStyle name="Normal 10 2 5 2 3 2 2" xfId="3610" xr:uid="{9C7DE951-2577-44B4-9644-7225637DB490}"/>
    <cellStyle name="Normal 10 2 5 2 3 3" xfId="3611" xr:uid="{16E48AD0-9A24-465F-9BD6-42E97D85800B}"/>
    <cellStyle name="Normal 10 2 5 2 4" xfId="3612" xr:uid="{AE90A6C9-20DC-4DA8-8629-BF5E9F3D6A3C}"/>
    <cellStyle name="Normal 10 2 5 2 4 2" xfId="3613" xr:uid="{13789D99-672D-4CB6-B6CA-B75F00030A17}"/>
    <cellStyle name="Normal 10 2 5 2 5" xfId="3614" xr:uid="{B105C76F-85AE-42D4-B7C0-48AC8833F40F}"/>
    <cellStyle name="Normal 10 2 5 3" xfId="3615" xr:uid="{2DE634E8-6F03-4F88-940F-E3E6ECFC6BC3}"/>
    <cellStyle name="Normal 10 2 5 3 2" xfId="3616" xr:uid="{4A0960DB-28F3-40D8-B4FA-5A26C6446A46}"/>
    <cellStyle name="Normal 10 2 5 3 2 2" xfId="3617" xr:uid="{6C7FC649-F7CB-4AA9-B41D-3D4EF96379D2}"/>
    <cellStyle name="Normal 10 2 5 3 3" xfId="3618" xr:uid="{3729D43D-6843-4BCC-A7F4-43570E44FB74}"/>
    <cellStyle name="Normal 10 2 5 4" xfId="3619" xr:uid="{1024D115-93C1-462E-ACAA-E0F19AC25FC7}"/>
    <cellStyle name="Normal 10 2 5 4 2" xfId="3620" xr:uid="{84A09691-AADD-4A0E-AE87-786A215BB8DA}"/>
    <cellStyle name="Normal 10 2 5 4 2 2" xfId="3621" xr:uid="{93DA24AD-A35F-4D7C-B0D1-A4065449F3DB}"/>
    <cellStyle name="Normal 10 2 5 4 3" xfId="3622" xr:uid="{0F290D6E-6655-4AE4-9822-05CFF930C7D8}"/>
    <cellStyle name="Normal 10 2 5 5" xfId="3623" xr:uid="{F92E9F18-2F26-4FCF-8373-13D238EBDF37}"/>
    <cellStyle name="Normal 10 2 5 5 2" xfId="3624" xr:uid="{C7FD877A-92BE-4248-80AB-DE4B410231F0}"/>
    <cellStyle name="Normal 10 2 5 6" xfId="3625" xr:uid="{DB66D9CD-B166-4D6E-A9B3-63E292CC62FF}"/>
    <cellStyle name="Normal 10 2 6" xfId="3626" xr:uid="{91129177-43DC-49B4-8CC1-5EC58B6384D8}"/>
    <cellStyle name="Normal 10 2 6 2" xfId="3627" xr:uid="{BC29B2F0-0E24-4A6C-9C43-DD3959A62972}"/>
    <cellStyle name="Normal 10 2 6 2 2" xfId="3628" xr:uid="{14D1583C-D868-4AE5-ADD2-B1B939C68337}"/>
    <cellStyle name="Normal 10 2 6 2 2 2" xfId="3629" xr:uid="{CE0E72C3-A320-48CF-B014-72C9DAFF039A}"/>
    <cellStyle name="Normal 10 2 6 2 3" xfId="3630" xr:uid="{8DB60CD7-F82A-49AA-99AB-358D05E9A6C6}"/>
    <cellStyle name="Normal 10 2 6 3" xfId="3631" xr:uid="{4CA99104-8F2B-4737-8FA2-313BD1C5F819}"/>
    <cellStyle name="Normal 10 2 6 3 2" xfId="3632" xr:uid="{CCF52C7B-EB82-491F-A9B2-96BB5A4D54F4}"/>
    <cellStyle name="Normal 10 2 6 3 2 2" xfId="3633" xr:uid="{D5C999F8-1515-432F-A868-FA08E31F1A51}"/>
    <cellStyle name="Normal 10 2 6 3 3" xfId="3634" xr:uid="{65FCAF92-9547-4157-983F-9D03B37F4E62}"/>
    <cellStyle name="Normal 10 2 6 4" xfId="3635" xr:uid="{BA526500-F323-4725-8B7E-91D1DD0E0625}"/>
    <cellStyle name="Normal 10 2 6 4 2" xfId="3636" xr:uid="{FE917746-E240-4530-8F06-E99F80E84FA6}"/>
    <cellStyle name="Normal 10 2 6 5" xfId="3637" xr:uid="{D5EC932A-2A68-4AF0-9C19-E53AB3F16153}"/>
    <cellStyle name="Normal 10 2 7" xfId="3638" xr:uid="{A1DCB4C0-52EE-4791-99C4-CD14E8AC4C49}"/>
    <cellStyle name="Normal 10 2 7 2" xfId="3639" xr:uid="{4BFA8FDE-9C79-480A-8B0B-04F23A766740}"/>
    <cellStyle name="Normal 10 2 7 2 2" xfId="3640" xr:uid="{82C8DD0F-7227-4285-A443-AAF3AC76EFF7}"/>
    <cellStyle name="Normal 10 2 7 2 2 2" xfId="3641" xr:uid="{4935DEF4-71CC-4885-909F-F8871596586B}"/>
    <cellStyle name="Normal 10 2 7 2 3" xfId="3642" xr:uid="{D7D99A38-544F-4E99-BA64-599324783C8C}"/>
    <cellStyle name="Normal 10 2 7 3" xfId="3643" xr:uid="{45B483CB-6350-458E-B709-4C771451C7DD}"/>
    <cellStyle name="Normal 10 2 7 3 2" xfId="3644" xr:uid="{934FC9C3-C6A4-424D-8135-C1DCE06D7608}"/>
    <cellStyle name="Normal 10 2 7 4" xfId="3645" xr:uid="{B9944FFF-F105-419D-B588-DAE7F25F34FC}"/>
    <cellStyle name="Normal 10 2 8" xfId="3646" xr:uid="{848CD98A-0FC8-463B-AA51-8F92A9FD617D}"/>
    <cellStyle name="Normal 10 2 8 2" xfId="3647" xr:uid="{72553A61-D654-40EA-906B-5D60362267E3}"/>
    <cellStyle name="Normal 10 3" xfId="3648" xr:uid="{E52BED2D-5741-406D-B280-85D479C9B423}"/>
    <cellStyle name="Normal 10 4" xfId="3649" xr:uid="{191A210C-9D4D-450C-8D5F-4931B164AB7F}"/>
    <cellStyle name="Normal 10 5" xfId="3650" xr:uid="{7D23C65F-0638-49F6-AED5-7555B7B1CE3C}"/>
    <cellStyle name="Normal 10 6" xfId="3651" xr:uid="{B334CF24-9102-48B1-9D80-B9D28A4A3A24}"/>
    <cellStyle name="Normal 10 7" xfId="3652" xr:uid="{387D1B30-826E-485C-9C61-9586559806C6}"/>
    <cellStyle name="Normal 10 8" xfId="3653" xr:uid="{28043618-EEC3-4B20-93A7-0F40D988311E}"/>
    <cellStyle name="Normal 10 9" xfId="3654" xr:uid="{496B13C5-C16C-4E44-86C8-FF769AD3BBF7}"/>
    <cellStyle name="Normal 11" xfId="3655" xr:uid="{EFC3A0FB-9D90-4208-A572-9ED4564D4964}"/>
    <cellStyle name="Normal 11 2" xfId="3656" xr:uid="{DA17F89F-8264-435A-B8E8-A6B110B28622}"/>
    <cellStyle name="Normal 11 2 2" xfId="3657" xr:uid="{F91C8F71-0E88-487E-937A-17A2E89AAF4F}"/>
    <cellStyle name="Normal 11 2 2 2" xfId="3658" xr:uid="{28B9B275-E282-4E53-A653-BC0EFBF980FD}"/>
    <cellStyle name="Normal 11 3" xfId="3659" xr:uid="{60E4198D-AAC1-4D9D-A417-526CAFC141A8}"/>
    <cellStyle name="Normal 11 4" xfId="3660" xr:uid="{4D9FD764-3D0F-49BE-8D5A-18A4BE72CA49}"/>
    <cellStyle name="Normal 11 4 2" xfId="3661" xr:uid="{0630930E-2DA2-410E-8724-3902DA827353}"/>
    <cellStyle name="Normal 11 5" xfId="3662" xr:uid="{D0DB5B21-5BB9-4BDB-96DA-DD5E6DFDFB0F}"/>
    <cellStyle name="Normal 11 5 2" xfId="3663" xr:uid="{897872CA-59BC-49FA-A792-0FFC74007403}"/>
    <cellStyle name="Normal 11 5 3" xfId="3664" xr:uid="{D58892C7-8E8A-4FF0-90D0-DF48BF631E72}"/>
    <cellStyle name="Normal 11 5 3 2" xfId="3665" xr:uid="{668742C6-5688-4D1C-9570-4786B51FA403}"/>
    <cellStyle name="Normal 11 5 3 2 2" xfId="3666" xr:uid="{16B58436-FE2B-4F45-BB3A-8DA327B2F97A}"/>
    <cellStyle name="Normal 11 5 3 2 2 2" xfId="3667" xr:uid="{0F380937-8464-4D9C-A5DE-2E31CD5C1E20}"/>
    <cellStyle name="Normal 11 5 3 2 3" xfId="3668" xr:uid="{952D80CB-FED3-45EA-8D1A-888F878905CD}"/>
    <cellStyle name="Normal 11 5 3 3" xfId="3669" xr:uid="{FBEAE59E-107A-4976-89ED-0C74661971A8}"/>
    <cellStyle name="Normal 11 5 3 3 2" xfId="3670" xr:uid="{953A0960-D504-463D-ACFB-7F2D605D4AFF}"/>
    <cellStyle name="Normal 11 5 3 3 2 2" xfId="3671" xr:uid="{FC41FBAC-B2E8-4661-B611-F0657CAE4DE2}"/>
    <cellStyle name="Normal 11 5 3 3 3" xfId="3672" xr:uid="{09CB9A5A-7495-4127-B0AB-C3EF1169B48F}"/>
    <cellStyle name="Normal 11 5 3 4" xfId="3673" xr:uid="{7DDC45BB-E474-4A17-A521-FD5E0735EE9C}"/>
    <cellStyle name="Normal 11 5 3 4 2" xfId="3674" xr:uid="{2CE56EF0-FE8B-403C-AF7D-D5AFD50C73BE}"/>
    <cellStyle name="Normal 11 5 3 5" xfId="3675" xr:uid="{5D318583-2695-4E9E-8E03-0DDE8B5A5AB2}"/>
    <cellStyle name="Normal 11 5 4" xfId="3676" xr:uid="{76860B1B-612A-4388-8B0D-7686FAA2BC8D}"/>
    <cellStyle name="Normal 11 5 4 2" xfId="3677" xr:uid="{C86426A3-C96F-4006-84FF-C7F7E591D184}"/>
    <cellStyle name="Normal 11 5 4 2 2" xfId="3678" xr:uid="{68241094-AB72-43F7-8A23-A597896408BB}"/>
    <cellStyle name="Normal 11 5 4 2 2 2" xfId="3679" xr:uid="{490DDA83-A2F5-4BAA-8523-9629F5DB3FCC}"/>
    <cellStyle name="Normal 11 5 4 2 3" xfId="3680" xr:uid="{59A18390-58AA-4869-AE4E-7C9BA908E216}"/>
    <cellStyle name="Normal 11 5 4 3" xfId="3681" xr:uid="{845A2793-382B-464F-88B4-C3FDE5A32151}"/>
    <cellStyle name="Normal 11 5 4 3 2" xfId="3682" xr:uid="{C80F419E-D890-473E-9354-95E440FB92C8}"/>
    <cellStyle name="Normal 11 5 4 4" xfId="3683" xr:uid="{FDBAE396-85F9-418D-9022-57D22486B49B}"/>
    <cellStyle name="Normal 11 5 5" xfId="3684" xr:uid="{255BC5E1-FFA6-49AE-9BDE-FBC2BE59C313}"/>
    <cellStyle name="Normal 11 5 5 2" xfId="3685" xr:uid="{6C940662-DD1F-433B-9760-9F88309CE5E2}"/>
    <cellStyle name="Normal 11 6" xfId="3686" xr:uid="{30C269C0-42EC-44EF-8F1E-7813BCF76A38}"/>
    <cellStyle name="Normal 11 7" xfId="3687" xr:uid="{7EB20147-CAC8-46CD-8F58-14D2F3A273B2}"/>
    <cellStyle name="Normal 11 8" xfId="3688" xr:uid="{1D8E35E8-9F50-4055-9B11-38F090DE9B1E}"/>
    <cellStyle name="Normal 12" xfId="3689" xr:uid="{3CCEB102-E593-4726-8E9C-45346296D71C}"/>
    <cellStyle name="Normal 12 2" xfId="3690" xr:uid="{9A3EEFFE-11DA-480F-B80F-8FC599D069BF}"/>
    <cellStyle name="Normal 12 3" xfId="3691" xr:uid="{075FE0FB-9A4D-4940-B08F-28FFB0C88EE9}"/>
    <cellStyle name="Normal 12 4" xfId="3692" xr:uid="{608ACEAB-9EC2-4C21-A9A7-24EBB9B63E68}"/>
    <cellStyle name="Normal 12 5" xfId="3693" xr:uid="{622D31CE-AE87-4E46-9543-39AB15405C88}"/>
    <cellStyle name="Normal 12 6" xfId="3694" xr:uid="{065F8203-0323-4029-A2CA-11961AAE339D}"/>
    <cellStyle name="Normal 12 7" xfId="3695" xr:uid="{D41B458D-A7D0-4452-A627-7A4D9552BCA6}"/>
    <cellStyle name="Normal 12 8" xfId="3696" xr:uid="{8BD02370-9C58-4CBD-B344-8B002836F555}"/>
    <cellStyle name="Normal 13" xfId="3697" xr:uid="{35827804-06AD-4752-A490-550BFA09018A}"/>
    <cellStyle name="Normal 13 10" xfId="3698" xr:uid="{745DD870-AC67-43CA-9506-570542B15CCC}"/>
    <cellStyle name="Normal 13 10 2" xfId="3699" xr:uid="{72F13CDA-3012-49DB-8BFC-40D1382EE6AB}"/>
    <cellStyle name="Normal 13 10 2 2" xfId="3700" xr:uid="{EB5E06B5-436C-4BCD-941B-36DEEF4798C7}"/>
    <cellStyle name="Normal 13 10 2 2 2" xfId="3701" xr:uid="{0137737F-9FEB-4406-9775-6748A1ED4653}"/>
    <cellStyle name="Normal 13 10 2 2 2 2" xfId="3702" xr:uid="{AA19161E-1930-4EE4-972A-C77274F07D96}"/>
    <cellStyle name="Normal 13 10 2 2 3" xfId="3703" xr:uid="{678DF81A-172C-42A2-92A7-562A84CE8BC1}"/>
    <cellStyle name="Normal 13 10 2 3" xfId="3704" xr:uid="{D505E262-7722-4774-A777-806572531459}"/>
    <cellStyle name="Normal 13 10 2 3 2" xfId="3705" xr:uid="{5A594F5A-B52C-4182-B3CA-E893CE3FFC72}"/>
    <cellStyle name="Normal 13 10 2 3 2 2" xfId="3706" xr:uid="{A1CD69FE-02E6-44A6-84D1-146336E63244}"/>
    <cellStyle name="Normal 13 10 2 3 3" xfId="3707" xr:uid="{244924E2-8BA1-4514-981C-6D66FBAEFF1B}"/>
    <cellStyle name="Normal 13 10 2 4" xfId="3708" xr:uid="{A1130DA3-0C92-45D8-AB14-5582601F6A4A}"/>
    <cellStyle name="Normal 13 10 2 4 2" xfId="3709" xr:uid="{87541235-BDBB-493E-A99C-A3A00822B5A4}"/>
    <cellStyle name="Normal 13 10 2 5" xfId="3710" xr:uid="{D15091AE-C71A-4D10-87FE-3DD5FDFAE03E}"/>
    <cellStyle name="Normal 13 10 3" xfId="3711" xr:uid="{F6445378-5691-4411-B1EC-84D53B307D14}"/>
    <cellStyle name="Normal 13 10 3 2" xfId="3712" xr:uid="{0537BCFB-D47B-4CAD-B351-1613FDAB24DC}"/>
    <cellStyle name="Normal 13 10 3 2 2" xfId="3713" xr:uid="{9708A4B2-6584-4E67-B454-459AF740189A}"/>
    <cellStyle name="Normal 13 10 3 2 2 2" xfId="3714" xr:uid="{FE9085BD-0CC8-457C-9899-6BFDBBF56C7E}"/>
    <cellStyle name="Normal 13 10 3 2 3" xfId="3715" xr:uid="{BBCAA1BF-ED75-489B-B4B7-B877B4634ECC}"/>
    <cellStyle name="Normal 13 10 3 3" xfId="3716" xr:uid="{2F1A739C-17FE-4248-BFA7-9D97C87C7263}"/>
    <cellStyle name="Normal 13 10 3 3 2" xfId="3717" xr:uid="{6320154A-5443-4733-828A-E0BA7F2E85C3}"/>
    <cellStyle name="Normal 13 10 3 4" xfId="3718" xr:uid="{6B095409-33EE-48C6-AFAF-54A84A59A885}"/>
    <cellStyle name="Normal 13 10 4" xfId="3719" xr:uid="{EE517C39-4585-43FB-8F9C-BF1BAF883250}"/>
    <cellStyle name="Normal 13 10 5" xfId="3720" xr:uid="{C3EA8458-54A2-450D-B414-E946409594D6}"/>
    <cellStyle name="Normal 13 10 5 2" xfId="3721" xr:uid="{BB3D3F5A-4492-433B-801B-47AD4C7ECB5A}"/>
    <cellStyle name="Normal 13 10 6" xfId="3722" xr:uid="{ABCE7893-02EE-4F6D-8E81-62CA30E4F42A}"/>
    <cellStyle name="Normal 13 11" xfId="3723" xr:uid="{7F567E45-B3D7-49DF-94E0-A114F3EA4DB8}"/>
    <cellStyle name="Normal 13 11 2" xfId="3724" xr:uid="{B6A97978-16AE-4C74-808B-1403C0878EDF}"/>
    <cellStyle name="Normal 13 11 2 2" xfId="3725" xr:uid="{A5A69456-17CC-4BE9-B2FC-BA550F42E6D8}"/>
    <cellStyle name="Normal 13 11 2 2 2" xfId="3726" xr:uid="{7934339A-7249-431F-811B-3735252819DD}"/>
    <cellStyle name="Normal 13 11 2 2 2 2" xfId="3727" xr:uid="{5657C38B-75AF-4186-9CAA-0462FBBE7407}"/>
    <cellStyle name="Normal 13 11 2 2 3" xfId="3728" xr:uid="{FAA32BDC-1E7A-4290-8D2E-75E873BC63F5}"/>
    <cellStyle name="Normal 13 11 2 3" xfId="3729" xr:uid="{D1F226E6-8721-4C69-9F53-DF35EA8E9C6B}"/>
    <cellStyle name="Normal 13 11 2 3 2" xfId="3730" xr:uid="{4178B632-8D8C-40CF-AAE0-A52F60FE823C}"/>
    <cellStyle name="Normal 13 11 2 3 2 2" xfId="3731" xr:uid="{6BA49432-0265-4CCC-BB02-C182561163F6}"/>
    <cellStyle name="Normal 13 11 2 3 3" xfId="3732" xr:uid="{6DE2D73A-5F53-4316-A919-E640F2D9E2DD}"/>
    <cellStyle name="Normal 13 11 2 4" xfId="3733" xr:uid="{68F4A13A-D008-41FA-A43C-1B01909E8335}"/>
    <cellStyle name="Normal 13 11 2 4 2" xfId="3734" xr:uid="{3B50F3E5-4D6C-4E46-8BFD-9DD0124D6058}"/>
    <cellStyle name="Normal 13 11 2 5" xfId="3735" xr:uid="{06EE6939-6D7D-49C1-9C64-615EC6CBC203}"/>
    <cellStyle name="Normal 13 11 3" xfId="3736" xr:uid="{DC139688-3F85-4464-9CE8-135F98E5897B}"/>
    <cellStyle name="Normal 13 11 3 2" xfId="3737" xr:uid="{7FAC1668-4B46-4DA1-8357-51055944A534}"/>
    <cellStyle name="Normal 13 11 3 2 2" xfId="3738" xr:uid="{324D1DE6-6A77-4AEF-B0CC-94CC83F02D3E}"/>
    <cellStyle name="Normal 13 11 3 2 2 2" xfId="3739" xr:uid="{3903BC26-64FE-40F9-BD80-79427D429CE1}"/>
    <cellStyle name="Normal 13 11 3 2 3" xfId="3740" xr:uid="{D8FEAFBC-777A-4502-A3B4-46061809E698}"/>
    <cellStyle name="Normal 13 11 3 3" xfId="3741" xr:uid="{FCC064AA-8A8C-44BB-9D5F-ACB484B9AE0E}"/>
    <cellStyle name="Normal 13 11 3 3 2" xfId="3742" xr:uid="{8553AB3A-7CD8-4A40-BFA3-DE5FFDD9C9A0}"/>
    <cellStyle name="Normal 13 11 3 4" xfId="3743" xr:uid="{13043F67-8911-49EC-847D-DAF2869B63A3}"/>
    <cellStyle name="Normal 13 11 4" xfId="3744" xr:uid="{CF166D18-F302-419C-8DC4-F38C5FB913EA}"/>
    <cellStyle name="Normal 13 11 5" xfId="3745" xr:uid="{DB952518-859A-4675-A1BC-D9D89D138AB6}"/>
    <cellStyle name="Normal 13 11 5 2" xfId="3746" xr:uid="{84437502-2450-4637-86C6-D1D72B3BBA53}"/>
    <cellStyle name="Normal 13 11 6" xfId="3747" xr:uid="{D053B5D3-3EC3-49B8-A72B-D8183A1A15F1}"/>
    <cellStyle name="Normal 13 12" xfId="3748" xr:uid="{11E18159-37E7-4EFD-B875-C2A09DC6DDC4}"/>
    <cellStyle name="Normal 13 13" xfId="3749" xr:uid="{5947861F-CC86-41B9-9ED5-D91C29E9992E}"/>
    <cellStyle name="Normal 13 13 2" xfId="3750" xr:uid="{FA73F985-745E-417D-9E2E-E1022BDA784C}"/>
    <cellStyle name="Normal 13 13 2 2" xfId="3751" xr:uid="{110583B0-73DC-44C4-AEBA-B6E48A3CDCFB}"/>
    <cellStyle name="Normal 13 13 2 2 2" xfId="3752" xr:uid="{EA1E41B5-A3F3-4E35-B90F-20BCCD389805}"/>
    <cellStyle name="Normal 13 13 2 2 2 2" xfId="3753" xr:uid="{FDB560F1-4D6C-4107-9BE1-54E789769BD4}"/>
    <cellStyle name="Normal 13 13 2 2 3" xfId="3754" xr:uid="{B9458AFA-336D-4678-8E4A-D391E0487A9D}"/>
    <cellStyle name="Normal 13 13 2 3" xfId="3755" xr:uid="{F62DD686-6A67-499A-83D3-29785BB94764}"/>
    <cellStyle name="Normal 13 13 2 3 2" xfId="3756" xr:uid="{FFF770D7-67FA-4C28-AE5E-4EBDAB10B9B7}"/>
    <cellStyle name="Normal 13 13 2 3 2 2" xfId="3757" xr:uid="{025C9053-61C6-44F3-A957-76E80FB59952}"/>
    <cellStyle name="Normal 13 13 2 3 3" xfId="3758" xr:uid="{07449A52-1FC1-4E16-8D12-58F3525DEA18}"/>
    <cellStyle name="Normal 13 13 2 4" xfId="3759" xr:uid="{A5D175DA-18F8-478B-B161-156652814179}"/>
    <cellStyle name="Normal 13 13 2 4 2" xfId="3760" xr:uid="{72D50360-F94E-4F31-B8F0-D7D0034C533F}"/>
    <cellStyle name="Normal 13 13 2 5" xfId="3761" xr:uid="{C6525EC6-E8AE-4191-A2CE-640AADFD2846}"/>
    <cellStyle name="Normal 13 13 3" xfId="3762" xr:uid="{698405C4-7612-4FA9-B63C-B65523F4694F}"/>
    <cellStyle name="Normal 13 13 3 2" xfId="3763" xr:uid="{9EE078D0-032C-4604-949F-1C1EB502F18B}"/>
    <cellStyle name="Normal 13 13 3 2 2" xfId="3764" xr:uid="{CE9BA26D-FA75-411F-9FDB-D6C2E7D3D405}"/>
    <cellStyle name="Normal 13 13 3 2 2 2" xfId="3765" xr:uid="{AA250118-2E5F-497F-B443-162F1DF788DD}"/>
    <cellStyle name="Normal 13 13 3 2 3" xfId="3766" xr:uid="{BF903315-C45A-4C06-8DED-DFB8A8BC53B7}"/>
    <cellStyle name="Normal 13 13 3 3" xfId="3767" xr:uid="{DE5D9F24-577B-4F35-91A8-43BD3C8626BE}"/>
    <cellStyle name="Normal 13 13 3 3 2" xfId="3768" xr:uid="{5421F081-18BA-464E-B548-7C4C2F99982D}"/>
    <cellStyle name="Normal 13 13 3 4" xfId="3769" xr:uid="{0D65A3FE-6B8B-4FF8-9D0F-89D961001727}"/>
    <cellStyle name="Normal 13 13 4" xfId="3770" xr:uid="{0DD976C9-9105-4958-8ADA-EDF2615817B3}"/>
    <cellStyle name="Normal 13 13 5" xfId="3771" xr:uid="{C4DA4380-EE22-402F-9AE9-7D7B2D70283D}"/>
    <cellStyle name="Normal 13 13 5 2" xfId="3772" xr:uid="{7077C2F7-9BE8-4F8B-972F-5C6A9BCCA260}"/>
    <cellStyle name="Normal 13 13 6" xfId="3773" xr:uid="{7F3702CC-75B4-4762-B9EB-D167D0C28C8C}"/>
    <cellStyle name="Normal 13 14" xfId="3774" xr:uid="{FDA8947E-B94A-4BD6-B405-736D31F9BCE4}"/>
    <cellStyle name="Normal 13 14 2" xfId="3775" xr:uid="{7A099D5E-C30D-434C-BA5D-CDBC852651DB}"/>
    <cellStyle name="Normal 13 14 2 2" xfId="3776" xr:uid="{2450A21C-22E9-42AC-AB2C-49865CDC44F6}"/>
    <cellStyle name="Normal 13 14 2 2 2" xfId="3777" xr:uid="{A5C4251D-635D-412C-81C2-C877CF386EB5}"/>
    <cellStyle name="Normal 13 14 2 2 2 2" xfId="3778" xr:uid="{413FA028-149D-44AE-94B0-28E871DA0A0A}"/>
    <cellStyle name="Normal 13 14 2 2 3" xfId="3779" xr:uid="{36B40A9C-7592-42F2-A812-081913D2037B}"/>
    <cellStyle name="Normal 13 14 2 3" xfId="3780" xr:uid="{A0DF24F5-902B-461B-B93C-637E74769D4D}"/>
    <cellStyle name="Normal 13 14 2 3 2" xfId="3781" xr:uid="{CBBDA01E-7D2E-4E6F-BFC1-F0CAE944E8E4}"/>
    <cellStyle name="Normal 13 14 2 3 2 2" xfId="3782" xr:uid="{1CD2EE00-A204-403C-9BE0-AC502078A1CF}"/>
    <cellStyle name="Normal 13 14 2 3 3" xfId="3783" xr:uid="{638D87A8-837A-4C2B-BE1E-E4196F23941A}"/>
    <cellStyle name="Normal 13 14 2 4" xfId="3784" xr:uid="{B254D410-8F16-4CC0-B3C5-3E1F05694EAC}"/>
    <cellStyle name="Normal 13 14 2 4 2" xfId="3785" xr:uid="{025B63E1-1593-4AE0-B20D-E8139A3E0CA1}"/>
    <cellStyle name="Normal 13 14 2 5" xfId="3786" xr:uid="{5BB77159-1C15-4504-86F9-AAFA4EAFD3C4}"/>
    <cellStyle name="Normal 13 14 3" xfId="3787" xr:uid="{D511F837-743A-4662-AD24-13FD93C3C518}"/>
    <cellStyle name="Normal 13 14 3 2" xfId="3788" xr:uid="{F7ECD5FB-D45C-4614-A77A-B866395B1091}"/>
    <cellStyle name="Normal 13 14 3 2 2" xfId="3789" xr:uid="{4FFA84A4-14EE-444A-8A57-242A8F853461}"/>
    <cellStyle name="Normal 13 14 3 2 2 2" xfId="3790" xr:uid="{44FDE7C7-455E-439C-8BA7-CA4008DB0569}"/>
    <cellStyle name="Normal 13 14 3 2 3" xfId="3791" xr:uid="{5878C6C6-3FC2-42BD-A453-02459DDAD021}"/>
    <cellStyle name="Normal 13 14 3 3" xfId="3792" xr:uid="{E3E6F60D-83B9-48DC-A749-7C348EAE141E}"/>
    <cellStyle name="Normal 13 14 3 3 2" xfId="3793" xr:uid="{41DB03A4-6FCC-4B80-BDFF-9FFFC4333B04}"/>
    <cellStyle name="Normal 13 14 3 4" xfId="3794" xr:uid="{791ACDE8-B661-4F27-B193-43F590CA34B4}"/>
    <cellStyle name="Normal 13 14 4" xfId="3795" xr:uid="{2648673D-B4A1-43CA-8F70-5F85B1D55018}"/>
    <cellStyle name="Normal 13 14 5" xfId="3796" xr:uid="{275AF05F-518C-4C26-A998-E4937161E7A9}"/>
    <cellStyle name="Normal 13 14 5 2" xfId="3797" xr:uid="{D121C39E-3F26-4802-836B-D1CF16512146}"/>
    <cellStyle name="Normal 13 14 6" xfId="3798" xr:uid="{CFEAB0DB-59DF-411E-8E65-37C33F67AE30}"/>
    <cellStyle name="Normal 13 15" xfId="3799" xr:uid="{A79DF24C-3A45-4B3A-98FC-08840BB2D0B6}"/>
    <cellStyle name="Normal 13 15 2" xfId="3800" xr:uid="{4643D54F-9104-45CB-9BAD-FD56D07B04FB}"/>
    <cellStyle name="Normal 13 15 2 2" xfId="3801" xr:uid="{B39BF98A-AE43-46B9-AA69-A274CF3043BC}"/>
    <cellStyle name="Normal 13 15 2 2 2" xfId="3802" xr:uid="{A709E7EE-E553-4105-BD65-B9E4E967B7A3}"/>
    <cellStyle name="Normal 13 15 2 2 2 2" xfId="3803" xr:uid="{F98239D9-545E-4376-BDFB-E1049F604107}"/>
    <cellStyle name="Normal 13 15 2 2 3" xfId="3804" xr:uid="{AD9E7856-9BC7-4C1B-88F5-18F4E69517C7}"/>
    <cellStyle name="Normal 13 15 2 3" xfId="3805" xr:uid="{7DEF7465-9AF1-4F89-BBF0-58C60F76DD42}"/>
    <cellStyle name="Normal 13 15 2 3 2" xfId="3806" xr:uid="{A8BBD01F-C344-4121-94CD-096359C954DE}"/>
    <cellStyle name="Normal 13 15 2 3 2 2" xfId="3807" xr:uid="{543F9171-F214-4E52-A4A7-D75B41B33708}"/>
    <cellStyle name="Normal 13 15 2 3 3" xfId="3808" xr:uid="{2140B8B8-783A-4173-8376-9B0BDF6F1EDA}"/>
    <cellStyle name="Normal 13 15 2 4" xfId="3809" xr:uid="{6E396109-1738-4611-B7DC-E3524EA02A1A}"/>
    <cellStyle name="Normal 13 15 2 4 2" xfId="3810" xr:uid="{72CAA382-27AC-41B1-8617-243721FE356D}"/>
    <cellStyle name="Normal 13 15 2 5" xfId="3811" xr:uid="{DDBFC083-F306-4AE5-97DE-58009B85E278}"/>
    <cellStyle name="Normal 13 15 3" xfId="3812" xr:uid="{6CBEBD42-DE0A-4E01-B98A-AEE1E0B2A410}"/>
    <cellStyle name="Normal 13 15 3 2" xfId="3813" xr:uid="{CA8CD33A-A0C6-4ECC-B26F-C2C6345D5D32}"/>
    <cellStyle name="Normal 13 15 3 2 2" xfId="3814" xr:uid="{46F7E233-A2B5-4C5E-B0CB-CC942F8ACFD5}"/>
    <cellStyle name="Normal 13 15 3 2 2 2" xfId="3815" xr:uid="{0D02F78C-0ED0-47FB-8AD8-697BB6B60293}"/>
    <cellStyle name="Normal 13 15 3 2 3" xfId="3816" xr:uid="{015B936A-7995-4886-BB34-756F465803E2}"/>
    <cellStyle name="Normal 13 15 3 3" xfId="3817" xr:uid="{EE09C50A-F7A1-44A4-B6FF-66C29E7581E4}"/>
    <cellStyle name="Normal 13 15 3 3 2" xfId="3818" xr:uid="{09000714-8BF7-45F1-8C53-08F83262EA4F}"/>
    <cellStyle name="Normal 13 15 3 4" xfId="3819" xr:uid="{89E458A0-9A1C-4006-9C7C-4DF908AD5D9C}"/>
    <cellStyle name="Normal 13 15 4" xfId="3820" xr:uid="{EE790C40-66D4-4959-B39C-E2B9850D96B0}"/>
    <cellStyle name="Normal 13 15 5" xfId="3821" xr:uid="{1811EBBF-F612-42B6-8DA7-F2EA47268352}"/>
    <cellStyle name="Normal 13 15 5 2" xfId="3822" xr:uid="{64F5D5B0-B7A5-46FC-9C85-F0A23067177A}"/>
    <cellStyle name="Normal 13 15 6" xfId="3823" xr:uid="{BD5296EE-EF3D-47B6-9CF1-2F08A6B905B8}"/>
    <cellStyle name="Normal 13 16" xfId="3824" xr:uid="{D38BD992-94C1-4A23-9280-99E630746A79}"/>
    <cellStyle name="Normal 13 16 2" xfId="3825" xr:uid="{752F53AA-C9AF-4CB2-9714-9EDC80F48DDC}"/>
    <cellStyle name="Normal 13 16 2 2" xfId="3826" xr:uid="{12E632DB-D61B-4138-A06A-6074EEC3D977}"/>
    <cellStyle name="Normal 13 16 2 2 2" xfId="3827" xr:uid="{6679F728-0133-415C-9652-DF75F404B3F4}"/>
    <cellStyle name="Normal 13 16 2 2 2 2" xfId="3828" xr:uid="{3380F2B5-636A-43B8-BF87-14C532C696AA}"/>
    <cellStyle name="Normal 13 16 2 2 3" xfId="3829" xr:uid="{E6815A06-688F-40CB-80B6-C63B4237982B}"/>
    <cellStyle name="Normal 13 16 2 3" xfId="3830" xr:uid="{432067B8-6D10-488E-ACCF-3ABBA69C22CA}"/>
    <cellStyle name="Normal 13 16 2 3 2" xfId="3831" xr:uid="{A916EABC-B1B1-4561-BF58-C12DEE258E8D}"/>
    <cellStyle name="Normal 13 16 2 3 2 2" xfId="3832" xr:uid="{5F03C31A-21F4-4947-91CC-E53F89894EE9}"/>
    <cellStyle name="Normal 13 16 2 3 3" xfId="3833" xr:uid="{282B4023-2581-4119-80E5-4A8B678E7EA3}"/>
    <cellStyle name="Normal 13 16 2 4" xfId="3834" xr:uid="{02E18E29-C6C2-4FC0-855C-FAF2977B5163}"/>
    <cellStyle name="Normal 13 16 2 4 2" xfId="3835" xr:uid="{D537168E-669F-4196-8EEF-4555F5738000}"/>
    <cellStyle name="Normal 13 16 2 5" xfId="3836" xr:uid="{66727641-8FE3-4E34-BD60-0CE94845F405}"/>
    <cellStyle name="Normal 13 16 3" xfId="3837" xr:uid="{23D91B4D-D08A-4C9F-9067-DC829B9B7BEC}"/>
    <cellStyle name="Normal 13 16 3 2" xfId="3838" xr:uid="{9B0B4B0A-0281-4B40-BC19-137F92D6EDE6}"/>
    <cellStyle name="Normal 13 16 3 2 2" xfId="3839" xr:uid="{4BBA12D0-52B6-4A25-B03A-2E095C252308}"/>
    <cellStyle name="Normal 13 16 3 2 2 2" xfId="3840" xr:uid="{0D8A6BA4-B2E6-4BA4-82CC-F0A8E71AE25B}"/>
    <cellStyle name="Normal 13 16 3 2 3" xfId="3841" xr:uid="{79DF99A7-F11E-4DF3-90E9-DDA0101E68AC}"/>
    <cellStyle name="Normal 13 16 3 3" xfId="3842" xr:uid="{8562FEB2-58EC-466D-9047-D4D1C69D9807}"/>
    <cellStyle name="Normal 13 16 3 3 2" xfId="3843" xr:uid="{B280B86B-2690-4CFC-A68E-7F9A198A8F40}"/>
    <cellStyle name="Normal 13 16 3 4" xfId="3844" xr:uid="{27D8089B-CA72-4826-B497-746ABC490A1C}"/>
    <cellStyle name="Normal 13 16 4" xfId="3845" xr:uid="{B18EE9B1-3252-4A7C-8130-43F29B05A46F}"/>
    <cellStyle name="Normal 13 16 5" xfId="3846" xr:uid="{9E5D4FCC-3E19-42C7-ACA6-B859423AAE39}"/>
    <cellStyle name="Normal 13 16 5 2" xfId="3847" xr:uid="{4DF3C9C3-7A20-43B4-B568-EB361A237786}"/>
    <cellStyle name="Normal 13 16 6" xfId="3848" xr:uid="{722AE75B-985E-4414-B752-F762B0C23C71}"/>
    <cellStyle name="Normal 13 17" xfId="3849" xr:uid="{E25FDDEA-C1F8-4E97-93EC-872036FEBEC7}"/>
    <cellStyle name="Normal 13 18" xfId="3850" xr:uid="{4374011B-7DBF-4617-8BBD-4532E10521E2}"/>
    <cellStyle name="Normal 13 19" xfId="3851" xr:uid="{C639D4BF-63E2-4AAA-A688-A6D4FEEA5CB4}"/>
    <cellStyle name="Normal 13 2" xfId="3852" xr:uid="{F4AC1ECE-DEA4-430B-A46B-2D1C70841FC6}"/>
    <cellStyle name="Normal 13 2 10" xfId="3853" xr:uid="{7E5DBE8E-FC70-403E-B07A-166E5D898F4C}"/>
    <cellStyle name="Normal 13 2 2" xfId="3854" xr:uid="{4B991C5F-489D-4A45-8D9D-847C52DB71A9}"/>
    <cellStyle name="Normal 13 2 2 2" xfId="3855" xr:uid="{02BD4037-AF21-4902-BC67-4583CC57413B}"/>
    <cellStyle name="Normal 13 2 2 2 2" xfId="3856" xr:uid="{C9FACA6F-C9EE-4263-B391-80F4753596E6}"/>
    <cellStyle name="Normal 13 2 2 2 2 2" xfId="3857" xr:uid="{ABEB59D7-D4D6-485C-93FD-8D5C1E12CF68}"/>
    <cellStyle name="Normal 13 2 2 2 2 2 2" xfId="3858" xr:uid="{B050714F-6922-4959-B28D-6037D02964B7}"/>
    <cellStyle name="Normal 13 2 2 2 2 3" xfId="3859" xr:uid="{D364BB0D-9AA9-4CE0-8EFC-A7027CA47F0C}"/>
    <cellStyle name="Normal 13 2 2 2 3" xfId="3860" xr:uid="{139C0377-D924-4825-AC0C-7E57AA35134E}"/>
    <cellStyle name="Normal 13 2 2 2 3 2" xfId="3861" xr:uid="{6496F7E5-B95D-440F-9CA2-C2AEB62ED5DE}"/>
    <cellStyle name="Normal 13 2 2 2 3 2 2" xfId="3862" xr:uid="{9BE6ABCA-CAF5-43D7-A744-A89CE078D7A2}"/>
    <cellStyle name="Normal 13 2 2 2 3 3" xfId="3863" xr:uid="{9FA2E038-5C7D-4830-B013-F503BE91E877}"/>
    <cellStyle name="Normal 13 2 2 2 4" xfId="3864" xr:uid="{F90D700B-4102-48FC-8697-1EDD7C4B3B76}"/>
    <cellStyle name="Normal 13 2 2 2 4 2" xfId="3865" xr:uid="{38521E31-81C8-4688-8A12-DBE1511C72D9}"/>
    <cellStyle name="Normal 13 2 2 2 5" xfId="3866" xr:uid="{062C104F-25C2-43CB-AEA4-88357CC9C7B4}"/>
    <cellStyle name="Normal 13 2 2 3" xfId="3867" xr:uid="{AA41D04D-0D6C-4354-943A-47CD66251C28}"/>
    <cellStyle name="Normal 13 2 2 3 2" xfId="3868" xr:uid="{CF6B6353-7B1C-4CBB-95E7-F7809A765C86}"/>
    <cellStyle name="Normal 13 2 2 3 2 2" xfId="3869" xr:uid="{99CD9415-1920-4269-B74A-2171F7DF7F09}"/>
    <cellStyle name="Normal 13 2 2 3 2 2 2" xfId="3870" xr:uid="{99925121-977C-4D67-AE6F-E9551E8BADB8}"/>
    <cellStyle name="Normal 13 2 2 3 2 3" xfId="3871" xr:uid="{609587DD-76A0-405B-AC5F-30A5982C93CC}"/>
    <cellStyle name="Normal 13 2 2 3 3" xfId="3872" xr:uid="{8B4D4974-C8E3-42C5-8BD4-81FA256B39F5}"/>
    <cellStyle name="Normal 13 2 2 3 3 2" xfId="3873" xr:uid="{9EEB180C-1FEF-4BF7-A0F1-94B0B9A52016}"/>
    <cellStyle name="Normal 13 2 2 3 4" xfId="3874" xr:uid="{897C5FC9-1267-4DFF-BE56-4AF11887E09D}"/>
    <cellStyle name="Normal 13 2 2 4" xfId="3875" xr:uid="{D4ED1F69-7081-4B78-B500-7F0DC1995323}"/>
    <cellStyle name="Normal 13 2 2 5" xfId="3876" xr:uid="{25E55661-98CF-420A-802A-4DDFB07AE15A}"/>
    <cellStyle name="Normal 13 2 2 5 2" xfId="3877" xr:uid="{80D28B5C-8A3C-4825-889E-0EE5F8C1419C}"/>
    <cellStyle name="Normal 13 2 2 6" xfId="3878" xr:uid="{813785F4-C374-47B0-99A3-02F5F26CF4D0}"/>
    <cellStyle name="Normal 13 2 3" xfId="3879" xr:uid="{54E3FED8-6040-47BF-AB22-1D951E85681A}"/>
    <cellStyle name="Normal 13 2 3 2" xfId="3880" xr:uid="{235B377F-2C69-43A2-8430-FDAA21CE33AA}"/>
    <cellStyle name="Normal 13 2 3 2 2" xfId="3881" xr:uid="{F70304C3-48D1-4572-A447-AE5DDCBDE03A}"/>
    <cellStyle name="Normal 13 2 3 2 2 2" xfId="3882" xr:uid="{4F3114F7-63F8-4F64-850D-6A54FE7E4BE0}"/>
    <cellStyle name="Normal 13 2 3 2 2 2 2" xfId="3883" xr:uid="{47C2AE8E-8E39-4ABC-9859-4A98640A4BBC}"/>
    <cellStyle name="Normal 13 2 3 2 2 3" xfId="3884" xr:uid="{4BF60635-B353-4FE2-9A6A-E99442313DFB}"/>
    <cellStyle name="Normal 13 2 3 2 3" xfId="3885" xr:uid="{D9526F9D-3818-48CA-98C8-37A20855E830}"/>
    <cellStyle name="Normal 13 2 3 2 3 2" xfId="3886" xr:uid="{4960FFC8-EDB9-46A0-B2E1-3BBAAF6A3E68}"/>
    <cellStyle name="Normal 13 2 3 2 3 2 2" xfId="3887" xr:uid="{0E48717F-89DD-4DC4-A8F1-0D948B085FE5}"/>
    <cellStyle name="Normal 13 2 3 2 3 3" xfId="3888" xr:uid="{073D8AD5-F831-4B0D-B534-0A34649F6BA1}"/>
    <cellStyle name="Normal 13 2 3 2 4" xfId="3889" xr:uid="{4E7252AF-CAFA-4FD4-A7C0-C8961DBB1732}"/>
    <cellStyle name="Normal 13 2 3 2 4 2" xfId="3890" xr:uid="{10634F88-9A25-4690-8359-6B65C6A397C5}"/>
    <cellStyle name="Normal 13 2 3 2 5" xfId="3891" xr:uid="{AEADDE59-BC50-434B-9E3E-7D19512B4AB4}"/>
    <cellStyle name="Normal 13 2 3 3" xfId="3892" xr:uid="{104481C5-0752-4FE6-98A4-F6A8E793AEC0}"/>
    <cellStyle name="Normal 13 2 3 3 2" xfId="3893" xr:uid="{FE747BEC-EB9F-4E94-907B-38B44CB4AD90}"/>
    <cellStyle name="Normal 13 2 3 3 2 2" xfId="3894" xr:uid="{04F0EE7E-0150-40E1-8DE5-B698F760E120}"/>
    <cellStyle name="Normal 13 2 3 3 2 2 2" xfId="3895" xr:uid="{CE759DA1-E787-497C-85A7-A3FF9588D17E}"/>
    <cellStyle name="Normal 13 2 3 3 2 3" xfId="3896" xr:uid="{2784325C-BD3F-46E2-B6EE-7F61AFC34F0D}"/>
    <cellStyle name="Normal 13 2 3 3 3" xfId="3897" xr:uid="{6BC59452-14C0-42D6-AF0A-A97A58DF3740}"/>
    <cellStyle name="Normal 13 2 3 3 3 2" xfId="3898" xr:uid="{C1F919D9-773C-42B6-863B-61B4403FA123}"/>
    <cellStyle name="Normal 13 2 3 3 4" xfId="3899" xr:uid="{C52E5241-1203-49DB-B22D-907C0287172B}"/>
    <cellStyle name="Normal 13 2 3 4" xfId="3900" xr:uid="{122329DC-9015-4F0B-AFEC-2B0DFEAE456C}"/>
    <cellStyle name="Normal 13 2 3 5" xfId="3901" xr:uid="{377818AE-36D6-4F0E-8FF8-56AA60053672}"/>
    <cellStyle name="Normal 13 2 3 5 2" xfId="3902" xr:uid="{1C702534-C410-4794-AAD7-56976F8F7613}"/>
    <cellStyle name="Normal 13 2 3 6" xfId="3903" xr:uid="{EC9B12B0-33F3-4690-A70F-369C18EB7C20}"/>
    <cellStyle name="Normal 13 2 4" xfId="3904" xr:uid="{FAEC7609-792A-4B81-8B9E-288205BA29D4}"/>
    <cellStyle name="Normal 13 2 4 2" xfId="3905" xr:uid="{F7C8A627-598B-4C8C-B207-1B81F8B43A53}"/>
    <cellStyle name="Normal 13 2 4 2 2" xfId="3906" xr:uid="{26DB5804-C753-471E-8933-F5CCB12CF23B}"/>
    <cellStyle name="Normal 13 2 4 2 2 2" xfId="3907" xr:uid="{EB28ABE4-FECD-4A62-AC72-35949A3CE23C}"/>
    <cellStyle name="Normal 13 2 4 2 2 2 2" xfId="3908" xr:uid="{559B0727-2334-4B05-8A65-DA541C05CD83}"/>
    <cellStyle name="Normal 13 2 4 2 2 3" xfId="3909" xr:uid="{18D153BC-4422-43ED-9986-1BF8FEDC21F9}"/>
    <cellStyle name="Normal 13 2 4 2 3" xfId="3910" xr:uid="{BC272807-D0A2-4AB1-903C-45070B4E5279}"/>
    <cellStyle name="Normal 13 2 4 2 3 2" xfId="3911" xr:uid="{293C2CE7-7081-4A8E-AD77-71FC9EDE422A}"/>
    <cellStyle name="Normal 13 2 4 2 3 2 2" xfId="3912" xr:uid="{FFADAC7B-86A5-4BCB-993C-A754844FA159}"/>
    <cellStyle name="Normal 13 2 4 2 3 3" xfId="3913" xr:uid="{DE584B46-EECE-4DE2-9822-982148C4DD6A}"/>
    <cellStyle name="Normal 13 2 4 2 4" xfId="3914" xr:uid="{4AB524AC-9CA3-4CEC-898C-EF4A13022880}"/>
    <cellStyle name="Normal 13 2 4 2 4 2" xfId="3915" xr:uid="{E9C4EB36-2DA4-43C1-A480-17EE538C60FA}"/>
    <cellStyle name="Normal 13 2 4 2 5" xfId="3916" xr:uid="{861446E4-9E34-44E5-ABC2-F28F1D3A0DBA}"/>
    <cellStyle name="Normal 13 2 4 3" xfId="3917" xr:uid="{A635CAE9-76FD-4B1D-B44B-4303A049778E}"/>
    <cellStyle name="Normal 13 2 4 3 2" xfId="3918" xr:uid="{B5A261AE-B63B-4420-BE94-C1A90E76ADFA}"/>
    <cellStyle name="Normal 13 2 4 3 2 2" xfId="3919" xr:uid="{B162476A-762C-4396-B232-A689AE34FE54}"/>
    <cellStyle name="Normal 13 2 4 3 2 2 2" xfId="3920" xr:uid="{F374274B-E1C9-4773-BBE6-50290154B6CA}"/>
    <cellStyle name="Normal 13 2 4 3 2 3" xfId="3921" xr:uid="{9769191F-D84D-4322-A24A-0FE8EDA77C35}"/>
    <cellStyle name="Normal 13 2 4 3 3" xfId="3922" xr:uid="{E3205DCD-C1B4-4F92-8FEF-5295459179FF}"/>
    <cellStyle name="Normal 13 2 4 3 3 2" xfId="3923" xr:uid="{0B82474F-C95D-48BB-9184-A2916833035B}"/>
    <cellStyle name="Normal 13 2 4 3 4" xfId="3924" xr:uid="{DFEEBC0D-C948-47C4-8A4F-A72FD2848F99}"/>
    <cellStyle name="Normal 13 2 4 4" xfId="3925" xr:uid="{8058CB73-4E53-4712-B1E3-019966E61851}"/>
    <cellStyle name="Normal 13 2 4 5" xfId="3926" xr:uid="{3CEB3EDC-F3BA-46B4-BA43-ACE24721D494}"/>
    <cellStyle name="Normal 13 2 4 5 2" xfId="3927" xr:uid="{24E69C7E-CF9A-4716-BA90-166943A1DDA7}"/>
    <cellStyle name="Normal 13 2 4 6" xfId="3928" xr:uid="{14AFF653-A009-41D0-9AA1-CDC78D0C37CC}"/>
    <cellStyle name="Normal 13 2 5" xfId="3929" xr:uid="{9300B3FD-2DC6-4DA5-A428-926740CD36B1}"/>
    <cellStyle name="Normal 13 2 5 2" xfId="3930" xr:uid="{76086E80-CA79-4463-93E2-2754981DE011}"/>
    <cellStyle name="Normal 13 2 5 2 2" xfId="3931" xr:uid="{A9CB32A5-3D59-4972-9C46-014AA3F0062D}"/>
    <cellStyle name="Normal 13 2 5 2 2 2" xfId="3932" xr:uid="{C1C10B45-D96C-4857-BD34-459F8EBF3301}"/>
    <cellStyle name="Normal 13 2 5 2 2 2 2" xfId="3933" xr:uid="{C06C4AD6-3AB6-4DC0-BE03-640F73D51702}"/>
    <cellStyle name="Normal 13 2 5 2 2 3" xfId="3934" xr:uid="{0E5BA2EE-5E03-4D6A-8050-5002B4CD0A1D}"/>
    <cellStyle name="Normal 13 2 5 2 3" xfId="3935" xr:uid="{FE7EDA8E-9B9A-4316-8A0D-F33FC1EC59AF}"/>
    <cellStyle name="Normal 13 2 5 2 3 2" xfId="3936" xr:uid="{68B76A41-A2EF-4A50-9DFC-F52353824D7A}"/>
    <cellStyle name="Normal 13 2 5 2 3 2 2" xfId="3937" xr:uid="{1D0FF13A-1AE9-4A7B-9D33-0A259569CD27}"/>
    <cellStyle name="Normal 13 2 5 2 3 3" xfId="3938" xr:uid="{F09A5229-74BB-4CCB-AAED-0979E1C4B510}"/>
    <cellStyle name="Normal 13 2 5 2 4" xfId="3939" xr:uid="{2E006239-8B48-4807-B3F6-07447D5C5392}"/>
    <cellStyle name="Normal 13 2 5 2 4 2" xfId="3940" xr:uid="{86DBD39E-AA2A-42AF-A488-861553D32AC0}"/>
    <cellStyle name="Normal 13 2 5 2 5" xfId="3941" xr:uid="{5D3AD510-415B-4A4F-A0E9-3215ECB55FEC}"/>
    <cellStyle name="Normal 13 2 5 3" xfId="3942" xr:uid="{F6A87013-1760-4E3E-9A03-FF0B9B6A26CD}"/>
    <cellStyle name="Normal 13 2 5 3 2" xfId="3943" xr:uid="{249411F7-8082-4163-B63C-7AFAC4E343A3}"/>
    <cellStyle name="Normal 13 2 5 3 2 2" xfId="3944" xr:uid="{20C8FC5D-BC08-4125-9CCE-28359F16802C}"/>
    <cellStyle name="Normal 13 2 5 3 2 2 2" xfId="3945" xr:uid="{BD484DB0-9B9F-4591-92A1-9312978A3FFF}"/>
    <cellStyle name="Normal 13 2 5 3 2 3" xfId="3946" xr:uid="{1797DDF7-58F2-40FA-AA66-9CB8429F0B14}"/>
    <cellStyle name="Normal 13 2 5 3 3" xfId="3947" xr:uid="{6D4A9FC2-EEC2-4DF7-856C-DF20C7C8CB59}"/>
    <cellStyle name="Normal 13 2 5 3 3 2" xfId="3948" xr:uid="{D9B274B6-EF48-473D-9115-9C62C641CC71}"/>
    <cellStyle name="Normal 13 2 5 3 4" xfId="3949" xr:uid="{66E9D14C-76F5-46A5-8C46-637B773DA3D0}"/>
    <cellStyle name="Normal 13 2 5 4" xfId="3950" xr:uid="{FD1A3639-7071-42CF-8C12-82201AF48FB4}"/>
    <cellStyle name="Normal 13 2 5 5" xfId="3951" xr:uid="{E93AE60C-8889-4324-ABCD-1C04CCE51AA8}"/>
    <cellStyle name="Normal 13 2 5 5 2" xfId="3952" xr:uid="{51EA0E2C-2F26-4B75-9B0D-EB17313CCA95}"/>
    <cellStyle name="Normal 13 2 5 6" xfId="3953" xr:uid="{440E8AE2-E15E-476B-8FCA-04914C0C8361}"/>
    <cellStyle name="Normal 13 2 6" xfId="3954" xr:uid="{9E2551DF-D69A-408D-AA21-5C00FCC26FB7}"/>
    <cellStyle name="Normal 13 2 6 2" xfId="3955" xr:uid="{ED1F1079-6075-4073-A117-EFAB0EB66E45}"/>
    <cellStyle name="Normal 13 2 6 2 2" xfId="3956" xr:uid="{68E86E23-4EA4-4181-8AC3-5F1C6515D36E}"/>
    <cellStyle name="Normal 13 2 6 2 2 2" xfId="3957" xr:uid="{A430BFC7-207C-4051-9201-AC6A179F380A}"/>
    <cellStyle name="Normal 13 2 6 2 2 2 2" xfId="3958" xr:uid="{2CB475CD-27DF-46E3-982A-C0181F9DA1AB}"/>
    <cellStyle name="Normal 13 2 6 2 2 3" xfId="3959" xr:uid="{0F20C06D-00DD-4A3E-A959-19ED8078309F}"/>
    <cellStyle name="Normal 13 2 6 2 3" xfId="3960" xr:uid="{D47FDA8E-968E-4DF3-88A9-0F61BAB90B44}"/>
    <cellStyle name="Normal 13 2 6 2 3 2" xfId="3961" xr:uid="{832EE60D-4D29-47DC-8246-5540D69E4DAC}"/>
    <cellStyle name="Normal 13 2 6 2 3 2 2" xfId="3962" xr:uid="{6A5837C7-BEA6-4E0B-8F30-B78895FAFC1C}"/>
    <cellStyle name="Normal 13 2 6 2 3 3" xfId="3963" xr:uid="{3CFB5E48-7F29-40B5-A70B-EAC352D1FD21}"/>
    <cellStyle name="Normal 13 2 6 2 4" xfId="3964" xr:uid="{33EA343D-3AC2-40B7-862C-08C0DC108093}"/>
    <cellStyle name="Normal 13 2 6 2 4 2" xfId="3965" xr:uid="{53CFCB51-BD89-450B-97FF-7606355F42D1}"/>
    <cellStyle name="Normal 13 2 6 2 5" xfId="3966" xr:uid="{C6AFFCFA-4293-4E2C-A426-E5DF3D7D0EB6}"/>
    <cellStyle name="Normal 13 2 6 3" xfId="3967" xr:uid="{6F36BFC6-5A86-4B7A-B4DE-C7438DB5A850}"/>
    <cellStyle name="Normal 13 2 6 3 2" xfId="3968" xr:uid="{FCC1EC70-54C6-4E29-A170-7602920E6C19}"/>
    <cellStyle name="Normal 13 2 6 3 2 2" xfId="3969" xr:uid="{38BEFDA4-3C47-4CA3-B636-94507A4CE615}"/>
    <cellStyle name="Normal 13 2 6 3 2 2 2" xfId="3970" xr:uid="{8A240BDA-A125-4064-AADA-D941644ED500}"/>
    <cellStyle name="Normal 13 2 6 3 2 3" xfId="3971" xr:uid="{4780CF88-7333-4168-AD5E-9D4002EB2CFE}"/>
    <cellStyle name="Normal 13 2 6 3 3" xfId="3972" xr:uid="{AEBEEEF6-1B10-4BE6-9B85-44B7A6B7B507}"/>
    <cellStyle name="Normal 13 2 6 3 3 2" xfId="3973" xr:uid="{0200897B-9EED-40D5-9E18-40262DB0021A}"/>
    <cellStyle name="Normal 13 2 6 3 4" xfId="3974" xr:uid="{F4036F2D-7C2C-436E-87BB-BC7CD875D8BA}"/>
    <cellStyle name="Normal 13 2 6 4" xfId="3975" xr:uid="{BD8B9F9E-6AB2-45F5-80B0-9958A20F84B7}"/>
    <cellStyle name="Normal 13 2 6 5" xfId="3976" xr:uid="{E3D69C70-4571-4141-8E82-635445CF5F01}"/>
    <cellStyle name="Normal 13 2 6 5 2" xfId="3977" xr:uid="{53897496-CD9A-4B59-B670-FBDAC473A35F}"/>
    <cellStyle name="Normal 13 2 6 6" xfId="3978" xr:uid="{831188C2-7B6D-4334-824A-36CC9445FB6F}"/>
    <cellStyle name="Normal 13 2 7" xfId="3979" xr:uid="{A464C71C-3B77-4965-817F-282F00BA2396}"/>
    <cellStyle name="Normal 13 2 7 2" xfId="3980" xr:uid="{9B555EB8-0F63-4C0A-975C-035B3CC449B9}"/>
    <cellStyle name="Normal 13 2 7 2 2" xfId="3981" xr:uid="{6D58715C-2107-4648-A5E2-69E02F981F30}"/>
    <cellStyle name="Normal 13 2 7 2 2 2" xfId="3982" xr:uid="{102BBA2D-0F5A-45FE-9A15-9A388503DE94}"/>
    <cellStyle name="Normal 13 2 7 2 2 2 2" xfId="3983" xr:uid="{BCD0861E-E3CC-4F4B-BBB3-E9642DBF7AB5}"/>
    <cellStyle name="Normal 13 2 7 2 2 3" xfId="3984" xr:uid="{5A32CAD6-20BB-4A63-A3BB-E684A06AFF15}"/>
    <cellStyle name="Normal 13 2 7 2 3" xfId="3985" xr:uid="{CF80F325-9403-4A13-AE27-08ACF355FFAF}"/>
    <cellStyle name="Normal 13 2 7 2 3 2" xfId="3986" xr:uid="{DFF39A5E-28BF-4B6A-B918-712D435BC4C6}"/>
    <cellStyle name="Normal 13 2 7 2 3 2 2" xfId="3987" xr:uid="{33702226-BA39-4012-A1C7-5B77CF47165E}"/>
    <cellStyle name="Normal 13 2 7 2 3 3" xfId="3988" xr:uid="{E79CC824-B428-4ECA-AC85-5C3F70359DC4}"/>
    <cellStyle name="Normal 13 2 7 2 4" xfId="3989" xr:uid="{8A5CC0D7-076F-4AA4-96C4-2CA0E6B77AA6}"/>
    <cellStyle name="Normal 13 2 7 2 4 2" xfId="3990" xr:uid="{303DB7D7-9CC6-4578-989B-019E07900E80}"/>
    <cellStyle name="Normal 13 2 7 2 5" xfId="3991" xr:uid="{403BD4E4-C680-4620-BA09-8C0C06C9A7D8}"/>
    <cellStyle name="Normal 13 2 7 3" xfId="3992" xr:uid="{EDB704AF-622C-4DF3-B728-198CC714F98B}"/>
    <cellStyle name="Normal 13 2 7 3 2" xfId="3993" xr:uid="{0E6A30B5-CCB3-416C-A639-634C0C03EB23}"/>
    <cellStyle name="Normal 13 2 7 3 2 2" xfId="3994" xr:uid="{525916DE-40C5-4EF5-AECC-D6067EE29E63}"/>
    <cellStyle name="Normal 13 2 7 3 2 2 2" xfId="3995" xr:uid="{EC78755C-F47B-4134-A640-1B59AE3D0AFA}"/>
    <cellStyle name="Normal 13 2 7 3 2 3" xfId="3996" xr:uid="{111B5416-C24B-4C9F-A5FD-D90EEB7A281C}"/>
    <cellStyle name="Normal 13 2 7 3 3" xfId="3997" xr:uid="{60EF03F3-4C09-45D5-8F83-263AF8DEF848}"/>
    <cellStyle name="Normal 13 2 7 3 3 2" xfId="3998" xr:uid="{AE3BA16D-DF22-456A-9389-B412288DE549}"/>
    <cellStyle name="Normal 13 2 7 3 4" xfId="3999" xr:uid="{9B7DDAB6-17C0-4DC0-A8C9-D53951A9F9C6}"/>
    <cellStyle name="Normal 13 2 7 4" xfId="4000" xr:uid="{A04265BC-C761-4F03-8048-BD74AFA03F16}"/>
    <cellStyle name="Normal 13 2 7 5" xfId="4001" xr:uid="{3FDF1EF2-9E84-451E-960C-41B3C4FC13DA}"/>
    <cellStyle name="Normal 13 2 7 5 2" xfId="4002" xr:uid="{463CA149-7972-4287-81CA-50913EF3E0B7}"/>
    <cellStyle name="Normal 13 2 7 6" xfId="4003" xr:uid="{5C503815-BE55-4592-A4D7-3C60BA27AAA4}"/>
    <cellStyle name="Normal 13 2 8" xfId="4004" xr:uid="{BE1776E4-1F09-4A12-9C23-EE9E4CECD32F}"/>
    <cellStyle name="Normal 13 2 8 2" xfId="4005" xr:uid="{429F24F2-1AAF-4B53-A73C-6C705299DAE8}"/>
    <cellStyle name="Normal 13 2 8 2 2" xfId="4006" xr:uid="{DE426571-B3B7-40C0-A5A4-EE90BB9E04B7}"/>
    <cellStyle name="Normal 13 2 8 2 2 2" xfId="4007" xr:uid="{136B163D-9E94-4DDC-8694-FA5A52F6C318}"/>
    <cellStyle name="Normal 13 2 8 2 2 2 2" xfId="4008" xr:uid="{5A6FEAE6-ABB0-452C-B1D1-6BDB4C0A232C}"/>
    <cellStyle name="Normal 13 2 8 2 2 3" xfId="4009" xr:uid="{845A3EEA-9E57-47D9-9B7F-40417117580B}"/>
    <cellStyle name="Normal 13 2 8 2 3" xfId="4010" xr:uid="{20067B27-0E9E-4898-85E0-49A0F0AAC6B5}"/>
    <cellStyle name="Normal 13 2 8 2 3 2" xfId="4011" xr:uid="{3D6AABB2-1AE3-4262-83EF-C4B8A888641F}"/>
    <cellStyle name="Normal 13 2 8 2 3 2 2" xfId="4012" xr:uid="{852C0718-1273-4A81-BE34-FB67FE250633}"/>
    <cellStyle name="Normal 13 2 8 2 3 3" xfId="4013" xr:uid="{342DDE08-7B0A-443C-AE24-0A77CB41437D}"/>
    <cellStyle name="Normal 13 2 8 2 4" xfId="4014" xr:uid="{7FD6A731-3D0C-4E37-998F-68DE6924DC40}"/>
    <cellStyle name="Normal 13 2 8 2 4 2" xfId="4015" xr:uid="{8BA14192-7E9A-4B9B-AD10-B517EC876DD7}"/>
    <cellStyle name="Normal 13 2 8 2 5" xfId="4016" xr:uid="{8C096165-56F7-4614-B57E-A14F41546C6C}"/>
    <cellStyle name="Normal 13 2 8 3" xfId="4017" xr:uid="{5EFF5976-A4DB-46C9-B870-E56AA94738A6}"/>
    <cellStyle name="Normal 13 2 8 3 2" xfId="4018" xr:uid="{D15408AD-64FE-4283-BEE7-8B233837DD83}"/>
    <cellStyle name="Normal 13 2 8 3 2 2" xfId="4019" xr:uid="{6C61DFE9-3F79-47B2-BAE0-17B76BB25E0B}"/>
    <cellStyle name="Normal 13 2 8 3 2 2 2" xfId="4020" xr:uid="{68070DA0-73CE-4628-8BE8-20398B33F171}"/>
    <cellStyle name="Normal 13 2 8 3 2 3" xfId="4021" xr:uid="{43363881-D412-4D9F-973B-8B95B062ACD8}"/>
    <cellStyle name="Normal 13 2 8 3 3" xfId="4022" xr:uid="{564037CE-658A-48EE-893F-15776260DDC8}"/>
    <cellStyle name="Normal 13 2 8 3 3 2" xfId="4023" xr:uid="{0464AD36-B190-4100-ACEA-4CA56F182832}"/>
    <cellStyle name="Normal 13 2 8 3 4" xfId="4024" xr:uid="{2DE1E456-3E71-4B93-B938-669DD65BD2D0}"/>
    <cellStyle name="Normal 13 2 8 4" xfId="4025" xr:uid="{FDCB5013-C8BA-45BD-8F82-4AD76DFE47BF}"/>
    <cellStyle name="Normal 13 2 8 5" xfId="4026" xr:uid="{739A0F89-659B-4730-BC0B-D17309C8F5E2}"/>
    <cellStyle name="Normal 13 2 8 5 2" xfId="4027" xr:uid="{80FD5CD3-ED5B-4119-84FA-396B7E57E681}"/>
    <cellStyle name="Normal 13 2 8 6" xfId="4028" xr:uid="{ABC625FF-4F42-4A67-BFE1-BFA171014B56}"/>
    <cellStyle name="Normal 13 2 9" xfId="4029" xr:uid="{E68F188B-A0F7-4086-B7BE-E4D454641C9A}"/>
    <cellStyle name="Normal 13 20" xfId="4030" xr:uid="{467FF7C8-E03C-4A97-958D-2832CF189D40}"/>
    <cellStyle name="Normal 13 21" xfId="4031" xr:uid="{6C9E8B4A-87BD-4F6B-A888-4950A619239D}"/>
    <cellStyle name="Normal 13 22" xfId="4032" xr:uid="{3534D937-09B3-42DD-9E2E-903A9FA83E76}"/>
    <cellStyle name="Normal 13 23" xfId="4033" xr:uid="{FD49C1EA-1F89-4F1F-BEBD-4F7D0AFCE20F}"/>
    <cellStyle name="Normal 13 24" xfId="4034" xr:uid="{56B59FDA-A65C-4A28-89A7-CD74EF557C69}"/>
    <cellStyle name="Normal 13 25" xfId="4035" xr:uid="{ABD1CB27-9E14-4ECA-84E2-B5D072DB6491}"/>
    <cellStyle name="Normal 13 26" xfId="4036" xr:uid="{9A9C5C7F-470A-4198-ACC1-DB41A4D95052}"/>
    <cellStyle name="Normal 13 27" xfId="4037" xr:uid="{E9DADFA9-E6AD-4010-AAEA-31ADD64B0211}"/>
    <cellStyle name="Normal 13 28" xfId="4038" xr:uid="{F35804A1-5F3E-4745-B5DA-1F47D8CBF19B}"/>
    <cellStyle name="Normal 13 29" xfId="4039" xr:uid="{64BA65D0-57DC-4DE8-9D13-A008928A663C}"/>
    <cellStyle name="Normal 13 3" xfId="4040" xr:uid="{03065B77-FD99-490F-B991-D696D3D60838}"/>
    <cellStyle name="Normal 13 3 2" xfId="4041" xr:uid="{712EF1B0-5A3C-4506-97D2-F51954325401}"/>
    <cellStyle name="Normal 13 3 2 2" xfId="4042" xr:uid="{FF37A724-6E8C-43FD-B59E-DDD5915C4A98}"/>
    <cellStyle name="Normal 13 3 2 2 2" xfId="4043" xr:uid="{70620F4D-95FA-4C4F-A3AA-D099430FA935}"/>
    <cellStyle name="Normal 13 3 2 2 2 2" xfId="4044" xr:uid="{0B5ED5E3-CCEB-4A79-A626-0376768743B6}"/>
    <cellStyle name="Normal 13 3 2 2 2 2 2" xfId="4045" xr:uid="{9ED72911-1443-4A8C-B7EF-5DDB3B4BE787}"/>
    <cellStyle name="Normal 13 3 2 2 2 3" xfId="4046" xr:uid="{C79EE66F-EEA4-40E7-BFED-EBC3D72281EC}"/>
    <cellStyle name="Normal 13 3 2 2 3" xfId="4047" xr:uid="{3920DD70-5B47-42C8-8D89-0C25092EE00B}"/>
    <cellStyle name="Normal 13 3 2 2 3 2" xfId="4048" xr:uid="{A5A323D3-39B0-4C47-8B58-9833059A055B}"/>
    <cellStyle name="Normal 13 3 2 2 3 2 2" xfId="4049" xr:uid="{2BA8809E-837E-4849-B737-8101DE91FF36}"/>
    <cellStyle name="Normal 13 3 2 2 3 3" xfId="4050" xr:uid="{A9E91732-C832-47E4-800A-B78945502D93}"/>
    <cellStyle name="Normal 13 3 2 2 4" xfId="4051" xr:uid="{D00EB2CA-04C0-49D0-BF53-486E579158F6}"/>
    <cellStyle name="Normal 13 3 2 2 4 2" xfId="4052" xr:uid="{9F76DD80-9FF8-4010-A790-35C5757CE631}"/>
    <cellStyle name="Normal 13 3 2 2 5" xfId="4053" xr:uid="{0C0C083C-234D-4A2A-9123-B681CBA3ED00}"/>
    <cellStyle name="Normal 13 3 2 3" xfId="4054" xr:uid="{9CCDF51C-9798-496C-B181-D814BE1CEC15}"/>
    <cellStyle name="Normal 13 3 2 3 2" xfId="4055" xr:uid="{0F95910C-097D-4CE4-B220-018EEDC9402B}"/>
    <cellStyle name="Normal 13 3 2 3 2 2" xfId="4056" xr:uid="{DA2C8CDD-AF0D-459B-B927-18BC9821736A}"/>
    <cellStyle name="Normal 13 3 2 3 3" xfId="4057" xr:uid="{B04550E4-3C5E-4920-A354-5DE5940ED8DE}"/>
    <cellStyle name="Normal 13 3 2 4" xfId="4058" xr:uid="{E9F81232-B023-4728-B70A-D676EAB0A6BA}"/>
    <cellStyle name="Normal 13 3 2 4 2" xfId="4059" xr:uid="{D505D57E-A8DF-4512-AC96-CE6B7BA7D231}"/>
    <cellStyle name="Normal 13 3 2 4 2 2" xfId="4060" xr:uid="{855F1065-1280-4B27-8DA0-EC67879A95EA}"/>
    <cellStyle name="Normal 13 3 2 4 3" xfId="4061" xr:uid="{111C117B-7359-4326-85B3-9BA9C9A44114}"/>
    <cellStyle name="Normal 13 3 2 5" xfId="4062" xr:uid="{181BDFEE-2971-4548-89CD-21AC69CA50B6}"/>
    <cellStyle name="Normal 13 3 2 5 2" xfId="4063" xr:uid="{430BC23B-8B12-4D78-A9F4-6F3A9589F00B}"/>
    <cellStyle name="Normal 13 3 2 6" xfId="4064" xr:uid="{FF932DB5-C68A-492C-99A7-068E8584DC9F}"/>
    <cellStyle name="Normal 13 3 3" xfId="4065" xr:uid="{A17449CD-A18A-4D68-8A35-30DC7DF51118}"/>
    <cellStyle name="Normal 13 3 4" xfId="4066" xr:uid="{BA171127-1C37-4309-B93D-E299A6DECCA9}"/>
    <cellStyle name="Normal 13 3 5" xfId="4067" xr:uid="{BF449FED-D781-45EF-83D9-3ACC753DC772}"/>
    <cellStyle name="Normal 13 30" xfId="4068" xr:uid="{4F29197A-922D-42CB-AC6A-10828BEB6F26}"/>
    <cellStyle name="Normal 13 31" xfId="4069" xr:uid="{F9A5B4EC-D217-4B04-99EE-7897BE4BC2BE}"/>
    <cellStyle name="Normal 13 32" xfId="4070" xr:uid="{6D5D8585-DB99-4CF9-B8ED-BE7EC430FE4F}"/>
    <cellStyle name="Normal 13 33" xfId="4071" xr:uid="{AF6D9FF6-45D1-4204-955B-C36C167E7036}"/>
    <cellStyle name="Normal 13 34" xfId="4072" xr:uid="{8BC2C438-BE2B-4460-AEFC-CC06C52707CE}"/>
    <cellStyle name="Normal 13 35" xfId="4073" xr:uid="{F26A9E1E-C22E-47A1-9112-73A4A14DC68E}"/>
    <cellStyle name="Normal 13 36" xfId="4074" xr:uid="{8D0A30D8-5E1D-48A2-B4F3-2B3495D32BCF}"/>
    <cellStyle name="Normal 13 37" xfId="4075" xr:uid="{3591BB3B-CF40-4944-BB9C-B8EB59455B91}"/>
    <cellStyle name="Normal 13 38" xfId="4076" xr:uid="{3794DCD1-2220-40D5-944D-A0AEE757AFF8}"/>
    <cellStyle name="Normal 13 39" xfId="4077" xr:uid="{FB742518-D626-4219-A0D3-3EEB8A798FAC}"/>
    <cellStyle name="Normal 13 39 2" xfId="4078" xr:uid="{51519000-36B4-4F5B-916F-2E4464C36491}"/>
    <cellStyle name="Normal 13 39 2 2" xfId="4079" xr:uid="{9D4CB2F0-DDC8-4993-A23E-F6583D621736}"/>
    <cellStyle name="Normal 13 39 2 2 2" xfId="4080" xr:uid="{87FFF727-3D85-4D02-9A00-CEAA329AB4D5}"/>
    <cellStyle name="Normal 13 39 2 3" xfId="4081" xr:uid="{330B9F31-EBE3-47BE-B2D9-155F19BEB74F}"/>
    <cellStyle name="Normal 13 39 3" xfId="4082" xr:uid="{DDA7CD7B-9A5F-417D-BB66-C5CA3E462E99}"/>
    <cellStyle name="Normal 13 39 3 2" xfId="4083" xr:uid="{70B0FA77-8C9B-4AE1-AF01-B27B22276473}"/>
    <cellStyle name="Normal 13 39 3 2 2" xfId="4084" xr:uid="{296086DA-A8A5-4D2B-81CF-FEAB451D9E44}"/>
    <cellStyle name="Normal 13 39 3 3" xfId="4085" xr:uid="{279AF47D-9D87-4F41-9ED1-F6E876C7E941}"/>
    <cellStyle name="Normal 13 39 4" xfId="4086" xr:uid="{A63B9282-0F18-4ADA-BD5D-45DE4E5A0D20}"/>
    <cellStyle name="Normal 13 39 4 2" xfId="4087" xr:uid="{A7ED3F21-4ECB-4DDE-A5C4-B911FB8818A4}"/>
    <cellStyle name="Normal 13 39 5" xfId="4088" xr:uid="{C7229700-ED4A-48FD-9924-8D743F25ECDA}"/>
    <cellStyle name="Normal 13 4" xfId="4089" xr:uid="{955C8C2B-1032-4059-94A6-E75CBA94AD59}"/>
    <cellStyle name="Normal 13 4 2" xfId="4090" xr:uid="{9F3ED256-D61B-4773-8F29-D7FD50207F95}"/>
    <cellStyle name="Normal 13 4 2 2" xfId="4091" xr:uid="{32625223-3292-4066-A931-4E9EB140381E}"/>
    <cellStyle name="Normal 13 4 2 2 2" xfId="4092" xr:uid="{E8398FD3-7378-485D-9469-02F326472368}"/>
    <cellStyle name="Normal 13 4 2 2 2 2" xfId="4093" xr:uid="{3B532195-CE16-4184-87E8-7F624DB13A24}"/>
    <cellStyle name="Normal 13 4 2 2 2 2 2" xfId="4094" xr:uid="{167CA898-2D75-47C9-8941-680C201D9191}"/>
    <cellStyle name="Normal 13 4 2 2 2 3" xfId="4095" xr:uid="{14E30CA8-2236-4363-8318-70D75795A096}"/>
    <cellStyle name="Normal 13 4 2 2 3" xfId="4096" xr:uid="{4DDF5800-0C9C-4A55-B6F1-E8026A46A8B0}"/>
    <cellStyle name="Normal 13 4 2 2 3 2" xfId="4097" xr:uid="{CD35908A-B8AC-404F-B710-BD65B8A0A38D}"/>
    <cellStyle name="Normal 13 4 2 2 3 2 2" xfId="4098" xr:uid="{2058B583-077A-41C5-A0EB-0AEEF7D14BC9}"/>
    <cellStyle name="Normal 13 4 2 2 3 3" xfId="4099" xr:uid="{E762A298-711C-4785-ADA4-75A0CF9617AD}"/>
    <cellStyle name="Normal 13 4 2 2 4" xfId="4100" xr:uid="{DA396AC1-BFF7-423D-9483-E5938E23AE3A}"/>
    <cellStyle name="Normal 13 4 2 2 4 2" xfId="4101" xr:uid="{93F088B4-22B3-44ED-B524-9F89A59AB025}"/>
    <cellStyle name="Normal 13 4 2 2 5" xfId="4102" xr:uid="{FCB59706-E6AA-429A-953C-E40AB1D1CC27}"/>
    <cellStyle name="Normal 13 4 2 3" xfId="4103" xr:uid="{6E1CCFA5-384D-4B59-99BB-9E16983F80B1}"/>
    <cellStyle name="Normal 13 4 2 3 2" xfId="4104" xr:uid="{8822B8C1-B99B-4504-8CFD-31770A6C8313}"/>
    <cellStyle name="Normal 13 4 2 3 2 2" xfId="4105" xr:uid="{1A8EBBEA-B981-4493-83F3-3429525B4FE0}"/>
    <cellStyle name="Normal 13 4 2 3 3" xfId="4106" xr:uid="{17A07670-7FC0-48B2-82C1-C93E24A7711E}"/>
    <cellStyle name="Normal 13 4 2 4" xfId="4107" xr:uid="{E797C1C9-4045-45D7-B72F-3BAF748BDC51}"/>
    <cellStyle name="Normal 13 4 2 4 2" xfId="4108" xr:uid="{C9A6A07F-7713-4F70-AF93-D123C016B0C4}"/>
    <cellStyle name="Normal 13 4 2 4 2 2" xfId="4109" xr:uid="{690E0CFC-13CB-4169-8049-BC23E3BAB8EC}"/>
    <cellStyle name="Normal 13 4 2 4 3" xfId="4110" xr:uid="{81DCB0B5-EC4C-420B-B1D1-D5B2BCB121A2}"/>
    <cellStyle name="Normal 13 4 2 5" xfId="4111" xr:uid="{18AF224B-3150-4D19-A0F0-61338352CAAA}"/>
    <cellStyle name="Normal 13 4 2 5 2" xfId="4112" xr:uid="{EB89D9DA-6EEE-4669-B6DB-F711C20D3354}"/>
    <cellStyle name="Normal 13 4 2 6" xfId="4113" xr:uid="{6C9F32A3-37C7-4ECC-A747-DD765B536479}"/>
    <cellStyle name="Normal 13 4 3" xfId="4114" xr:uid="{43C14841-C8A8-4719-A037-B8E45FD7E35C}"/>
    <cellStyle name="Normal 13 4 3 2" xfId="4115" xr:uid="{3F1C1EDF-2C95-4F35-8F77-AF38F87C3C59}"/>
    <cellStyle name="Normal 13 4 3 2 2" xfId="4116" xr:uid="{E9182362-A830-44A9-B465-D8C20B2131F4}"/>
    <cellStyle name="Normal 13 4 3 2 2 2" xfId="4117" xr:uid="{BFBA5824-620C-4EFD-A5DA-821C0BF16EEA}"/>
    <cellStyle name="Normal 13 4 3 2 3" xfId="4118" xr:uid="{FB4237AE-FFCB-432B-BCBA-0A620B64EC15}"/>
    <cellStyle name="Normal 13 4 3 3" xfId="4119" xr:uid="{5EEF1CF6-F475-49CE-8DCB-78C2D8BDB943}"/>
    <cellStyle name="Normal 13 4 3 3 2" xfId="4120" xr:uid="{097CDB0D-EA67-43BC-A1A9-8EF9FE7E8516}"/>
    <cellStyle name="Normal 13 4 3 3 2 2" xfId="4121" xr:uid="{555129D5-B904-4EC7-9BE1-6A313B8D6845}"/>
    <cellStyle name="Normal 13 4 3 3 3" xfId="4122" xr:uid="{A3A6ABBE-B790-4B7C-81FE-081B43991EC9}"/>
    <cellStyle name="Normal 13 4 3 4" xfId="4123" xr:uid="{84A377CA-C9A5-43F2-8928-1EC04FA04D59}"/>
    <cellStyle name="Normal 13 4 3 4 2" xfId="4124" xr:uid="{683B0CDB-2511-4468-BCE0-667EAA1082EB}"/>
    <cellStyle name="Normal 13 4 3 5" xfId="4125" xr:uid="{42979023-FCEC-4C10-A90A-DF4263499185}"/>
    <cellStyle name="Normal 13 4 4" xfId="4126" xr:uid="{40D0AA3B-544E-46D6-A33E-9577546FF111}"/>
    <cellStyle name="Normal 13 4 4 2" xfId="4127" xr:uid="{2D23EE27-2B14-488D-BA9E-DBD42B87D74B}"/>
    <cellStyle name="Normal 13 4 4 2 2" xfId="4128" xr:uid="{CEA2510F-50E6-486D-87A3-12FAAEC5E731}"/>
    <cellStyle name="Normal 13 4 4 2 2 2" xfId="4129" xr:uid="{2F3551FF-78DD-4431-A5A4-F7B28D619720}"/>
    <cellStyle name="Normal 13 4 4 2 3" xfId="4130" xr:uid="{D464792C-5837-490D-9B88-BC8902C4046A}"/>
    <cellStyle name="Normal 13 4 4 3" xfId="4131" xr:uid="{15957414-6643-42CA-9B7E-522D23956826}"/>
    <cellStyle name="Normal 13 4 4 3 2" xfId="4132" xr:uid="{701A64AB-A5F9-4C3E-8E88-6FA4FF1A5A04}"/>
    <cellStyle name="Normal 13 4 4 4" xfId="4133" xr:uid="{3B5F26B9-FD40-43FF-BEC5-D9D9E1C70693}"/>
    <cellStyle name="Normal 13 4 5" xfId="4134" xr:uid="{A082200A-2D3D-4B14-B8E0-63791FBA4140}"/>
    <cellStyle name="Normal 13 4 6" xfId="4135" xr:uid="{487BDD4C-159C-4033-B6C8-4BC5DC286B64}"/>
    <cellStyle name="Normal 13 4 6 2" xfId="4136" xr:uid="{020E108C-0F80-4C36-80D8-9BCE4A705D8B}"/>
    <cellStyle name="Normal 13 4 7" xfId="4137" xr:uid="{0CA30C61-416D-446A-9785-56B2FCB51E6E}"/>
    <cellStyle name="Normal 13 40" xfId="4138" xr:uid="{4B1BA8C2-43CB-4DA8-BD6D-5E986C8314DA}"/>
    <cellStyle name="Normal 13 40 2" xfId="4139" xr:uid="{C24D7F58-EE5F-4F1E-8306-DEB67080FC76}"/>
    <cellStyle name="Normal 13 40 2 2" xfId="4140" xr:uid="{0743EBE8-B08A-4C64-AC9C-39A43082B5DE}"/>
    <cellStyle name="Normal 13 40 2 2 2" xfId="4141" xr:uid="{AED9FAA8-9670-4C80-891B-1FDA0AF88CAE}"/>
    <cellStyle name="Normal 13 40 2 3" xfId="4142" xr:uid="{A8B27E9D-B1C5-4984-9D89-C764B4F43243}"/>
    <cellStyle name="Normal 13 40 3" xfId="4143" xr:uid="{E96FC41B-5F38-47ED-A482-713D9EA7F036}"/>
    <cellStyle name="Normal 13 40 3 2" xfId="4144" xr:uid="{1BC17303-5B2B-404C-8F11-E200CCB58201}"/>
    <cellStyle name="Normal 13 40 4" xfId="4145" xr:uid="{6238F614-0982-4328-8C8F-C0F411676B25}"/>
    <cellStyle name="Normal 13 41" xfId="4146" xr:uid="{59CE6E71-0F53-4649-9E6C-0515D7D4FD9E}"/>
    <cellStyle name="Normal 13 41 2" xfId="4147" xr:uid="{7CB7397F-232B-445B-BC69-E558FE8ED214}"/>
    <cellStyle name="Normal 13 5" xfId="4148" xr:uid="{EAE8EE98-BB86-4B2A-8F6E-35D813CF8D88}"/>
    <cellStyle name="Normal 13 6" xfId="4149" xr:uid="{951681D6-BCE9-409B-AAA6-8366CADFF8B3}"/>
    <cellStyle name="Normal 13 7" xfId="4150" xr:uid="{E00B69AE-C6BE-41DC-8945-C64CB64AE349}"/>
    <cellStyle name="Normal 13 8" xfId="4151" xr:uid="{B013907D-9309-411B-A61C-2388F452FE16}"/>
    <cellStyle name="Normal 13 9" xfId="4152" xr:uid="{8F9C36A9-0787-4A4E-84C4-9081226312CB}"/>
    <cellStyle name="Normal 13 9 2" xfId="4153" xr:uid="{D436DBF5-FA42-4D5F-9D59-763022E7B264}"/>
    <cellStyle name="Normal 13 9 2 2" xfId="4154" xr:uid="{0D299808-52BB-4838-B7EA-AF0A596D2E95}"/>
    <cellStyle name="Normal 13 9 2 2 2" xfId="4155" xr:uid="{CDB24D22-3E31-4DF9-8971-EE65C6E5B182}"/>
    <cellStyle name="Normal 13 9 2 2 2 2" xfId="4156" xr:uid="{B5444CD3-6C90-45C4-B603-9028244AEDDD}"/>
    <cellStyle name="Normal 13 9 2 2 3" xfId="4157" xr:uid="{BCA21669-097E-427F-9029-A321627F063D}"/>
    <cellStyle name="Normal 13 9 2 3" xfId="4158" xr:uid="{4F6BD332-51E7-481A-B6AA-8AAF38CD438E}"/>
    <cellStyle name="Normal 13 9 2 3 2" xfId="4159" xr:uid="{8E63833E-EFD2-468F-83A5-66D46E0B73A5}"/>
    <cellStyle name="Normal 13 9 2 3 2 2" xfId="4160" xr:uid="{C7CCA9B2-1159-4BBD-A244-5BB26EBA877F}"/>
    <cellStyle name="Normal 13 9 2 3 3" xfId="4161" xr:uid="{B2BB711E-8CCD-4BAD-91D8-485F97318BFF}"/>
    <cellStyle name="Normal 13 9 2 4" xfId="4162" xr:uid="{10F12214-856F-44CE-AD5D-7AA01113ECC6}"/>
    <cellStyle name="Normal 13 9 2 4 2" xfId="4163" xr:uid="{91DA3A54-B6E6-43B2-87FC-196EC8505A6E}"/>
    <cellStyle name="Normal 13 9 2 5" xfId="4164" xr:uid="{6F471CE5-1057-42A5-A837-8C44943931D2}"/>
    <cellStyle name="Normal 13 9 3" xfId="4165" xr:uid="{78D92481-FD18-47D1-9042-DAB38CD85E3B}"/>
    <cellStyle name="Normal 13 9 3 2" xfId="4166" xr:uid="{B862BD75-34F2-4A3F-BA25-AD87D9B8E6F6}"/>
    <cellStyle name="Normal 13 9 3 2 2" xfId="4167" xr:uid="{9023F985-18DB-45DE-8281-1DAD2819E9C0}"/>
    <cellStyle name="Normal 13 9 3 2 2 2" xfId="4168" xr:uid="{D10DE852-D469-4BEE-B8F7-F3419FA0A470}"/>
    <cellStyle name="Normal 13 9 3 2 3" xfId="4169" xr:uid="{84C0FCFB-7EE9-4086-9010-4E8A77883B63}"/>
    <cellStyle name="Normal 13 9 3 3" xfId="4170" xr:uid="{F3479E21-CDAF-48D6-836F-F0795ACEE210}"/>
    <cellStyle name="Normal 13 9 3 3 2" xfId="4171" xr:uid="{D65937D1-FAB4-4FC3-8B4B-75CC275A48F0}"/>
    <cellStyle name="Normal 13 9 3 4" xfId="4172" xr:uid="{43359462-EB34-4865-B7EE-CCE12C41DD96}"/>
    <cellStyle name="Normal 13 9 4" xfId="4173" xr:uid="{472419AD-9997-4335-8E42-1B0BED943B77}"/>
    <cellStyle name="Normal 13 9 5" xfId="4174" xr:uid="{21DE1795-6F0D-403F-998A-44FB77D87842}"/>
    <cellStyle name="Normal 13 9 5 2" xfId="4175" xr:uid="{150F66D3-6821-4657-9CD1-4B495F26673F}"/>
    <cellStyle name="Normal 13 9 6" xfId="4176" xr:uid="{5825F398-764A-4D19-8700-43B9087807BF}"/>
    <cellStyle name="Normal 14" xfId="4177" xr:uid="{1E96A624-642A-4F0F-A897-B601030A1189}"/>
    <cellStyle name="Normal 14 10" xfId="4178" xr:uid="{170726E2-AEAF-4E8A-BB5B-2A983D5EE316}"/>
    <cellStyle name="Normal 14 10 2" xfId="4179" xr:uid="{996CCAAE-2C46-4411-BC37-AE0F1E1F67B3}"/>
    <cellStyle name="Normal 14 10 2 2" xfId="4180" xr:uid="{725D320B-3AD5-4FFB-B236-0FB495A5C494}"/>
    <cellStyle name="Normal 14 10 2 2 2" xfId="4181" xr:uid="{3BB71C36-5F20-408A-ABEC-8C3E9DAABE08}"/>
    <cellStyle name="Normal 14 10 2 2 2 2" xfId="4182" xr:uid="{969063EC-ADCE-4000-B096-685A24BBD5AB}"/>
    <cellStyle name="Normal 14 10 2 2 3" xfId="4183" xr:uid="{06C62DF1-495D-473F-A7E2-6ACD11CF0C0A}"/>
    <cellStyle name="Normal 14 10 2 3" xfId="4184" xr:uid="{BB4C8565-226C-4159-BC59-7F4F1E5124C6}"/>
    <cellStyle name="Normal 14 10 2 3 2" xfId="4185" xr:uid="{420BC670-8B35-4D90-B08B-0883C424A042}"/>
    <cellStyle name="Normal 14 10 2 3 2 2" xfId="4186" xr:uid="{8AE01C34-AFBB-47E1-84B7-A5F6FE6E10E6}"/>
    <cellStyle name="Normal 14 10 2 3 3" xfId="4187" xr:uid="{B989C21E-8CBC-477F-A67F-C85E0A363D30}"/>
    <cellStyle name="Normal 14 10 2 4" xfId="4188" xr:uid="{5055D566-8D91-4BD2-9FD1-57D15FEDC433}"/>
    <cellStyle name="Normal 14 10 2 4 2" xfId="4189" xr:uid="{9965A423-25EC-4459-8895-6E3CD62720A5}"/>
    <cellStyle name="Normal 14 10 2 5" xfId="4190" xr:uid="{0BA36D61-4F6F-473B-A897-F495FFCF7761}"/>
    <cellStyle name="Normal 14 10 3" xfId="4191" xr:uid="{8EDA8F90-667A-4566-8AB2-BA13D64181E2}"/>
    <cellStyle name="Normal 14 10 3 2" xfId="4192" xr:uid="{437E7204-19B8-4642-9AA8-A6D6DE89C174}"/>
    <cellStyle name="Normal 14 10 3 2 2" xfId="4193" xr:uid="{926F0B07-7A8D-4E57-B983-57B0B44A086D}"/>
    <cellStyle name="Normal 14 10 3 2 2 2" xfId="4194" xr:uid="{11BDC242-0EDD-40C6-8DBA-AE9456B59738}"/>
    <cellStyle name="Normal 14 10 3 2 3" xfId="4195" xr:uid="{0C08C8DA-441B-44E2-B37F-8951FAFCA5B1}"/>
    <cellStyle name="Normal 14 10 3 3" xfId="4196" xr:uid="{9632A53B-5A0D-42C5-840D-F57B08131566}"/>
    <cellStyle name="Normal 14 10 3 3 2" xfId="4197" xr:uid="{DD50DC95-3D62-41C6-A057-0D2EB149AA17}"/>
    <cellStyle name="Normal 14 10 3 4" xfId="4198" xr:uid="{6ED8530D-3967-4EE6-ADEF-AC9889A6A837}"/>
    <cellStyle name="Normal 14 10 4" xfId="4199" xr:uid="{8603452F-107C-44CD-8B57-178CFB75AB0C}"/>
    <cellStyle name="Normal 14 10 5" xfId="4200" xr:uid="{5303BD88-1DEE-4252-AB3B-DAAD0730CFC9}"/>
    <cellStyle name="Normal 14 10 5 2" xfId="4201" xr:uid="{8505E095-4F95-451B-9FB6-C1C8CA8ECDA6}"/>
    <cellStyle name="Normal 14 10 6" xfId="4202" xr:uid="{A604B696-47DE-4AC2-BE37-84C77A06BB62}"/>
    <cellStyle name="Normal 14 11" xfId="4203" xr:uid="{A69BC167-FF66-4DB8-98D1-64B28FF41C80}"/>
    <cellStyle name="Normal 14 11 2" xfId="4204" xr:uid="{2F38B0A2-83A4-4659-9DB2-D7F171D4DBFF}"/>
    <cellStyle name="Normal 14 11 2 2" xfId="4205" xr:uid="{3C45DAAE-E764-47A2-A75A-86940BBF5D56}"/>
    <cellStyle name="Normal 14 11 2 2 2" xfId="4206" xr:uid="{6DFE5A74-A45A-4663-82BA-CDBA09F35EB5}"/>
    <cellStyle name="Normal 14 11 2 2 2 2" xfId="4207" xr:uid="{02E8CDCB-0EC9-432F-BEB3-DFA0DE342543}"/>
    <cellStyle name="Normal 14 11 2 2 3" xfId="4208" xr:uid="{F5932992-A600-4698-B25F-713172E9E210}"/>
    <cellStyle name="Normal 14 11 2 3" xfId="4209" xr:uid="{E411CBA3-AFDA-4E51-A556-2DF64BBBD39A}"/>
    <cellStyle name="Normal 14 11 2 3 2" xfId="4210" xr:uid="{2127CA44-D021-48E3-A2C3-A0F6D6FCCB42}"/>
    <cellStyle name="Normal 14 11 2 3 2 2" xfId="4211" xr:uid="{583D1841-B28B-43B2-888E-11D93B303050}"/>
    <cellStyle name="Normal 14 11 2 3 3" xfId="4212" xr:uid="{AE1F38B3-4CE6-41A7-8050-0D729577F0A4}"/>
    <cellStyle name="Normal 14 11 2 4" xfId="4213" xr:uid="{CEEBFB55-F90C-4A3B-8B24-F69AD8B9B514}"/>
    <cellStyle name="Normal 14 11 2 4 2" xfId="4214" xr:uid="{6A95F840-4345-4F5C-A994-DE1F13E091CE}"/>
    <cellStyle name="Normal 14 11 2 5" xfId="4215" xr:uid="{8333B4C8-CFEF-4465-BA34-D77834E2D61E}"/>
    <cellStyle name="Normal 14 11 3" xfId="4216" xr:uid="{0A64F883-B3D7-45EB-9E53-EF3CFB7C7DBC}"/>
    <cellStyle name="Normal 14 11 3 2" xfId="4217" xr:uid="{1AC34256-5B13-4BC0-A450-4BF7C5765438}"/>
    <cellStyle name="Normal 14 11 3 2 2" xfId="4218" xr:uid="{1F1BBEA4-6827-4A34-88F3-B49CC8A9C476}"/>
    <cellStyle name="Normal 14 11 3 2 2 2" xfId="4219" xr:uid="{F2954172-D480-4002-97E4-7BCD6BD80DF3}"/>
    <cellStyle name="Normal 14 11 3 2 3" xfId="4220" xr:uid="{0B5DD366-8868-4626-99FD-EE3B1FCEAD06}"/>
    <cellStyle name="Normal 14 11 3 3" xfId="4221" xr:uid="{03EFF88C-27BE-4375-9488-4F54CA4B1996}"/>
    <cellStyle name="Normal 14 11 3 3 2" xfId="4222" xr:uid="{C65F3558-476E-4B75-AA4F-CD4B7A70F540}"/>
    <cellStyle name="Normal 14 11 3 4" xfId="4223" xr:uid="{27F912C8-8905-435B-B190-7046212DF5EB}"/>
    <cellStyle name="Normal 14 11 4" xfId="4224" xr:uid="{2787D329-D53F-403C-BBA2-0DE34D712C04}"/>
    <cellStyle name="Normal 14 11 5" xfId="4225" xr:uid="{0E6AF442-FB72-4DA3-8E2E-8D1729EC35FD}"/>
    <cellStyle name="Normal 14 11 5 2" xfId="4226" xr:uid="{6B530F5D-A77C-4326-AC29-C21EBEA2EA9A}"/>
    <cellStyle name="Normal 14 11 6" xfId="4227" xr:uid="{8AE9A5C5-710A-485F-8DEA-E1A81D7650BF}"/>
    <cellStyle name="Normal 14 12" xfId="4228" xr:uid="{BDCCAC80-B720-4138-86ED-66AB390BCBE0}"/>
    <cellStyle name="Normal 14 12 2" xfId="4229" xr:uid="{F46FD40B-03F6-43FB-AD47-97854935E48E}"/>
    <cellStyle name="Normal 14 12 2 2" xfId="4230" xr:uid="{4BFD18E1-34F9-40B6-AD1B-EDE7BE49752D}"/>
    <cellStyle name="Normal 14 12 2 2 2" xfId="4231" xr:uid="{E968C4BF-86F4-478A-B751-B08DA55BFF8E}"/>
    <cellStyle name="Normal 14 12 2 2 2 2" xfId="4232" xr:uid="{2ABEAC85-0187-4D9F-AD91-E69C0B280CFB}"/>
    <cellStyle name="Normal 14 12 2 2 3" xfId="4233" xr:uid="{C2AADD8B-797F-4D86-B4C2-564B696BD945}"/>
    <cellStyle name="Normal 14 12 2 3" xfId="4234" xr:uid="{B1C351AC-CD4F-4358-85F8-FFA1AFD80C1C}"/>
    <cellStyle name="Normal 14 12 2 3 2" xfId="4235" xr:uid="{D0889CF8-F179-4F6A-B101-4960F7D3D14A}"/>
    <cellStyle name="Normal 14 12 2 3 2 2" xfId="4236" xr:uid="{FF34DF9A-24C0-4329-93E6-449980924496}"/>
    <cellStyle name="Normal 14 12 2 3 3" xfId="4237" xr:uid="{DC49FAE0-F870-47AB-9C11-19D0F9BC9889}"/>
    <cellStyle name="Normal 14 12 2 4" xfId="4238" xr:uid="{E9EA357F-2AB0-48A7-9BE7-0E127CF25C1D}"/>
    <cellStyle name="Normal 14 12 2 4 2" xfId="4239" xr:uid="{C69EE659-0009-4857-8713-0DA410A13DED}"/>
    <cellStyle name="Normal 14 12 2 5" xfId="4240" xr:uid="{5069D825-E764-494C-9416-6BCD519048EA}"/>
    <cellStyle name="Normal 14 12 3" xfId="4241" xr:uid="{CAE54396-C46B-4F86-80AC-537841A96D84}"/>
    <cellStyle name="Normal 14 12 3 2" xfId="4242" xr:uid="{F18FCFB9-6E13-4F32-9DCF-5329641E891D}"/>
    <cellStyle name="Normal 14 12 3 2 2" xfId="4243" xr:uid="{0F3317F9-AC39-4D0B-AD8A-3323EAD242B9}"/>
    <cellStyle name="Normal 14 12 3 2 2 2" xfId="4244" xr:uid="{65373CC0-B4EC-4C4B-9283-15B1F90119CB}"/>
    <cellStyle name="Normal 14 12 3 2 3" xfId="4245" xr:uid="{78B6FE00-0B2A-4CA1-BF37-D95185B9B5A5}"/>
    <cellStyle name="Normal 14 12 3 3" xfId="4246" xr:uid="{8345A61B-4830-4FD9-A8E2-B9A0677B9181}"/>
    <cellStyle name="Normal 14 12 3 3 2" xfId="4247" xr:uid="{94D46113-4FD6-49FC-B812-62BC176095A0}"/>
    <cellStyle name="Normal 14 12 3 4" xfId="4248" xr:uid="{321BE9C9-610B-4E26-A21D-CF9431792720}"/>
    <cellStyle name="Normal 14 12 4" xfId="4249" xr:uid="{38980596-46E1-4132-BBFE-044FBF268ECB}"/>
    <cellStyle name="Normal 14 12 5" xfId="4250" xr:uid="{2A203DA7-7793-4A82-9BC0-438C43351552}"/>
    <cellStyle name="Normal 14 12 5 2" xfId="4251" xr:uid="{E6B414D7-3928-4E5C-93AC-8D4D454CBE89}"/>
    <cellStyle name="Normal 14 12 6" xfId="4252" xr:uid="{1643F3FA-D9B4-4276-8131-0755C484A204}"/>
    <cellStyle name="Normal 14 13" xfId="4253" xr:uid="{169D03AD-2563-4120-9FBE-B14B69F0F042}"/>
    <cellStyle name="Normal 14 13 2" xfId="4254" xr:uid="{20988AAA-81A0-4583-BF73-9A039FE1D106}"/>
    <cellStyle name="Normal 14 13 2 2" xfId="4255" xr:uid="{905375AD-2877-4C2B-A316-841DC0DD36CF}"/>
    <cellStyle name="Normal 14 13 2 2 2" xfId="4256" xr:uid="{F37F5106-BA04-41D8-BCA5-917552947D6F}"/>
    <cellStyle name="Normal 14 13 2 2 2 2" xfId="4257" xr:uid="{72E91B81-DE8E-49C4-9CF0-98AFE0CFA0D2}"/>
    <cellStyle name="Normal 14 13 2 2 3" xfId="4258" xr:uid="{F327C9E8-A317-4933-922A-A3438C37558B}"/>
    <cellStyle name="Normal 14 13 2 3" xfId="4259" xr:uid="{A065CB1E-1FE8-4D58-AE88-E58F83A37012}"/>
    <cellStyle name="Normal 14 13 2 3 2" xfId="4260" xr:uid="{D0267A1B-A8EC-465D-9732-0F9F97450D49}"/>
    <cellStyle name="Normal 14 13 2 3 2 2" xfId="4261" xr:uid="{A66157AC-B693-4162-8E4E-2675A68AA865}"/>
    <cellStyle name="Normal 14 13 2 3 3" xfId="4262" xr:uid="{C295CB4F-6E36-4C6B-94C7-A4156114DBAB}"/>
    <cellStyle name="Normal 14 13 2 4" xfId="4263" xr:uid="{43C5171C-3F0B-4FE6-9904-0B33828668B9}"/>
    <cellStyle name="Normal 14 13 2 4 2" xfId="4264" xr:uid="{BD13C0A3-538A-45DC-B00F-5EFFF41F42F5}"/>
    <cellStyle name="Normal 14 13 2 5" xfId="4265" xr:uid="{712E903F-C0BD-48FC-87DF-2F4BC9400826}"/>
    <cellStyle name="Normal 14 13 3" xfId="4266" xr:uid="{CE6E18AA-5197-421F-B5E1-BC744D6B0EFF}"/>
    <cellStyle name="Normal 14 13 3 2" xfId="4267" xr:uid="{C1492261-3932-4BA4-A680-066B1FAA5AFE}"/>
    <cellStyle name="Normal 14 13 3 2 2" xfId="4268" xr:uid="{B42DC42A-F846-4A77-80EB-F5B3EAEAC0F4}"/>
    <cellStyle name="Normal 14 13 3 2 2 2" xfId="4269" xr:uid="{56B98185-5DE4-44DA-857F-C05A67113FB1}"/>
    <cellStyle name="Normal 14 13 3 2 3" xfId="4270" xr:uid="{69067D86-DCD9-4FE8-A64B-D151DA8FEABB}"/>
    <cellStyle name="Normal 14 13 3 3" xfId="4271" xr:uid="{18B0926D-6F33-4CE0-ABA3-140F0236564F}"/>
    <cellStyle name="Normal 14 13 3 3 2" xfId="4272" xr:uid="{5D028D8F-CBA1-4909-AEF1-1CCC433F25AC}"/>
    <cellStyle name="Normal 14 13 3 4" xfId="4273" xr:uid="{D6379965-4405-40FE-BE49-766BC524956C}"/>
    <cellStyle name="Normal 14 13 4" xfId="4274" xr:uid="{64F3F9A9-8FEE-4A0A-8DD7-46CBE1FE0D46}"/>
    <cellStyle name="Normal 14 13 5" xfId="4275" xr:uid="{44E88E12-9E92-4A25-830B-4C992047A3C8}"/>
    <cellStyle name="Normal 14 13 5 2" xfId="4276" xr:uid="{16A9197E-4F2F-4C4D-9565-D9659AC7DEF1}"/>
    <cellStyle name="Normal 14 13 6" xfId="4277" xr:uid="{E62FFB65-8EE5-4803-8B02-93030AA6010A}"/>
    <cellStyle name="Normal 14 14" xfId="4278" xr:uid="{927AD1D3-F9BE-4071-9339-1379AC8D0882}"/>
    <cellStyle name="Normal 14 14 2" xfId="4279" xr:uid="{9E140E9C-8489-4E3D-B3CD-AA84DF2C8ACB}"/>
    <cellStyle name="Normal 14 14 2 2" xfId="4280" xr:uid="{E87A25E5-1A23-4EC6-9236-17B2B87EC9ED}"/>
    <cellStyle name="Normal 14 14 2 2 2" xfId="4281" xr:uid="{8AFA4BE4-F1F9-4EC7-BBB2-978F6EAEED8B}"/>
    <cellStyle name="Normal 14 14 2 2 2 2" xfId="4282" xr:uid="{CBD3769B-5154-4558-A4B8-2AEC5E79C5E3}"/>
    <cellStyle name="Normal 14 14 2 2 3" xfId="4283" xr:uid="{CBE39DC3-76AC-45D4-9AC5-CA7DE4869C5E}"/>
    <cellStyle name="Normal 14 14 2 3" xfId="4284" xr:uid="{0EB894D7-C78A-416D-A190-A8532C9661B3}"/>
    <cellStyle name="Normal 14 14 2 3 2" xfId="4285" xr:uid="{9CBABB1F-C805-4D36-85B1-25C2E86C6792}"/>
    <cellStyle name="Normal 14 14 2 3 2 2" xfId="4286" xr:uid="{43574F01-1316-43C3-80C9-C0F1CDE6F766}"/>
    <cellStyle name="Normal 14 14 2 3 3" xfId="4287" xr:uid="{601A29D9-FF5B-41E7-8401-0372AAEB8B60}"/>
    <cellStyle name="Normal 14 14 2 4" xfId="4288" xr:uid="{FA39E692-DBD0-46B6-B6C4-2178D9AA742B}"/>
    <cellStyle name="Normal 14 14 2 4 2" xfId="4289" xr:uid="{1E92FA2D-0466-4065-9385-61BC87A50C40}"/>
    <cellStyle name="Normal 14 14 2 5" xfId="4290" xr:uid="{D9D366D0-3828-46F7-BDCC-30AE0ED33FA7}"/>
    <cellStyle name="Normal 14 14 3" xfId="4291" xr:uid="{9B7275A0-4839-4683-A6E8-0791F69423DE}"/>
    <cellStyle name="Normal 14 14 3 2" xfId="4292" xr:uid="{F83D218E-1273-4DE9-A685-84EC1E517835}"/>
    <cellStyle name="Normal 14 14 3 2 2" xfId="4293" xr:uid="{0E8198D2-CB74-44A7-8951-04DE82099031}"/>
    <cellStyle name="Normal 14 14 3 2 2 2" xfId="4294" xr:uid="{EF110B88-A82D-4C6F-9A16-5998F519670D}"/>
    <cellStyle name="Normal 14 14 3 2 3" xfId="4295" xr:uid="{BBD9DBDF-776B-4E8D-8242-A45F59AFA7D7}"/>
    <cellStyle name="Normal 14 14 3 3" xfId="4296" xr:uid="{764D1510-884F-4E18-87EA-413930A75FC0}"/>
    <cellStyle name="Normal 14 14 3 3 2" xfId="4297" xr:uid="{93F16337-593F-47A3-B224-B917DAEBA1CE}"/>
    <cellStyle name="Normal 14 14 3 4" xfId="4298" xr:uid="{32B07273-2841-4749-B571-59945127FECD}"/>
    <cellStyle name="Normal 14 14 4" xfId="4299" xr:uid="{6C50999A-B6B2-4F2B-A1FA-89A385E9C77B}"/>
    <cellStyle name="Normal 14 14 5" xfId="4300" xr:uid="{A485A77B-C3E4-46E6-8BB3-0A6EF416F17A}"/>
    <cellStyle name="Normal 14 14 5 2" xfId="4301" xr:uid="{173C759F-8A2E-4AFF-9921-97F25B8DE72A}"/>
    <cellStyle name="Normal 14 14 6" xfId="4302" xr:uid="{0B879492-E0C7-4980-B905-D78F6DB90921}"/>
    <cellStyle name="Normal 14 15" xfId="4303" xr:uid="{399FCE63-CDF1-4291-BF7D-F8C72544045A}"/>
    <cellStyle name="Normal 14 15 2" xfId="4304" xr:uid="{38B1399B-D81C-47EE-B69F-D7C6881B41DF}"/>
    <cellStyle name="Normal 14 15 2 2" xfId="4305" xr:uid="{F13FCDC5-1F94-4223-B90F-BD353E745BD6}"/>
    <cellStyle name="Normal 14 15 2 2 2" xfId="4306" xr:uid="{311CF592-B428-4BC0-A631-36D0164D0783}"/>
    <cellStyle name="Normal 14 15 2 2 2 2" xfId="4307" xr:uid="{A7C1A119-16E9-4354-ADE3-CDACD167AC09}"/>
    <cellStyle name="Normal 14 15 2 2 3" xfId="4308" xr:uid="{46298EAD-FFED-48A2-B8F8-71A0F2BB82AF}"/>
    <cellStyle name="Normal 14 15 2 3" xfId="4309" xr:uid="{74D13EA3-0291-4DEC-9A7E-2A35858F2B79}"/>
    <cellStyle name="Normal 14 15 2 3 2" xfId="4310" xr:uid="{14921E6A-0807-49D1-A3EE-E529CDD4454B}"/>
    <cellStyle name="Normal 14 15 2 3 2 2" xfId="4311" xr:uid="{D06CB044-9479-4467-8E43-9E1058DBAD5B}"/>
    <cellStyle name="Normal 14 15 2 3 3" xfId="4312" xr:uid="{29755AF6-4D56-4A7B-A4D8-05D773175D87}"/>
    <cellStyle name="Normal 14 15 2 4" xfId="4313" xr:uid="{13B5884F-0875-49C5-809F-13026148540A}"/>
    <cellStyle name="Normal 14 15 2 4 2" xfId="4314" xr:uid="{D8FD6BD1-C74B-42E5-9A3A-55FB852B272F}"/>
    <cellStyle name="Normal 14 15 2 5" xfId="4315" xr:uid="{317FF10D-6149-4A9B-BFE7-62A7F92A0509}"/>
    <cellStyle name="Normal 14 15 3" xfId="4316" xr:uid="{5B3EEFBC-C500-44A0-9202-555EB20A9D90}"/>
    <cellStyle name="Normal 14 15 3 2" xfId="4317" xr:uid="{2896E8A6-FB33-4EB5-A61B-C80CF8429923}"/>
    <cellStyle name="Normal 14 15 3 2 2" xfId="4318" xr:uid="{A4410E4A-EE35-4ABE-9D9B-C2E7B72C11D8}"/>
    <cellStyle name="Normal 14 15 3 2 2 2" xfId="4319" xr:uid="{4130E4F7-C668-44DC-8245-9710691ED06C}"/>
    <cellStyle name="Normal 14 15 3 2 3" xfId="4320" xr:uid="{7D5EECC8-1CC2-472B-AABF-8D7AF2DD44D5}"/>
    <cellStyle name="Normal 14 15 3 3" xfId="4321" xr:uid="{4A277513-810B-4828-87C3-8FDF25B12006}"/>
    <cellStyle name="Normal 14 15 3 3 2" xfId="4322" xr:uid="{E78D833A-83C7-4F52-840F-B5F3DFCD0087}"/>
    <cellStyle name="Normal 14 15 3 4" xfId="4323" xr:uid="{E32E554E-89FB-4D4E-A843-A0E61C67E4B8}"/>
    <cellStyle name="Normal 14 15 4" xfId="4324" xr:uid="{89E223EF-02C8-4029-B728-CC8027086B5A}"/>
    <cellStyle name="Normal 14 15 5" xfId="4325" xr:uid="{CFFB9127-13E3-4F85-920A-A3893625FFFA}"/>
    <cellStyle name="Normal 14 15 5 2" xfId="4326" xr:uid="{696BE9B8-CFC8-4BBB-8E71-B5737D3FD69F}"/>
    <cellStyle name="Normal 14 15 6" xfId="4327" xr:uid="{D8231DF9-2C8A-4191-8CB7-441E4A67429B}"/>
    <cellStyle name="Normal 14 16" xfId="4328" xr:uid="{93DFF061-3453-48E2-BAAA-434A8A9DE633}"/>
    <cellStyle name="Normal 14 17" xfId="4329" xr:uid="{7AFD96D9-C590-4119-B376-9C61A4126C7E}"/>
    <cellStyle name="Normal 14 17 2" xfId="4330" xr:uid="{632DD740-115F-4C69-936A-A0EFF742E84C}"/>
    <cellStyle name="Normal 14 17 2 2" xfId="4331" xr:uid="{B7373C17-0675-4EEF-B010-D778C3805BCF}"/>
    <cellStyle name="Normal 14 17 2 2 2" xfId="4332" xr:uid="{AACB4DF8-3FF2-4B64-A827-718B33105F0F}"/>
    <cellStyle name="Normal 14 17 2 3" xfId="4333" xr:uid="{664A00B1-5605-48BB-8574-52115A249985}"/>
    <cellStyle name="Normal 14 17 3" xfId="4334" xr:uid="{6A008E65-BB47-4283-BFD8-2278A95EC25F}"/>
    <cellStyle name="Normal 14 17 3 2" xfId="4335" xr:uid="{6A78E63E-5A77-4C49-AA06-1C2E08DFA3CC}"/>
    <cellStyle name="Normal 14 17 3 2 2" xfId="4336" xr:uid="{E066E7C1-F87D-4DD3-804E-936E577F4863}"/>
    <cellStyle name="Normal 14 17 3 3" xfId="4337" xr:uid="{7D37C7BA-95B4-4C4D-9A1F-BA8E6F1A79BF}"/>
    <cellStyle name="Normal 14 17 4" xfId="4338" xr:uid="{92EB4865-5945-4350-9175-0FD53C54DB20}"/>
    <cellStyle name="Normal 14 17 4 2" xfId="4339" xr:uid="{D333A998-76CA-460A-9306-40C0ACA13AC1}"/>
    <cellStyle name="Normal 14 17 5" xfId="4340" xr:uid="{6F587FA5-1A86-41BB-9823-FAB7FF5EEBB7}"/>
    <cellStyle name="Normal 14 18" xfId="4341" xr:uid="{AB983F1B-B9D7-46E8-9DCE-4A0FEE4D6728}"/>
    <cellStyle name="Normal 14 18 2" xfId="4342" xr:uid="{CB550DE1-7320-4931-827D-D38FB3B280E4}"/>
    <cellStyle name="Normal 14 18 2 2" xfId="4343" xr:uid="{17A8B30B-FA96-479B-BE8F-DAA93DDF6322}"/>
    <cellStyle name="Normal 14 18 2 2 2" xfId="4344" xr:uid="{5469522D-8340-40D6-8C09-874A87FF217F}"/>
    <cellStyle name="Normal 14 18 2 3" xfId="4345" xr:uid="{FB8B00C9-EBD0-4DA9-A388-8063464E0E2E}"/>
    <cellStyle name="Normal 14 18 3" xfId="4346" xr:uid="{D04E9FCB-3439-4A22-A8C0-289303D64E22}"/>
    <cellStyle name="Normal 14 18 3 2" xfId="4347" xr:uid="{6ADCDDE8-08F9-4430-9BB3-9B429E990DB7}"/>
    <cellStyle name="Normal 14 18 4" xfId="4348" xr:uid="{B10ED108-F411-4431-972E-28592826EDAC}"/>
    <cellStyle name="Normal 14 19" xfId="4349" xr:uid="{4E7ADB16-9087-4CC2-BD5A-8D86D585DDE9}"/>
    <cellStyle name="Normal 14 19 2" xfId="4350" xr:uid="{175B8F6F-AD4C-4123-A77F-8A4B42D5DEC4}"/>
    <cellStyle name="Normal 14 2" xfId="4351" xr:uid="{D5286A2D-8E3D-4297-B6BB-71A5ABAA75A9}"/>
    <cellStyle name="Normal 14 2 10" xfId="4352" xr:uid="{FB0F4116-0F33-4BE7-ABD2-2399248289F8}"/>
    <cellStyle name="Normal 14 2 2" xfId="4353" xr:uid="{57AE4178-E645-4FA7-BE99-D9FCE4FCC44B}"/>
    <cellStyle name="Normal 14 2 3" xfId="4354" xr:uid="{12A48D47-A4F1-4AA9-94EE-CA83FA1E7C31}"/>
    <cellStyle name="Normal 14 2 4" xfId="4355" xr:uid="{36532297-D24F-4CBB-A5F7-263CD4C53F67}"/>
    <cellStyle name="Normal 14 2 5" xfId="4356" xr:uid="{90982E15-2434-4F7A-9B3F-A3A3305D3A9A}"/>
    <cellStyle name="Normal 14 2 6" xfId="4357" xr:uid="{B48FC072-78AE-44D9-92AB-FAF9FC424B91}"/>
    <cellStyle name="Normal 14 2 7" xfId="4358" xr:uid="{3C9A980B-D488-4013-BDE8-F0BCA3F9D515}"/>
    <cellStyle name="Normal 14 2 8" xfId="4359" xr:uid="{44A1F89C-BED8-4CA3-B00A-1A89AE90E73C}"/>
    <cellStyle name="Normal 14 2 8 2" xfId="4360" xr:uid="{886690B4-686C-447F-AADC-CCE918A72603}"/>
    <cellStyle name="Normal 14 2 8 2 2" xfId="4361" xr:uid="{4CD2B4B6-D5B3-4AA2-A373-72D16819D41B}"/>
    <cellStyle name="Normal 14 2 8 2 2 2" xfId="4362" xr:uid="{A29AFCB4-E9D5-4C43-8411-8AFC13D86C8F}"/>
    <cellStyle name="Normal 14 2 8 2 2 2 2" xfId="4363" xr:uid="{434A9609-5193-459B-BA72-21CF84F49D89}"/>
    <cellStyle name="Normal 14 2 8 2 2 3" xfId="4364" xr:uid="{13ED7C67-3CE0-4FE7-93F9-028630B4E963}"/>
    <cellStyle name="Normal 14 2 8 2 3" xfId="4365" xr:uid="{368F50F0-13DD-464D-988D-BADC9816E093}"/>
    <cellStyle name="Normal 14 2 8 2 3 2" xfId="4366" xr:uid="{E8C5E9FD-64FE-42CA-9464-12CC64AC0332}"/>
    <cellStyle name="Normal 14 2 8 2 3 2 2" xfId="4367" xr:uid="{DF272BC7-C1B2-4A93-AA5E-D391E2AF5D46}"/>
    <cellStyle name="Normal 14 2 8 2 3 3" xfId="4368" xr:uid="{4A0961CF-A665-42EB-AA9C-103CC974783D}"/>
    <cellStyle name="Normal 14 2 8 2 4" xfId="4369" xr:uid="{DDF7B1E9-CCD5-4AE5-929D-5F996407F7CE}"/>
    <cellStyle name="Normal 14 2 8 2 4 2" xfId="4370" xr:uid="{C7AD52E5-B1AE-419E-83B5-45553C641F84}"/>
    <cellStyle name="Normal 14 2 8 2 5" xfId="4371" xr:uid="{CA201C38-94A5-4936-8E2A-EE6580E09E0D}"/>
    <cellStyle name="Normal 14 2 8 3" xfId="4372" xr:uid="{E8356E77-5C7A-4B11-957F-4E0F29EBBC7A}"/>
    <cellStyle name="Normal 14 2 8 3 2" xfId="4373" xr:uid="{6784F1B0-496E-468D-B09F-A54DC9362F8D}"/>
    <cellStyle name="Normal 14 2 8 3 2 2" xfId="4374" xr:uid="{DF8D378A-2B2F-40DC-8B4A-62739E59A76E}"/>
    <cellStyle name="Normal 14 2 8 3 3" xfId="4375" xr:uid="{DBE3A03E-2014-4429-94C3-7DBF1E464E32}"/>
    <cellStyle name="Normal 14 2 8 4" xfId="4376" xr:uid="{074EDB90-F45C-4401-9366-F922D869C94B}"/>
    <cellStyle name="Normal 14 2 8 4 2" xfId="4377" xr:uid="{05B5D9FB-49C3-4CC8-B844-E238F63E79F1}"/>
    <cellStyle name="Normal 14 2 8 4 2 2" xfId="4378" xr:uid="{6DFC430F-C00E-42A7-AFBA-EE319A11163C}"/>
    <cellStyle name="Normal 14 2 8 4 3" xfId="4379" xr:uid="{8E64E2C4-7040-435E-963A-D90AD817C65D}"/>
    <cellStyle name="Normal 14 2 8 5" xfId="4380" xr:uid="{4E28452E-4F5D-4F7F-8BDD-C2E68CBBE5B0}"/>
    <cellStyle name="Normal 14 2 8 5 2" xfId="4381" xr:uid="{1EFBD818-40ED-46A1-AFC0-4C309AA02E17}"/>
    <cellStyle name="Normal 14 2 8 6" xfId="4382" xr:uid="{B0A5C143-F269-4829-80F5-AF5DE37A6073}"/>
    <cellStyle name="Normal 14 2 9" xfId="4383" xr:uid="{EE3D4ED8-CD86-47AC-9D0F-5DFF080F496E}"/>
    <cellStyle name="Normal 14 3" xfId="4384" xr:uid="{57817702-E22D-4C81-8247-74C35D370298}"/>
    <cellStyle name="Normal 14 4" xfId="4385" xr:uid="{7C4053B5-6D22-4CE4-96B8-E19A719C7BD0}"/>
    <cellStyle name="Normal 14 4 2" xfId="4386" xr:uid="{A23DFC22-3F47-4423-8FBD-218DE62C0799}"/>
    <cellStyle name="Normal 14 4 2 2" xfId="4387" xr:uid="{12297184-2447-4442-B5D6-2CF17929D6A8}"/>
    <cellStyle name="Normal 14 4 2 2 2" xfId="4388" xr:uid="{5007D736-0E8C-4382-909A-C9002AB5C896}"/>
    <cellStyle name="Normal 14 4 2 2 2 2" xfId="4389" xr:uid="{7375F813-0267-440F-9145-AABB3724FF99}"/>
    <cellStyle name="Normal 14 4 2 2 3" xfId="4390" xr:uid="{107DC0D8-B989-44A0-97D3-D9673A028A04}"/>
    <cellStyle name="Normal 14 4 2 3" xfId="4391" xr:uid="{614C72D6-B5DB-4679-95FC-9BAD4D399F2C}"/>
    <cellStyle name="Normal 14 4 2 3 2" xfId="4392" xr:uid="{3335A1A0-C726-4A33-BDC2-78F2651A47A1}"/>
    <cellStyle name="Normal 14 4 2 3 2 2" xfId="4393" xr:uid="{C9E1E1CF-6B71-4E1F-926B-7E7D3895C613}"/>
    <cellStyle name="Normal 14 4 2 3 3" xfId="4394" xr:uid="{72E15525-C137-40A9-B1A0-064D8CEA74A6}"/>
    <cellStyle name="Normal 14 4 2 4" xfId="4395" xr:uid="{5B41B0F7-0719-41A9-AAE3-D49DD12B27B7}"/>
    <cellStyle name="Normal 14 4 2 4 2" xfId="4396" xr:uid="{C1EEC50D-29B2-46F8-9E06-456C3A00B1F0}"/>
    <cellStyle name="Normal 14 4 2 5" xfId="4397" xr:uid="{1099C2A4-65E3-4175-8599-80F004EA2410}"/>
    <cellStyle name="Normal 14 4 3" xfId="4398" xr:uid="{B4C8B820-BADD-474E-B527-3C8202517FDF}"/>
    <cellStyle name="Normal 14 4 3 2" xfId="4399" xr:uid="{3F99FD4B-8D4B-4175-8A6F-D71D3274DF00}"/>
    <cellStyle name="Normal 14 4 3 2 2" xfId="4400" xr:uid="{47E9F364-85A7-4927-9667-82FAB8AD90ED}"/>
    <cellStyle name="Normal 14 4 3 2 2 2" xfId="4401" xr:uid="{69E11D04-82CF-4EA2-8CC8-15D4A97649B9}"/>
    <cellStyle name="Normal 14 4 3 2 3" xfId="4402" xr:uid="{E880CEE8-E174-4753-8F4A-A42EB617F16D}"/>
    <cellStyle name="Normal 14 4 3 3" xfId="4403" xr:uid="{7626797E-2AD0-439C-97CA-4B933A1BEEAD}"/>
    <cellStyle name="Normal 14 4 3 3 2" xfId="4404" xr:uid="{0578F27C-6514-43B8-AAE9-A76854BF0A0D}"/>
    <cellStyle name="Normal 14 4 3 4" xfId="4405" xr:uid="{0D435ECA-613D-48D6-8DBD-DC602F588040}"/>
    <cellStyle name="Normal 14 4 4" xfId="4406" xr:uid="{7E9E0726-25BD-4508-950D-DFB6B6C6052D}"/>
    <cellStyle name="Normal 14 4 5" xfId="4407" xr:uid="{00678687-B0B0-453A-B8D9-74F2570C3686}"/>
    <cellStyle name="Normal 14 4 5 2" xfId="4408" xr:uid="{62F4EDA0-78C5-4AF8-90E4-6F2E552D12C9}"/>
    <cellStyle name="Normal 14 4 6" xfId="4409" xr:uid="{ED645D4B-A686-447E-B29A-436D57BB4036}"/>
    <cellStyle name="Normal 14 5" xfId="4410" xr:uid="{65D354FD-B3E6-4807-A82A-755B3B71EFBB}"/>
    <cellStyle name="Normal 14 5 2" xfId="4411" xr:uid="{6F963018-9CCD-4884-A4D5-7BD5B494375A}"/>
    <cellStyle name="Normal 14 5 2 2" xfId="4412" xr:uid="{D40ACD40-80BF-4440-B907-EEE4E834DA44}"/>
    <cellStyle name="Normal 14 5 2 2 2" xfId="4413" xr:uid="{CE1D0F0E-A10A-4FF5-B99D-D9B01D3E37A2}"/>
    <cellStyle name="Normal 14 5 2 2 2 2" xfId="4414" xr:uid="{BCDF2F5D-4A83-454A-BAAC-AC4E22872EDC}"/>
    <cellStyle name="Normal 14 5 2 2 3" xfId="4415" xr:uid="{BDF78D79-8590-4AF0-82E3-90A2555675F5}"/>
    <cellStyle name="Normal 14 5 2 3" xfId="4416" xr:uid="{700F9778-E9AC-43FA-A227-68A98DB6DBEE}"/>
    <cellStyle name="Normal 14 5 2 3 2" xfId="4417" xr:uid="{747EDA8C-EED1-4319-BFB6-5DF8FCE86F52}"/>
    <cellStyle name="Normal 14 5 2 3 2 2" xfId="4418" xr:uid="{39116A58-AF20-46E2-B9AB-16E469B70F79}"/>
    <cellStyle name="Normal 14 5 2 3 3" xfId="4419" xr:uid="{78E97650-9B4F-4A72-A949-E476E34A81E3}"/>
    <cellStyle name="Normal 14 5 2 4" xfId="4420" xr:uid="{667B2C0B-EBF5-4868-AFFD-3743B641EEB1}"/>
    <cellStyle name="Normal 14 5 2 4 2" xfId="4421" xr:uid="{45B85204-DB83-4345-900B-1DA764F53395}"/>
    <cellStyle name="Normal 14 5 2 5" xfId="4422" xr:uid="{7BFD7E17-D6AF-4D2B-9ED1-49058EC48E51}"/>
    <cellStyle name="Normal 14 5 3" xfId="4423" xr:uid="{1135E7E8-E2D6-4F8C-811F-DA159E6AF55C}"/>
    <cellStyle name="Normal 14 5 3 2" xfId="4424" xr:uid="{C0710275-CBA7-421C-A43E-C2B8C005B88C}"/>
    <cellStyle name="Normal 14 5 3 2 2" xfId="4425" xr:uid="{C228A8B6-4CBB-4F5D-A2F7-A457177E5C03}"/>
    <cellStyle name="Normal 14 5 3 2 2 2" xfId="4426" xr:uid="{3E4DF7BA-C787-4515-8FAF-42DD43C361B0}"/>
    <cellStyle name="Normal 14 5 3 2 3" xfId="4427" xr:uid="{3AB212FC-BDA5-42D8-B742-64AD2A9BF4ED}"/>
    <cellStyle name="Normal 14 5 3 3" xfId="4428" xr:uid="{E2629486-B8F8-41CB-8C79-5BF958C36252}"/>
    <cellStyle name="Normal 14 5 3 3 2" xfId="4429" xr:uid="{31CA5B23-0842-4AC4-AFCA-04845F1E61F6}"/>
    <cellStyle name="Normal 14 5 3 4" xfId="4430" xr:uid="{494ABE15-CE1E-4E94-BB6C-039E988DFCFB}"/>
    <cellStyle name="Normal 14 5 4" xfId="4431" xr:uid="{23401128-95E4-46CF-B83C-0A43C08A0E55}"/>
    <cellStyle name="Normal 14 5 5" xfId="4432" xr:uid="{C0662361-B3BD-448E-AF57-DA381C3A9A3D}"/>
    <cellStyle name="Normal 14 5 5 2" xfId="4433" xr:uid="{5DDE5464-72D4-4DCB-B393-FF883643E9AD}"/>
    <cellStyle name="Normal 14 5 6" xfId="4434" xr:uid="{50CF2BD5-FB99-48E7-B0D0-0821B6CD078D}"/>
    <cellStyle name="Normal 14 6" xfId="4435" xr:uid="{0296E4FF-0180-4E15-90D9-977795CFEC64}"/>
    <cellStyle name="Normal 14 7" xfId="4436" xr:uid="{19C91D99-3A43-4828-A5F9-979B5788E814}"/>
    <cellStyle name="Normal 14 8" xfId="4437" xr:uid="{24515D12-B1A2-4909-A27B-64A17CB4EECE}"/>
    <cellStyle name="Normal 14 9" xfId="4438" xr:uid="{1A6F2D50-61E9-40A1-967B-3DD7BAFAB078}"/>
    <cellStyle name="Normal 15" xfId="4439" xr:uid="{21AAE339-13EC-4F56-A441-A852238CF327}"/>
    <cellStyle name="Normal 15 2" xfId="4440" xr:uid="{095CCA99-2608-4A7F-B84C-FEBBF28B2570}"/>
    <cellStyle name="Normal 15 2 2" xfId="4441" xr:uid="{9123171E-3095-4A4E-B85F-6200E9CB3E2D}"/>
    <cellStyle name="Normal 15 2 3" xfId="4442" xr:uid="{AB7B60D4-D298-4F0B-A680-0EC1C8E7015F}"/>
    <cellStyle name="Normal 15 3" xfId="4443" xr:uid="{71F28E25-E83E-48D4-8EEF-5EE11C64D86E}"/>
    <cellStyle name="Normal 15 4" xfId="4444" xr:uid="{C93C6178-77C5-41E7-8B2A-5B29E1B1E5AF}"/>
    <cellStyle name="Normal 15 5" xfId="4445" xr:uid="{D2EBC771-10A0-4314-8678-8BC3BF8C2302}"/>
    <cellStyle name="Normal 15 6" xfId="4446" xr:uid="{6FFCC194-4DFF-44F8-9611-F551622D13BB}"/>
    <cellStyle name="Normal 15 7" xfId="4447" xr:uid="{C84801B7-66F7-4330-88B5-0218E5527102}"/>
    <cellStyle name="Normal 16" xfId="4448" xr:uid="{9764B2E9-E3A2-45D4-9074-214F1A8C80E4}"/>
    <cellStyle name="Normal 16 2" xfId="4449" xr:uid="{BB0C5CB6-9EE5-453C-A181-8E7E82C96BCA}"/>
    <cellStyle name="Normal 16 2 2" xfId="4450" xr:uid="{CCE628FD-60B9-428D-9533-0D0D92E3CE6E}"/>
    <cellStyle name="Normal 16 2 3" xfId="4451" xr:uid="{4DABC4C2-60AB-4721-A6E0-4735A6AA05FA}"/>
    <cellStyle name="Normal 16 3" xfId="4452" xr:uid="{E5D3526A-1E37-4FBB-B42E-B4817948E26E}"/>
    <cellStyle name="Normal 16 4" xfId="4453" xr:uid="{D94A419A-E450-4477-9A6D-E3981B9D7E99}"/>
    <cellStyle name="Normal 16 5" xfId="4454" xr:uid="{189C7BA1-886D-48D8-8246-125C471CFEA8}"/>
    <cellStyle name="Normal 16 6" xfId="4455" xr:uid="{CA4AF49A-6576-4110-B619-629ADA1DFC6C}"/>
    <cellStyle name="Normal 16 7" xfId="4456" xr:uid="{0F79781A-D154-43EF-A9B2-FB69279D6390}"/>
    <cellStyle name="Normal 16 7 2" xfId="4457" xr:uid="{B80CEBA8-D46A-4F67-BAD0-28DBF98D35DA}"/>
    <cellStyle name="Normal 16 7 2 2" xfId="4458" xr:uid="{90145F4B-7703-40ED-BEB8-A751672BBFD7}"/>
    <cellStyle name="Normal 16 7 2 2 2" xfId="4459" xr:uid="{1C44833F-665C-484C-B058-C76DB9219390}"/>
    <cellStyle name="Normal 16 7 2 2 2 2" xfId="4460" xr:uid="{2184C1A0-EA5D-4D8A-8DB4-EC4E414E437F}"/>
    <cellStyle name="Normal 16 7 2 2 3" xfId="4461" xr:uid="{5EFBA244-291C-4A51-B0C5-C5DC8A6E40E2}"/>
    <cellStyle name="Normal 16 7 2 3" xfId="4462" xr:uid="{F27CD15B-B277-412E-8ACB-E8B1AC6A7EA0}"/>
    <cellStyle name="Normal 16 7 2 3 2" xfId="4463" xr:uid="{CF6BB6D7-7B38-48AD-83F5-30B8686973B5}"/>
    <cellStyle name="Normal 16 7 2 3 2 2" xfId="4464" xr:uid="{E979C287-5027-463D-88B3-DCF298D6DBDB}"/>
    <cellStyle name="Normal 16 7 2 3 3" xfId="4465" xr:uid="{9CFE576E-0D4F-41DF-8AC8-1D1809D06C5B}"/>
    <cellStyle name="Normal 16 7 2 4" xfId="4466" xr:uid="{BE607CCA-99F6-4064-A089-C4C0773575F8}"/>
    <cellStyle name="Normal 16 7 2 4 2" xfId="4467" xr:uid="{03ED8B3D-B006-4DE8-B89F-D4A56D39731A}"/>
    <cellStyle name="Normal 16 7 2 5" xfId="4468" xr:uid="{230929BB-BA5E-48F7-8FBA-3981D66AD6F4}"/>
    <cellStyle name="Normal 16 7 3" xfId="4469" xr:uid="{582D84A5-4586-464C-B4FF-55591FDE02AF}"/>
    <cellStyle name="Normal 16 7 3 2" xfId="4470" xr:uid="{91FB8D17-3286-43B9-A5E9-6F762645BA50}"/>
    <cellStyle name="Normal 16 7 3 2 2" xfId="4471" xr:uid="{4EE11DE3-9877-4B93-965E-EFE54BCE2A61}"/>
    <cellStyle name="Normal 16 7 3 3" xfId="4472" xr:uid="{3524D4E0-4708-422A-A497-06DE35FB8913}"/>
    <cellStyle name="Normal 16 7 4" xfId="4473" xr:uid="{C86E123E-298E-4558-A8EE-8687FD08D2CC}"/>
    <cellStyle name="Normal 16 7 4 2" xfId="4474" xr:uid="{FE26A768-B34C-4054-AEE4-5D0E553671D3}"/>
    <cellStyle name="Normal 16 7 4 2 2" xfId="4475" xr:uid="{E5041884-E00D-4ADD-BE3C-EBBDCD120EA3}"/>
    <cellStyle name="Normal 16 7 4 3" xfId="4476" xr:uid="{4317F71C-E765-49DA-9FCA-821DF349E61C}"/>
    <cellStyle name="Normal 16 7 5" xfId="4477" xr:uid="{C20FBC2D-EA74-496F-9F2D-7D2392F58BEB}"/>
    <cellStyle name="Normal 16 7 5 2" xfId="4478" xr:uid="{EBD03A4B-90FD-4016-8723-D560AB59F66F}"/>
    <cellStyle name="Normal 16 7 6" xfId="4479" xr:uid="{88C05FEE-3F18-46A2-9A6E-CA3084888771}"/>
    <cellStyle name="Normal 16 8" xfId="4480" xr:uid="{36410F48-30E9-4080-A52F-CE60A4FBD0BC}"/>
    <cellStyle name="Normal 17" xfId="4481" xr:uid="{FA0EA683-D0EE-4924-8E70-FC6C5FC7D0AD}"/>
    <cellStyle name="Normal 17 10" xfId="4482" xr:uid="{D52D91DD-D8BD-4C13-AB98-FBC3265B843D}"/>
    <cellStyle name="Normal 17 11" xfId="4483" xr:uid="{ECF040FF-0604-46F7-947D-7C0D6DD4105F}"/>
    <cellStyle name="Normal 17 12" xfId="4484" xr:uid="{FFD22711-CDA3-4C97-B652-267ADD2DB91C}"/>
    <cellStyle name="Normal 17 13" xfId="4485" xr:uid="{BB3A7483-89D8-4380-9072-283C8C33AFC0}"/>
    <cellStyle name="Normal 17 14" xfId="4486" xr:uid="{3367EE14-7A90-4409-9303-9431775D24AB}"/>
    <cellStyle name="Normal 17 14 2" xfId="4487" xr:uid="{29E26F5A-F131-407E-ABB5-5DCCDE6656A5}"/>
    <cellStyle name="Normal 17 14 2 2" xfId="4488" xr:uid="{B506BAD2-3AA7-4CCA-B53C-355A099BCE5F}"/>
    <cellStyle name="Normal 17 14 2 2 2" xfId="4489" xr:uid="{CB594DB1-235C-426B-9987-8DCDBF7259F6}"/>
    <cellStyle name="Normal 17 14 2 2 2 2" xfId="4490" xr:uid="{CF2E5C97-AF31-40FA-B3A2-2B959BAB9E9C}"/>
    <cellStyle name="Normal 17 14 2 2 3" xfId="4491" xr:uid="{224F5264-3DA1-4D3B-BC68-584E316A0AA5}"/>
    <cellStyle name="Normal 17 14 2 3" xfId="4492" xr:uid="{C9756A44-7C3F-4988-ADC7-6CC67EE06D59}"/>
    <cellStyle name="Normal 17 14 2 3 2" xfId="4493" xr:uid="{1F576699-A238-4801-B445-75266A4F9989}"/>
    <cellStyle name="Normal 17 14 2 3 2 2" xfId="4494" xr:uid="{6124BA8A-31AF-43CD-A1BA-DA4FEB3F016F}"/>
    <cellStyle name="Normal 17 14 2 3 3" xfId="4495" xr:uid="{F2B23826-441B-4E89-B1DC-1EFDDD69D55F}"/>
    <cellStyle name="Normal 17 14 2 4" xfId="4496" xr:uid="{64F97B53-4928-4CA2-872C-DB8C038C8672}"/>
    <cellStyle name="Normal 17 14 2 4 2" xfId="4497" xr:uid="{2AAD9CAC-5ECE-4500-A5E8-4B3E60845E00}"/>
    <cellStyle name="Normal 17 14 2 5" xfId="4498" xr:uid="{F5B85F53-C624-48B8-AA40-68ECE51D9B89}"/>
    <cellStyle name="Normal 17 14 3" xfId="4499" xr:uid="{34E51971-E30C-4DEE-94D5-3E05D0B673AF}"/>
    <cellStyle name="Normal 17 14 3 2" xfId="4500" xr:uid="{6EB1A744-2293-44AE-968D-B4935602AE69}"/>
    <cellStyle name="Normal 17 14 3 2 2" xfId="4501" xr:uid="{F56F84E3-15F8-44FA-B486-C4B7E60C65A6}"/>
    <cellStyle name="Normal 17 14 3 3" xfId="4502" xr:uid="{148F3B30-EDB8-4B07-8470-A4645113B413}"/>
    <cellStyle name="Normal 17 14 4" xfId="4503" xr:uid="{E1CF5417-86B3-458B-B83B-057ECED3CAA0}"/>
    <cellStyle name="Normal 17 14 4 2" xfId="4504" xr:uid="{A5E7036D-0761-425B-963C-AC3717E6A78D}"/>
    <cellStyle name="Normal 17 14 4 2 2" xfId="4505" xr:uid="{D75ACAC7-39E9-42FE-891A-8F54C57CB9AE}"/>
    <cellStyle name="Normal 17 14 4 3" xfId="4506" xr:uid="{F0084E3B-BC9E-4D6A-A2A1-73CC311D10F2}"/>
    <cellStyle name="Normal 17 14 5" xfId="4507" xr:uid="{38FAC9B5-E25D-4165-B460-CC8A69CFAED5}"/>
    <cellStyle name="Normal 17 14 5 2" xfId="4508" xr:uid="{EC75776E-FCFF-443A-841C-3B76DAFCCC07}"/>
    <cellStyle name="Normal 17 14 6" xfId="4509" xr:uid="{EF9D9358-10D6-445F-8108-D79A2B754962}"/>
    <cellStyle name="Normal 17 15" xfId="4510" xr:uid="{27C4D671-83F5-487E-806B-A1CFE6A84FD8}"/>
    <cellStyle name="Normal 17 2" xfId="4511" xr:uid="{147D000A-D665-4FA6-AE91-157BB9B46723}"/>
    <cellStyle name="Normal 17 2 2" xfId="4512" xr:uid="{29D5FEDF-D8BF-4F9A-B09D-D1814E002D0F}"/>
    <cellStyle name="Normal 17 2 3" xfId="4513" xr:uid="{CEB55DE2-5398-4718-8968-0CCF6B54DF06}"/>
    <cellStyle name="Normal 17 3" xfId="4514" xr:uid="{695E78FA-BD2C-4A1A-B389-FE06FC2E4240}"/>
    <cellStyle name="Normal 17 4" xfId="4515" xr:uid="{CFD9F90B-40DB-4CB3-A7E0-E71760840CDF}"/>
    <cellStyle name="Normal 17 5" xfId="4516" xr:uid="{48FEE464-E133-4B51-8412-41CD17B3B6EC}"/>
    <cellStyle name="Normal 17 6" xfId="4517" xr:uid="{BAAE51AD-A386-448F-B7E3-4A0C6F4FE454}"/>
    <cellStyle name="Normal 17 7" xfId="4518" xr:uid="{B03052DD-1A74-4E24-805C-FB53601492F6}"/>
    <cellStyle name="Normal 17 8" xfId="4519" xr:uid="{ADAE6FFC-F140-4ADD-9566-F7A7037AF53B}"/>
    <cellStyle name="Normal 17 9" xfId="4520" xr:uid="{76EE5FE9-18FB-4116-8102-3A6D751B4C29}"/>
    <cellStyle name="Normal 18" xfId="4521" xr:uid="{B9086435-5DC3-428E-BFCB-C3C0C8948985}"/>
    <cellStyle name="Normal 18 2" xfId="4522" xr:uid="{4EFE7506-BE41-41A6-9FBE-5F38E832A8CE}"/>
    <cellStyle name="Normal 18 3" xfId="4523" xr:uid="{254EF8AE-E42B-4242-A277-96EF2C9B5269}"/>
    <cellStyle name="Normal 18 3 2" xfId="4524" xr:uid="{6EDF5EB2-B8A1-4850-86B0-06DF60E2F0EF}"/>
    <cellStyle name="Normal 18 3 2 2" xfId="4525" xr:uid="{A94FF1D2-3FB1-46DE-BF98-1440C57A6885}"/>
    <cellStyle name="Normal 18 3 2 2 2" xfId="4526" xr:uid="{D98A7710-9F15-4D76-9F44-C5BD0C9E9253}"/>
    <cellStyle name="Normal 18 3 2 2 2 2" xfId="4527" xr:uid="{FC9284BC-D5BB-4AFD-A7AC-F3FEB626D14B}"/>
    <cellStyle name="Normal 18 3 2 2 3" xfId="4528" xr:uid="{590ACB6F-744F-4336-978A-3DD3CA5AEE07}"/>
    <cellStyle name="Normal 18 3 2 3" xfId="4529" xr:uid="{E21081D5-2077-4F83-A2CD-47B4893DF336}"/>
    <cellStyle name="Normal 18 3 2 3 2" xfId="4530" xr:uid="{8B79B723-49A8-4FE4-BD9D-003C48F10591}"/>
    <cellStyle name="Normal 18 3 2 3 2 2" xfId="4531" xr:uid="{D7F4A621-429F-475A-A43F-888F7E9991F8}"/>
    <cellStyle name="Normal 18 3 2 3 3" xfId="4532" xr:uid="{3DA45BDB-9CEF-4246-B727-60E75DD2CDB4}"/>
    <cellStyle name="Normal 18 3 2 4" xfId="4533" xr:uid="{8EA9F82A-5306-4C98-9C0E-76249E1A0766}"/>
    <cellStyle name="Normal 18 3 2 4 2" xfId="4534" xr:uid="{3949138E-27BF-4444-8425-6EC3B94C87F7}"/>
    <cellStyle name="Normal 18 3 2 5" xfId="4535" xr:uid="{30B06B14-A42D-4A50-8A76-033960B61B34}"/>
    <cellStyle name="Normal 18 3 3" xfId="4536" xr:uid="{6C7E0CF4-7680-4C0B-B842-FDDABD00BA39}"/>
    <cellStyle name="Normal 18 3 3 2" xfId="4537" xr:uid="{AAAFD80E-1C0B-4A50-9A00-3D9B3809132B}"/>
    <cellStyle name="Normal 18 3 3 2 2" xfId="4538" xr:uid="{5D475423-5C78-4B26-8BAB-33D93E3FB717}"/>
    <cellStyle name="Normal 18 3 3 3" xfId="4539" xr:uid="{9AEF0182-B50C-4403-8EB2-5BB23221A151}"/>
    <cellStyle name="Normal 18 3 4" xfId="4540" xr:uid="{09399BCE-4EC5-4A45-8D19-85FD343EFE4F}"/>
    <cellStyle name="Normal 18 3 4 2" xfId="4541" xr:uid="{849CDD1D-C22D-4D87-BA39-D97824E09875}"/>
    <cellStyle name="Normal 18 3 4 2 2" xfId="4542" xr:uid="{1AC4F4BD-5407-4AF7-965F-42FC3FCB3030}"/>
    <cellStyle name="Normal 18 3 4 3" xfId="4543" xr:uid="{7CF9F57E-3B14-4D50-981B-5F1063E38BCD}"/>
    <cellStyle name="Normal 18 3 5" xfId="4544" xr:uid="{37843636-BF7E-4FBC-9F3C-1F0C3A6452B8}"/>
    <cellStyle name="Normal 18 3 5 2" xfId="4545" xr:uid="{E7D5408F-D7EA-4B52-B9C7-AEF1AEA2FE72}"/>
    <cellStyle name="Normal 18 3 6" xfId="4546" xr:uid="{EBDCCFEE-1E23-40EF-99DB-8464061A7B8A}"/>
    <cellStyle name="Normal 18 4" xfId="4547" xr:uid="{683E6B8A-371A-4C6C-A4E0-8BE71480EFB2}"/>
    <cellStyle name="Normal 18 5" xfId="4548" xr:uid="{44836544-D923-42DB-9611-B30923EF2EA5}"/>
    <cellStyle name="Normal 19" xfId="4549" xr:uid="{099E9127-6A93-4210-981A-22DF25069A6D}"/>
    <cellStyle name="Normal 19 2" xfId="4550" xr:uid="{940E4394-1898-4237-AF83-AF95FC8248C3}"/>
    <cellStyle name="Normal 2" xfId="14" xr:uid="{00000000-0005-0000-0000-00000F000000}"/>
    <cellStyle name="Normal 2 10" xfId="4552" xr:uid="{C20A5639-94A2-4ABE-B7C3-BDE0B0B58B4F}"/>
    <cellStyle name="Normal 2 10 2" xfId="4553" xr:uid="{F7A723CF-C299-4D1E-B2D9-C41AF9EAC32D}"/>
    <cellStyle name="Normal 2 10 3" xfId="4554" xr:uid="{D43ECDBC-2246-4D48-8938-AF06CF5DCFCD}"/>
    <cellStyle name="Normal 2 10 3 2" xfId="4555" xr:uid="{0E3A9002-7693-4413-9568-049B1AF751DF}"/>
    <cellStyle name="Normal 2 10 3 2 2" xfId="4556" xr:uid="{8526F756-6730-47EE-9994-3314FB9C7DBC}"/>
    <cellStyle name="Normal 2 10 3 2 2 2" xfId="4557" xr:uid="{7CDB0183-11C8-43F1-95E6-8E985881AF21}"/>
    <cellStyle name="Normal 2 10 3 2 3" xfId="4558" xr:uid="{EFE31BE0-A3B6-46CB-BEFF-BA4A6047066F}"/>
    <cellStyle name="Normal 2 10 3 3" xfId="4559" xr:uid="{A9BA1227-7376-4414-8C18-CB7A0A66029D}"/>
    <cellStyle name="Normal 2 10 3 3 2" xfId="4560" xr:uid="{1519E7BB-0AD7-4476-894B-9E38D73BE41C}"/>
    <cellStyle name="Normal 2 10 3 3 2 2" xfId="4561" xr:uid="{89AC2DAE-AE56-4A79-97DE-B237491E1BD5}"/>
    <cellStyle name="Normal 2 10 3 3 3" xfId="4562" xr:uid="{87A0696B-06B5-4043-8C4F-2E35021FD90F}"/>
    <cellStyle name="Normal 2 10 3 4" xfId="4563" xr:uid="{7B7E6FDD-B1DB-4E51-8AF3-82C359786F57}"/>
    <cellStyle name="Normal 2 10 3 4 2" xfId="4564" xr:uid="{2E8BB709-257B-4100-BF33-DD80B1C35A7A}"/>
    <cellStyle name="Normal 2 10 3 5" xfId="4565" xr:uid="{BC6DDC76-08E5-464A-BBF9-345CC7385700}"/>
    <cellStyle name="Normal 2 10 4" xfId="4566" xr:uid="{F9125291-E9A0-4363-898B-9FDC2ACA4D99}"/>
    <cellStyle name="Normal 2 10 4 2" xfId="4567" xr:uid="{377AD5A8-E578-49A2-889B-7BED801494D9}"/>
    <cellStyle name="Normal 2 10 4 2 2" xfId="4568" xr:uid="{2160FD3F-1D1C-4D77-8271-CCFC298D9061}"/>
    <cellStyle name="Normal 2 10 4 2 2 2" xfId="4569" xr:uid="{5911D825-C71B-4A40-B761-16C154CE54F0}"/>
    <cellStyle name="Normal 2 10 4 2 3" xfId="4570" xr:uid="{28216185-295F-4898-B9F7-49143F24F1C4}"/>
    <cellStyle name="Normal 2 10 4 3" xfId="4571" xr:uid="{BF5684F0-008F-4590-A364-E968F8051CA4}"/>
    <cellStyle name="Normal 2 10 4 3 2" xfId="4572" xr:uid="{1464F61B-E0FC-44F1-AD64-9FD544DAC159}"/>
    <cellStyle name="Normal 2 10 4 4" xfId="4573" xr:uid="{082DE3A4-F3C4-4DFD-9ADB-639898CAC564}"/>
    <cellStyle name="Normal 2 10 5" xfId="4574" xr:uid="{F447502D-315D-441D-867C-F89E561B7586}"/>
    <cellStyle name="Normal 2 10 5 2" xfId="4575" xr:uid="{25C8E1F1-C33F-42E6-B38A-1AE7F0B99CD6}"/>
    <cellStyle name="Normal 2 11" xfId="4576" xr:uid="{E843EB5B-1BF0-424C-BC9B-F7CEDEA657E7}"/>
    <cellStyle name="Normal 2 12" xfId="4577" xr:uid="{38F4108E-4D2D-425D-B04F-492A6100BE90}"/>
    <cellStyle name="Normal 2 13" xfId="4578" xr:uid="{E3F5E56A-6F1A-4399-9FD2-F1689FF8E35C}"/>
    <cellStyle name="Normal 2 14" xfId="4579" xr:uid="{33726B44-02C3-430A-8920-BC32230DA360}"/>
    <cellStyle name="Normal 2 15" xfId="4580" xr:uid="{D19162C4-B2A1-4FA0-BCEE-EE8445C8381B}"/>
    <cellStyle name="Normal 2 16" xfId="4581" xr:uid="{8F0FB9C6-0E32-4280-935C-E2D64BB87485}"/>
    <cellStyle name="Normal 2 17" xfId="4582" xr:uid="{AEA97007-C971-48B7-B558-B083A23A33AC}"/>
    <cellStyle name="Normal 2 18" xfId="4583" xr:uid="{212D8521-163B-4731-AC39-D92ECC8C9313}"/>
    <cellStyle name="Normal 2 18 2" xfId="4584" xr:uid="{43DDF036-4344-4C29-BE26-D405F0876B74}"/>
    <cellStyle name="Normal 2 18 2 2" xfId="4585" xr:uid="{1D0738F3-F49C-443A-97D0-71998BD9E7FC}"/>
    <cellStyle name="Normal 2 18 2 2 2" xfId="4586" xr:uid="{F62572F2-A20C-487D-A99F-B85355B77326}"/>
    <cellStyle name="Normal 2 18 2 2 2 2" xfId="4587" xr:uid="{1CCBBE8A-E2B1-49C2-8337-7DAAC8C71E44}"/>
    <cellStyle name="Normal 2 18 2 2 2 2 2" xfId="4588" xr:uid="{A69E0836-CCE1-46E3-BA37-A44DED7D3E6B}"/>
    <cellStyle name="Normal 2 18 2 2 2 3" xfId="4589" xr:uid="{59721B21-8AB2-4537-A6AE-9833B98AE8BE}"/>
    <cellStyle name="Normal 2 18 2 2 3" xfId="4590" xr:uid="{1D02E6C3-1C96-4000-A844-7744C0306013}"/>
    <cellStyle name="Normal 2 18 2 2 3 2" xfId="4591" xr:uid="{2EA551B9-AF1F-4340-89D2-0D1C9D7B98A7}"/>
    <cellStyle name="Normal 2 18 2 2 3 2 2" xfId="4592" xr:uid="{E6834432-CA70-4CF8-A688-FA00CA0A8B32}"/>
    <cellStyle name="Normal 2 18 2 2 3 3" xfId="4593" xr:uid="{103552D5-5E3D-4E1E-9EC3-E16707B0B0F0}"/>
    <cellStyle name="Normal 2 18 2 2 4" xfId="4594" xr:uid="{EB4E0889-98C1-4E22-91D1-F7729E914BD2}"/>
    <cellStyle name="Normal 2 18 2 2 4 2" xfId="4595" xr:uid="{650E0920-EA94-4A40-A0CD-D287A339721E}"/>
    <cellStyle name="Normal 2 18 2 2 5" xfId="4596" xr:uid="{B5783B4B-CF9C-47D5-9BB7-A1FCE775C7F3}"/>
    <cellStyle name="Normal 2 18 2 3" xfId="4597" xr:uid="{93B51C16-8695-43BA-86D3-99663C6B9028}"/>
    <cellStyle name="Normal 2 18 2 3 2" xfId="4598" xr:uid="{8EA446F6-B023-478B-9606-F3DA5944A1DC}"/>
    <cellStyle name="Normal 2 18 2 3 2 2" xfId="4599" xr:uid="{C13696E1-912C-46BD-8685-652B57A041BE}"/>
    <cellStyle name="Normal 2 18 2 3 3" xfId="4600" xr:uid="{DD76C573-C035-4131-BE6A-DD6B6C94E266}"/>
    <cellStyle name="Normal 2 18 2 4" xfId="4601" xr:uid="{3EDAA8B2-F156-4806-AC7F-93A7276FDCB2}"/>
    <cellStyle name="Normal 2 18 2 4 2" xfId="4602" xr:uid="{B27E3C06-0401-4432-820E-5D1463748960}"/>
    <cellStyle name="Normal 2 18 2 4 2 2" xfId="4603" xr:uid="{C7EC4121-2A8C-4B15-8001-833293675B7B}"/>
    <cellStyle name="Normal 2 18 2 4 3" xfId="4604" xr:uid="{82A18BAD-9098-4A82-9F67-BAEF75680797}"/>
    <cellStyle name="Normal 2 18 2 5" xfId="4605" xr:uid="{A956D498-2FE7-4356-8CAA-1FF3ECD28E32}"/>
    <cellStyle name="Normal 2 18 2 5 2" xfId="4606" xr:uid="{90C93D9B-D53D-478C-AB5E-20611EB86CE9}"/>
    <cellStyle name="Normal 2 18 2 6" xfId="4607" xr:uid="{6AE48DC2-AA58-4105-BA28-73E682D50442}"/>
    <cellStyle name="Normal 2 18 3" xfId="4608" xr:uid="{D5F39DC7-E49C-4E4B-9EDA-AC774AF5E20C}"/>
    <cellStyle name="Normal 2 18 3 2" xfId="4609" xr:uid="{2DD7706E-3DCF-4FE5-BE0E-4412D6272B26}"/>
    <cellStyle name="Normal 2 18 4" xfId="4610" xr:uid="{282CAEED-70E8-4993-833F-11F08F0F3A56}"/>
    <cellStyle name="Normal 2 19" xfId="4611" xr:uid="{B630DCBD-17DC-4176-BF82-06496758309E}"/>
    <cellStyle name="Normal 2 19 2" xfId="4612" xr:uid="{231C3515-1BED-4438-AAFD-021A9DFD8AEC}"/>
    <cellStyle name="Normal 2 2" xfId="15" xr:uid="{00000000-0005-0000-0000-000010000000}"/>
    <cellStyle name="Normal 2 2 10" xfId="4614" xr:uid="{FA54D0F5-DE47-42CE-B024-E455EFDA1DFA}"/>
    <cellStyle name="Normal 2 2 10 2" xfId="4615" xr:uid="{50E6A1CE-5B26-4495-B712-182C4FE3E29B}"/>
    <cellStyle name="Normal 2 2 10 2 2" xfId="4616" xr:uid="{4A0D5F9C-A444-47CB-82FC-C96F3B65AF11}"/>
    <cellStyle name="Normal 2 2 10 2 2 2" xfId="4617" xr:uid="{2BBB3781-B54E-4E19-BBCC-6DDA7A5901EC}"/>
    <cellStyle name="Normal 2 2 10 2 2 2 2" xfId="4618" xr:uid="{6455C774-4E91-4735-9A85-F2C3A4CD9938}"/>
    <cellStyle name="Normal 2 2 10 2 2 3" xfId="4619" xr:uid="{64590B8C-FBB2-4626-990B-1B28963C791A}"/>
    <cellStyle name="Normal 2 2 10 2 3" xfId="4620" xr:uid="{3CB1E270-9261-4072-9C69-488D892C292C}"/>
    <cellStyle name="Normal 2 2 10 2 3 2" xfId="4621" xr:uid="{14B29FEE-F3A3-489D-9738-82DA3BF6FC12}"/>
    <cellStyle name="Normal 2 2 10 2 3 2 2" xfId="4622" xr:uid="{22E502EB-9DFB-4CDB-8675-009ECE0D41D8}"/>
    <cellStyle name="Normal 2 2 10 2 3 3" xfId="4623" xr:uid="{5D5B64C5-2E90-4431-A3FD-326D3C641D44}"/>
    <cellStyle name="Normal 2 2 10 2 4" xfId="4624" xr:uid="{FB1E7841-E1FE-4B72-8F8C-8E36A53AE7BA}"/>
    <cellStyle name="Normal 2 2 10 2 4 2" xfId="4625" xr:uid="{F4AA22BF-C023-44A3-8C3C-BB7E8956263A}"/>
    <cellStyle name="Normal 2 2 10 2 5" xfId="4626" xr:uid="{7840E744-A321-4EF8-93A3-4DCA95EFC271}"/>
    <cellStyle name="Normal 2 2 10 3" xfId="4627" xr:uid="{3B56642F-5736-4C35-AD7F-4471528EE22F}"/>
    <cellStyle name="Normal 2 2 10 3 2" xfId="4628" xr:uid="{043833CE-7508-4798-9601-6CD2A7EF528B}"/>
    <cellStyle name="Normal 2 2 10 3 2 2" xfId="4629" xr:uid="{A6624EC3-3FF8-4BDD-9D13-83FCF69E0EEB}"/>
    <cellStyle name="Normal 2 2 10 3 2 2 2" xfId="4630" xr:uid="{B189B268-C132-4120-9589-DBD7138171E5}"/>
    <cellStyle name="Normal 2 2 10 3 2 3" xfId="4631" xr:uid="{252E6B6C-2085-4737-A6DB-4FC7446F267C}"/>
    <cellStyle name="Normal 2 2 10 3 3" xfId="4632" xr:uid="{42ABF432-0062-4B6E-945B-36AE45814C67}"/>
    <cellStyle name="Normal 2 2 10 3 3 2" xfId="4633" xr:uid="{BC6D70AF-7EB4-4BFF-9306-518731E3F0CB}"/>
    <cellStyle name="Normal 2 2 10 3 4" xfId="4634" xr:uid="{CDBD8054-C385-48A9-88C5-77EC35C478F5}"/>
    <cellStyle name="Normal 2 2 10 4" xfId="4635" xr:uid="{9E2A5D74-0E75-4525-BCA7-7C4FCD435BC2}"/>
    <cellStyle name="Normal 2 2 10 5" xfId="4636" xr:uid="{D82310EB-6DC3-43C9-B71A-76EF807F6EDF}"/>
    <cellStyle name="Normal 2 2 10 5 2" xfId="4637" xr:uid="{FBC58F9E-FDE9-48F7-ACF7-8E15AE165907}"/>
    <cellStyle name="Normal 2 2 10 6" xfId="4638" xr:uid="{5E89B558-6613-4AF2-9157-036FDC090A2A}"/>
    <cellStyle name="Normal 2 2 11" xfId="4639" xr:uid="{D5142B89-26D0-4A23-8637-53BBAFF3DFA0}"/>
    <cellStyle name="Normal 2 2 11 2" xfId="4640" xr:uid="{865F4184-C3D2-4E5B-A27E-A4C4A9765198}"/>
    <cellStyle name="Normal 2 2 11 2 2" xfId="4641" xr:uid="{5AB6F39C-D17B-4E26-A7E0-39B04FEECD88}"/>
    <cellStyle name="Normal 2 2 11 2 2 2" xfId="4642" xr:uid="{517F7D32-A7C1-45E2-812A-56DC2B8ED8D6}"/>
    <cellStyle name="Normal 2 2 11 2 2 2 2" xfId="4643" xr:uid="{9CE40155-BD1C-4BA3-A535-E98D7C1BCDA9}"/>
    <cellStyle name="Normal 2 2 11 2 2 3" xfId="4644" xr:uid="{685F042C-F8A0-4F7B-863A-F5009D0A31CB}"/>
    <cellStyle name="Normal 2 2 11 2 3" xfId="4645" xr:uid="{2D27C7A1-E77B-419E-BEEF-63787481EE9E}"/>
    <cellStyle name="Normal 2 2 11 2 3 2" xfId="4646" xr:uid="{892AA9D1-A205-4BC2-AF02-7F63EB07814F}"/>
    <cellStyle name="Normal 2 2 11 2 3 2 2" xfId="4647" xr:uid="{11A75002-2AF8-4F63-8750-4E24262BC2D4}"/>
    <cellStyle name="Normal 2 2 11 2 3 3" xfId="4648" xr:uid="{FDB30EA3-1562-44A7-BA3C-4D11E4360A11}"/>
    <cellStyle name="Normal 2 2 11 2 4" xfId="4649" xr:uid="{F805395E-B8B9-4CEE-9C20-C901C6E3188E}"/>
    <cellStyle name="Normal 2 2 11 2 4 2" xfId="4650" xr:uid="{ABA5242E-253A-495F-8FA3-906048C930A4}"/>
    <cellStyle name="Normal 2 2 11 2 5" xfId="4651" xr:uid="{C3063DB7-88AC-4C16-9B6D-D520E2A78355}"/>
    <cellStyle name="Normal 2 2 11 3" xfId="4652" xr:uid="{DDD1BCFB-46E0-425E-896E-D2D547B87CD7}"/>
    <cellStyle name="Normal 2 2 11 3 2" xfId="4653" xr:uid="{29099F1C-8826-43F9-A03F-72823A18587B}"/>
    <cellStyle name="Normal 2 2 11 3 2 2" xfId="4654" xr:uid="{68E48052-A07E-4878-83F0-7748761A37DC}"/>
    <cellStyle name="Normal 2 2 11 3 2 2 2" xfId="4655" xr:uid="{23C74D7B-4BEB-4ABA-A9F4-2DD82B40B2D0}"/>
    <cellStyle name="Normal 2 2 11 3 2 3" xfId="4656" xr:uid="{D23E527C-3065-4F56-8D97-CF2668725145}"/>
    <cellStyle name="Normal 2 2 11 3 3" xfId="4657" xr:uid="{0F9567E8-0079-46E1-99E2-9283FA6CFF30}"/>
    <cellStyle name="Normal 2 2 11 3 3 2" xfId="4658" xr:uid="{12745C99-BD65-4610-9F7A-962BCEE17A1C}"/>
    <cellStyle name="Normal 2 2 11 3 4" xfId="4659" xr:uid="{58639E5D-4F8F-4D32-8DF5-FCBBF7F21DA0}"/>
    <cellStyle name="Normal 2 2 11 4" xfId="4660" xr:uid="{604FCFFA-A158-4132-B097-BFDAA6A9BF51}"/>
    <cellStyle name="Normal 2 2 11 5" xfId="4661" xr:uid="{76B68D8C-5DE1-4D9B-B949-3152C0C32AE9}"/>
    <cellStyle name="Normal 2 2 11 5 2" xfId="4662" xr:uid="{064066C1-13EC-4BA8-B4B0-8C25A3B23EF0}"/>
    <cellStyle name="Normal 2 2 11 6" xfId="4663" xr:uid="{0A327BD2-4354-488E-B689-FBBDD03F6353}"/>
    <cellStyle name="Normal 2 2 12" xfId="4664" xr:uid="{9D479E38-4829-40F1-A847-4EE81D56DD19}"/>
    <cellStyle name="Normal 2 2 12 2" xfId="4665" xr:uid="{DA723E60-AF06-4B88-BF28-A10F54BF88E5}"/>
    <cellStyle name="Normal 2 2 12 2 2" xfId="4666" xr:uid="{6FEA1D77-1B01-49CF-ABC0-06891E49450E}"/>
    <cellStyle name="Normal 2 2 12 2 2 2" xfId="4667" xr:uid="{C53C57B4-2479-41C7-8FC7-5815594653C1}"/>
    <cellStyle name="Normal 2 2 12 2 2 2 2" xfId="4668" xr:uid="{070BE769-682B-4B00-A6C6-C3328CB76543}"/>
    <cellStyle name="Normal 2 2 12 2 2 3" xfId="4669" xr:uid="{25DB7A42-1EE0-4C54-A0E4-2C6FA203DDFF}"/>
    <cellStyle name="Normal 2 2 12 2 3" xfId="4670" xr:uid="{B943CCA1-2045-4DA9-9D6D-98B72DE1930D}"/>
    <cellStyle name="Normal 2 2 12 2 3 2" xfId="4671" xr:uid="{B5AE160D-FDD9-43A9-8C47-D44C8ED4BCC9}"/>
    <cellStyle name="Normal 2 2 12 2 3 2 2" xfId="4672" xr:uid="{2B5125D4-62C5-42FA-A95D-86C331A3DE26}"/>
    <cellStyle name="Normal 2 2 12 2 3 3" xfId="4673" xr:uid="{7577377B-BC24-4866-991B-82CE70FD5406}"/>
    <cellStyle name="Normal 2 2 12 2 4" xfId="4674" xr:uid="{E4E75CE4-2B03-4FC0-B51D-3ED2EBF6FE86}"/>
    <cellStyle name="Normal 2 2 12 2 4 2" xfId="4675" xr:uid="{32907186-071B-46B2-B900-844792D9F8D2}"/>
    <cellStyle name="Normal 2 2 12 2 5" xfId="4676" xr:uid="{C7E7CD5E-395F-4589-A57D-CB28C0F76CE3}"/>
    <cellStyle name="Normal 2 2 12 3" xfId="4677" xr:uid="{E8628E1F-89A2-41E0-BB17-AA6E5FB49E08}"/>
    <cellStyle name="Normal 2 2 12 3 2" xfId="4678" xr:uid="{E7F30B7C-AA6B-4E9B-99D5-B0F56D4BC3AC}"/>
    <cellStyle name="Normal 2 2 12 3 2 2" xfId="4679" xr:uid="{958AC8BA-2B3F-40FC-B4F8-9EE79A2F4637}"/>
    <cellStyle name="Normal 2 2 12 3 2 2 2" xfId="4680" xr:uid="{7AA65FCD-7B6E-468C-A22F-74751EA70D08}"/>
    <cellStyle name="Normal 2 2 12 3 2 3" xfId="4681" xr:uid="{AFEE99B8-C84B-4A10-A3CB-7E0C444CD5FF}"/>
    <cellStyle name="Normal 2 2 12 3 3" xfId="4682" xr:uid="{E519B277-2D13-4268-B245-2BF713F737FB}"/>
    <cellStyle name="Normal 2 2 12 3 3 2" xfId="4683" xr:uid="{BB892189-3160-4E57-9F47-B80BEC4B4026}"/>
    <cellStyle name="Normal 2 2 12 3 4" xfId="4684" xr:uid="{ECEABA91-C7B3-4251-9B78-70DA74D3685A}"/>
    <cellStyle name="Normal 2 2 12 4" xfId="4685" xr:uid="{9432A5A3-0858-492B-A7E5-B545FA41262D}"/>
    <cellStyle name="Normal 2 2 12 5" xfId="4686" xr:uid="{BA20A477-A825-4C7E-A015-2AB259A42CD8}"/>
    <cellStyle name="Normal 2 2 12 5 2" xfId="4687" xr:uid="{4DD28004-C562-445E-9811-20519D82C3E4}"/>
    <cellStyle name="Normal 2 2 12 6" xfId="4688" xr:uid="{F3824957-94D7-4C4D-AEB3-221A37563F5F}"/>
    <cellStyle name="Normal 2 2 13" xfId="4689" xr:uid="{4DB6D473-5C0A-4550-B432-56BE8CD010C6}"/>
    <cellStyle name="Normal 2 2 13 2" xfId="4690" xr:uid="{E0B3366E-91FD-4024-83D8-F7C651B48F80}"/>
    <cellStyle name="Normal 2 2 13 2 2" xfId="4691" xr:uid="{26B84F6A-2269-408D-BC88-CF67FEE6E2A5}"/>
    <cellStyle name="Normal 2 2 13 2 2 2" xfId="4692" xr:uid="{4DC4CCF7-897A-40B6-B137-ED03FAE58CAF}"/>
    <cellStyle name="Normal 2 2 13 2 2 2 2" xfId="4693" xr:uid="{F727DCCF-D94D-4B50-9C2A-E6C994574358}"/>
    <cellStyle name="Normal 2 2 13 2 2 3" xfId="4694" xr:uid="{678058E9-F92F-4049-AB20-5ACC5650EFBF}"/>
    <cellStyle name="Normal 2 2 13 2 3" xfId="4695" xr:uid="{DD59C178-25E7-4A8C-965D-B9EC99DA244F}"/>
    <cellStyle name="Normal 2 2 13 2 3 2" xfId="4696" xr:uid="{D9FD45A2-710D-4F2B-89DF-3D37D4E6A886}"/>
    <cellStyle name="Normal 2 2 13 2 3 2 2" xfId="4697" xr:uid="{74DFA24E-4552-4D3C-919B-612DC2BAED56}"/>
    <cellStyle name="Normal 2 2 13 2 3 3" xfId="4698" xr:uid="{0E33E8BF-FADF-4987-BB41-3E3D4BA6F58A}"/>
    <cellStyle name="Normal 2 2 13 2 4" xfId="4699" xr:uid="{C4E15B36-FA14-406C-ADE6-015BB5730179}"/>
    <cellStyle name="Normal 2 2 13 2 4 2" xfId="4700" xr:uid="{50AF9028-57D7-43AC-8D3D-767224B832F0}"/>
    <cellStyle name="Normal 2 2 13 2 5" xfId="4701" xr:uid="{0BC859AD-663B-4843-BC7A-80385D02AE05}"/>
    <cellStyle name="Normal 2 2 13 3" xfId="4702" xr:uid="{BC97E329-1E98-44B7-8F8B-DDA5DF604690}"/>
    <cellStyle name="Normal 2 2 13 3 2" xfId="4703" xr:uid="{DB7DD1CD-1CCD-4BC4-9595-673B533A908D}"/>
    <cellStyle name="Normal 2 2 13 3 2 2" xfId="4704" xr:uid="{78589E88-49AC-4B66-8229-61F626C3C34C}"/>
    <cellStyle name="Normal 2 2 13 3 2 2 2" xfId="4705" xr:uid="{2CA26D7D-11E7-4CB7-8859-114B62C3410C}"/>
    <cellStyle name="Normal 2 2 13 3 2 3" xfId="4706" xr:uid="{762A3278-D553-4F5F-A208-56E00977C6C9}"/>
    <cellStyle name="Normal 2 2 13 3 3" xfId="4707" xr:uid="{3607AA8B-9BA5-4F04-BFC3-A614D15C124E}"/>
    <cellStyle name="Normal 2 2 13 3 3 2" xfId="4708" xr:uid="{278430F6-1B05-4B5E-A25C-D2A665283094}"/>
    <cellStyle name="Normal 2 2 13 3 4" xfId="4709" xr:uid="{A3F4E451-2D0E-4E7D-AB8E-83AF0E022A4C}"/>
    <cellStyle name="Normal 2 2 13 4" xfId="4710" xr:uid="{D570D1CD-A0CF-4D11-BF8E-85A07F3D812E}"/>
    <cellStyle name="Normal 2 2 13 5" xfId="4711" xr:uid="{01418938-BE9A-4F6F-9DB1-5310A7D4AD86}"/>
    <cellStyle name="Normal 2 2 13 5 2" xfId="4712" xr:uid="{33302917-745C-44AB-A40A-9AC487D79632}"/>
    <cellStyle name="Normal 2 2 13 6" xfId="4713" xr:uid="{BC687815-81C3-4483-92D5-E81767064AE7}"/>
    <cellStyle name="Normal 2 2 14" xfId="4714" xr:uid="{E7EEED2E-3D41-4C7B-A0AC-B35C16DDE6DC}"/>
    <cellStyle name="Normal 2 2 14 2" xfId="4715" xr:uid="{A3C455A6-A8B2-45BC-9C14-9FDEC8DCB97B}"/>
    <cellStyle name="Normal 2 2 14 3" xfId="4716" xr:uid="{F36F0AD2-BEB4-4E12-98CA-0E262B20A22C}"/>
    <cellStyle name="Normal 2 2 14 3 2" xfId="4717" xr:uid="{B6A3045E-2F1B-4CF1-B596-05349F2A582C}"/>
    <cellStyle name="Normal 2 2 14 3 2 2" xfId="4718" xr:uid="{D0120C55-D4A1-4E39-8563-28E4C657DFD0}"/>
    <cellStyle name="Normal 2 2 14 3 3" xfId="4719" xr:uid="{6BBA6347-C518-4B70-86CF-16CA5F083F64}"/>
    <cellStyle name="Normal 2 2 15" xfId="4720" xr:uid="{289B42ED-1426-4794-9F95-01EE1963E466}"/>
    <cellStyle name="Normal 2 2 15 2" xfId="4721" xr:uid="{EAB9103F-30ED-4DDC-951A-8A99CD728D21}"/>
    <cellStyle name="Normal 2 2 15 2 2" xfId="4722" xr:uid="{71F19FC6-A9A1-4489-8007-8FDB76073CD1}"/>
    <cellStyle name="Normal 2 2 15 2 2 2" xfId="4723" xr:uid="{4505C029-F1EE-41A3-B2A7-CA29F40701DA}"/>
    <cellStyle name="Normal 2 2 15 2 2 2 2" xfId="4724" xr:uid="{1CB1511C-B881-4673-9865-F7610D9147B8}"/>
    <cellStyle name="Normal 2 2 15 2 2 3" xfId="4725" xr:uid="{8238D016-EC71-4B47-8AA7-242988454755}"/>
    <cellStyle name="Normal 2 2 15 2 3" xfId="4726" xr:uid="{2C49B2CD-BE99-42EF-8CBF-1313F2C85B4F}"/>
    <cellStyle name="Normal 2 2 15 2 3 2" xfId="4727" xr:uid="{FC97A3F2-2E5F-4D2A-8CE3-4B8356CE4AA3}"/>
    <cellStyle name="Normal 2 2 15 2 3 2 2" xfId="4728" xr:uid="{A9467191-58A9-4958-9239-DE806E2A4D0F}"/>
    <cellStyle name="Normal 2 2 15 2 3 3" xfId="4729" xr:uid="{85C61010-EE2A-4E42-95FD-6077D2D60729}"/>
    <cellStyle name="Normal 2 2 15 2 4" xfId="4730" xr:uid="{20CFE163-A2E4-482B-A5B8-A657E837D285}"/>
    <cellStyle name="Normal 2 2 15 2 4 2" xfId="4731" xr:uid="{985934B6-7D6F-4B01-B008-4B0802412261}"/>
    <cellStyle name="Normal 2 2 15 2 5" xfId="4732" xr:uid="{6E8D5D4D-6E52-496B-ACE5-0DA8E75F5A2B}"/>
    <cellStyle name="Normal 2 2 15 3" xfId="4733" xr:uid="{F951A2BF-752B-45A6-ADC0-447B9609E439}"/>
    <cellStyle name="Normal 2 2 15 3 2" xfId="4734" xr:uid="{0877E2CF-34D0-4685-B916-15B7062A674C}"/>
    <cellStyle name="Normal 2 2 15 3 2 2" xfId="4735" xr:uid="{3A7A8C12-1432-4050-B55F-D1BB15955E0B}"/>
    <cellStyle name="Normal 2 2 15 3 3" xfId="4736" xr:uid="{CF2B2EC6-22FF-4754-8476-EFDEC1EFED09}"/>
    <cellStyle name="Normal 2 2 15 4" xfId="4737" xr:uid="{92A81BA8-346D-463D-A930-9AA8F6C2F40C}"/>
    <cellStyle name="Normal 2 2 15 4 2" xfId="4738" xr:uid="{B3F4C770-23E6-4BA6-B12B-A992FE3C8899}"/>
    <cellStyle name="Normal 2 2 15 4 2 2" xfId="4739" xr:uid="{2102ED07-789D-4DE4-B274-53A3A9E07FC8}"/>
    <cellStyle name="Normal 2 2 15 4 3" xfId="4740" xr:uid="{2D7430F4-2382-4A99-A2C2-15B10D36487E}"/>
    <cellStyle name="Normal 2 2 15 5" xfId="4741" xr:uid="{541FB14A-2707-40E3-A148-7EA45BAEEFE7}"/>
    <cellStyle name="Normal 2 2 15 5 2" xfId="4742" xr:uid="{EBF67751-C9D1-4331-9999-5684B2037449}"/>
    <cellStyle name="Normal 2 2 15 6" xfId="4743" xr:uid="{E5D552C8-6222-41E3-BF71-2E946511675C}"/>
    <cellStyle name="Normal 2 2 16" xfId="4744" xr:uid="{DB0889F0-CEFA-4D18-AB37-946A1726B479}"/>
    <cellStyle name="Normal 2 2 17" xfId="4613" xr:uid="{2A96DF5C-4727-4135-9F6B-5A0316D5190A}"/>
    <cellStyle name="Normal 2 2 2" xfId="4745" xr:uid="{514C893B-692C-49EF-B78F-35C766FFF745}"/>
    <cellStyle name="Normal 2 2 2 2" xfId="4746" xr:uid="{3FF212DC-1DD1-4279-9FCC-90969EB0815D}"/>
    <cellStyle name="Normal 2 2 2 2 2" xfId="4747" xr:uid="{E47C3BB0-016F-4C2B-82D7-0F9552949B44}"/>
    <cellStyle name="Normal 2 2 2 3" xfId="4748" xr:uid="{DED31F86-0741-49E7-A7C5-86B383B4EFD7}"/>
    <cellStyle name="Normal 2 2 2 3 2" xfId="4749" xr:uid="{A2A1B494-7E65-49D1-ADD8-723A751E9CB9}"/>
    <cellStyle name="Normal 2 2 2 4" xfId="4750" xr:uid="{048CEFEF-213D-4212-BC51-8FD718BCA37F}"/>
    <cellStyle name="Normal 2 2 2 5" xfId="4751" xr:uid="{F180A58E-AE7C-49D8-AB21-7426681C2D58}"/>
    <cellStyle name="Normal 2 2 2 5 2" xfId="4752" xr:uid="{890EC59B-1739-4F56-AD92-75E279FA215F}"/>
    <cellStyle name="Normal 2 2 2 5 2 2" xfId="4753" xr:uid="{2D258792-0D7F-4C19-A70A-7E88196959E0}"/>
    <cellStyle name="Normal 2 2 2 5 2 2 2" xfId="4754" xr:uid="{F6CB2D03-5FF2-445B-88DA-FFBA33BB495B}"/>
    <cellStyle name="Normal 2 2 2 5 2 2 2 2" xfId="4755" xr:uid="{2BC51305-9EA4-4150-890B-8C6A8B2DF7E7}"/>
    <cellStyle name="Normal 2 2 2 5 2 2 3" xfId="4756" xr:uid="{71083EE2-6025-468B-A6E7-B279198078C3}"/>
    <cellStyle name="Normal 2 2 2 5 2 3" xfId="4757" xr:uid="{58167EF0-1B50-4DBA-83F5-BF6E448F0D77}"/>
    <cellStyle name="Normal 2 2 2 5 2 3 2" xfId="4758" xr:uid="{658B060D-1CF2-49F9-847F-911B139628AD}"/>
    <cellStyle name="Normal 2 2 2 5 2 3 2 2" xfId="4759" xr:uid="{1E600176-46D1-4310-901C-A984C219A71A}"/>
    <cellStyle name="Normal 2 2 2 5 2 3 3" xfId="4760" xr:uid="{722014EA-56DD-459F-B97E-7D57667E8E5C}"/>
    <cellStyle name="Normal 2 2 2 5 2 4" xfId="4761" xr:uid="{59AAB057-4CBE-4F3E-A6F0-6696F641CBA7}"/>
    <cellStyle name="Normal 2 2 2 5 2 4 2" xfId="4762" xr:uid="{8E469C68-AADC-455C-A243-0963AF1FA004}"/>
    <cellStyle name="Normal 2 2 2 5 2 5" xfId="4763" xr:uid="{B0C780AD-6086-4B4A-A212-BDCC4E091DA8}"/>
    <cellStyle name="Normal 2 2 2 5 3" xfId="4764" xr:uid="{34384D74-CB25-498A-BB58-8027EFE31727}"/>
    <cellStyle name="Normal 2 2 2 5 3 2" xfId="4765" xr:uid="{4261C3C6-80A2-49A8-BF07-728678DE7DAF}"/>
    <cellStyle name="Normal 2 2 2 5 3 2 2" xfId="4766" xr:uid="{D6CEA060-DBBF-4BCF-B968-1685C0E93C0E}"/>
    <cellStyle name="Normal 2 2 2 5 3 3" xfId="4767" xr:uid="{190285F4-6A51-4AA9-BCC1-60EF5C82B828}"/>
    <cellStyle name="Normal 2 2 2 5 4" xfId="4768" xr:uid="{831841A9-082A-4C5A-B15F-64D86E0340E5}"/>
    <cellStyle name="Normal 2 2 2 5 4 2" xfId="4769" xr:uid="{DBDDDE01-BC62-4F9A-8DA4-B743F419D2FF}"/>
    <cellStyle name="Normal 2 2 2 5 4 2 2" xfId="4770" xr:uid="{636C4817-1F14-446D-82B7-6C97E8DFA977}"/>
    <cellStyle name="Normal 2 2 2 5 4 3" xfId="4771" xr:uid="{0DFF3231-1C8E-4065-A817-497602FE87A9}"/>
    <cellStyle name="Normal 2 2 2 5 5" xfId="4772" xr:uid="{05119FDE-9915-4A22-99C7-09E94B86A4CF}"/>
    <cellStyle name="Normal 2 2 2 5 5 2" xfId="4773" xr:uid="{44AE15A0-F9B5-455E-9A13-807CE8D5FFF8}"/>
    <cellStyle name="Normal 2 2 2 5 6" xfId="4774" xr:uid="{8E8BB1FC-C259-43A9-9AC9-5ED1BE63CC94}"/>
    <cellStyle name="Normal 2 2 2 6" xfId="4775" xr:uid="{457F4C0C-63B1-464C-A5BF-4C33685D196B}"/>
    <cellStyle name="Normal 2 2 2 6 2" xfId="4776" xr:uid="{5D34E675-F430-45CB-B306-E35280B87683}"/>
    <cellStyle name="Normal 2 2 2 6 2 2" xfId="4777" xr:uid="{93A54B6D-502E-4C4A-834D-DC3286415C9B}"/>
    <cellStyle name="Normal 2 2 2 6 2 2 2" xfId="4778" xr:uid="{08180501-C843-4774-B3C0-AD4FB091134F}"/>
    <cellStyle name="Normal 2 2 2 6 2 2 2 2" xfId="4779" xr:uid="{C4F8068A-CD78-47D6-9124-074BBFF7D665}"/>
    <cellStyle name="Normal 2 2 2 6 2 2 3" xfId="4780" xr:uid="{19CBDA2E-3DB1-47E7-AB79-16C33D504DE3}"/>
    <cellStyle name="Normal 2 2 2 6 2 3" xfId="4781" xr:uid="{AE55E1EF-2A4F-4C73-B1D0-0901BED058D6}"/>
    <cellStyle name="Normal 2 2 2 6 2 3 2" xfId="4782" xr:uid="{1133D2D2-4E5D-4D22-A77D-E99A70B0092F}"/>
    <cellStyle name="Normal 2 2 2 6 2 3 2 2" xfId="4783" xr:uid="{C43754D5-77C5-4457-A9D6-E4C1B94E1895}"/>
    <cellStyle name="Normal 2 2 2 6 2 3 3" xfId="4784" xr:uid="{C338EF2E-8B7F-4D53-8744-F99DF2B61F54}"/>
    <cellStyle name="Normal 2 2 2 6 2 4" xfId="4785" xr:uid="{E2123E32-379F-49D5-8129-D352181F3144}"/>
    <cellStyle name="Normal 2 2 2 6 2 4 2" xfId="4786" xr:uid="{4F9F79A7-3903-498C-85E6-1D3708C368B4}"/>
    <cellStyle name="Normal 2 2 2 6 2 5" xfId="4787" xr:uid="{CC94AB6C-A9F5-4779-B129-9917D718BD2F}"/>
    <cellStyle name="Normal 2 2 2 6 3" xfId="4788" xr:uid="{DD63D922-98BE-4A24-877E-2A531E9A2CD6}"/>
    <cellStyle name="Normal 2 2 2 6 3 2" xfId="4789" xr:uid="{5BAA656D-F18F-416A-AEE7-4DF26D139694}"/>
    <cellStyle name="Normal 2 2 2 6 3 2 2" xfId="4790" xr:uid="{DCE7EFA7-7786-4ECC-B72E-627B113DD1A2}"/>
    <cellStyle name="Normal 2 2 2 6 3 3" xfId="4791" xr:uid="{D6704356-4A85-45B1-900A-D4E0737A75DB}"/>
    <cellStyle name="Normal 2 2 2 6 4" xfId="4792" xr:uid="{50C660EC-AE56-4D0D-9FFD-BCECED6B3F7D}"/>
    <cellStyle name="Normal 2 2 2 6 4 2" xfId="4793" xr:uid="{B164CFE0-1061-4AF6-AD4A-FD608F560A5C}"/>
    <cellStyle name="Normal 2 2 2 6 4 2 2" xfId="4794" xr:uid="{A5FD908B-81D0-4F47-933E-43728017AF94}"/>
    <cellStyle name="Normal 2 2 2 6 4 3" xfId="4795" xr:uid="{2622DE82-F9A7-4A6B-A69C-51BF95127720}"/>
    <cellStyle name="Normal 2 2 2 6 5" xfId="4796" xr:uid="{4308D22C-D3D5-443C-97B8-1B79B5D7D2D9}"/>
    <cellStyle name="Normal 2 2 2 6 5 2" xfId="4797" xr:uid="{738062CB-88DB-4FBF-8D08-89AB08159EDB}"/>
    <cellStyle name="Normal 2 2 2 6 6" xfId="4798" xr:uid="{3E22E7FD-A6F3-4226-ACD0-3CFD9818D8FE}"/>
    <cellStyle name="Normal 2 2 2 7" xfId="4799" xr:uid="{35BFC57D-7CF3-4DFD-AEF4-1F9939C29251}"/>
    <cellStyle name="Normal 2 2 2 8" xfId="4800" xr:uid="{C1E9E59F-A0F0-45D5-9FAF-F461CED97C45}"/>
    <cellStyle name="Normal 2 2 3" xfId="4801" xr:uid="{4B293DB7-13C6-4B53-8073-1F05872ABEEB}"/>
    <cellStyle name="Normal 2 2 3 2" xfId="4802" xr:uid="{BED78842-9EF3-455D-AB5F-A76311C9489D}"/>
    <cellStyle name="Normal 2 2 3 2 2" xfId="4803" xr:uid="{237E3948-E291-41DC-89A0-186A12EDC4F0}"/>
    <cellStyle name="Normal 2 2 3 2 2 2" xfId="4804" xr:uid="{4A9734F5-040E-44F8-8AA2-22359457EC43}"/>
    <cellStyle name="Normal 2 2 3 2 2 2 2" xfId="4805" xr:uid="{45B1D552-03E3-4E50-8382-85A6AA563387}"/>
    <cellStyle name="Normal 2 2 3 2 2 2 2 2" xfId="4806" xr:uid="{658F84C3-51C5-4D4B-907F-ACB08A58D956}"/>
    <cellStyle name="Normal 2 2 3 2 2 2 3" xfId="4807" xr:uid="{91E16D97-7417-47DD-8C67-570EBE0A5383}"/>
    <cellStyle name="Normal 2 2 3 2 2 3" xfId="4808" xr:uid="{D6BA0B9B-CE84-48F1-BC6A-FE93A9640E8D}"/>
    <cellStyle name="Normal 2 2 3 2 2 3 2" xfId="4809" xr:uid="{12B86C9B-ECEA-4F08-ABA0-77C676B87293}"/>
    <cellStyle name="Normal 2 2 3 2 2 3 2 2" xfId="4810" xr:uid="{7180667F-39A8-4CF2-957B-35420ACC63CE}"/>
    <cellStyle name="Normal 2 2 3 2 2 3 3" xfId="4811" xr:uid="{CDB6E2C3-B9E3-4563-BC81-E4A8A3AE6C2B}"/>
    <cellStyle name="Normal 2 2 3 2 2 4" xfId="4812" xr:uid="{7125A725-96A2-460F-9464-A436DF133E52}"/>
    <cellStyle name="Normal 2 2 3 2 2 4 2" xfId="4813" xr:uid="{979F8BA4-EE58-48E2-9B7C-E99D8CE5DC52}"/>
    <cellStyle name="Normal 2 2 3 2 2 5" xfId="4814" xr:uid="{A9AF52C0-8E92-46E6-9FC0-4681EBCCE799}"/>
    <cellStyle name="Normal 2 2 3 2 3" xfId="4815" xr:uid="{390650C1-6767-4B04-958F-C225405FB973}"/>
    <cellStyle name="Normal 2 2 3 2 3 2" xfId="4816" xr:uid="{5DBD5071-84D1-4768-8637-6FED60C176A1}"/>
    <cellStyle name="Normal 2 2 3 2 3 2 2" xfId="4817" xr:uid="{9B9E7A45-4975-4B7E-A2FC-CCB607282DBB}"/>
    <cellStyle name="Normal 2 2 3 2 3 3" xfId="4818" xr:uid="{B2D2D990-7977-4DF5-946C-29C922486232}"/>
    <cellStyle name="Normal 2 2 3 2 4" xfId="4819" xr:uid="{6A449FFC-0208-42A3-A0B0-7AB0D51D2170}"/>
    <cellStyle name="Normal 2 2 3 2 4 2" xfId="4820" xr:uid="{7D1A9868-0776-473A-ACF8-B7B432177FBC}"/>
    <cellStyle name="Normal 2 2 3 2 4 2 2" xfId="4821" xr:uid="{E44F0200-D694-48D3-97B1-9B4B27CB835F}"/>
    <cellStyle name="Normal 2 2 3 2 4 3" xfId="4822" xr:uid="{B9BF737B-C042-45F5-AB8C-6D23C34D93F8}"/>
    <cellStyle name="Normal 2 2 3 2 5" xfId="4823" xr:uid="{DE3D4430-8D37-4327-BF65-C27BEA18C0F3}"/>
    <cellStyle name="Normal 2 2 3 2 5 2" xfId="4824" xr:uid="{899101DC-61FD-4F9B-A082-B6D1FA6508E2}"/>
    <cellStyle name="Normal 2 2 3 2 6" xfId="4825" xr:uid="{1D65AA50-ACC0-443A-BB73-49EF0DF2F927}"/>
    <cellStyle name="Normal 2 2 3 3" xfId="4826" xr:uid="{7E071FFE-AC6C-4DBC-82F0-CC5F52938DC9}"/>
    <cellStyle name="Normal 2 2 3 4" xfId="4827" xr:uid="{340CAF1A-D626-49A8-93A2-F87D0378E99E}"/>
    <cellStyle name="Normal 2 2 4" xfId="4828" xr:uid="{372B327F-7EA7-42F6-B818-B0D1AC784B6F}"/>
    <cellStyle name="Normal 2 2 4 2" xfId="4829" xr:uid="{722F16A9-78CB-4765-B74F-BBB4D4346C7B}"/>
    <cellStyle name="Normal 2 2 4 2 2" xfId="4830" xr:uid="{D5F26A8A-451B-4881-ADEE-904E346ED06A}"/>
    <cellStyle name="Normal 2 2 4 3" xfId="4831" xr:uid="{3B14416B-8BAF-4200-8FD9-5F17BF14D484}"/>
    <cellStyle name="Normal 2 2 4 3 2" xfId="4832" xr:uid="{0DD1929C-8336-430A-A7AB-BAF014F096B0}"/>
    <cellStyle name="Normal 2 2 4 3 2 2" xfId="4833" xr:uid="{394333A0-8668-4883-96A3-CE69812B3534}"/>
    <cellStyle name="Normal 2 2 4 3 2 2 2" xfId="4834" xr:uid="{CE58021B-6EE9-46FF-9DD7-9B6B6477A014}"/>
    <cellStyle name="Normal 2 2 4 3 2 2 2 2" xfId="4835" xr:uid="{C5819176-E7F3-4D26-AC24-6D168EC0F55A}"/>
    <cellStyle name="Normal 2 2 4 3 2 2 3" xfId="4836" xr:uid="{37CCC836-EA3C-4DFA-A3A1-2C1F884B5377}"/>
    <cellStyle name="Normal 2 2 4 3 2 3" xfId="4837" xr:uid="{DC4A3B8C-DFD5-4D4D-A36B-EFAE80F709F7}"/>
    <cellStyle name="Normal 2 2 4 3 2 3 2" xfId="4838" xr:uid="{A75F015C-21DC-43C6-97C5-F2CCCA88EE99}"/>
    <cellStyle name="Normal 2 2 4 3 2 3 2 2" xfId="4839" xr:uid="{40050920-CE3B-4EDB-8918-3A5A82B4F462}"/>
    <cellStyle name="Normal 2 2 4 3 2 3 3" xfId="4840" xr:uid="{79F8428C-69C8-4CD4-A5B7-1A28E9415362}"/>
    <cellStyle name="Normal 2 2 4 3 2 4" xfId="4841" xr:uid="{B4BF8455-D5B7-4903-A453-E199CA29171E}"/>
    <cellStyle name="Normal 2 2 4 3 2 4 2" xfId="4842" xr:uid="{9BA30257-B339-4FC0-91CC-FCB821CF6E91}"/>
    <cellStyle name="Normal 2 2 4 3 2 5" xfId="4843" xr:uid="{22ACCC03-7584-440F-A916-0A7FA293ED5F}"/>
    <cellStyle name="Normal 2 2 4 3 3" xfId="4844" xr:uid="{F013B434-489E-42C5-96B2-1D6EB9D82FE9}"/>
    <cellStyle name="Normal 2 2 4 3 3 2" xfId="4845" xr:uid="{F6798316-4AEF-4611-9E7E-9ACCB3DA4DA0}"/>
    <cellStyle name="Normal 2 2 4 3 3 2 2" xfId="4846" xr:uid="{0A723D21-BE2C-4381-9BEE-A8317C64A882}"/>
    <cellStyle name="Normal 2 2 4 3 3 3" xfId="4847" xr:uid="{52BE135E-BDFB-450E-A68B-CFFFFF81D7AB}"/>
    <cellStyle name="Normal 2 2 4 3 4" xfId="4848" xr:uid="{B7C19F31-86C3-4240-BFA2-79A2D1D6610E}"/>
    <cellStyle name="Normal 2 2 4 3 4 2" xfId="4849" xr:uid="{6CDBE80C-95FD-4F01-90F0-A577213DC996}"/>
    <cellStyle name="Normal 2 2 4 3 4 2 2" xfId="4850" xr:uid="{FD7225D8-0D17-4580-BB5F-F2B690FDB879}"/>
    <cellStyle name="Normal 2 2 4 3 4 3" xfId="4851" xr:uid="{507E473B-2EEA-42CA-9CF3-3875101C6710}"/>
    <cellStyle name="Normal 2 2 4 3 5" xfId="4852" xr:uid="{A6F5A296-6A8B-4217-9E47-244ADB5A60EC}"/>
    <cellStyle name="Normal 2 2 4 3 5 2" xfId="4853" xr:uid="{1380C093-2892-4C14-A8B0-B030884536B4}"/>
    <cellStyle name="Normal 2 2 4 3 6" xfId="4854" xr:uid="{1830CE24-6885-4242-B0BE-BB7B95F80BC9}"/>
    <cellStyle name="Normal 2 2 4 4" xfId="4855" xr:uid="{A58DC21F-3F6E-4D44-9E0E-2DC3436B12A6}"/>
    <cellStyle name="Normal 2 2 4 5" xfId="4856" xr:uid="{073571EC-5D92-4538-A053-B0B3B4A5CCD1}"/>
    <cellStyle name="Normal 2 2 4 6" xfId="4857" xr:uid="{1AED5C14-6043-4151-B3D2-224138723F46}"/>
    <cellStyle name="Normal 2 2 5" xfId="4858" xr:uid="{8590087E-E775-401E-BA37-92D4ADEF6398}"/>
    <cellStyle name="Normal 2 2 5 2" xfId="4859" xr:uid="{D226E939-DB49-4DB8-8442-DD8E1215EC08}"/>
    <cellStyle name="Normal 2 2 5 2 2" xfId="4860" xr:uid="{648D0633-66FE-4BE2-8917-1A37CA1368D1}"/>
    <cellStyle name="Normal 2 2 5 2 2 2" xfId="4861" xr:uid="{4A380174-F1CE-4383-BFB8-4F3CB7C7FD57}"/>
    <cellStyle name="Normal 2 2 5 2 2 2 2" xfId="4862" xr:uid="{10637938-17DA-42CB-9858-4C29AFF1B657}"/>
    <cellStyle name="Normal 2 2 5 2 2 2 2 2" xfId="4863" xr:uid="{EF2328BD-7305-474F-B249-60A75FC3D21C}"/>
    <cellStyle name="Normal 2 2 5 2 2 2 3" xfId="4864" xr:uid="{551C6293-F6DD-47B5-8B30-AB7BF4F8C1FE}"/>
    <cellStyle name="Normal 2 2 5 2 2 3" xfId="4865" xr:uid="{615A218B-D0D5-4478-B523-5ACBD0C21AB2}"/>
    <cellStyle name="Normal 2 2 5 2 2 3 2" xfId="4866" xr:uid="{F41A6B63-D720-4AAE-AF67-18AF2B8B8F8D}"/>
    <cellStyle name="Normal 2 2 5 2 2 3 2 2" xfId="4867" xr:uid="{1DC81272-04E5-4469-BFB4-DE189E51A3A7}"/>
    <cellStyle name="Normal 2 2 5 2 2 3 3" xfId="4868" xr:uid="{7D6A8618-3157-49E2-B6D1-D67AA3B6AD6E}"/>
    <cellStyle name="Normal 2 2 5 2 2 4" xfId="4869" xr:uid="{F70B0A7D-E955-453A-9C00-A5FD16A73433}"/>
    <cellStyle name="Normal 2 2 5 2 2 4 2" xfId="4870" xr:uid="{B1799AA1-F6EA-463E-B32F-794F25EC93BE}"/>
    <cellStyle name="Normal 2 2 5 2 2 5" xfId="4871" xr:uid="{98999E2B-3912-4F16-9AC0-BFA72C1185BE}"/>
    <cellStyle name="Normal 2 2 5 2 3" xfId="4872" xr:uid="{49B11449-6403-4BDB-ADF9-4289F7506384}"/>
    <cellStyle name="Normal 2 2 5 2 3 2" xfId="4873" xr:uid="{1DB8E377-0E22-4CB1-8DC7-E0948CA45A2F}"/>
    <cellStyle name="Normal 2 2 5 2 3 2 2" xfId="4874" xr:uid="{1AB72CFC-304F-404D-8D9A-CF445B058511}"/>
    <cellStyle name="Normal 2 2 5 2 3 3" xfId="4875" xr:uid="{157FC1D9-099B-427C-AE21-DD4B0200313C}"/>
    <cellStyle name="Normal 2 2 5 2 4" xfId="4876" xr:uid="{3B33AA9D-DA1B-4BA5-B4DC-F09105EF74E2}"/>
    <cellStyle name="Normal 2 2 5 2 4 2" xfId="4877" xr:uid="{9D281D6A-86CD-4954-9906-EBCFDE52B349}"/>
    <cellStyle name="Normal 2 2 5 2 4 2 2" xfId="4878" xr:uid="{A7B1F94F-011A-47EF-8D1D-3465946BDD6B}"/>
    <cellStyle name="Normal 2 2 5 2 4 3" xfId="4879" xr:uid="{DC9ECC79-9FCF-4CA9-9220-4A2F485B4B4C}"/>
    <cellStyle name="Normal 2 2 5 2 5" xfId="4880" xr:uid="{D434A83A-5E76-4071-866F-9FBD9A3398BC}"/>
    <cellStyle name="Normal 2 2 5 2 5 2" xfId="4881" xr:uid="{0949BC6E-60BE-4238-B368-FE3D8BCFCB1F}"/>
    <cellStyle name="Normal 2 2 5 2 6" xfId="4882" xr:uid="{DB0DB2DD-3F76-469A-8335-59AFA22B5DBF}"/>
    <cellStyle name="Normal 2 2 5 3" xfId="4883" xr:uid="{52FC428F-4883-4978-A18A-1210AC6C6AA1}"/>
    <cellStyle name="Normal 2 2 5 3 2" xfId="4884" xr:uid="{F3CD8E61-2794-41C3-A656-CE4B6B5F9422}"/>
    <cellStyle name="Normal 2 2 5 3 2 2" xfId="4885" xr:uid="{64625435-5FA6-4785-A5BE-825EDD9BDD26}"/>
    <cellStyle name="Normal 2 2 5 3 2 2 2" xfId="4886" xr:uid="{1E50A783-B566-4ADF-AB84-E4B2FA7B0669}"/>
    <cellStyle name="Normal 2 2 5 3 2 2 2 2" xfId="4887" xr:uid="{3AD731DB-9ACB-4D6B-9598-38CBED8F879D}"/>
    <cellStyle name="Normal 2 2 5 3 2 2 3" xfId="4888" xr:uid="{5F6F0A1F-BFF1-4E7F-A647-644F892F101E}"/>
    <cellStyle name="Normal 2 2 5 3 2 3" xfId="4889" xr:uid="{5D881823-D5F5-4C97-92BD-8DF0289E41CA}"/>
    <cellStyle name="Normal 2 2 5 3 2 3 2" xfId="4890" xr:uid="{971EB261-56A5-4DB2-9BFA-736113DD3BED}"/>
    <cellStyle name="Normal 2 2 5 3 2 3 2 2" xfId="4891" xr:uid="{7A82EFB3-478E-47DA-9088-50118EB01793}"/>
    <cellStyle name="Normal 2 2 5 3 2 3 3" xfId="4892" xr:uid="{0EC0CFB7-95E7-4739-937F-1E06D44915FA}"/>
    <cellStyle name="Normal 2 2 5 3 2 4" xfId="4893" xr:uid="{968243C0-86C4-4D26-A44C-7267EC892CCC}"/>
    <cellStyle name="Normal 2 2 5 3 2 4 2" xfId="4894" xr:uid="{366A8581-A1A4-4357-8245-0142DBF2AE31}"/>
    <cellStyle name="Normal 2 2 5 3 2 5" xfId="4895" xr:uid="{3821E5B8-84D2-4554-8EF8-A1B486B226B2}"/>
    <cellStyle name="Normal 2 2 5 3 3" xfId="4896" xr:uid="{BDC0F332-4090-4444-B8F3-19DBC81EAE81}"/>
    <cellStyle name="Normal 2 2 5 3 3 2" xfId="4897" xr:uid="{026A37B9-9EB1-4CD2-8D1B-7830679338A5}"/>
    <cellStyle name="Normal 2 2 5 3 3 2 2" xfId="4898" xr:uid="{1F05F3EF-464D-4399-A091-5241EF51B06E}"/>
    <cellStyle name="Normal 2 2 5 3 3 3" xfId="4899" xr:uid="{2AC71128-B562-4364-93FF-B2C9C4FF694D}"/>
    <cellStyle name="Normal 2 2 5 3 4" xfId="4900" xr:uid="{2DCCA285-849C-473E-8ED1-8C886C46E6B5}"/>
    <cellStyle name="Normal 2 2 5 3 4 2" xfId="4901" xr:uid="{AA595B04-2B9D-49E9-B72B-F4AA8ABD13CF}"/>
    <cellStyle name="Normal 2 2 5 3 4 2 2" xfId="4902" xr:uid="{19ABA42D-70B4-4101-AFE5-5466DC78D75B}"/>
    <cellStyle name="Normal 2 2 5 3 4 3" xfId="4903" xr:uid="{09244CB5-C617-456B-8703-8C1C6A0954CE}"/>
    <cellStyle name="Normal 2 2 5 3 5" xfId="4904" xr:uid="{832F0A30-0F24-4221-9610-9FD28963985A}"/>
    <cellStyle name="Normal 2 2 5 3 5 2" xfId="4905" xr:uid="{76CC1E88-85FB-4D20-803F-33A80C0F5F9F}"/>
    <cellStyle name="Normal 2 2 5 3 6" xfId="4906" xr:uid="{A2A14D3F-3A8F-482E-BF25-E6101C7AD645}"/>
    <cellStyle name="Normal 2 2 5 4" xfId="4907" xr:uid="{A40633F9-987C-492D-9B12-375BFE594A16}"/>
    <cellStyle name="Normal 2 2 5 5" xfId="4908" xr:uid="{C9CECE5B-5441-4474-B880-F8FE429BE09D}"/>
    <cellStyle name="Normal 2 2 5 6" xfId="4909" xr:uid="{3D29B235-25A9-4301-BF9A-0EF5AEC7865B}"/>
    <cellStyle name="Normal 2 2 6" xfId="4910" xr:uid="{C762216A-E540-41D2-8676-F79DD30A15C6}"/>
    <cellStyle name="Normal 2 2 6 2" xfId="4911" xr:uid="{A3B47739-AE31-4A68-A868-1DE2F55EA84B}"/>
    <cellStyle name="Normal 2 2 6 2 2" xfId="4912" xr:uid="{081E095D-F1E3-4F54-9755-52292D9C8E1C}"/>
    <cellStyle name="Normal 2 2 6 2 2 2" xfId="4913" xr:uid="{918451A4-8D54-40E1-A76D-5389732A24FA}"/>
    <cellStyle name="Normal 2 2 6 2 2 2 2" xfId="4914" xr:uid="{9E6E79E7-E497-4796-87FA-3E7FE33E2679}"/>
    <cellStyle name="Normal 2 2 6 2 2 2 2 2" xfId="4915" xr:uid="{D6EF3E82-57C1-4C80-A9D3-3CDDA62B6C40}"/>
    <cellStyle name="Normal 2 2 6 2 2 2 3" xfId="4916" xr:uid="{EE33331E-386A-4B89-8503-B2CE53672250}"/>
    <cellStyle name="Normal 2 2 6 2 2 3" xfId="4917" xr:uid="{0AEE7F02-4149-4163-921E-503C08BF5E6D}"/>
    <cellStyle name="Normal 2 2 6 2 2 3 2" xfId="4918" xr:uid="{869DAC75-B823-4B29-9EB1-E689F5E8E335}"/>
    <cellStyle name="Normal 2 2 6 2 2 3 2 2" xfId="4919" xr:uid="{4BFB903D-BD16-48FD-8BCC-2A81D14E0D13}"/>
    <cellStyle name="Normal 2 2 6 2 2 3 3" xfId="4920" xr:uid="{1D9CCA85-C8D9-4741-A288-46FF18CE025D}"/>
    <cellStyle name="Normal 2 2 6 2 2 4" xfId="4921" xr:uid="{F337BD28-EA35-4938-9F24-109707354A60}"/>
    <cellStyle name="Normal 2 2 6 2 2 4 2" xfId="4922" xr:uid="{F25DE042-8E3B-4228-BE6F-B64CE9B12AA6}"/>
    <cellStyle name="Normal 2 2 6 2 2 5" xfId="4923" xr:uid="{0D3DB1FB-E9D5-43CB-97FB-DDF9BE6DE48F}"/>
    <cellStyle name="Normal 2 2 6 2 3" xfId="4924" xr:uid="{AE504B84-46C7-4EFE-A78F-DD21547E6247}"/>
    <cellStyle name="Normal 2 2 6 2 3 2" xfId="4925" xr:uid="{EA14EA94-BEB8-4B78-B197-1D4431E5FA14}"/>
    <cellStyle name="Normal 2 2 6 2 3 2 2" xfId="4926" xr:uid="{DF96E598-B979-4578-83EA-E7E67A5E264A}"/>
    <cellStyle name="Normal 2 2 6 2 3 3" xfId="4927" xr:uid="{A3181EA1-A4CB-4BEC-A24D-BD1BC1F51B48}"/>
    <cellStyle name="Normal 2 2 6 2 4" xfId="4928" xr:uid="{F35CDC9D-473A-4147-8D65-C09AA0B54B2F}"/>
    <cellStyle name="Normal 2 2 6 2 4 2" xfId="4929" xr:uid="{9CDF36B1-52C2-4DFF-98C7-EF25F0C00488}"/>
    <cellStyle name="Normal 2 2 6 2 4 2 2" xfId="4930" xr:uid="{29B9D626-A577-478A-84DB-4FB02A818F01}"/>
    <cellStyle name="Normal 2 2 6 2 4 3" xfId="4931" xr:uid="{4E921945-1FB0-429F-B6CD-6FC0CB1A1B35}"/>
    <cellStyle name="Normal 2 2 6 2 5" xfId="4932" xr:uid="{A08B02B9-5B58-4D0D-95DA-AFAB17A284F9}"/>
    <cellStyle name="Normal 2 2 6 2 5 2" xfId="4933" xr:uid="{1A688E08-A131-4BFF-B938-498BFA9AE6E4}"/>
    <cellStyle name="Normal 2 2 6 2 6" xfId="4934" xr:uid="{AC08EC68-9A5A-4F50-B94D-061DDE210A0F}"/>
    <cellStyle name="Normal 2 2 6 3" xfId="4935" xr:uid="{6DCADAF4-167B-42AE-B81A-2615D792D46B}"/>
    <cellStyle name="Normal 2 2 6 4" xfId="4936" xr:uid="{99437944-7933-4A76-96F4-16B18FA32FA7}"/>
    <cellStyle name="Normal 2 2 6 5" xfId="4937" xr:uid="{5D6D8564-FF7F-4878-A275-218FAFF07C1A}"/>
    <cellStyle name="Normal 2 2 7" xfId="4938" xr:uid="{A3F03157-26F9-4BD4-9AA5-30B9330F2A91}"/>
    <cellStyle name="Normal 2 2 7 2" xfId="4939" xr:uid="{C257C56D-65CC-47F8-9B83-03A1DF816B9C}"/>
    <cellStyle name="Normal 2 2 7 2 2" xfId="4940" xr:uid="{22AB82D1-43B9-4C82-9FC3-8B38B9F9494C}"/>
    <cellStyle name="Normal 2 2 7 2 2 2" xfId="4941" xr:uid="{5E76C54A-EAF5-404D-B949-F2DCACAB9C15}"/>
    <cellStyle name="Normal 2 2 7 2 2 2 2" xfId="4942" xr:uid="{5EF983B2-46D3-4755-9B2E-7A621AAC0870}"/>
    <cellStyle name="Normal 2 2 7 2 2 2 2 2" xfId="4943" xr:uid="{972A571B-48E7-44A4-83CD-2D8E6032F11A}"/>
    <cellStyle name="Normal 2 2 7 2 2 2 3" xfId="4944" xr:uid="{8139F47D-8D9D-42F8-9574-C48C287E683A}"/>
    <cellStyle name="Normal 2 2 7 2 2 3" xfId="4945" xr:uid="{6D2CFDE9-7EE5-4C95-A90B-14EB7731B062}"/>
    <cellStyle name="Normal 2 2 7 2 2 3 2" xfId="4946" xr:uid="{2CCC35AD-0374-457F-ADB7-95A6E48C6257}"/>
    <cellStyle name="Normal 2 2 7 2 2 3 2 2" xfId="4947" xr:uid="{E7580FFE-9479-4ACB-A92B-3AC98DBA90B8}"/>
    <cellStyle name="Normal 2 2 7 2 2 3 3" xfId="4948" xr:uid="{E5F7A477-3C95-410C-9293-8282C5392EDB}"/>
    <cellStyle name="Normal 2 2 7 2 2 4" xfId="4949" xr:uid="{48DB9DFB-73E3-4D8A-AEF7-AE2ABBF572DD}"/>
    <cellStyle name="Normal 2 2 7 2 2 4 2" xfId="4950" xr:uid="{F6D9EC7D-FE5D-41F9-874F-A28B51087EEB}"/>
    <cellStyle name="Normal 2 2 7 2 2 5" xfId="4951" xr:uid="{760635BE-81C5-4711-A954-DCCE69D9CBB1}"/>
    <cellStyle name="Normal 2 2 7 2 3" xfId="4952" xr:uid="{4FB69DD9-C325-4CE3-8280-13597BF315FA}"/>
    <cellStyle name="Normal 2 2 7 2 3 2" xfId="4953" xr:uid="{F1684775-74A7-40D4-8B3F-EC830D7D9CF3}"/>
    <cellStyle name="Normal 2 2 7 2 3 2 2" xfId="4954" xr:uid="{C9203368-4423-4742-9D2B-E2D631961253}"/>
    <cellStyle name="Normal 2 2 7 2 3 3" xfId="4955" xr:uid="{12D54317-2B53-4596-9F8F-736E1901B9AA}"/>
    <cellStyle name="Normal 2 2 7 2 4" xfId="4956" xr:uid="{AE4F3858-4E0A-4CC4-9B2B-250A920CB856}"/>
    <cellStyle name="Normal 2 2 7 2 4 2" xfId="4957" xr:uid="{FB58A04A-CA53-44D3-B20D-026C376D56B4}"/>
    <cellStyle name="Normal 2 2 7 2 4 2 2" xfId="4958" xr:uid="{5A49CB99-234C-4A48-916F-FB0016D8866C}"/>
    <cellStyle name="Normal 2 2 7 2 4 3" xfId="4959" xr:uid="{8D96D6BE-862C-477E-87D2-814EF0F53C03}"/>
    <cellStyle name="Normal 2 2 7 2 5" xfId="4960" xr:uid="{1A2B1A22-1F07-49D3-9DF5-A907CFF2E450}"/>
    <cellStyle name="Normal 2 2 7 2 5 2" xfId="4961" xr:uid="{E5565892-672B-4BF9-8F39-35ECC7B7CAF4}"/>
    <cellStyle name="Normal 2 2 7 2 6" xfId="4962" xr:uid="{4BA17988-5B2C-4EA9-BDAB-A43CD502451C}"/>
    <cellStyle name="Normal 2 2 7 3" xfId="4963" xr:uid="{26E7F07B-AEA4-4C80-8727-21AFAE77BFD5}"/>
    <cellStyle name="Normal 2 2 7 3 2" xfId="4964" xr:uid="{6BB5E299-AC02-4CF3-80CC-733E14C5A45C}"/>
    <cellStyle name="Normal 2 2 7 3 2 2" xfId="4965" xr:uid="{66E5C485-7500-465C-8E5F-B68E6F3D820C}"/>
    <cellStyle name="Normal 2 2 7 3 2 2 2" xfId="4966" xr:uid="{A7F3F922-9FCC-4D92-91F6-83F27D065804}"/>
    <cellStyle name="Normal 2 2 7 3 2 3" xfId="4967" xr:uid="{A49E14D6-E29F-4FEF-ACA7-9EF9A3AA9203}"/>
    <cellStyle name="Normal 2 2 7 3 3" xfId="4968" xr:uid="{AA0F946C-52DC-4929-9EE5-21DB509B91D5}"/>
    <cellStyle name="Normal 2 2 7 3 3 2" xfId="4969" xr:uid="{7EA05332-82CA-4DF0-8862-3AD8896B13DB}"/>
    <cellStyle name="Normal 2 2 7 3 3 2 2" xfId="4970" xr:uid="{BF32028E-E0B5-451C-A612-B4DA6791B788}"/>
    <cellStyle name="Normal 2 2 7 3 3 3" xfId="4971" xr:uid="{45170D18-CD44-44BA-AFAE-811531CACEBC}"/>
    <cellStyle name="Normal 2 2 7 3 4" xfId="4972" xr:uid="{BD0F87EC-0366-4E83-9016-09A9BFC24883}"/>
    <cellStyle name="Normal 2 2 7 3 4 2" xfId="4973" xr:uid="{7FE4FB94-5665-44FC-ACE3-252E694838F5}"/>
    <cellStyle name="Normal 2 2 7 3 5" xfId="4974" xr:uid="{B206318B-30ED-410F-9B2C-BB2E7AB2148D}"/>
    <cellStyle name="Normal 2 2 7 4" xfId="4975" xr:uid="{0F0FFA07-70BE-43B4-9BF7-21B497A96A72}"/>
    <cellStyle name="Normal 2 2 7 4 2" xfId="4976" xr:uid="{3351DF03-8BDA-455F-B692-0A6F466FB25A}"/>
    <cellStyle name="Normal 2 2 7 4 2 2" xfId="4977" xr:uid="{C9464156-A940-46EF-963A-C5E87DAB3BB0}"/>
    <cellStyle name="Normal 2 2 7 4 2 2 2" xfId="4978" xr:uid="{D135CD78-38F7-4A90-905D-965D123D52F8}"/>
    <cellStyle name="Normal 2 2 7 4 2 3" xfId="4979" xr:uid="{797B4360-0226-4BC1-B194-188A3EAFC627}"/>
    <cellStyle name="Normal 2 2 7 4 3" xfId="4980" xr:uid="{DD23E323-372B-4252-BDA2-EE4CD25B00CA}"/>
    <cellStyle name="Normal 2 2 7 4 3 2" xfId="4981" xr:uid="{D63EBF84-53E0-498A-8A7C-3C124A4FBA95}"/>
    <cellStyle name="Normal 2 2 7 4 4" xfId="4982" xr:uid="{5CE23294-35F6-4386-AEEC-B6D1D6C236BB}"/>
    <cellStyle name="Normal 2 2 7 5" xfId="4983" xr:uid="{4B74DA85-D444-4805-84E5-FCFAE71AFBD8}"/>
    <cellStyle name="Normal 2 2 7 6" xfId="4984" xr:uid="{509786EE-9C2E-45B4-A38D-8002A0541341}"/>
    <cellStyle name="Normal 2 2 7 6 2" xfId="4985" xr:uid="{7958CFB3-FF7E-490A-926E-DD797A8B5E25}"/>
    <cellStyle name="Normal 2 2 7 7" xfId="4986" xr:uid="{E029CA57-4E93-4A14-A0BF-817A85786EA7}"/>
    <cellStyle name="Normal 2 2 8" xfId="4987" xr:uid="{977A5A45-DAE9-463F-AFFE-0769F5E0F853}"/>
    <cellStyle name="Normal 2 2 8 2" xfId="4988" xr:uid="{5DF653A6-B99C-4867-B90A-A038283B3EE5}"/>
    <cellStyle name="Normal 2 2 8 2 2" xfId="4989" xr:uid="{B855BF28-BE92-4710-A47F-F9765E57226E}"/>
    <cellStyle name="Normal 2 2 8 2 2 2" xfId="4990" xr:uid="{C9DA73BC-FB0E-4A49-A173-482D95D78E87}"/>
    <cellStyle name="Normal 2 2 8 2 2 2 2" xfId="4991" xr:uid="{D53FB239-6FDF-45E5-8CC5-951BE1FA1A07}"/>
    <cellStyle name="Normal 2 2 8 2 2 2 2 2" xfId="4992" xr:uid="{013E253B-FDE8-42BC-85DD-E740AE4A630D}"/>
    <cellStyle name="Normal 2 2 8 2 2 2 3" xfId="4993" xr:uid="{33ADF866-96C6-4628-B112-04CD5E36C90F}"/>
    <cellStyle name="Normal 2 2 8 2 2 3" xfId="4994" xr:uid="{1C95D28C-2C6D-41B6-A109-CE57B01B5766}"/>
    <cellStyle name="Normal 2 2 8 2 2 3 2" xfId="4995" xr:uid="{A873B8EE-5C94-4709-B248-FF2B3A04F0F6}"/>
    <cellStyle name="Normal 2 2 8 2 2 3 2 2" xfId="4996" xr:uid="{8CE0778D-8340-46C4-AACD-9207192238EB}"/>
    <cellStyle name="Normal 2 2 8 2 2 3 3" xfId="4997" xr:uid="{9938A69F-E70A-4FFE-8488-8370F4444E13}"/>
    <cellStyle name="Normal 2 2 8 2 2 4" xfId="4998" xr:uid="{58699AF0-C28A-4FD0-8AC3-B67C4BDBC63F}"/>
    <cellStyle name="Normal 2 2 8 2 2 4 2" xfId="4999" xr:uid="{BA5D0A6A-D157-4B5E-A3EA-80C600444051}"/>
    <cellStyle name="Normal 2 2 8 2 2 5" xfId="5000" xr:uid="{B84636E0-AEE1-402A-A05B-75314493B4DD}"/>
    <cellStyle name="Normal 2 2 8 2 3" xfId="5001" xr:uid="{8129C1F6-4E55-4DB0-897C-9BDDD2C845B1}"/>
    <cellStyle name="Normal 2 2 8 2 3 2" xfId="5002" xr:uid="{77C168DF-3DA5-4502-8EA3-CBB7C473BD9C}"/>
    <cellStyle name="Normal 2 2 8 2 3 2 2" xfId="5003" xr:uid="{D72ED181-AA43-4752-9A52-BADFD2FC809A}"/>
    <cellStyle name="Normal 2 2 8 2 3 3" xfId="5004" xr:uid="{C2239F58-EDD9-438C-8530-EAE2F90DCF90}"/>
    <cellStyle name="Normal 2 2 8 2 4" xfId="5005" xr:uid="{CFA3542D-AE76-4EE2-9CA1-BECF78D16C51}"/>
    <cellStyle name="Normal 2 2 8 2 4 2" xfId="5006" xr:uid="{8D180000-0AA3-4A33-8BF3-29B9ECB24181}"/>
    <cellStyle name="Normal 2 2 8 2 4 2 2" xfId="5007" xr:uid="{D00629D2-AA5B-4D8A-B1D3-D8D6F74B8E2F}"/>
    <cellStyle name="Normal 2 2 8 2 4 3" xfId="5008" xr:uid="{1E2C0B81-1D9D-4E29-8403-06F3B278E57A}"/>
    <cellStyle name="Normal 2 2 8 2 5" xfId="5009" xr:uid="{C50E8BD1-5DDF-437C-BC3A-50BC69D49B15}"/>
    <cellStyle name="Normal 2 2 8 2 5 2" xfId="5010" xr:uid="{53E9D328-8A3D-4801-BBC3-B1434B93FB7B}"/>
    <cellStyle name="Normal 2 2 8 2 6" xfId="5011" xr:uid="{9CDE56FB-5C28-40F9-B4CE-E8A5E3A9DD43}"/>
    <cellStyle name="Normal 2 2 8 3" xfId="5012" xr:uid="{5195F29E-6E02-4AE6-9366-C7C91AA9E726}"/>
    <cellStyle name="Normal 2 2 8 4" xfId="5013" xr:uid="{7BE3E2EB-D63F-4453-86A8-A2170D8E65E7}"/>
    <cellStyle name="Normal 2 2 9" xfId="5014" xr:uid="{F59D7A4E-F36E-49DE-A1B3-67AA746D35DB}"/>
    <cellStyle name="Normal 2 2 9 2" xfId="5015" xr:uid="{7CFE5401-972C-43AA-A535-2B0DDBD853A9}"/>
    <cellStyle name="Normal 2 2 9 2 2" xfId="5016" xr:uid="{AF8822BB-0E79-4553-A494-1B5C8FDDACA6}"/>
    <cellStyle name="Normal 2 2 9 2 2 2" xfId="5017" xr:uid="{EBDED1D8-A1EA-4F04-A91C-F8D00133D1EE}"/>
    <cellStyle name="Normal 2 2 9 2 2 2 2" xfId="5018" xr:uid="{29E46D30-FE9B-45B3-9D3E-61885785B7FB}"/>
    <cellStyle name="Normal 2 2 9 2 2 3" xfId="5019" xr:uid="{BA6F7E35-14AD-4D0E-A179-2309C9F7B202}"/>
    <cellStyle name="Normal 2 2 9 2 3" xfId="5020" xr:uid="{E536D508-7C12-477B-BA81-4CC3D201532F}"/>
    <cellStyle name="Normal 2 2 9 2 3 2" xfId="5021" xr:uid="{95481471-17C4-4D8F-963D-84C548493A27}"/>
    <cellStyle name="Normal 2 2 9 2 3 2 2" xfId="5022" xr:uid="{0FECF478-09AB-427A-A2B7-F8132E9670E9}"/>
    <cellStyle name="Normal 2 2 9 2 3 3" xfId="5023" xr:uid="{3DF6C604-99C7-4DCE-98DF-BA6DA805FE49}"/>
    <cellStyle name="Normal 2 2 9 2 4" xfId="5024" xr:uid="{CF218E3E-B08D-425E-A87F-15B4E6B496D8}"/>
    <cellStyle name="Normal 2 2 9 2 4 2" xfId="5025" xr:uid="{96E3B861-AA70-4495-B1ED-7C76C21C1349}"/>
    <cellStyle name="Normal 2 2 9 2 5" xfId="5026" xr:uid="{29CF934B-BB94-4B6D-88C7-C4DAF2A531AE}"/>
    <cellStyle name="Normal 2 2 9 3" xfId="5027" xr:uid="{0F42E4F8-AF7A-447E-A6BD-621DF0E458AD}"/>
    <cellStyle name="Normal 2 2 9 3 2" xfId="5028" xr:uid="{6022A0A5-FE5A-4FE4-960C-87E5CF6ADEE2}"/>
    <cellStyle name="Normal 2 2 9 3 2 2" xfId="5029" xr:uid="{8582C876-5E24-4C9E-8F57-0FBA92BA7B33}"/>
    <cellStyle name="Normal 2 2 9 3 2 2 2" xfId="5030" xr:uid="{FA34EB2B-27F2-457F-81A1-F584B208882B}"/>
    <cellStyle name="Normal 2 2 9 3 2 3" xfId="5031" xr:uid="{0C5F4E40-E803-452B-BE42-7A70E259BE0D}"/>
    <cellStyle name="Normal 2 2 9 3 3" xfId="5032" xr:uid="{2E787A86-CC18-469C-976B-691C12C1AFD9}"/>
    <cellStyle name="Normal 2 2 9 3 3 2" xfId="5033" xr:uid="{A8F4FDFA-5F2E-4CFC-AF3F-2C65EDF975EE}"/>
    <cellStyle name="Normal 2 2 9 3 4" xfId="5034" xr:uid="{338C36AF-B15A-46CC-8703-75669F4DB037}"/>
    <cellStyle name="Normal 2 2 9 4" xfId="5035" xr:uid="{E036F87B-32DD-40A5-9617-41994C99DD7B}"/>
    <cellStyle name="Normal 2 2 9 5" xfId="5036" xr:uid="{4FB498D9-D1E2-4EC3-AF35-D6849124CC35}"/>
    <cellStyle name="Normal 2 2 9 5 2" xfId="5037" xr:uid="{6A1611FF-1682-49C6-9FA7-68D2230164A1}"/>
    <cellStyle name="Normal 2 2 9 6" xfId="5038" xr:uid="{6959A084-DEBF-4ABC-9653-DF3F6077AB72}"/>
    <cellStyle name="Normal 2 2_ELC" xfId="5039" xr:uid="{A8AB58FA-B770-49D0-A713-A0A11772507F}"/>
    <cellStyle name="Normal 2 20" xfId="5040" xr:uid="{AD9031CF-3AC1-4326-B478-BFE8ADBE2F4F}"/>
    <cellStyle name="Normal 2 21" xfId="5041" xr:uid="{E385C3AE-B5E6-443A-A332-31C67D08FC9E}"/>
    <cellStyle name="Normal 2 22" xfId="5042" xr:uid="{F7DFACC3-1961-45B3-B437-CAAE40F52064}"/>
    <cellStyle name="Normal 2 23" xfId="5043" xr:uid="{565865D7-30C2-400A-879B-EC775DDE0E4A}"/>
    <cellStyle name="Normal 2 24" xfId="5044" xr:uid="{27FE9867-0DFF-409E-9FB9-BEE3AC19C096}"/>
    <cellStyle name="Normal 2 25" xfId="5045" xr:uid="{4D61D4E1-880A-480A-B6F0-4F1494498DB9}"/>
    <cellStyle name="Normal 2 26" xfId="5046" xr:uid="{8B98EB53-9CF0-4DC3-972F-A495A1DA7A14}"/>
    <cellStyle name="Normal 2 27" xfId="5047" xr:uid="{4E732F0B-293A-4C46-A0FA-08902281C05C}"/>
    <cellStyle name="Normal 2 28" xfId="5048" xr:uid="{3BA1E21F-5833-460D-8F26-F98E07209192}"/>
    <cellStyle name="Normal 2 29" xfId="5049" xr:uid="{A537E102-B3C9-4B39-9271-3871BBF5E4E1}"/>
    <cellStyle name="Normal 2 3" xfId="16" xr:uid="{00000000-0005-0000-0000-000011000000}"/>
    <cellStyle name="Normal 2 3 10" xfId="5051" xr:uid="{6721AF5C-97F2-4A51-90E2-B895A1C6365C}"/>
    <cellStyle name="Normal 2 3 10 2" xfId="5052" xr:uid="{6B312350-1828-435B-84F8-3037F31EDC7F}"/>
    <cellStyle name="Normal 2 3 10 2 2" xfId="5053" xr:uid="{CBE94791-D96D-4CDC-9EF1-CAF60D4ED5B6}"/>
    <cellStyle name="Normal 2 3 10 2 2 2" xfId="5054" xr:uid="{4AAFEA83-A69E-4D59-8DFD-D6FC468EB311}"/>
    <cellStyle name="Normal 2 3 10 2 2 2 2" xfId="5055" xr:uid="{9603D280-9668-48E9-9A26-34B16745079E}"/>
    <cellStyle name="Normal 2 3 10 2 2 3" xfId="5056" xr:uid="{389D9A5F-B419-4BF1-BC20-C18FCEAFA8E8}"/>
    <cellStyle name="Normal 2 3 10 2 3" xfId="5057" xr:uid="{8A25AAEC-FFE0-4449-9FA3-1EF9C7925057}"/>
    <cellStyle name="Normal 2 3 10 2 3 2" xfId="5058" xr:uid="{B1C02C87-9D38-4B54-A0E7-23CA39CF6010}"/>
    <cellStyle name="Normal 2 3 10 2 3 2 2" xfId="5059" xr:uid="{BB8BFE2A-9760-4B26-ABA1-BA0627602EE3}"/>
    <cellStyle name="Normal 2 3 10 2 3 3" xfId="5060" xr:uid="{4E1EDC59-E195-4C84-940C-F592E48C0C82}"/>
    <cellStyle name="Normal 2 3 10 2 4" xfId="5061" xr:uid="{93D53B2E-C72A-4498-B818-27D3E4A4FCFE}"/>
    <cellStyle name="Normal 2 3 10 2 4 2" xfId="5062" xr:uid="{845AEEF6-1659-469B-B56D-59354C865445}"/>
    <cellStyle name="Normal 2 3 10 2 5" xfId="5063" xr:uid="{61A36424-3303-45DB-BF89-BC68F14A8A42}"/>
    <cellStyle name="Normal 2 3 10 3" xfId="5064" xr:uid="{366EDA19-B965-4544-8AC3-3A36EF62E658}"/>
    <cellStyle name="Normal 2 3 10 3 2" xfId="5065" xr:uid="{5E63E669-2CC3-46C3-8A42-E52882C11C21}"/>
    <cellStyle name="Normal 2 3 10 3 2 2" xfId="5066" xr:uid="{BD66955D-692B-4C73-A72C-BC7FB8C812A9}"/>
    <cellStyle name="Normal 2 3 10 3 2 2 2" xfId="5067" xr:uid="{CA75C219-2FBD-4502-BE1C-E638AD7CD990}"/>
    <cellStyle name="Normal 2 3 10 3 2 3" xfId="5068" xr:uid="{6248EABE-B21F-49C0-9B23-F447AB5338D4}"/>
    <cellStyle name="Normal 2 3 10 3 3" xfId="5069" xr:uid="{3AFC4D64-5AE9-44E5-B931-793F047040C3}"/>
    <cellStyle name="Normal 2 3 10 3 3 2" xfId="5070" xr:uid="{6F1F60AC-8011-4C21-881C-5C21C3F5F082}"/>
    <cellStyle name="Normal 2 3 10 3 4" xfId="5071" xr:uid="{FBB562A7-CE7F-4884-85D8-9D6EEB67D9B7}"/>
    <cellStyle name="Normal 2 3 10 4" xfId="5072" xr:uid="{411E9C04-2ECA-4AFB-8E59-B311B43B63A1}"/>
    <cellStyle name="Normal 2 3 10 5" xfId="5073" xr:uid="{0C6947C9-1C43-4E0F-ABC7-E82350185D7C}"/>
    <cellStyle name="Normal 2 3 10 5 2" xfId="5074" xr:uid="{3D6E2990-BE57-4B58-8B10-DFE76A10B03E}"/>
    <cellStyle name="Normal 2 3 10 6" xfId="5075" xr:uid="{61E70EAF-2F8C-4869-BAC5-4AD9D34ED205}"/>
    <cellStyle name="Normal 2 3 11" xfId="5076" xr:uid="{50EB56B9-B690-4BB8-B7AD-AD0048764BA1}"/>
    <cellStyle name="Normal 2 3 11 2" xfId="5077" xr:uid="{8BD91DAA-5963-4ED5-B438-03EBE477B1BE}"/>
    <cellStyle name="Normal 2 3 11 2 2" xfId="5078" xr:uid="{F974A6ED-0DAF-4B3D-A514-295EBCFB3DF8}"/>
    <cellStyle name="Normal 2 3 11 2 2 2" xfId="5079" xr:uid="{8417FB17-2179-4BF4-A17A-24543EBD0582}"/>
    <cellStyle name="Normal 2 3 11 2 2 2 2" xfId="5080" xr:uid="{75F9A020-60D7-4D34-B803-A0BEA088BFD5}"/>
    <cellStyle name="Normal 2 3 11 2 2 3" xfId="5081" xr:uid="{14A866C0-4619-4B66-AB25-0B79B09293C5}"/>
    <cellStyle name="Normal 2 3 11 2 3" xfId="5082" xr:uid="{0B87F5FF-F35C-4E43-AD08-AAED45953F78}"/>
    <cellStyle name="Normal 2 3 11 2 3 2" xfId="5083" xr:uid="{147B1EA1-FC66-4DFE-948C-9D5BD8E9002D}"/>
    <cellStyle name="Normal 2 3 11 2 3 2 2" xfId="5084" xr:uid="{7E4C563D-B419-41DE-9C20-B11FD91E0B55}"/>
    <cellStyle name="Normal 2 3 11 2 3 3" xfId="5085" xr:uid="{881F8DF0-3DF2-48A6-9C4E-CBAE768ECDC4}"/>
    <cellStyle name="Normal 2 3 11 2 4" xfId="5086" xr:uid="{D6D83D79-BB45-458D-854F-6509A51D7E04}"/>
    <cellStyle name="Normal 2 3 11 2 4 2" xfId="5087" xr:uid="{02A80146-CE00-444E-849C-FA3DF96E875E}"/>
    <cellStyle name="Normal 2 3 11 2 5" xfId="5088" xr:uid="{769552E9-5FA3-4CE2-84D3-E2631AF7FAE4}"/>
    <cellStyle name="Normal 2 3 11 3" xfId="5089" xr:uid="{44F7C2F4-6C76-4F67-A1CC-F3ED58536BF9}"/>
    <cellStyle name="Normal 2 3 11 3 2" xfId="5090" xr:uid="{11B2BBD1-AE07-4F27-8CC7-C563F7E2BFE1}"/>
    <cellStyle name="Normal 2 3 11 3 2 2" xfId="5091" xr:uid="{F5F825B4-F254-46A5-BBA8-24DE75931966}"/>
    <cellStyle name="Normal 2 3 11 3 2 2 2" xfId="5092" xr:uid="{C8CD8D6E-04DD-4F1B-AC3E-EB2C8BFF2F2C}"/>
    <cellStyle name="Normal 2 3 11 3 2 3" xfId="5093" xr:uid="{A8852F53-7070-403C-B862-5CFB8AD6CE43}"/>
    <cellStyle name="Normal 2 3 11 3 3" xfId="5094" xr:uid="{0452AA68-F778-4452-BCCC-2E264E786E3A}"/>
    <cellStyle name="Normal 2 3 11 3 3 2" xfId="5095" xr:uid="{974E63E1-21E2-4562-9BCD-5643177D9D2A}"/>
    <cellStyle name="Normal 2 3 11 3 4" xfId="5096" xr:uid="{3DBC9343-D75F-4EA9-8323-6C9A41BC127A}"/>
    <cellStyle name="Normal 2 3 11 4" xfId="5097" xr:uid="{6F4B23AB-CB43-408B-BB1A-CE72B0BDF7C4}"/>
    <cellStyle name="Normal 2 3 11 5" xfId="5098" xr:uid="{C476ADC8-E62A-4982-AD7A-DACC95DB1BFC}"/>
    <cellStyle name="Normal 2 3 11 5 2" xfId="5099" xr:uid="{1C21B168-5115-40AA-930E-034980C11C6A}"/>
    <cellStyle name="Normal 2 3 11 6" xfId="5100" xr:uid="{73475880-1075-4E46-8D42-B41FB10EE8AD}"/>
    <cellStyle name="Normal 2 3 12" xfId="5101" xr:uid="{4C88419C-5EEC-4383-8123-4DC4E7E2F3FA}"/>
    <cellStyle name="Normal 2 3 12 2" xfId="5102" xr:uid="{C13B9302-DED3-4536-86D6-1B69FB4F85CA}"/>
    <cellStyle name="Normal 2 3 12 2 2" xfId="5103" xr:uid="{DC66F3B9-9274-4905-A2F6-2D46D5130FBC}"/>
    <cellStyle name="Normal 2 3 12 2 2 2" xfId="5104" xr:uid="{C3DC7F87-F616-4D89-BCBD-54C04464CA08}"/>
    <cellStyle name="Normal 2 3 12 2 2 2 2" xfId="5105" xr:uid="{BA70C9E7-FC95-47D2-BEBA-3CAFA5AF8FEB}"/>
    <cellStyle name="Normal 2 3 12 2 2 3" xfId="5106" xr:uid="{F413B8FC-FC48-4495-99B1-019386F025B1}"/>
    <cellStyle name="Normal 2 3 12 2 3" xfId="5107" xr:uid="{16698EF7-3E37-4867-BAD9-1D1C4531778B}"/>
    <cellStyle name="Normal 2 3 12 2 3 2" xfId="5108" xr:uid="{604BED37-044D-4A2D-AA10-F6DF604211D4}"/>
    <cellStyle name="Normal 2 3 12 2 3 2 2" xfId="5109" xr:uid="{36B9831C-0BC9-4AAF-8655-E2AD5467219C}"/>
    <cellStyle name="Normal 2 3 12 2 3 3" xfId="5110" xr:uid="{8FFCFD22-FD45-48B9-A046-87C9089939EB}"/>
    <cellStyle name="Normal 2 3 12 2 4" xfId="5111" xr:uid="{B3E2D301-F731-4A0D-A8DF-EFFE2992D067}"/>
    <cellStyle name="Normal 2 3 12 2 4 2" xfId="5112" xr:uid="{2F28F8DB-DC53-46B8-8BB5-CFF80DDD6AEA}"/>
    <cellStyle name="Normal 2 3 12 2 5" xfId="5113" xr:uid="{B0C9248F-2B95-4612-8663-7A50AD1068F0}"/>
    <cellStyle name="Normal 2 3 12 3" xfId="5114" xr:uid="{80B4B188-242E-4E7D-8BB1-6AE4F4C3F44C}"/>
    <cellStyle name="Normal 2 3 12 3 2" xfId="5115" xr:uid="{2267544A-4ABB-42D4-A63C-FB87888C5C9E}"/>
    <cellStyle name="Normal 2 3 12 3 2 2" xfId="5116" xr:uid="{CEB4166A-91CB-452D-AD60-D5B01D77CB6C}"/>
    <cellStyle name="Normal 2 3 12 3 2 2 2" xfId="5117" xr:uid="{6875BC07-B101-488C-A776-BE9D66833122}"/>
    <cellStyle name="Normal 2 3 12 3 2 3" xfId="5118" xr:uid="{016DEDE2-F609-4842-A75E-B1ED6621AEDE}"/>
    <cellStyle name="Normal 2 3 12 3 3" xfId="5119" xr:uid="{DBFBA025-2273-4B28-9242-B23F63D4BBBF}"/>
    <cellStyle name="Normal 2 3 12 3 3 2" xfId="5120" xr:uid="{801CC1C8-5828-444C-8AEE-8F2911110106}"/>
    <cellStyle name="Normal 2 3 12 3 4" xfId="5121" xr:uid="{3E3C73F7-B4B3-4B16-BF19-1A825773E8A3}"/>
    <cellStyle name="Normal 2 3 12 4" xfId="5122" xr:uid="{AFB14F2C-895A-4B63-8B54-916BDC1F8FD9}"/>
    <cellStyle name="Normal 2 3 12 5" xfId="5123" xr:uid="{417B5B8A-5788-40A7-8469-8ADE6DE1A9B2}"/>
    <cellStyle name="Normal 2 3 12 5 2" xfId="5124" xr:uid="{2540FEE6-DCBC-4D81-8644-F2801FAF06C2}"/>
    <cellStyle name="Normal 2 3 12 6" xfId="5125" xr:uid="{D3FE4289-A067-4F8D-A0D2-084EC403585E}"/>
    <cellStyle name="Normal 2 3 13" xfId="5126" xr:uid="{4B1C7CEB-6842-42EE-8085-6A63EEF6BFB1}"/>
    <cellStyle name="Normal 2 3 13 2" xfId="5127" xr:uid="{82B85959-B45B-4234-A622-B608424DA626}"/>
    <cellStyle name="Normal 2 3 13 2 2" xfId="5128" xr:uid="{F1ED731B-1F07-42D0-8FCB-1726BFB86EB8}"/>
    <cellStyle name="Normal 2 3 13 2 2 2" xfId="5129" xr:uid="{DAFA5DF9-0F7A-4C4C-9A7A-625EF97BDFBF}"/>
    <cellStyle name="Normal 2 3 13 2 2 2 2" xfId="5130" xr:uid="{1B8C0383-D184-420E-B4E9-6CE0F269C591}"/>
    <cellStyle name="Normal 2 3 13 2 2 3" xfId="5131" xr:uid="{62502AD4-2EA4-4DDB-9652-61735CCEC29E}"/>
    <cellStyle name="Normal 2 3 13 2 3" xfId="5132" xr:uid="{2C943262-849F-4564-8D31-18CCB072BAC8}"/>
    <cellStyle name="Normal 2 3 13 2 3 2" xfId="5133" xr:uid="{45EFDD9A-647B-49B4-AC17-D984AEB46775}"/>
    <cellStyle name="Normal 2 3 13 2 3 2 2" xfId="5134" xr:uid="{A0F14229-131F-4D30-9DC6-11AC1421FC06}"/>
    <cellStyle name="Normal 2 3 13 2 3 3" xfId="5135" xr:uid="{98AF1D68-AD09-4B90-836A-CC033B1F4E3A}"/>
    <cellStyle name="Normal 2 3 13 2 4" xfId="5136" xr:uid="{601C60E2-C36B-4A5C-B847-36BF18E8531F}"/>
    <cellStyle name="Normal 2 3 13 2 4 2" xfId="5137" xr:uid="{7D77783E-A345-45BF-AFB6-0443FE931922}"/>
    <cellStyle name="Normal 2 3 13 2 5" xfId="5138" xr:uid="{A44E3BDA-82CF-4F70-A1F4-8CD1AF766F90}"/>
    <cellStyle name="Normal 2 3 13 3" xfId="5139" xr:uid="{46F26345-D817-41DB-AA70-170ADDAF4DBE}"/>
    <cellStyle name="Normal 2 3 13 3 2" xfId="5140" xr:uid="{139E9965-F1F7-417A-BF0B-C7B6AA7FEF70}"/>
    <cellStyle name="Normal 2 3 13 3 2 2" xfId="5141" xr:uid="{7236E904-C275-4EA0-8518-D1C92EF18368}"/>
    <cellStyle name="Normal 2 3 13 3 2 2 2" xfId="5142" xr:uid="{5808C0DB-F3F0-4C41-887A-DA3D384019E5}"/>
    <cellStyle name="Normal 2 3 13 3 2 3" xfId="5143" xr:uid="{7B2B1328-5AA4-40B1-A790-1A71E8DFF323}"/>
    <cellStyle name="Normal 2 3 13 3 3" xfId="5144" xr:uid="{F922274F-A3C8-4790-998E-904CBBA9B124}"/>
    <cellStyle name="Normal 2 3 13 3 3 2" xfId="5145" xr:uid="{B3079CFE-40EA-45E5-AD12-4CEC83D2268F}"/>
    <cellStyle name="Normal 2 3 13 3 4" xfId="5146" xr:uid="{BF8F00D6-AEE0-4CF6-A3A3-B66246A2DB08}"/>
    <cellStyle name="Normal 2 3 13 4" xfId="5147" xr:uid="{3681683C-5ADA-4578-BD09-5A56599B0592}"/>
    <cellStyle name="Normal 2 3 13 5" xfId="5148" xr:uid="{3DB1309E-404F-4DBD-A6B4-1B4E1888D7CD}"/>
    <cellStyle name="Normal 2 3 13 5 2" xfId="5149" xr:uid="{9CCCBD5A-2E28-4FAE-A65C-FC46CF9E67B2}"/>
    <cellStyle name="Normal 2 3 13 6" xfId="5150" xr:uid="{FB21B601-9EA3-4DC7-92CE-539BF96A8E21}"/>
    <cellStyle name="Normal 2 3 14" xfId="5151" xr:uid="{5E3D12D2-82E9-4285-942B-73EA2A68992B}"/>
    <cellStyle name="Normal 2 3 15" xfId="5050" xr:uid="{19D67D16-CBD0-4E52-9018-4CF08A8C4889}"/>
    <cellStyle name="Normal 2 3 2" xfId="5152" xr:uid="{68C214DF-BB9E-4CEF-8522-C7DAD7380746}"/>
    <cellStyle name="Normal 2 3 2 10" xfId="5153" xr:uid="{0D5C0602-A37D-4773-9360-EE4DB12E75CF}"/>
    <cellStyle name="Normal 2 3 2 10 2" xfId="5154" xr:uid="{6BDA855B-E62D-4539-834F-142A92BAE27B}"/>
    <cellStyle name="Normal 2 3 2 11" xfId="5155" xr:uid="{E790B64E-E2A0-4C6B-826E-3FFFC187E678}"/>
    <cellStyle name="Normal 2 3 2 2" xfId="5156" xr:uid="{28BEF0CB-ABAF-41CD-B690-1E6A075A520F}"/>
    <cellStyle name="Normal 2 3 2 2 2" xfId="5157" xr:uid="{E1D72189-65D9-4C6E-AB9F-8F9A7F0DCF9C}"/>
    <cellStyle name="Normal 2 3 2 2 2 2" xfId="5158" xr:uid="{68BF4245-171B-41CD-B969-4668B7C3D7D3}"/>
    <cellStyle name="Normal 2 3 2 2 2 2 2" xfId="5159" xr:uid="{20C6466E-6D52-461E-AFD3-A7B306CDFA72}"/>
    <cellStyle name="Normal 2 3 2 2 2 2 2 2" xfId="5160" xr:uid="{D804DF25-F5DB-464C-A259-2CB3A8DF7D09}"/>
    <cellStyle name="Normal 2 3 2 2 2 2 2 2 2" xfId="5161" xr:uid="{AFD68998-99FA-4BDD-AF46-53496D69B4F0}"/>
    <cellStyle name="Normal 2 3 2 2 2 2 2 3" xfId="5162" xr:uid="{9128AA43-431D-4E58-9BAD-29EC32E9EEE1}"/>
    <cellStyle name="Normal 2 3 2 2 2 2 3" xfId="5163" xr:uid="{12AB0A1F-35EA-4D90-A398-0FEDBDBD3A6A}"/>
    <cellStyle name="Normal 2 3 2 2 2 2 3 2" xfId="5164" xr:uid="{28B4E6A7-77A5-4491-A0B1-FFAB8E92FDF1}"/>
    <cellStyle name="Normal 2 3 2 2 2 2 3 2 2" xfId="5165" xr:uid="{3E361165-145F-4A7E-9D43-5B1A737A92AE}"/>
    <cellStyle name="Normal 2 3 2 2 2 2 3 3" xfId="5166" xr:uid="{1BA2BE30-2DEC-4956-8D67-55E8E74BD63B}"/>
    <cellStyle name="Normal 2 3 2 2 2 2 4" xfId="5167" xr:uid="{4E2D8E4B-7908-40F4-8B9C-E4F912AE0099}"/>
    <cellStyle name="Normal 2 3 2 2 2 2 4 2" xfId="5168" xr:uid="{919A3F63-05DE-468D-A61C-D851BBC53A36}"/>
    <cellStyle name="Normal 2 3 2 2 2 2 5" xfId="5169" xr:uid="{C1C77FCC-E4B0-4A33-B71B-E11EED290DD6}"/>
    <cellStyle name="Normal 2 3 2 2 2 3" xfId="5170" xr:uid="{27F99DC7-C167-475C-9409-1D5802864682}"/>
    <cellStyle name="Normal 2 3 2 2 2 3 2" xfId="5171" xr:uid="{CE503212-9BCC-4F24-9E90-7A39019F3A09}"/>
    <cellStyle name="Normal 2 3 2 2 2 3 2 2" xfId="5172" xr:uid="{CA3E6DEA-3208-4300-93B8-911D06A7CCF1}"/>
    <cellStyle name="Normal 2 3 2 2 2 3 3" xfId="5173" xr:uid="{0A95A5EA-89EA-4031-A0C2-15D253CA92B3}"/>
    <cellStyle name="Normal 2 3 2 2 2 4" xfId="5174" xr:uid="{5C3DD6C1-5A24-4003-B72D-CAF46F0E28F1}"/>
    <cellStyle name="Normal 2 3 2 2 2 4 2" xfId="5175" xr:uid="{61B482B3-C413-46A7-81A7-E13CA46024DC}"/>
    <cellStyle name="Normal 2 3 2 2 2 4 2 2" xfId="5176" xr:uid="{57399719-3A05-4495-823F-006AE69B5579}"/>
    <cellStyle name="Normal 2 3 2 2 2 4 3" xfId="5177" xr:uid="{4DE6F524-9CE6-4920-B970-4DDF870FAF25}"/>
    <cellStyle name="Normal 2 3 2 2 2 5" xfId="5178" xr:uid="{9B017C66-3FE2-4B5C-8408-3E782F9C7F87}"/>
    <cellStyle name="Normal 2 3 2 2 2 5 2" xfId="5179" xr:uid="{9EFD844C-AE89-4DE6-86BB-6FC66BBA897F}"/>
    <cellStyle name="Normal 2 3 2 2 2 6" xfId="5180" xr:uid="{4708B715-5B86-4314-873A-53C3A2BF26AA}"/>
    <cellStyle name="Normal 2 3 2 2 3" xfId="5181" xr:uid="{9F278A14-09F2-42CC-88C1-D5C851AF9F32}"/>
    <cellStyle name="Normal 2 3 2 2 3 2" xfId="5182" xr:uid="{251C9AF8-EEAB-4718-ABD9-4DCC533C8E0C}"/>
    <cellStyle name="Normal 2 3 2 2 3 2 2" xfId="5183" xr:uid="{4B1EFD7C-50C9-446D-80AA-26A5E202C13C}"/>
    <cellStyle name="Normal 2 3 2 2 3 2 2 2" xfId="5184" xr:uid="{D3096703-2D44-44CD-A1D0-93F3CD7DC640}"/>
    <cellStyle name="Normal 2 3 2 2 3 2 2 2 2" xfId="5185" xr:uid="{C3D6E2BD-0881-4D7B-9CB2-4F9815383590}"/>
    <cellStyle name="Normal 2 3 2 2 3 2 2 3" xfId="5186" xr:uid="{DF02247B-00A5-4FA3-AA41-138E74B379D3}"/>
    <cellStyle name="Normal 2 3 2 2 3 2 3" xfId="5187" xr:uid="{762FC9B8-37F0-4757-B9D9-EEDD42D34831}"/>
    <cellStyle name="Normal 2 3 2 2 3 2 3 2" xfId="5188" xr:uid="{258E08FF-0866-417F-BCE2-8ACCF6C271AA}"/>
    <cellStyle name="Normal 2 3 2 2 3 2 3 2 2" xfId="5189" xr:uid="{B3EAAB95-5ED1-472D-B2A7-F29782BE6121}"/>
    <cellStyle name="Normal 2 3 2 2 3 2 3 3" xfId="5190" xr:uid="{3155E6B4-FC05-4562-A2D3-6DB203C0D79B}"/>
    <cellStyle name="Normal 2 3 2 2 3 2 4" xfId="5191" xr:uid="{7F045513-0DF5-4EF0-89A0-4B8C98402C7E}"/>
    <cellStyle name="Normal 2 3 2 2 3 2 4 2" xfId="5192" xr:uid="{A94FDD6B-F9A6-4924-9A25-F2F262A44C2A}"/>
    <cellStyle name="Normal 2 3 2 2 3 2 5" xfId="5193" xr:uid="{B9EC1F38-97A7-4156-B394-7B8FF4380EE3}"/>
    <cellStyle name="Normal 2 3 2 2 3 3" xfId="5194" xr:uid="{65413709-5F7B-48B4-AFB2-F184A6B1B1FA}"/>
    <cellStyle name="Normal 2 3 2 2 3 3 2" xfId="5195" xr:uid="{6CBF25C2-221D-459C-B393-54DFD54DF8C3}"/>
    <cellStyle name="Normal 2 3 2 2 3 3 2 2" xfId="5196" xr:uid="{83B27916-10EC-4866-9520-1B1C0421D5A3}"/>
    <cellStyle name="Normal 2 3 2 2 3 3 3" xfId="5197" xr:uid="{DC20F923-714A-49D2-AB5D-F6FD5216651D}"/>
    <cellStyle name="Normal 2 3 2 2 3 4" xfId="5198" xr:uid="{B811B606-EF9A-42AE-B1B4-A2F2065BDFBB}"/>
    <cellStyle name="Normal 2 3 2 2 3 4 2" xfId="5199" xr:uid="{485D6253-3A0D-4E89-A83A-45DB79815E3B}"/>
    <cellStyle name="Normal 2 3 2 2 3 4 2 2" xfId="5200" xr:uid="{26943F81-F572-4CA2-BA02-C13F48AA0970}"/>
    <cellStyle name="Normal 2 3 2 2 3 4 3" xfId="5201" xr:uid="{75D0BD74-2F91-47F2-8B4C-9A0C5EC40B90}"/>
    <cellStyle name="Normal 2 3 2 2 3 5" xfId="5202" xr:uid="{3D803A04-B0E6-4E36-9FFA-892B53F2509F}"/>
    <cellStyle name="Normal 2 3 2 2 3 5 2" xfId="5203" xr:uid="{685082B5-2DA0-47AC-AA85-EC7A2B38DBB7}"/>
    <cellStyle name="Normal 2 3 2 2 3 6" xfId="5204" xr:uid="{CE649865-CED3-4514-93C9-F0448AD91EB9}"/>
    <cellStyle name="Normal 2 3 2 2 4" xfId="5205" xr:uid="{AC5D4FC7-7093-44CA-8503-51308612BD79}"/>
    <cellStyle name="Normal 2 3 2 2 4 2" xfId="5206" xr:uid="{6BF55E0F-71C3-4CE3-B3EB-2AFA37C61594}"/>
    <cellStyle name="Normal 2 3 2 2 4 2 2" xfId="5207" xr:uid="{33043FFD-188F-4AD3-90E2-C2210879EBCB}"/>
    <cellStyle name="Normal 2 3 2 2 4 2 2 2" xfId="5208" xr:uid="{D523E540-921F-4A2A-B750-7DB46F7B91BA}"/>
    <cellStyle name="Normal 2 3 2 2 4 2 3" xfId="5209" xr:uid="{180A00AF-3EF5-440E-BA26-9F0BDB4586ED}"/>
    <cellStyle name="Normal 2 3 2 2 4 3" xfId="5210" xr:uid="{DB037F35-B454-4CF7-9B2D-3EF409AF9DE2}"/>
    <cellStyle name="Normal 2 3 2 2 4 3 2" xfId="5211" xr:uid="{CE94D87B-10C1-4ED2-8A0E-B3EE3062025C}"/>
    <cellStyle name="Normal 2 3 2 2 4 3 2 2" xfId="5212" xr:uid="{29807B48-3E4B-4D3A-9104-6094455C7211}"/>
    <cellStyle name="Normal 2 3 2 2 4 3 3" xfId="5213" xr:uid="{CD177762-7D20-4704-B8E7-BD2F9A60B34F}"/>
    <cellStyle name="Normal 2 3 2 2 4 4" xfId="5214" xr:uid="{FFEE5C8A-FC9B-46C5-9370-C7DE4A7C6DB6}"/>
    <cellStyle name="Normal 2 3 2 2 4 4 2" xfId="5215" xr:uid="{555CE5D4-AAB0-4365-A856-3459AA42F582}"/>
    <cellStyle name="Normal 2 3 2 2 4 5" xfId="5216" xr:uid="{E83CEC5B-81CE-4724-82F4-1623F0AE367D}"/>
    <cellStyle name="Normal 2 3 2 2 5" xfId="5217" xr:uid="{01D3841E-455F-4948-855E-D258383E13E6}"/>
    <cellStyle name="Normal 2 3 2 2 5 2" xfId="5218" xr:uid="{7356C0F4-433A-46C3-8CAC-F74515BD01FA}"/>
    <cellStyle name="Normal 2 3 2 2 5 2 2" xfId="5219" xr:uid="{CC922A80-214F-452C-B1A9-FF4F806BA1A5}"/>
    <cellStyle name="Normal 2 3 2 2 5 3" xfId="5220" xr:uid="{AF10A3AC-CF85-44E3-B57C-1A6401C59014}"/>
    <cellStyle name="Normal 2 3 2 2 6" xfId="5221" xr:uid="{440A6037-8C2E-4F24-BEB6-974701ED3D67}"/>
    <cellStyle name="Normal 2 3 2 2 6 2" xfId="5222" xr:uid="{2DA98733-C864-4A74-B089-C2A9EF7CA819}"/>
    <cellStyle name="Normal 2 3 2 2 6 2 2" xfId="5223" xr:uid="{5E0FAB8A-2986-49B0-8AE8-848A79CD7BD6}"/>
    <cellStyle name="Normal 2 3 2 2 6 3" xfId="5224" xr:uid="{D6EE8001-ECF1-4641-8E82-549C40576B46}"/>
    <cellStyle name="Normal 2 3 2 2 7" xfId="5225" xr:uid="{4673F218-6614-4EB4-8FCC-F280F1D9D739}"/>
    <cellStyle name="Normal 2 3 2 2 7 2" xfId="5226" xr:uid="{ADD59421-A53B-476B-8FF9-32D3CA37B0B5}"/>
    <cellStyle name="Normal 2 3 2 2 8" xfId="5227" xr:uid="{4352FD18-A01D-4F2F-9DD2-102186AAAFEA}"/>
    <cellStyle name="Normal 2 3 2 3" xfId="5228" xr:uid="{10D8B506-1663-4101-A441-D4F484618A69}"/>
    <cellStyle name="Normal 2 3 2 3 2" xfId="5229" xr:uid="{C18E85E5-A57D-4D9A-92AA-BFDFAAFFDC63}"/>
    <cellStyle name="Normal 2 3 2 3 2 2" xfId="5230" xr:uid="{445150ED-8D5F-467E-8FF8-7A31072054B6}"/>
    <cellStyle name="Normal 2 3 2 3 2 2 2" xfId="5231" xr:uid="{DE5CC56C-C637-4FAD-BA62-48D7CBA6586A}"/>
    <cellStyle name="Normal 2 3 2 3 2 2 2 2" xfId="5232" xr:uid="{1D4F31E5-C0E7-4E0B-8B7E-3F1DDCEB50C1}"/>
    <cellStyle name="Normal 2 3 2 3 2 2 3" xfId="5233" xr:uid="{839D79E2-9479-4352-B868-2FA92DCC4174}"/>
    <cellStyle name="Normal 2 3 2 3 2 3" xfId="5234" xr:uid="{1AA22814-E2E7-4128-87E8-187D6CC9C564}"/>
    <cellStyle name="Normal 2 3 2 3 2 3 2" xfId="5235" xr:uid="{3FF20569-530A-4CBA-899C-A2F09FCF7245}"/>
    <cellStyle name="Normal 2 3 2 3 2 3 2 2" xfId="5236" xr:uid="{76B27507-C229-4984-B133-F767A0FDB231}"/>
    <cellStyle name="Normal 2 3 2 3 2 3 3" xfId="5237" xr:uid="{B9E6DA8C-700D-4DBB-BA9D-FC881E22E157}"/>
    <cellStyle name="Normal 2 3 2 3 2 4" xfId="5238" xr:uid="{324E1E35-0583-4755-A634-CB0EE00A3A32}"/>
    <cellStyle name="Normal 2 3 2 3 2 4 2" xfId="5239" xr:uid="{307BC163-2909-4D7E-AB34-1DB8CCC7A580}"/>
    <cellStyle name="Normal 2 3 2 3 2 5" xfId="5240" xr:uid="{AD667788-7649-41E2-A8A5-04DCADA7BA71}"/>
    <cellStyle name="Normal 2 3 2 3 3" xfId="5241" xr:uid="{FDA041D5-1D02-4EAA-A206-9EAA46669DFD}"/>
    <cellStyle name="Normal 2 3 2 3 3 2" xfId="5242" xr:uid="{CD5AE0C4-D6F7-4CCA-AFB4-A0FB0D342033}"/>
    <cellStyle name="Normal 2 3 2 3 3 2 2" xfId="5243" xr:uid="{D6B9D20B-23DD-40E4-B109-244A1FFEDD7D}"/>
    <cellStyle name="Normal 2 3 2 3 3 3" xfId="5244" xr:uid="{4D0F5656-296C-4380-8104-2BB97AF7169B}"/>
    <cellStyle name="Normal 2 3 2 3 4" xfId="5245" xr:uid="{AE3BA2F6-CC7A-47CD-A981-4D4325324EBA}"/>
    <cellStyle name="Normal 2 3 2 3 4 2" xfId="5246" xr:uid="{417A173C-DF8F-452C-A42C-4801158DD10D}"/>
    <cellStyle name="Normal 2 3 2 3 4 2 2" xfId="5247" xr:uid="{799A618A-1F41-41D7-974C-D81BE1D1CBCE}"/>
    <cellStyle name="Normal 2 3 2 3 4 3" xfId="5248" xr:uid="{7E775756-CF30-4F86-9B54-7B847BD68C13}"/>
    <cellStyle name="Normal 2 3 2 3 5" xfId="5249" xr:uid="{C0A85846-9E10-4FD3-AAD0-102D5312897D}"/>
    <cellStyle name="Normal 2 3 2 3 5 2" xfId="5250" xr:uid="{03E973CA-D127-487B-9824-B8415DF1AFAE}"/>
    <cellStyle name="Normal 2 3 2 3 6" xfId="5251" xr:uid="{FD1F05BC-3A10-49F8-B0B3-556D5319DE8E}"/>
    <cellStyle name="Normal 2 3 2 4" xfId="5252" xr:uid="{EA8D8E16-E18D-4084-A677-7483B6F39DCD}"/>
    <cellStyle name="Normal 2 3 2 4 2" xfId="5253" xr:uid="{14F82CBC-C840-417A-8AE8-8C89FC46FFE7}"/>
    <cellStyle name="Normal 2 3 2 4 2 2" xfId="5254" xr:uid="{1CF5A258-0D92-49EA-B3DF-693A895D3E85}"/>
    <cellStyle name="Normal 2 3 2 4 2 2 2" xfId="5255" xr:uid="{53D0C992-A22D-4A79-8B3B-5280B85208C5}"/>
    <cellStyle name="Normal 2 3 2 4 2 2 2 2" xfId="5256" xr:uid="{A7EDCAC9-F497-4AEF-8CB4-015DC787BABF}"/>
    <cellStyle name="Normal 2 3 2 4 2 2 3" xfId="5257" xr:uid="{9784CFCB-6B68-4DB8-951A-B289364A5ADF}"/>
    <cellStyle name="Normal 2 3 2 4 2 3" xfId="5258" xr:uid="{0D7AE1B4-737C-42C2-895F-07C85F16888C}"/>
    <cellStyle name="Normal 2 3 2 4 2 3 2" xfId="5259" xr:uid="{B1A25824-6226-4DF7-97A3-8C21BB866E69}"/>
    <cellStyle name="Normal 2 3 2 4 2 3 2 2" xfId="5260" xr:uid="{C7E97A70-F9F7-4F6E-A333-66CACF1BE576}"/>
    <cellStyle name="Normal 2 3 2 4 2 3 3" xfId="5261" xr:uid="{7F4A3E73-654B-4CD9-B20B-7A47ABA8DF06}"/>
    <cellStyle name="Normal 2 3 2 4 2 4" xfId="5262" xr:uid="{6075D49C-1893-4ABC-A127-9739363F4381}"/>
    <cellStyle name="Normal 2 3 2 4 2 4 2" xfId="5263" xr:uid="{3F22CE13-786F-4517-8A85-F2EDCCF4E9E4}"/>
    <cellStyle name="Normal 2 3 2 4 2 5" xfId="5264" xr:uid="{5E47F1AA-F05A-4A9E-B87E-6EC92F3DC5BA}"/>
    <cellStyle name="Normal 2 3 2 4 3" xfId="5265" xr:uid="{EEF48CC9-DC44-423A-A02A-D8B9861BC020}"/>
    <cellStyle name="Normal 2 3 2 4 3 2" xfId="5266" xr:uid="{7B9E2608-BFAD-4A0F-B622-5D8AFCF0FF42}"/>
    <cellStyle name="Normal 2 3 2 4 3 2 2" xfId="5267" xr:uid="{A6A8A07F-B5C0-4379-8617-BF10E7CCAF36}"/>
    <cellStyle name="Normal 2 3 2 4 3 3" xfId="5268" xr:uid="{BE23C728-F5D2-42B4-8DDC-3A377599BB19}"/>
    <cellStyle name="Normal 2 3 2 4 4" xfId="5269" xr:uid="{B16AA2BA-D2E3-40DD-A7C2-1DA435D3E9D1}"/>
    <cellStyle name="Normal 2 3 2 4 4 2" xfId="5270" xr:uid="{7D757D2B-7C01-4A96-B0E9-A59A667D0D7B}"/>
    <cellStyle name="Normal 2 3 2 4 4 2 2" xfId="5271" xr:uid="{0569A292-EEF1-42C7-BB17-A57997CDD19F}"/>
    <cellStyle name="Normal 2 3 2 4 4 3" xfId="5272" xr:uid="{863A1135-A00A-43F3-8949-44932D355993}"/>
    <cellStyle name="Normal 2 3 2 4 5" xfId="5273" xr:uid="{7A9511C1-E842-4D43-8193-E375083FA95A}"/>
    <cellStyle name="Normal 2 3 2 4 5 2" xfId="5274" xr:uid="{1A6A126A-72B4-40A6-A75A-E88851094AFF}"/>
    <cellStyle name="Normal 2 3 2 4 6" xfId="5275" xr:uid="{7EC4E626-AA0F-4BBC-93E8-30C484DC8AF4}"/>
    <cellStyle name="Normal 2 3 2 5" xfId="5276" xr:uid="{4FC2E616-C3D2-4980-8DD0-FDBC7FD4F3CB}"/>
    <cellStyle name="Normal 2 3 2 5 2" xfId="5277" xr:uid="{D1C2E70F-BDD7-4B63-9BC6-83163C26EB06}"/>
    <cellStyle name="Normal 2 3 2 5 2 2" xfId="5278" xr:uid="{617F4687-29F5-4F1E-8E47-26C2E3B99640}"/>
    <cellStyle name="Normal 2 3 2 5 2 2 2" xfId="5279" xr:uid="{588A746A-5AE2-4B13-8326-D4BE8D7F881C}"/>
    <cellStyle name="Normal 2 3 2 5 2 2 2 2" xfId="5280" xr:uid="{D64D6FC6-D976-48B5-9E68-D5FEC80A9616}"/>
    <cellStyle name="Normal 2 3 2 5 2 2 3" xfId="5281" xr:uid="{6FB42426-822B-43D7-88F4-07FE6F32F6CA}"/>
    <cellStyle name="Normal 2 3 2 5 2 3" xfId="5282" xr:uid="{33CECC31-CB32-4D02-BA93-576BB01E774F}"/>
    <cellStyle name="Normal 2 3 2 5 2 3 2" xfId="5283" xr:uid="{FDFA1D93-FE16-4320-A540-F5BCAAD3C2C8}"/>
    <cellStyle name="Normal 2 3 2 5 2 3 2 2" xfId="5284" xr:uid="{3EC9A207-5999-4822-8049-8104B4B55DFC}"/>
    <cellStyle name="Normal 2 3 2 5 2 3 3" xfId="5285" xr:uid="{0AD24CE7-6FA3-4420-BBBF-E56F04EBDB6C}"/>
    <cellStyle name="Normal 2 3 2 5 2 4" xfId="5286" xr:uid="{A24B9FD8-316B-4419-9658-596AA0154E3A}"/>
    <cellStyle name="Normal 2 3 2 5 2 4 2" xfId="5287" xr:uid="{238A2460-11AC-4E2E-ADA4-EB7EA98176F5}"/>
    <cellStyle name="Normal 2 3 2 5 2 5" xfId="5288" xr:uid="{064F4343-B08D-4D6F-9B54-0C786D580281}"/>
    <cellStyle name="Normal 2 3 2 5 3" xfId="5289" xr:uid="{54F62FD1-F930-4851-A9EE-D604BE407138}"/>
    <cellStyle name="Normal 2 3 2 5 3 2" xfId="5290" xr:uid="{9A3E5C72-7F2C-4026-9A05-E656CC6825D8}"/>
    <cellStyle name="Normal 2 3 2 5 3 2 2" xfId="5291" xr:uid="{1DC68670-8394-4BF9-90E1-F7561B96E1D1}"/>
    <cellStyle name="Normal 2 3 2 5 3 3" xfId="5292" xr:uid="{B1D18C01-2E11-4710-85CD-82DCD7AA1104}"/>
    <cellStyle name="Normal 2 3 2 5 4" xfId="5293" xr:uid="{5095385A-10EE-4CEC-BE53-9D815FE3958E}"/>
    <cellStyle name="Normal 2 3 2 5 4 2" xfId="5294" xr:uid="{71DAFC0D-7438-49A2-AAC5-9ABAF73AE3B4}"/>
    <cellStyle name="Normal 2 3 2 5 4 2 2" xfId="5295" xr:uid="{E3C7D2E9-E5DD-441C-B101-9BD1DC458C9A}"/>
    <cellStyle name="Normal 2 3 2 5 4 3" xfId="5296" xr:uid="{09F6E468-E0EE-474D-82FC-273D279EECDD}"/>
    <cellStyle name="Normal 2 3 2 5 5" xfId="5297" xr:uid="{33ECE9DE-CFDC-4433-9553-B3BF5F469F82}"/>
    <cellStyle name="Normal 2 3 2 5 5 2" xfId="5298" xr:uid="{8C87C91F-BFF0-43D8-A515-C08F7F2CC00A}"/>
    <cellStyle name="Normal 2 3 2 5 6" xfId="5299" xr:uid="{9BF59D2E-DB4D-4590-8886-33F4DC3DF311}"/>
    <cellStyle name="Normal 2 3 2 6" xfId="5300" xr:uid="{513A2A65-9ABB-46FB-95CC-E79BADFCEA14}"/>
    <cellStyle name="Normal 2 3 2 6 2" xfId="5301" xr:uid="{64B6804A-09FF-48D0-9170-801A3FB8188A}"/>
    <cellStyle name="Normal 2 3 2 6 2 2" xfId="5302" xr:uid="{9E8E3DC3-90CD-473A-AA39-D444D81084BC}"/>
    <cellStyle name="Normal 2 3 2 6 2 2 2" xfId="5303" xr:uid="{7D887B20-63E7-4740-8AD0-BFAFDC36065B}"/>
    <cellStyle name="Normal 2 3 2 6 2 2 2 2" xfId="5304" xr:uid="{17552537-F8F5-4814-A855-4B6E2370D5A3}"/>
    <cellStyle name="Normal 2 3 2 6 2 2 3" xfId="5305" xr:uid="{41E6109B-0938-4DD2-A632-4A6A2B2DA14E}"/>
    <cellStyle name="Normal 2 3 2 6 2 3" xfId="5306" xr:uid="{44F344E2-4EF8-40A4-B3E6-83EA1A361D83}"/>
    <cellStyle name="Normal 2 3 2 6 2 3 2" xfId="5307" xr:uid="{7DBEEDED-234D-4A35-80A8-DF825F5AC913}"/>
    <cellStyle name="Normal 2 3 2 6 2 3 2 2" xfId="5308" xr:uid="{788CA23F-B770-4D9C-B25E-9D203857E817}"/>
    <cellStyle name="Normal 2 3 2 6 2 3 3" xfId="5309" xr:uid="{4BC175D8-8D98-493D-B31D-C44E3B706297}"/>
    <cellStyle name="Normal 2 3 2 6 2 4" xfId="5310" xr:uid="{57E848BF-5DCF-4841-8A6A-157812E9D70A}"/>
    <cellStyle name="Normal 2 3 2 6 2 4 2" xfId="5311" xr:uid="{606368E6-2F9C-4407-B2A6-01B6FB3F9EE4}"/>
    <cellStyle name="Normal 2 3 2 6 2 5" xfId="5312" xr:uid="{7394BDC1-8393-497B-A54A-7793B07280FA}"/>
    <cellStyle name="Normal 2 3 2 6 3" xfId="5313" xr:uid="{8501F3D7-FB26-44D5-B12C-2D0CD9AD8A14}"/>
    <cellStyle name="Normal 2 3 2 6 3 2" xfId="5314" xr:uid="{25938CD5-FF18-4AD0-9CEA-F38A7A5155A2}"/>
    <cellStyle name="Normal 2 3 2 6 3 2 2" xfId="5315" xr:uid="{5E634141-0669-4A23-A0BF-BEB5C25EEF4F}"/>
    <cellStyle name="Normal 2 3 2 6 3 3" xfId="5316" xr:uid="{0367AA2D-9DC1-4197-BE88-A1FC20A4ADF7}"/>
    <cellStyle name="Normal 2 3 2 6 4" xfId="5317" xr:uid="{7AA5E3F0-2596-4974-8777-DFC0D4A2AA14}"/>
    <cellStyle name="Normal 2 3 2 6 4 2" xfId="5318" xr:uid="{0E169B83-399D-4EC3-94C5-80DB69CF63DC}"/>
    <cellStyle name="Normal 2 3 2 6 4 2 2" xfId="5319" xr:uid="{D00F5AC5-AF53-4831-BF3E-A5A0C496FDFE}"/>
    <cellStyle name="Normal 2 3 2 6 4 3" xfId="5320" xr:uid="{E870589D-75EC-4AAA-9C14-DC115C666881}"/>
    <cellStyle name="Normal 2 3 2 6 5" xfId="5321" xr:uid="{80D29FC7-2575-455B-94A4-C2AAC8913ED6}"/>
    <cellStyle name="Normal 2 3 2 6 5 2" xfId="5322" xr:uid="{73DDD24B-1736-493C-85D2-15C6BA9815E4}"/>
    <cellStyle name="Normal 2 3 2 6 6" xfId="5323" xr:uid="{5415D2A9-630D-4A15-ACAB-C6E15ECCD13F}"/>
    <cellStyle name="Normal 2 3 2 7" xfId="5324" xr:uid="{02EBD7EF-7F0C-43CE-A918-F606CC1DA907}"/>
    <cellStyle name="Normal 2 3 2 7 2" xfId="5325" xr:uid="{F2DC3FF8-6B08-4BD1-B4DD-E417AE3DF79A}"/>
    <cellStyle name="Normal 2 3 2 7 2 2" xfId="5326" xr:uid="{85623256-46E0-4EA9-BF39-F769CCC9213C}"/>
    <cellStyle name="Normal 2 3 2 7 2 2 2" xfId="5327" xr:uid="{84364C7F-160D-4FFD-A282-5655AF50E1D9}"/>
    <cellStyle name="Normal 2 3 2 7 2 3" xfId="5328" xr:uid="{8917860F-50F3-4F25-AA82-E030BCD220BD}"/>
    <cellStyle name="Normal 2 3 2 7 3" xfId="5329" xr:uid="{2BFB098C-F5B6-4EFC-A1FC-0D3A748FD151}"/>
    <cellStyle name="Normal 2 3 2 7 3 2" xfId="5330" xr:uid="{0492DBEF-BD55-496E-BA91-46283E6F79BD}"/>
    <cellStyle name="Normal 2 3 2 7 3 2 2" xfId="5331" xr:uid="{3EBBE33B-26F5-4DE0-A2E4-B559A4F67C18}"/>
    <cellStyle name="Normal 2 3 2 7 3 3" xfId="5332" xr:uid="{B42D52BF-0528-4B7F-9C61-0AA66FD5CA64}"/>
    <cellStyle name="Normal 2 3 2 7 4" xfId="5333" xr:uid="{F908E34B-164C-4F1E-B640-DAA0BD7BAA85}"/>
    <cellStyle name="Normal 2 3 2 7 4 2" xfId="5334" xr:uid="{B7031D22-2F48-491A-92D3-5FC148FDB6DD}"/>
    <cellStyle name="Normal 2 3 2 7 5" xfId="5335" xr:uid="{463A3287-323B-4DEE-927E-3CC0208DFEBB}"/>
    <cellStyle name="Normal 2 3 2 8" xfId="5336" xr:uid="{D242C115-B74D-4E82-975C-AB793C076D0F}"/>
    <cellStyle name="Normal 2 3 2 8 2" xfId="5337" xr:uid="{B79A6970-20DC-449C-82B0-6BF362411F1C}"/>
    <cellStyle name="Normal 2 3 2 8 2 2" xfId="5338" xr:uid="{8A77025C-B124-4696-B6FF-094790F49B01}"/>
    <cellStyle name="Normal 2 3 2 8 2 2 2" xfId="5339" xr:uid="{D03A0C5A-9367-4E29-ABD7-9D60C47CA421}"/>
    <cellStyle name="Normal 2 3 2 8 2 3" xfId="5340" xr:uid="{4EA58CA9-8D9E-4324-BD97-18DCACC210E3}"/>
    <cellStyle name="Normal 2 3 2 8 3" xfId="5341" xr:uid="{7490A517-266B-4E79-886C-66B2D8A54E15}"/>
    <cellStyle name="Normal 2 3 2 8 3 2" xfId="5342" xr:uid="{067C339E-69ED-4C38-90DD-12B043D400CF}"/>
    <cellStyle name="Normal 2 3 2 8 4" xfId="5343" xr:uid="{EE48782D-B976-4653-BCBA-E850D54BA0C4}"/>
    <cellStyle name="Normal 2 3 2 9" xfId="5344" xr:uid="{F865D0C0-C43F-405C-8031-89BC5C1EB038}"/>
    <cellStyle name="Normal 2 3 3" xfId="5345" xr:uid="{BDD8B882-0453-4310-9B0D-F0049082622C}"/>
    <cellStyle name="Normal 2 3 3 2" xfId="5346" xr:uid="{8DAB365D-3EA6-401E-AE69-B99C599E9402}"/>
    <cellStyle name="Normal 2 3 3 2 2" xfId="5347" xr:uid="{22BF7A4F-F95A-442D-94E4-E630967D6B12}"/>
    <cellStyle name="Normal 2 3 3 2 2 2" xfId="5348" xr:uid="{E8DEB459-99B8-41F8-96D7-4718C4A43080}"/>
    <cellStyle name="Normal 2 3 3 2 2 2 2" xfId="5349" xr:uid="{C788E6A2-8010-48E5-965E-1EA7899D80C1}"/>
    <cellStyle name="Normal 2 3 3 2 2 2 2 2" xfId="5350" xr:uid="{5BD8D54C-D254-4626-BF06-3D5F0B4000AF}"/>
    <cellStyle name="Normal 2 3 3 2 2 2 3" xfId="5351" xr:uid="{E8C91721-94DA-417A-BC88-E51168324883}"/>
    <cellStyle name="Normal 2 3 3 2 2 3" xfId="5352" xr:uid="{0765BBB1-91CF-44EE-B324-51D836DC1A23}"/>
    <cellStyle name="Normal 2 3 3 2 2 3 2" xfId="5353" xr:uid="{B97CB250-4FC9-4216-A4CD-50E947BEF4A4}"/>
    <cellStyle name="Normal 2 3 3 2 2 3 2 2" xfId="5354" xr:uid="{D51A33FE-4133-4698-B09B-414429DACF5E}"/>
    <cellStyle name="Normal 2 3 3 2 2 3 3" xfId="5355" xr:uid="{31AE854B-79C1-4B90-A6A6-0162B3EEAE3D}"/>
    <cellStyle name="Normal 2 3 3 2 2 4" xfId="5356" xr:uid="{DF34FA1E-D1CA-468F-A84B-94BAAA5CA7D5}"/>
    <cellStyle name="Normal 2 3 3 2 2 4 2" xfId="5357" xr:uid="{9027D6C9-0181-45D1-99ED-5B546D6D8701}"/>
    <cellStyle name="Normal 2 3 3 2 2 5" xfId="5358" xr:uid="{846AA7BB-D0A8-40F4-BA02-9E58CFF29E20}"/>
    <cellStyle name="Normal 2 3 3 2 3" xfId="5359" xr:uid="{AD4C39A6-DD8F-491B-A896-8CB1F600FBB3}"/>
    <cellStyle name="Normal 2 3 3 2 3 2" xfId="5360" xr:uid="{8BCE1C48-62EC-48EA-8160-85AE05824E8F}"/>
    <cellStyle name="Normal 2 3 3 2 3 2 2" xfId="5361" xr:uid="{F3CBC93F-86D1-464B-8388-9B8BB444C056}"/>
    <cellStyle name="Normal 2 3 3 2 3 3" xfId="5362" xr:uid="{6474224A-E0A3-40FE-B42A-F72C023A513C}"/>
    <cellStyle name="Normal 2 3 3 2 4" xfId="5363" xr:uid="{2707EE85-9AC1-4A1F-A14E-376BE3EB6055}"/>
    <cellStyle name="Normal 2 3 3 2 4 2" xfId="5364" xr:uid="{55BEB90B-EB22-492F-A604-42851C84F4F3}"/>
    <cellStyle name="Normal 2 3 3 2 4 2 2" xfId="5365" xr:uid="{0C101684-57DD-4E21-BC07-9511969ECB5C}"/>
    <cellStyle name="Normal 2 3 3 2 4 3" xfId="5366" xr:uid="{2C63753A-EA16-4232-B04F-1854D7D7C39B}"/>
    <cellStyle name="Normal 2 3 3 2 5" xfId="5367" xr:uid="{EFA35658-8B1E-42CD-842A-0D7F88AD609D}"/>
    <cellStyle name="Normal 2 3 3 2 5 2" xfId="5368" xr:uid="{A06F2949-450D-4ED3-B862-7D71A08C99A3}"/>
    <cellStyle name="Normal 2 3 3 2 6" xfId="5369" xr:uid="{AFD37B84-CFC4-472D-B36F-92ED9043C35A}"/>
    <cellStyle name="Normal 2 3 3 3" xfId="5370" xr:uid="{D82D8391-44A1-43BF-A861-F43F2D905342}"/>
    <cellStyle name="Normal 2 3 3 4" xfId="5371" xr:uid="{15626F66-2823-4A58-973B-9C72A1196E01}"/>
    <cellStyle name="Normal 2 3 3 5" xfId="5372" xr:uid="{B4C3A6E0-679D-4FE1-AADB-F4F2A627AB73}"/>
    <cellStyle name="Normal 2 3 4" xfId="5373" xr:uid="{26F9E7A7-67E8-4AA5-B49E-F7680D564A0A}"/>
    <cellStyle name="Normal 2 3 4 10" xfId="5374" xr:uid="{16E8D3D1-2439-4C9D-95DC-FF4B5457DB8A}"/>
    <cellStyle name="Normal 2 3 4 2" xfId="5375" xr:uid="{C0B6B968-83A6-429A-9F10-A02BDA7868AB}"/>
    <cellStyle name="Normal 2 3 4 2 2" xfId="5376" xr:uid="{D9D1DBE3-1898-44F2-9868-2217F1D12D6F}"/>
    <cellStyle name="Normal 2 3 4 2 2 2" xfId="5377" xr:uid="{A8906DC9-FA89-4DF0-88C7-5D1401D321AF}"/>
    <cellStyle name="Normal 2 3 4 2 2 2 2" xfId="5378" xr:uid="{5E8913C9-8344-498A-B11B-10889D847C23}"/>
    <cellStyle name="Normal 2 3 4 2 2 2 2 2" xfId="5379" xr:uid="{08065884-EF22-42EA-ABF0-5AF9BC16A93E}"/>
    <cellStyle name="Normal 2 3 4 2 2 2 2 2 2" xfId="5380" xr:uid="{E5F87B2B-19FA-4977-8623-CF88DB5FB61A}"/>
    <cellStyle name="Normal 2 3 4 2 2 2 2 3" xfId="5381" xr:uid="{D4741021-E2AB-4C3F-9FE7-841718672461}"/>
    <cellStyle name="Normal 2 3 4 2 2 2 3" xfId="5382" xr:uid="{C965F0D0-13FA-4AD1-BBF6-52E024422CBB}"/>
    <cellStyle name="Normal 2 3 4 2 2 2 3 2" xfId="5383" xr:uid="{96F72D8D-2173-4C98-8A94-06A1C96E2449}"/>
    <cellStyle name="Normal 2 3 4 2 2 2 3 2 2" xfId="5384" xr:uid="{72713F48-0644-477F-885E-076CEBEB8FEE}"/>
    <cellStyle name="Normal 2 3 4 2 2 2 3 3" xfId="5385" xr:uid="{B7139049-2506-4DD0-AB81-3DF5EFA1FBCD}"/>
    <cellStyle name="Normal 2 3 4 2 2 2 4" xfId="5386" xr:uid="{82462BF6-0EA2-44AE-BE4B-B230615A6A4F}"/>
    <cellStyle name="Normal 2 3 4 2 2 2 4 2" xfId="5387" xr:uid="{71A10B2F-969D-46D2-9CB2-9B10EE1DAFCB}"/>
    <cellStyle name="Normal 2 3 4 2 2 2 5" xfId="5388" xr:uid="{BE75833C-2297-4950-83E1-78EC8B25D0EE}"/>
    <cellStyle name="Normal 2 3 4 2 2 3" xfId="5389" xr:uid="{2605DDBE-9DEA-4ED1-A07B-82EE56FBBFEC}"/>
    <cellStyle name="Normal 2 3 4 2 2 3 2" xfId="5390" xr:uid="{BEF1C9BF-252A-47FF-9E91-F8EF70174843}"/>
    <cellStyle name="Normal 2 3 4 2 2 3 2 2" xfId="5391" xr:uid="{6DA3FD1C-CC4B-45A1-A9AC-23F0B1C4BDF3}"/>
    <cellStyle name="Normal 2 3 4 2 2 3 3" xfId="5392" xr:uid="{6EE80015-1FDA-4302-9C8D-B3158DB2B414}"/>
    <cellStyle name="Normal 2 3 4 2 2 4" xfId="5393" xr:uid="{BF88F9B9-42D1-4520-B22A-CAB7F8B32495}"/>
    <cellStyle name="Normal 2 3 4 2 2 4 2" xfId="5394" xr:uid="{A52C9BA1-E890-4367-91C8-7AE3CE3FE6C6}"/>
    <cellStyle name="Normal 2 3 4 2 2 4 2 2" xfId="5395" xr:uid="{409A3AF9-687B-421A-92AC-7BAD97EC68E9}"/>
    <cellStyle name="Normal 2 3 4 2 2 4 3" xfId="5396" xr:uid="{8C8DDFB4-545F-468E-877B-761E13183565}"/>
    <cellStyle name="Normal 2 3 4 2 2 5" xfId="5397" xr:uid="{990D3BA4-2B6C-48C2-9E00-3550CA131EAC}"/>
    <cellStyle name="Normal 2 3 4 2 2 5 2" xfId="5398" xr:uid="{F37091C8-0A8D-424B-A646-9E33EB941C7C}"/>
    <cellStyle name="Normal 2 3 4 2 2 6" xfId="5399" xr:uid="{E0CC24B9-04BD-4954-9A03-34EF515C62D6}"/>
    <cellStyle name="Normal 2 3 4 2 3" xfId="5400" xr:uid="{12056658-EE94-435A-AE7F-A44F88914558}"/>
    <cellStyle name="Normal 2 3 4 2 3 2" xfId="5401" xr:uid="{8FB21785-37FB-4535-8769-B05F3695BB4F}"/>
    <cellStyle name="Normal 2 3 4 2 3 2 2" xfId="5402" xr:uid="{0F2B271B-9A58-497D-A945-3B72954987D8}"/>
    <cellStyle name="Normal 2 3 4 2 3 2 2 2" xfId="5403" xr:uid="{DB81B438-57E3-4204-83D5-7D51B101BC7F}"/>
    <cellStyle name="Normal 2 3 4 2 3 2 3" xfId="5404" xr:uid="{CF94696C-A0F0-4F31-9713-9F7ACE43A7B8}"/>
    <cellStyle name="Normal 2 3 4 2 3 3" xfId="5405" xr:uid="{7A5E0571-EC0D-482C-AE71-0B2FF4A33A99}"/>
    <cellStyle name="Normal 2 3 4 2 3 3 2" xfId="5406" xr:uid="{E0A5B067-158C-4CE4-8E2E-9ABDBAB778C8}"/>
    <cellStyle name="Normal 2 3 4 2 3 3 2 2" xfId="5407" xr:uid="{23C68207-6C6D-462A-A700-07EC8A1C2D63}"/>
    <cellStyle name="Normal 2 3 4 2 3 3 3" xfId="5408" xr:uid="{875F0F32-42A9-402D-916D-0CDD9096B07B}"/>
    <cellStyle name="Normal 2 3 4 2 3 4" xfId="5409" xr:uid="{AF356F0E-ABE7-45E2-A324-FD6C4EE4021C}"/>
    <cellStyle name="Normal 2 3 4 2 3 4 2" xfId="5410" xr:uid="{24B143E6-0EEF-46FA-82F1-A3DAB259BF95}"/>
    <cellStyle name="Normal 2 3 4 2 3 5" xfId="5411" xr:uid="{49EA2996-F42F-4A9E-B715-7765D8B1DD72}"/>
    <cellStyle name="Normal 2 3 4 2 4" xfId="5412" xr:uid="{9ECAA4DE-7190-42E3-820C-F68DB5315126}"/>
    <cellStyle name="Normal 2 3 4 2 4 2" xfId="5413" xr:uid="{EBED52D6-E271-4F87-82AF-3FB1F93820D0}"/>
    <cellStyle name="Normal 2 3 4 2 4 2 2" xfId="5414" xr:uid="{583FF2FE-E0D3-4BBF-81DC-A325D52EF337}"/>
    <cellStyle name="Normal 2 3 4 2 4 3" xfId="5415" xr:uid="{A6146325-779F-4A3B-93C4-4732BCB0676D}"/>
    <cellStyle name="Normal 2 3 4 2 5" xfId="5416" xr:uid="{66ADB357-F4C4-4CD6-9DFB-F8EFBCEE95AA}"/>
    <cellStyle name="Normal 2 3 4 2 5 2" xfId="5417" xr:uid="{BFEFE145-EBA9-478E-957F-E6979ABCBE8A}"/>
    <cellStyle name="Normal 2 3 4 2 5 2 2" xfId="5418" xr:uid="{B9598B87-88C4-4C4A-8406-19FF2632DB20}"/>
    <cellStyle name="Normal 2 3 4 2 5 3" xfId="5419" xr:uid="{E91BE9FD-C45C-4F5A-9B7B-24639F08FFFB}"/>
    <cellStyle name="Normal 2 3 4 2 6" xfId="5420" xr:uid="{BDA2D515-60DF-44DB-B7B7-73E95F1184DE}"/>
    <cellStyle name="Normal 2 3 4 2 6 2" xfId="5421" xr:uid="{17944919-FD51-4C96-8C3F-05233CC83080}"/>
    <cellStyle name="Normal 2 3 4 2 7" xfId="5422" xr:uid="{555F7C12-8A30-4BAC-B3D9-3E07F069BB81}"/>
    <cellStyle name="Normal 2 3 4 3" xfId="5423" xr:uid="{7745B7F4-9F2D-47CB-9200-A7AAC61E08B0}"/>
    <cellStyle name="Normal 2 3 4 3 2" xfId="5424" xr:uid="{08E7EE09-086C-42AF-B227-CC8C9EDACD3F}"/>
    <cellStyle name="Normal 2 3 4 3 2 2" xfId="5425" xr:uid="{8CE74131-F7B4-4080-9ACC-E40F0B6418DD}"/>
    <cellStyle name="Normal 2 3 4 3 2 2 2" xfId="5426" xr:uid="{1FC4249D-0674-4AEB-810C-123A14BD3B5E}"/>
    <cellStyle name="Normal 2 3 4 3 2 2 2 2" xfId="5427" xr:uid="{BC6891DD-1E9E-4341-9FB0-1941915B28E1}"/>
    <cellStyle name="Normal 2 3 4 3 2 2 3" xfId="5428" xr:uid="{221BE02A-DE6D-4F78-9D95-1BD763A58046}"/>
    <cellStyle name="Normal 2 3 4 3 2 3" xfId="5429" xr:uid="{16B49184-9133-4BBF-93B7-95BEDBA989B1}"/>
    <cellStyle name="Normal 2 3 4 3 2 3 2" xfId="5430" xr:uid="{693DB2D8-D6BC-4A40-919A-BC1588D4850F}"/>
    <cellStyle name="Normal 2 3 4 3 2 3 2 2" xfId="5431" xr:uid="{FCE5439C-9FEC-4B5C-9233-B11C90E8D225}"/>
    <cellStyle name="Normal 2 3 4 3 2 3 3" xfId="5432" xr:uid="{A99FB508-D864-4FD9-AB05-F6E278F6FBDB}"/>
    <cellStyle name="Normal 2 3 4 3 2 4" xfId="5433" xr:uid="{CDFD2359-ECA0-4615-81AC-D805A88B67A0}"/>
    <cellStyle name="Normal 2 3 4 3 2 4 2" xfId="5434" xr:uid="{9FFDA8C5-6818-4FB5-9C3A-716CB9F65CCC}"/>
    <cellStyle name="Normal 2 3 4 3 2 5" xfId="5435" xr:uid="{4029A16A-B21D-4D41-9FB7-68D9DBE45C06}"/>
    <cellStyle name="Normal 2 3 4 3 3" xfId="5436" xr:uid="{361CB526-5D4D-467C-B88A-F050AD048B2C}"/>
    <cellStyle name="Normal 2 3 4 3 3 2" xfId="5437" xr:uid="{2168BE79-2A1B-4601-8B2E-19942DD73BF4}"/>
    <cellStyle name="Normal 2 3 4 3 3 2 2" xfId="5438" xr:uid="{FC8FEE83-0A7F-4ECF-B199-CF4CEFFA8929}"/>
    <cellStyle name="Normal 2 3 4 3 3 3" xfId="5439" xr:uid="{05141DB2-2FDB-4A63-BC3F-BC70F27A89CF}"/>
    <cellStyle name="Normal 2 3 4 3 4" xfId="5440" xr:uid="{A03B7A8B-3762-4793-AA8A-456291DB4538}"/>
    <cellStyle name="Normal 2 3 4 3 4 2" xfId="5441" xr:uid="{499E2C4D-6FF2-4C15-8331-C6762559C7BB}"/>
    <cellStyle name="Normal 2 3 4 3 4 2 2" xfId="5442" xr:uid="{B4AA657F-E756-4F0E-BE73-5B269DC29664}"/>
    <cellStyle name="Normal 2 3 4 3 4 3" xfId="5443" xr:uid="{4D0C3267-EA80-40E9-81B4-BAB45181658F}"/>
    <cellStyle name="Normal 2 3 4 3 5" xfId="5444" xr:uid="{45288680-4A69-4B6B-8378-8C5CA63F5265}"/>
    <cellStyle name="Normal 2 3 4 3 5 2" xfId="5445" xr:uid="{0BDCE96F-F7E1-4AD1-A1C2-4D5F51FA9530}"/>
    <cellStyle name="Normal 2 3 4 3 6" xfId="5446" xr:uid="{2E66A236-A3D8-4FF1-B3E5-C01DB2E4D972}"/>
    <cellStyle name="Normal 2 3 4 4" xfId="5447" xr:uid="{6FEC6729-840A-49AB-BCB3-5E99EAC76277}"/>
    <cellStyle name="Normal 2 3 4 4 2" xfId="5448" xr:uid="{74174B07-9456-45BE-9DFB-44C36ED62CEF}"/>
    <cellStyle name="Normal 2 3 4 4 2 2" xfId="5449" xr:uid="{A98354F6-DEDD-49DA-93D4-E3947A428C85}"/>
    <cellStyle name="Normal 2 3 4 4 2 2 2" xfId="5450" xr:uid="{ED37FAC8-B009-4546-97E0-EB7B17AE43E9}"/>
    <cellStyle name="Normal 2 3 4 4 2 2 2 2" xfId="5451" xr:uid="{006BF33D-C079-44D6-A8FF-6E4BAC827DE3}"/>
    <cellStyle name="Normal 2 3 4 4 2 2 3" xfId="5452" xr:uid="{70327519-3610-4437-9E24-04147F750211}"/>
    <cellStyle name="Normal 2 3 4 4 2 3" xfId="5453" xr:uid="{303A9288-E9D4-438B-A51B-B86A6FCA5F4E}"/>
    <cellStyle name="Normal 2 3 4 4 2 3 2" xfId="5454" xr:uid="{8A4387A0-DE88-473F-99D0-CAF96E00C2AD}"/>
    <cellStyle name="Normal 2 3 4 4 2 3 2 2" xfId="5455" xr:uid="{F4C4C2BE-9919-453B-BBC3-2CC4B1ECDACA}"/>
    <cellStyle name="Normal 2 3 4 4 2 3 3" xfId="5456" xr:uid="{291B3510-9C1C-4643-8BE0-ECDDA8D447CD}"/>
    <cellStyle name="Normal 2 3 4 4 2 4" xfId="5457" xr:uid="{E4138CFD-68AE-41A2-B5F1-2D7C3ED7DC9A}"/>
    <cellStyle name="Normal 2 3 4 4 2 4 2" xfId="5458" xr:uid="{B09E8BD3-ECD8-404E-9857-1FDFEC484E5A}"/>
    <cellStyle name="Normal 2 3 4 4 2 5" xfId="5459" xr:uid="{C477AC8F-08AC-4670-B248-6015C7A2FCBD}"/>
    <cellStyle name="Normal 2 3 4 4 3" xfId="5460" xr:uid="{93936B90-87A6-4279-B4B9-318011DFEC34}"/>
    <cellStyle name="Normal 2 3 4 4 3 2" xfId="5461" xr:uid="{A59E8F5D-782E-4775-B6A0-620E0A113408}"/>
    <cellStyle name="Normal 2 3 4 4 3 2 2" xfId="5462" xr:uid="{D3F41494-14BF-4425-82D4-FB4DD81918BF}"/>
    <cellStyle name="Normal 2 3 4 4 3 3" xfId="5463" xr:uid="{542C9D46-4A0F-444A-9D4C-EDCFCAE47C57}"/>
    <cellStyle name="Normal 2 3 4 4 4" xfId="5464" xr:uid="{B1320A0A-4186-44A1-82EC-B664466F80E7}"/>
    <cellStyle name="Normal 2 3 4 4 4 2" xfId="5465" xr:uid="{C60C27F9-7BD0-461D-A7FD-D9BEE161FA28}"/>
    <cellStyle name="Normal 2 3 4 4 4 2 2" xfId="5466" xr:uid="{7D0E19C9-1F28-4A47-B3C4-CC7E8E1032C3}"/>
    <cellStyle name="Normal 2 3 4 4 4 3" xfId="5467" xr:uid="{0C73D292-2180-4635-971A-E5AAEE752B13}"/>
    <cellStyle name="Normal 2 3 4 4 5" xfId="5468" xr:uid="{B2985725-343A-4893-A53E-D0FF2F106657}"/>
    <cellStyle name="Normal 2 3 4 4 5 2" xfId="5469" xr:uid="{3977E005-0BA6-4A97-8956-8914B15DE4F6}"/>
    <cellStyle name="Normal 2 3 4 4 6" xfId="5470" xr:uid="{B4DF3E9E-9264-45D3-9669-A746A1E6CEF4}"/>
    <cellStyle name="Normal 2 3 4 5" xfId="5471" xr:uid="{0DDEB014-C9D4-479A-AFAE-E6A5DF599100}"/>
    <cellStyle name="Normal 2 3 4 5 2" xfId="5472" xr:uid="{B26A68F8-1508-4A68-998F-C880790CB132}"/>
    <cellStyle name="Normal 2 3 4 5 2 2" xfId="5473" xr:uid="{F9FF91FF-C2D1-4656-B027-AB6C027DD900}"/>
    <cellStyle name="Normal 2 3 4 5 2 2 2" xfId="5474" xr:uid="{1F665674-02CA-45B2-A12C-C32F6623A601}"/>
    <cellStyle name="Normal 2 3 4 5 2 2 2 2" xfId="5475" xr:uid="{B2E18264-8911-4664-A9F3-36CDE86C7794}"/>
    <cellStyle name="Normal 2 3 4 5 2 2 3" xfId="5476" xr:uid="{85348D56-8711-4641-8AB2-DEBC82D2A0A9}"/>
    <cellStyle name="Normal 2 3 4 5 2 3" xfId="5477" xr:uid="{68A12783-FF2E-4C26-93C3-F9B2AA837554}"/>
    <cellStyle name="Normal 2 3 4 5 2 3 2" xfId="5478" xr:uid="{AF10A89C-6C59-4CE0-84BE-4D707EDC54A6}"/>
    <cellStyle name="Normal 2 3 4 5 2 3 2 2" xfId="5479" xr:uid="{455BF163-E918-4C38-A551-486F4A8F847D}"/>
    <cellStyle name="Normal 2 3 4 5 2 3 3" xfId="5480" xr:uid="{AA090274-F530-408C-8FC6-4896C1C5049C}"/>
    <cellStyle name="Normal 2 3 4 5 2 4" xfId="5481" xr:uid="{C347E80E-D884-4AA7-A7FB-A9022A755209}"/>
    <cellStyle name="Normal 2 3 4 5 2 4 2" xfId="5482" xr:uid="{928509AC-23CD-4A01-8B69-C81AA6612F12}"/>
    <cellStyle name="Normal 2 3 4 5 2 5" xfId="5483" xr:uid="{2F962536-3A5D-4B79-97EC-B1675C234555}"/>
    <cellStyle name="Normal 2 3 4 5 3" xfId="5484" xr:uid="{7E42368F-E46E-4FFC-BA6A-08349AEA0C80}"/>
    <cellStyle name="Normal 2 3 4 5 3 2" xfId="5485" xr:uid="{73888C9F-314C-4FAC-A6B9-F396862C0357}"/>
    <cellStyle name="Normal 2 3 4 5 3 2 2" xfId="5486" xr:uid="{B0548B4E-9CE3-4B2F-9C4A-3891EB93BC48}"/>
    <cellStyle name="Normal 2 3 4 5 3 3" xfId="5487" xr:uid="{5214F93A-E528-48CC-A1E5-A6B1214FBB69}"/>
    <cellStyle name="Normal 2 3 4 5 4" xfId="5488" xr:uid="{2B502BAB-061A-4D50-BF3F-C4F3BA59B326}"/>
    <cellStyle name="Normal 2 3 4 5 4 2" xfId="5489" xr:uid="{47B5BCB2-1E01-4754-94CF-533CAC8E203F}"/>
    <cellStyle name="Normal 2 3 4 5 4 2 2" xfId="5490" xr:uid="{1D96C60E-1BC9-48E1-820E-FC4222A0F28F}"/>
    <cellStyle name="Normal 2 3 4 5 4 3" xfId="5491" xr:uid="{33444EA7-C60A-452B-96E6-0F5776A525D3}"/>
    <cellStyle name="Normal 2 3 4 5 5" xfId="5492" xr:uid="{574CEFC2-DC9C-4B67-9A8F-7A111125CB4A}"/>
    <cellStyle name="Normal 2 3 4 5 5 2" xfId="5493" xr:uid="{2513ABA2-E955-41E1-AE6D-6A60CBF204A6}"/>
    <cellStyle name="Normal 2 3 4 5 6" xfId="5494" xr:uid="{BD0D03E3-F8D0-4806-B9F3-42F9C61DF6B2}"/>
    <cellStyle name="Normal 2 3 4 6" xfId="5495" xr:uid="{0502016A-7DE5-4A49-982D-333F21B640D6}"/>
    <cellStyle name="Normal 2 3 4 6 2" xfId="5496" xr:uid="{F240D2F2-9303-4F7B-A7A5-B0DF53401CAB}"/>
    <cellStyle name="Normal 2 3 4 6 2 2" xfId="5497" xr:uid="{A1D6EA4F-6A81-4396-9F5C-FC470854584E}"/>
    <cellStyle name="Normal 2 3 4 6 2 2 2" xfId="5498" xr:uid="{53BFA8E9-033E-49ED-A026-6714DFCA39D1}"/>
    <cellStyle name="Normal 2 3 4 6 2 3" xfId="5499" xr:uid="{E479DB12-3CEE-4B15-9F17-CB776586E41C}"/>
    <cellStyle name="Normal 2 3 4 6 3" xfId="5500" xr:uid="{37F8C7DB-151D-4FBE-B43C-739514F45BB4}"/>
    <cellStyle name="Normal 2 3 4 6 3 2" xfId="5501" xr:uid="{A598C2D5-C0AB-403A-B0E7-A06F160EB782}"/>
    <cellStyle name="Normal 2 3 4 6 3 2 2" xfId="5502" xr:uid="{03484BE5-3D06-4538-99BE-8087C02997F2}"/>
    <cellStyle name="Normal 2 3 4 6 3 3" xfId="5503" xr:uid="{B18FD0D4-35AC-4899-BEEC-BF63EBF57619}"/>
    <cellStyle name="Normal 2 3 4 6 4" xfId="5504" xr:uid="{CC6EEB48-76BD-43DC-95DB-9DE89F4EA4C7}"/>
    <cellStyle name="Normal 2 3 4 6 4 2" xfId="5505" xr:uid="{14893351-49C2-452F-A639-A8F69AF3713F}"/>
    <cellStyle name="Normal 2 3 4 6 5" xfId="5506" xr:uid="{BC10DBAC-4AC0-4CED-A503-768100DB8701}"/>
    <cellStyle name="Normal 2 3 4 7" xfId="5507" xr:uid="{820B11FD-F85A-47ED-89B9-DB89D4501EF1}"/>
    <cellStyle name="Normal 2 3 4 7 2" xfId="5508" xr:uid="{D6DE4256-C89E-4070-847A-B3237E25C720}"/>
    <cellStyle name="Normal 2 3 4 7 2 2" xfId="5509" xr:uid="{39BEF361-7072-4A73-8B4C-62BF4BA133CB}"/>
    <cellStyle name="Normal 2 3 4 7 2 2 2" xfId="5510" xr:uid="{C49FDED7-1C4B-49F8-A517-0AD881C147EC}"/>
    <cellStyle name="Normal 2 3 4 7 2 3" xfId="5511" xr:uid="{B1F0A7AB-D4D2-4B6C-B8C9-33525E58984B}"/>
    <cellStyle name="Normal 2 3 4 7 3" xfId="5512" xr:uid="{915EA8EE-81B0-421F-85FB-EBC1BCDDE52E}"/>
    <cellStyle name="Normal 2 3 4 7 3 2" xfId="5513" xr:uid="{DA86E323-9BF7-45A2-B0C1-514966F6D71E}"/>
    <cellStyle name="Normal 2 3 4 7 4" xfId="5514" xr:uid="{09FC7873-C02C-4851-A706-DB956ACF9F5B}"/>
    <cellStyle name="Normal 2 3 4 8" xfId="5515" xr:uid="{123553C3-0E66-454D-99B8-DF530B3AA043}"/>
    <cellStyle name="Normal 2 3 4 9" xfId="5516" xr:uid="{2DB79B6D-1532-4AE7-A2EF-233DD9EF9219}"/>
    <cellStyle name="Normal 2 3 4 9 2" xfId="5517" xr:uid="{AF6FE1C4-E5DE-4735-81DC-2FA9B2130F83}"/>
    <cellStyle name="Normal 2 3 5" xfId="5518" xr:uid="{202640EF-A42C-4D6D-8322-CD99FB404DAD}"/>
    <cellStyle name="Normal 2 3 5 2" xfId="5519" xr:uid="{C8301B6F-C6B9-4B1A-97DE-2F152995FC5F}"/>
    <cellStyle name="Normal 2 3 5 2 2" xfId="5520" xr:uid="{7FE9F091-4001-4FA0-94AC-A31A8D650D7B}"/>
    <cellStyle name="Normal 2 3 5 2 2 2" xfId="5521" xr:uid="{CB2E2771-FE88-45FB-AE29-C342928DA2C9}"/>
    <cellStyle name="Normal 2 3 5 2 2 2 2" xfId="5522" xr:uid="{A4603B51-C183-4DFE-B086-E14B01E17DC3}"/>
    <cellStyle name="Normal 2 3 5 2 2 2 2 2" xfId="5523" xr:uid="{14A4EB95-26D2-4C8C-BACA-C1AD00B40F96}"/>
    <cellStyle name="Normal 2 3 5 2 2 2 3" xfId="5524" xr:uid="{23ABB1E9-3141-441F-B7BD-7EC302B3CE48}"/>
    <cellStyle name="Normal 2 3 5 2 2 3" xfId="5525" xr:uid="{5E0023AC-4A50-47B7-BD0A-58F1A8BA7439}"/>
    <cellStyle name="Normal 2 3 5 2 2 3 2" xfId="5526" xr:uid="{7BF1DF1C-A8D1-4EE3-8F23-993EA95A3712}"/>
    <cellStyle name="Normal 2 3 5 2 2 3 2 2" xfId="5527" xr:uid="{8023E886-0492-41C2-9DD3-E9285CDCFDA6}"/>
    <cellStyle name="Normal 2 3 5 2 2 3 3" xfId="5528" xr:uid="{42B80A20-1C16-4254-B83C-AAC80E0E9BBE}"/>
    <cellStyle name="Normal 2 3 5 2 2 4" xfId="5529" xr:uid="{408F0DB8-E134-4D50-B44E-1004B4C04F67}"/>
    <cellStyle name="Normal 2 3 5 2 2 4 2" xfId="5530" xr:uid="{289F3905-E413-4564-A480-A7125ACC63D3}"/>
    <cellStyle name="Normal 2 3 5 2 2 5" xfId="5531" xr:uid="{D2B5614C-5AC1-4F0E-BB09-D379A03293D3}"/>
    <cellStyle name="Normal 2 3 5 2 3" xfId="5532" xr:uid="{57814537-EADB-4092-B79A-62F3C4D22BEA}"/>
    <cellStyle name="Normal 2 3 5 2 3 2" xfId="5533" xr:uid="{EA8A7747-9303-4D82-9D33-01C76A52340F}"/>
    <cellStyle name="Normal 2 3 5 2 3 2 2" xfId="5534" xr:uid="{B1B32DB5-06BD-4479-B93D-16FE0A7F49F0}"/>
    <cellStyle name="Normal 2 3 5 2 3 3" xfId="5535" xr:uid="{DD7F296F-6C6E-421B-AA57-C01FFF2248F3}"/>
    <cellStyle name="Normal 2 3 5 2 4" xfId="5536" xr:uid="{83BF633C-6334-4F25-BA77-6E870FA26690}"/>
    <cellStyle name="Normal 2 3 5 2 4 2" xfId="5537" xr:uid="{3BE65FAE-5256-442D-A40C-410A6BED4C92}"/>
    <cellStyle name="Normal 2 3 5 2 4 2 2" xfId="5538" xr:uid="{85FF2A69-6248-479E-AA7E-FF116F4C10C2}"/>
    <cellStyle name="Normal 2 3 5 2 4 3" xfId="5539" xr:uid="{6656FD3D-2655-40F8-80F5-5099446E9C70}"/>
    <cellStyle name="Normal 2 3 5 2 5" xfId="5540" xr:uid="{E2770893-4C6F-4A35-BA1D-A6941EE83E87}"/>
    <cellStyle name="Normal 2 3 5 2 5 2" xfId="5541" xr:uid="{B0315C8B-61CC-4CAB-8E0C-95736C3F5229}"/>
    <cellStyle name="Normal 2 3 5 2 6" xfId="5542" xr:uid="{6CCCB7F4-B6D6-46BF-AFF3-2D6C17828B34}"/>
    <cellStyle name="Normal 2 3 5 3" xfId="5543" xr:uid="{223DBB73-50EE-442A-BC5E-A693A4AF05FF}"/>
    <cellStyle name="Normal 2 3 5 3 2" xfId="5544" xr:uid="{AE81CF6C-ACFF-4D85-894E-7660E929F72F}"/>
    <cellStyle name="Normal 2 3 5 3 2 2" xfId="5545" xr:uid="{D32F9D7F-9BB6-44A0-AE41-6E16AF8948B9}"/>
    <cellStyle name="Normal 2 3 5 3 2 2 2" xfId="5546" xr:uid="{ABE9B479-E71A-4E01-8CC9-56E50CE0678C}"/>
    <cellStyle name="Normal 2 3 5 3 2 2 2 2" xfId="5547" xr:uid="{72D22A0E-7D77-4BD3-8662-D02E4EC0ECF7}"/>
    <cellStyle name="Normal 2 3 5 3 2 2 3" xfId="5548" xr:uid="{565D82D7-A8A0-4B67-A985-FBDE1E73D3BA}"/>
    <cellStyle name="Normal 2 3 5 3 2 3" xfId="5549" xr:uid="{A3818137-FF9E-4D89-B3B1-ECDC64C67031}"/>
    <cellStyle name="Normal 2 3 5 3 2 3 2" xfId="5550" xr:uid="{917EC099-2AB7-4620-BD03-D61CCC0E3FA8}"/>
    <cellStyle name="Normal 2 3 5 3 2 3 2 2" xfId="5551" xr:uid="{C2DD904F-365E-4E4F-9377-38E97E5E15D5}"/>
    <cellStyle name="Normal 2 3 5 3 2 3 3" xfId="5552" xr:uid="{7A475E65-211E-4B4B-BBE5-D9ECF4BB4A3E}"/>
    <cellStyle name="Normal 2 3 5 3 2 4" xfId="5553" xr:uid="{24921688-2EB1-4853-AED6-ED4B06E67AA4}"/>
    <cellStyle name="Normal 2 3 5 3 2 4 2" xfId="5554" xr:uid="{A679BAEB-576B-4B46-BC89-E675DAAD43F9}"/>
    <cellStyle name="Normal 2 3 5 3 2 5" xfId="5555" xr:uid="{6107D773-255B-45C9-AAB4-0B28D6CD0DCE}"/>
    <cellStyle name="Normal 2 3 5 3 3" xfId="5556" xr:uid="{7686A13D-C468-407C-BFA0-AE89A1750358}"/>
    <cellStyle name="Normal 2 3 5 3 3 2" xfId="5557" xr:uid="{592A2AB1-6BA8-4F71-9555-E76D9C9C88B7}"/>
    <cellStyle name="Normal 2 3 5 3 3 2 2" xfId="5558" xr:uid="{16926427-5D72-405B-B45E-68207396D355}"/>
    <cellStyle name="Normal 2 3 5 3 3 3" xfId="5559" xr:uid="{62C49793-6DBB-4070-A8F1-EE47BEA9E0A7}"/>
    <cellStyle name="Normal 2 3 5 3 4" xfId="5560" xr:uid="{E67434EB-17CE-452A-A494-BDA47D63B915}"/>
    <cellStyle name="Normal 2 3 5 3 4 2" xfId="5561" xr:uid="{7CD62AAB-CAF3-4703-B3AD-E179FCF86C46}"/>
    <cellStyle name="Normal 2 3 5 3 4 2 2" xfId="5562" xr:uid="{283FECE0-02DA-4E36-82B4-0E35AFA39C9B}"/>
    <cellStyle name="Normal 2 3 5 3 4 3" xfId="5563" xr:uid="{B5A3ACCD-7019-4460-8E00-E7E9D23FDC16}"/>
    <cellStyle name="Normal 2 3 5 3 5" xfId="5564" xr:uid="{24683310-CAF8-40DC-93F1-DDA5E4EC656A}"/>
    <cellStyle name="Normal 2 3 5 3 5 2" xfId="5565" xr:uid="{25682A28-D4C5-4002-8AC1-9F3B8D2DE963}"/>
    <cellStyle name="Normal 2 3 5 3 6" xfId="5566" xr:uid="{F4DA4757-3474-4D06-A0BE-75D65C7F7287}"/>
    <cellStyle name="Normal 2 3 5 4" xfId="5567" xr:uid="{5737DC99-E18B-494F-9904-B7256537CAFC}"/>
    <cellStyle name="Normal 2 3 5 4 2" xfId="5568" xr:uid="{3844ACBA-1830-4DBE-B274-D77F78CCA6D7}"/>
    <cellStyle name="Normal 2 3 5 4 2 2" xfId="5569" xr:uid="{AD1CFD91-E5D7-4C26-870B-6E491ED25BFB}"/>
    <cellStyle name="Normal 2 3 5 4 2 2 2" xfId="5570" xr:uid="{1939FAC8-2698-4CE5-B235-CBD0EAF6C4A5}"/>
    <cellStyle name="Normal 2 3 5 4 2 3" xfId="5571" xr:uid="{A699402A-9A7A-4873-A8A0-1F7BBBB6D3E3}"/>
    <cellStyle name="Normal 2 3 5 4 3" xfId="5572" xr:uid="{EA4642ED-6509-4157-A067-5C637F92F624}"/>
    <cellStyle name="Normal 2 3 5 4 3 2" xfId="5573" xr:uid="{969012F8-C98B-475F-8296-29E9D7953B2A}"/>
    <cellStyle name="Normal 2 3 5 4 3 2 2" xfId="5574" xr:uid="{FB237A6B-411F-4A1C-8311-4E0D1ABF84C1}"/>
    <cellStyle name="Normal 2 3 5 4 3 3" xfId="5575" xr:uid="{7A1C109A-1E25-49CE-B991-A1FCCBAE14B4}"/>
    <cellStyle name="Normal 2 3 5 4 4" xfId="5576" xr:uid="{F85E2BAC-B777-4E95-98CC-836F6A60FAC2}"/>
    <cellStyle name="Normal 2 3 5 4 4 2" xfId="5577" xr:uid="{96ECDE01-56E6-47E6-BF04-BF59CED6A39E}"/>
    <cellStyle name="Normal 2 3 5 4 5" xfId="5578" xr:uid="{5924CA35-8869-4DBC-877F-069FDB2914C9}"/>
    <cellStyle name="Normal 2 3 5 5" xfId="5579" xr:uid="{C6B24BF2-0F0D-4E9A-B339-F46A3C541D49}"/>
    <cellStyle name="Normal 2 3 5 5 2" xfId="5580" xr:uid="{A48EE9F0-8B0A-43F4-BA18-551816D218B9}"/>
    <cellStyle name="Normal 2 3 5 5 2 2" xfId="5581" xr:uid="{FD5464BC-72D6-4984-B9F4-134E423703C9}"/>
    <cellStyle name="Normal 2 3 5 5 2 2 2" xfId="5582" xr:uid="{E4FB644B-9291-4CDC-AA0E-846E9E9A1A9E}"/>
    <cellStyle name="Normal 2 3 5 5 2 3" xfId="5583" xr:uid="{886D28C4-66C1-4777-B2F4-FEA90F736ED6}"/>
    <cellStyle name="Normal 2 3 5 5 3" xfId="5584" xr:uid="{1C1CDE2C-AEC1-4FAA-B5DC-24F2DB9EE607}"/>
    <cellStyle name="Normal 2 3 5 5 3 2" xfId="5585" xr:uid="{8BBDE179-B99D-42C8-90B2-DDDBA49909E7}"/>
    <cellStyle name="Normal 2 3 5 5 4" xfId="5586" xr:uid="{BB925E78-F360-4C66-AEF9-32A452603BC6}"/>
    <cellStyle name="Normal 2 3 5 6" xfId="5587" xr:uid="{D7DCC9D9-8906-4D99-B882-BD4A8D670ACD}"/>
    <cellStyle name="Normal 2 3 5 7" xfId="5588" xr:uid="{220D6345-6F9C-47D9-B286-5ED9FA5D4D35}"/>
    <cellStyle name="Normal 2 3 5 7 2" xfId="5589" xr:uid="{A4E9DF5D-1DCF-46B6-AAA1-C3F5F5559A9C}"/>
    <cellStyle name="Normal 2 3 5 8" xfId="5590" xr:uid="{1A27FAEC-4E17-4736-8ED1-004A8DF6215F}"/>
    <cellStyle name="Normal 2 3 6" xfId="5591" xr:uid="{4F65946B-6EE5-4B0E-AC1D-5C4FF8A081FF}"/>
    <cellStyle name="Normal 2 3 6 2" xfId="5592" xr:uid="{51ACE117-3089-4C95-9412-6CB46B68E933}"/>
    <cellStyle name="Normal 2 3 6 3" xfId="5593" xr:uid="{535BD472-CB1B-445D-9FA2-84DF65CB12B6}"/>
    <cellStyle name="Normal 2 3 6 3 2" xfId="5594" xr:uid="{A4ADC78B-B9ED-41E7-B2FD-6D781F656996}"/>
    <cellStyle name="Normal 2 3 6 3 2 2" xfId="5595" xr:uid="{5B7ACDE0-C9F1-44AC-A970-BC92F78A70C8}"/>
    <cellStyle name="Normal 2 3 6 3 2 2 2" xfId="5596" xr:uid="{DEEE2258-E0AD-4658-BD15-DE20D8A90F07}"/>
    <cellStyle name="Normal 2 3 6 3 2 2 2 2" xfId="5597" xr:uid="{AFFC74D1-8B48-4AD9-AAA8-E1CEA145FF62}"/>
    <cellStyle name="Normal 2 3 6 3 2 2 3" xfId="5598" xr:uid="{0F74F11C-9F87-4DD9-A017-452F48BB91E8}"/>
    <cellStyle name="Normal 2 3 6 3 2 3" xfId="5599" xr:uid="{95BE8D4A-1977-4A63-9A31-153D59345597}"/>
    <cellStyle name="Normal 2 3 6 3 2 3 2" xfId="5600" xr:uid="{88F150F6-06EA-4F12-8986-1927B0AE1D79}"/>
    <cellStyle name="Normal 2 3 6 3 2 3 2 2" xfId="5601" xr:uid="{6ED04CCB-1F39-49D8-86D9-3F65503D9494}"/>
    <cellStyle name="Normal 2 3 6 3 2 3 3" xfId="5602" xr:uid="{AEDBEF59-59EB-44B0-B295-3B0C8126D20C}"/>
    <cellStyle name="Normal 2 3 6 3 2 4" xfId="5603" xr:uid="{BCD00F16-FDA0-41A5-B860-11426870F75A}"/>
    <cellStyle name="Normal 2 3 6 3 2 4 2" xfId="5604" xr:uid="{DD55D33C-F3A5-410F-93A2-EC4FD8BB6668}"/>
    <cellStyle name="Normal 2 3 6 3 2 5" xfId="5605" xr:uid="{06550C9A-6B85-45A2-A9EB-CD2F9C79E0A6}"/>
    <cellStyle name="Normal 2 3 6 3 3" xfId="5606" xr:uid="{08FBF09B-5FD4-4423-BCBE-F96F44330E5A}"/>
    <cellStyle name="Normal 2 3 6 3 3 2" xfId="5607" xr:uid="{73820D0A-DC3C-4120-9545-66F1B556D46D}"/>
    <cellStyle name="Normal 2 3 6 3 3 2 2" xfId="5608" xr:uid="{4489917C-D0D7-4E78-946E-979A7975D74F}"/>
    <cellStyle name="Normal 2 3 6 3 3 3" xfId="5609" xr:uid="{12B37780-ED7D-40A3-84DD-DEA96A34FDF4}"/>
    <cellStyle name="Normal 2 3 6 3 4" xfId="5610" xr:uid="{9EFA52F2-5AF1-43A2-BBBB-2A25CCEF38E1}"/>
    <cellStyle name="Normal 2 3 6 3 4 2" xfId="5611" xr:uid="{4F8CF2CA-BFC3-49E6-9197-79A06C8C770D}"/>
    <cellStyle name="Normal 2 3 6 3 4 2 2" xfId="5612" xr:uid="{A08F2022-9807-45FE-AE16-F55DA72633B7}"/>
    <cellStyle name="Normal 2 3 6 3 4 3" xfId="5613" xr:uid="{27DAE12D-6A5E-4F5C-B1D0-E74D56509BB0}"/>
    <cellStyle name="Normal 2 3 6 3 5" xfId="5614" xr:uid="{155A8D7B-6FDE-4697-BB2C-89FCEA16B83B}"/>
    <cellStyle name="Normal 2 3 6 3 5 2" xfId="5615" xr:uid="{EA1E1E6C-E082-4C72-A978-604570502C93}"/>
    <cellStyle name="Normal 2 3 6 3 6" xfId="5616" xr:uid="{6D26BF75-0E82-4169-8727-705CACF9102C}"/>
    <cellStyle name="Normal 2 3 6 4" xfId="5617" xr:uid="{6FFB0320-3ECC-4E7C-9E79-397244AD2F53}"/>
    <cellStyle name="Normal 2 3 6 4 2" xfId="5618" xr:uid="{0C25015D-78F9-49A8-9527-6EED4BF17213}"/>
    <cellStyle name="Normal 2 3 6 4 2 2" xfId="5619" xr:uid="{732DD8FC-E5C2-4B96-8062-9EC4D92CE886}"/>
    <cellStyle name="Normal 2 3 6 4 2 2 2" xfId="5620" xr:uid="{2F44547C-9545-427F-8C31-CDBDBE9AD208}"/>
    <cellStyle name="Normal 2 3 6 4 2 3" xfId="5621" xr:uid="{6C032E47-7A2C-46E5-8A9F-30915B299159}"/>
    <cellStyle name="Normal 2 3 6 4 3" xfId="5622" xr:uid="{F3FA692C-19A6-4CDB-882B-72893499A65C}"/>
    <cellStyle name="Normal 2 3 6 4 3 2" xfId="5623" xr:uid="{A839E824-75A1-44A6-A8A8-7B612ACFABAA}"/>
    <cellStyle name="Normal 2 3 6 4 3 2 2" xfId="5624" xr:uid="{568DA5E6-9C5F-4751-AFEE-FFC777DCDA6E}"/>
    <cellStyle name="Normal 2 3 6 4 3 3" xfId="5625" xr:uid="{99099BF5-8E95-493B-BF09-1F183C454140}"/>
    <cellStyle name="Normal 2 3 6 4 4" xfId="5626" xr:uid="{7C068690-E0DC-4893-8B2F-625A807F0D0C}"/>
    <cellStyle name="Normal 2 3 6 4 4 2" xfId="5627" xr:uid="{A1F0A18E-8E6D-4AAE-9762-B8BE689589A0}"/>
    <cellStyle name="Normal 2 3 6 4 5" xfId="5628" xr:uid="{95199E24-4178-441F-8C1E-11F9C9F66FEF}"/>
    <cellStyle name="Normal 2 3 6 5" xfId="5629" xr:uid="{427462E9-C8B3-471B-BA10-427FF5D62074}"/>
    <cellStyle name="Normal 2 3 6 5 2" xfId="5630" xr:uid="{07572E07-D34C-4176-94F6-6A5FBEE361F0}"/>
    <cellStyle name="Normal 2 3 6 5 2 2" xfId="5631" xr:uid="{618D1838-672E-495A-83F7-40EA2F383B0D}"/>
    <cellStyle name="Normal 2 3 6 5 2 2 2" xfId="5632" xr:uid="{B904A65C-3210-4EF1-9285-6AF086484E12}"/>
    <cellStyle name="Normal 2 3 6 5 2 3" xfId="5633" xr:uid="{96A98335-EFFB-4BB4-AA69-5781227FAC8A}"/>
    <cellStyle name="Normal 2 3 6 5 3" xfId="5634" xr:uid="{D5F27598-D980-42CA-8659-7602A7247261}"/>
    <cellStyle name="Normal 2 3 6 5 3 2" xfId="5635" xr:uid="{8C21B776-71EC-442B-B1CC-E49221F931F0}"/>
    <cellStyle name="Normal 2 3 6 5 4" xfId="5636" xr:uid="{FE5B3C18-1E0E-478B-B5CF-F56BCE428714}"/>
    <cellStyle name="Normal 2 3 6 6" xfId="5637" xr:uid="{1AFA3369-5F80-436E-81FB-D8BF8A0F1355}"/>
    <cellStyle name="Normal 2 3 6 6 2" xfId="5638" xr:uid="{F035C8DA-735E-438D-B87A-19222605F982}"/>
    <cellStyle name="Normal 2 3 6 7" xfId="5639" xr:uid="{FC89D075-8CE9-44D9-A4AC-85E496019CFC}"/>
    <cellStyle name="Normal 2 3 7" xfId="5640" xr:uid="{A6DC3C5D-F903-4690-96F9-A05298D0A9DB}"/>
    <cellStyle name="Normal 2 3 7 2" xfId="5641" xr:uid="{D464FFDD-0B07-485B-B5CE-86A0B57DB974}"/>
    <cellStyle name="Normal 2 3 7 2 2" xfId="5642" xr:uid="{C5685B04-AA99-4EBC-A34D-C475C170AD1B}"/>
    <cellStyle name="Normal 2 3 7 2 2 2" xfId="5643" xr:uid="{80986853-9AED-467B-9B42-F535FB18B2E4}"/>
    <cellStyle name="Normal 2 3 7 2 2 2 2" xfId="5644" xr:uid="{63D1C96B-E12E-4145-B74C-89EC7518CC15}"/>
    <cellStyle name="Normal 2 3 7 2 2 3" xfId="5645" xr:uid="{371994A5-D20B-4D56-A249-E5803CEBB9D2}"/>
    <cellStyle name="Normal 2 3 7 2 3" xfId="5646" xr:uid="{DA62C81E-5B3E-491E-B60D-F650FC7E7043}"/>
    <cellStyle name="Normal 2 3 7 2 3 2" xfId="5647" xr:uid="{ACD35A2C-C8D6-4D4F-AD23-0DD04427F3F9}"/>
    <cellStyle name="Normal 2 3 7 2 3 2 2" xfId="5648" xr:uid="{FD65DEC0-AB88-48FD-8816-19BECBBBCAF3}"/>
    <cellStyle name="Normal 2 3 7 2 3 3" xfId="5649" xr:uid="{4570F33A-FBA7-4454-BF6E-08CA621EB83D}"/>
    <cellStyle name="Normal 2 3 7 2 4" xfId="5650" xr:uid="{DFE9552E-A489-4E4D-8D24-7EE7B2D79EBB}"/>
    <cellStyle name="Normal 2 3 7 2 4 2" xfId="5651" xr:uid="{8B77F642-4024-4640-9E5D-C0333D32C7E6}"/>
    <cellStyle name="Normal 2 3 7 2 5" xfId="5652" xr:uid="{FCCC2D99-B5F7-4BDE-8800-6111DC8E8973}"/>
    <cellStyle name="Normal 2 3 7 3" xfId="5653" xr:uid="{711ACF10-2DE6-4A8D-AB73-F8D0443BC739}"/>
    <cellStyle name="Normal 2 3 7 3 2" xfId="5654" xr:uid="{F81ECEA7-C0DD-4059-B5D7-7F081BBC4DC2}"/>
    <cellStyle name="Normal 2 3 7 3 2 2" xfId="5655" xr:uid="{1CEC6C3C-DDC7-47AD-AD51-A746E9BB7053}"/>
    <cellStyle name="Normal 2 3 7 3 2 2 2" xfId="5656" xr:uid="{BC65A546-5599-4F29-A647-13E69E2179F4}"/>
    <cellStyle name="Normal 2 3 7 3 2 3" xfId="5657" xr:uid="{931F66DC-5DB9-4F60-9360-17244E170C1A}"/>
    <cellStyle name="Normal 2 3 7 3 3" xfId="5658" xr:uid="{AB827092-2691-4AE9-BEEC-BD88C15A0307}"/>
    <cellStyle name="Normal 2 3 7 3 3 2" xfId="5659" xr:uid="{EC82EE06-0055-4061-8796-CE5507DC4FF3}"/>
    <cellStyle name="Normal 2 3 7 3 4" xfId="5660" xr:uid="{2DE486E1-B711-4397-A9C9-2BC9F88B7FF2}"/>
    <cellStyle name="Normal 2 3 7 4" xfId="5661" xr:uid="{CD9B9E5F-14E7-4A08-8295-EE4FFD2FFC78}"/>
    <cellStyle name="Normal 2 3 7 5" xfId="5662" xr:uid="{C4615158-E212-4A21-88C8-6CE8E404BAC7}"/>
    <cellStyle name="Normal 2 3 7 5 2" xfId="5663" xr:uid="{F17D7635-F7A5-4888-B8E5-48C75120E8C7}"/>
    <cellStyle name="Normal 2 3 7 6" xfId="5664" xr:uid="{AEBA5FE6-EB08-4B5D-8EAB-641429F95598}"/>
    <cellStyle name="Normal 2 3 8" xfId="5665" xr:uid="{D470F25A-3FA6-4DC3-9224-98D9B3A8EB7F}"/>
    <cellStyle name="Normal 2 3 8 2" xfId="5666" xr:uid="{71657BC5-EBBA-47B3-9933-94DD0D43C4C6}"/>
    <cellStyle name="Normal 2 3 8 2 2" xfId="5667" xr:uid="{40414C6A-3D8A-4E92-AECD-E1977E0BED53}"/>
    <cellStyle name="Normal 2 3 8 2 2 2" xfId="5668" xr:uid="{3242447A-71EB-4BA8-84D3-8A1809C5FE98}"/>
    <cellStyle name="Normal 2 3 8 2 2 2 2" xfId="5669" xr:uid="{8255C38D-16B0-42BF-BDB9-EAC6E3671AEA}"/>
    <cellStyle name="Normal 2 3 8 2 2 3" xfId="5670" xr:uid="{0C4D772B-F34E-4B4A-BF86-043E2019820A}"/>
    <cellStyle name="Normal 2 3 8 2 3" xfId="5671" xr:uid="{75933725-EBE7-4543-A324-B0C10653E67E}"/>
    <cellStyle name="Normal 2 3 8 2 3 2" xfId="5672" xr:uid="{DEEA7C2D-153B-4ACE-879E-1D27336A5888}"/>
    <cellStyle name="Normal 2 3 8 2 3 2 2" xfId="5673" xr:uid="{CD541FF6-C7AE-4E0F-AC2F-C39C0EF2FE0D}"/>
    <cellStyle name="Normal 2 3 8 2 3 3" xfId="5674" xr:uid="{FD949DF4-A388-4647-81CE-B8D36010CB28}"/>
    <cellStyle name="Normal 2 3 8 2 4" xfId="5675" xr:uid="{6216EDED-D78D-4E66-BE37-411B96B8B70D}"/>
    <cellStyle name="Normal 2 3 8 2 4 2" xfId="5676" xr:uid="{0AA8054B-2688-45F7-8F41-A4725CD23A10}"/>
    <cellStyle name="Normal 2 3 8 2 5" xfId="5677" xr:uid="{8F406075-D1D2-46B8-8D3E-7C965E838805}"/>
    <cellStyle name="Normal 2 3 8 3" xfId="5678" xr:uid="{3B6B0018-639B-425B-97CD-2C26AC688FB0}"/>
    <cellStyle name="Normal 2 3 8 3 2" xfId="5679" xr:uid="{A88494E2-F363-4AB6-8C5A-6C15F6184549}"/>
    <cellStyle name="Normal 2 3 8 3 2 2" xfId="5680" xr:uid="{5CC2EBDA-F44C-4F07-9C94-42DAB3FD1270}"/>
    <cellStyle name="Normal 2 3 8 3 2 2 2" xfId="5681" xr:uid="{DD16001F-E681-4EED-A8D7-F1BBE5199367}"/>
    <cellStyle name="Normal 2 3 8 3 2 3" xfId="5682" xr:uid="{65921DA5-762B-4E42-9E6C-F64291F15B65}"/>
    <cellStyle name="Normal 2 3 8 3 3" xfId="5683" xr:uid="{A5DB53CD-CCAB-41C8-911C-8F5E4F1AFD4D}"/>
    <cellStyle name="Normal 2 3 8 3 3 2" xfId="5684" xr:uid="{27D7B994-D1D6-4965-A1AF-E1E748678463}"/>
    <cellStyle name="Normal 2 3 8 3 4" xfId="5685" xr:uid="{1F5276C6-8B20-424E-A27B-EE3A2E19EDA6}"/>
    <cellStyle name="Normal 2 3 8 4" xfId="5686" xr:uid="{9C3835FC-855B-4BFE-A703-51D63365D9BF}"/>
    <cellStyle name="Normal 2 3 8 5" xfId="5687" xr:uid="{626497AF-583E-4A86-B2AA-98F09C24BD4C}"/>
    <cellStyle name="Normal 2 3 8 5 2" xfId="5688" xr:uid="{085FDAB8-49BD-4C71-8673-1128B39862F5}"/>
    <cellStyle name="Normal 2 3 8 6" xfId="5689" xr:uid="{8A07CF17-23B4-4736-A7EF-B7D3E69D4816}"/>
    <cellStyle name="Normal 2 3 9" xfId="5690" xr:uid="{DF3C8677-64DB-46D0-95A1-01A5A149EEED}"/>
    <cellStyle name="Normal 2 3 9 2" xfId="5691" xr:uid="{8056DB93-D4F7-4001-9EF5-7B3DE98BC2A3}"/>
    <cellStyle name="Normal 2 3 9 2 2" xfId="5692" xr:uid="{1D962A82-031E-44D3-8E34-EA21CAB2D0B5}"/>
    <cellStyle name="Normal 2 3 9 2 2 2" xfId="5693" xr:uid="{B118129D-CAE0-4D48-8F26-8CDC09B75C54}"/>
    <cellStyle name="Normal 2 3 9 2 2 2 2" xfId="5694" xr:uid="{60114260-EB48-460F-B005-5EFC91BB5506}"/>
    <cellStyle name="Normal 2 3 9 2 2 3" xfId="5695" xr:uid="{2A551BE9-58BC-4519-90E8-E4E02885E1AF}"/>
    <cellStyle name="Normal 2 3 9 2 3" xfId="5696" xr:uid="{1FDF5DFA-EEC2-4E6B-99D7-C6BC8C6F1F3C}"/>
    <cellStyle name="Normal 2 3 9 2 3 2" xfId="5697" xr:uid="{1A82D033-1DF5-4E69-A195-98F05A2228FC}"/>
    <cellStyle name="Normal 2 3 9 2 3 2 2" xfId="5698" xr:uid="{A38F8F82-8EA7-45B8-A533-AF6E21C2E782}"/>
    <cellStyle name="Normal 2 3 9 2 3 3" xfId="5699" xr:uid="{5D2C02A3-89E2-42CD-AE30-EC930F5E8F1C}"/>
    <cellStyle name="Normal 2 3 9 2 4" xfId="5700" xr:uid="{045E7403-57E3-4C36-A23A-14DD573BE415}"/>
    <cellStyle name="Normal 2 3 9 2 4 2" xfId="5701" xr:uid="{AF34C9F8-BFA4-4B8C-80B8-21E0CDE77DAE}"/>
    <cellStyle name="Normal 2 3 9 2 5" xfId="5702" xr:uid="{00CA83D4-D18E-489F-8336-64DACBF4E9C6}"/>
    <cellStyle name="Normal 2 3 9 3" xfId="5703" xr:uid="{ADC2D20A-35AD-4DB4-A2F8-3740340EF447}"/>
    <cellStyle name="Normal 2 3 9 3 2" xfId="5704" xr:uid="{769BDF96-15EA-4B2A-A4DE-12602D3D12E2}"/>
    <cellStyle name="Normal 2 3 9 3 2 2" xfId="5705" xr:uid="{2914317A-EF47-4E78-B8BA-79EEDAB7E338}"/>
    <cellStyle name="Normal 2 3 9 3 2 2 2" xfId="5706" xr:uid="{4DC9103C-95C4-4E8D-BE04-263F6FFF6F38}"/>
    <cellStyle name="Normal 2 3 9 3 2 3" xfId="5707" xr:uid="{32A86940-EEB2-4118-BF0F-238AD43DC52B}"/>
    <cellStyle name="Normal 2 3 9 3 3" xfId="5708" xr:uid="{52CFD7C6-C260-46E8-8EF7-F050E88745C4}"/>
    <cellStyle name="Normal 2 3 9 3 3 2" xfId="5709" xr:uid="{85323FA8-1BA4-4A4B-8CDB-F36AF99AA9D8}"/>
    <cellStyle name="Normal 2 3 9 3 4" xfId="5710" xr:uid="{F0FD5129-BCDB-42CD-886E-FE96A8C0FA4B}"/>
    <cellStyle name="Normal 2 3 9 4" xfId="5711" xr:uid="{599BEAEB-19A2-49E2-B130-8CF91B121505}"/>
    <cellStyle name="Normal 2 3 9 5" xfId="5712" xr:uid="{1D67C7BD-66D0-4AE2-952F-E2F5B633314E}"/>
    <cellStyle name="Normal 2 3 9 5 2" xfId="5713" xr:uid="{3AB4A205-35AB-41D6-96AC-0A23AB42941A}"/>
    <cellStyle name="Normal 2 3 9 6" xfId="5714" xr:uid="{55D7B061-E6B1-46F1-A4F0-B7023DED7013}"/>
    <cellStyle name="Normal 2 30" xfId="5715" xr:uid="{5701E493-91C0-40F5-9102-3D92E69BFEA0}"/>
    <cellStyle name="Normal 2 31" xfId="5716" xr:uid="{54D87460-049F-4EFB-97E1-571B88853625}"/>
    <cellStyle name="Normal 2 32" xfId="5717" xr:uid="{86F4F630-F0DB-4C5C-9062-34E9BFA4FDF3}"/>
    <cellStyle name="Normal 2 33" xfId="5718" xr:uid="{F4ACFA77-419E-425C-8154-7334F6282D3A}"/>
    <cellStyle name="Normal 2 34" xfId="5719" xr:uid="{DF4DD27D-F16F-4235-AAFC-E5E869905BDC}"/>
    <cellStyle name="Normal 2 35" xfId="5720" xr:uid="{8135CD22-CCA7-45E0-8BF4-C359AA3A2CD7}"/>
    <cellStyle name="Normal 2 36" xfId="5721" xr:uid="{0BAA1FD5-0F14-403C-8769-28978D683442}"/>
    <cellStyle name="Normal 2 37" xfId="5722" xr:uid="{81717558-25E5-46D7-8729-EEEE9F86A873}"/>
    <cellStyle name="Normal 2 38" xfId="5723" xr:uid="{1BE90E1E-FDBA-4C30-AA8F-99BB0BC23C48}"/>
    <cellStyle name="Normal 2 39" xfId="5724" xr:uid="{40969688-D4E7-4770-903B-3FA9D7ABD376}"/>
    <cellStyle name="Normal 2 4" xfId="5725" xr:uid="{192EE7DD-BB62-41BC-8008-C10CA18E4E07}"/>
    <cellStyle name="Normal 2 4 10" xfId="5726" xr:uid="{B14086BC-9387-419A-9E66-DDB919FE23FC}"/>
    <cellStyle name="Normal 2 4 10 2" xfId="5727" xr:uid="{812F2547-B600-4E34-9EE5-69BE2D7508B2}"/>
    <cellStyle name="Normal 2 4 10 2 2" xfId="5728" xr:uid="{CBA7AA9B-6E7A-4100-BCA5-3E837DCD8D51}"/>
    <cellStyle name="Normal 2 4 10 2 2 2" xfId="5729" xr:uid="{5A2F9B0D-60C0-440F-82A4-84CB31EA7BD1}"/>
    <cellStyle name="Normal 2 4 10 2 2 2 2" xfId="5730" xr:uid="{34BCD48F-5C76-4FBC-AFC5-8606C848C8E5}"/>
    <cellStyle name="Normal 2 4 10 2 2 3" xfId="5731" xr:uid="{E628B981-FFFB-48D0-B561-66A4922EA539}"/>
    <cellStyle name="Normal 2 4 10 2 3" xfId="5732" xr:uid="{D5C8E01F-68F0-420F-AA65-17820D678760}"/>
    <cellStyle name="Normal 2 4 10 2 3 2" xfId="5733" xr:uid="{2C8294FE-0D76-4580-A0D1-737D9601D8C9}"/>
    <cellStyle name="Normal 2 4 10 2 3 2 2" xfId="5734" xr:uid="{0DE09469-2649-451F-A9AD-C1DB749C6BC7}"/>
    <cellStyle name="Normal 2 4 10 2 3 3" xfId="5735" xr:uid="{7D64874A-29E2-4B32-ABBC-D21266068911}"/>
    <cellStyle name="Normal 2 4 10 2 4" xfId="5736" xr:uid="{3570C498-99F4-4944-9608-852FF54FDA71}"/>
    <cellStyle name="Normal 2 4 10 2 4 2" xfId="5737" xr:uid="{23B9E89A-6755-4170-A11B-195E846456A9}"/>
    <cellStyle name="Normal 2 4 10 2 5" xfId="5738" xr:uid="{36A32025-2AB4-46C9-AD5B-13A5D99F93F3}"/>
    <cellStyle name="Normal 2 4 10 3" xfId="5739" xr:uid="{FB80CBB5-D98A-4C8A-AC80-BCEB1C4F0C97}"/>
    <cellStyle name="Normal 2 4 10 3 2" xfId="5740" xr:uid="{D9B6562C-0430-4CCD-BB01-163A84044414}"/>
    <cellStyle name="Normal 2 4 10 3 2 2" xfId="5741" xr:uid="{C2E7BAF5-2B20-4AF8-898A-52E4D6EFC014}"/>
    <cellStyle name="Normal 2 4 10 3 2 2 2" xfId="5742" xr:uid="{177E184E-9E66-447A-B4F9-8D515EF083B5}"/>
    <cellStyle name="Normal 2 4 10 3 2 3" xfId="5743" xr:uid="{1C6833CB-1AFF-4D02-8397-7FB5C6DCF1CF}"/>
    <cellStyle name="Normal 2 4 10 3 3" xfId="5744" xr:uid="{85F76DAB-A0E3-4443-AB8E-18FCC379A608}"/>
    <cellStyle name="Normal 2 4 10 3 3 2" xfId="5745" xr:uid="{EA71E91F-BCBD-469B-B1FA-9C2F0CD65953}"/>
    <cellStyle name="Normal 2 4 10 3 4" xfId="5746" xr:uid="{0E948105-A0D5-4363-BF4D-3F4BA4DD418E}"/>
    <cellStyle name="Normal 2 4 10 4" xfId="5747" xr:uid="{84BE6B1A-56C8-4170-9BF9-A99D9A68B62D}"/>
    <cellStyle name="Normal 2 4 10 5" xfId="5748" xr:uid="{344CDF72-135D-417F-8F53-79B59DEB96BB}"/>
    <cellStyle name="Normal 2 4 10 5 2" xfId="5749" xr:uid="{C4BE706B-3FCD-48A3-AECD-E986D6515CE9}"/>
    <cellStyle name="Normal 2 4 10 6" xfId="5750" xr:uid="{C0551BE7-8634-4BC6-B017-72C2E041063A}"/>
    <cellStyle name="Normal 2 4 11" xfId="5751" xr:uid="{F73812BF-ED60-4B25-B0E5-9FFF34F10E95}"/>
    <cellStyle name="Normal 2 4 11 2" xfId="5752" xr:uid="{9FE48397-0F75-42E4-97FB-E303EF9932E2}"/>
    <cellStyle name="Normal 2 4 11 2 2" xfId="5753" xr:uid="{A85C0E91-4D20-4EBE-BC43-CF4256453D7D}"/>
    <cellStyle name="Normal 2 4 11 2 2 2" xfId="5754" xr:uid="{22BD7AA9-AC3F-4BBD-8598-37DE6DAA79AC}"/>
    <cellStyle name="Normal 2 4 11 2 2 2 2" xfId="5755" xr:uid="{5AA812AA-2EB4-4B36-9DEF-65B1A64DC520}"/>
    <cellStyle name="Normal 2 4 11 2 2 3" xfId="5756" xr:uid="{D3ECFEDB-37BA-4A0E-9E6E-BBA973280167}"/>
    <cellStyle name="Normal 2 4 11 2 3" xfId="5757" xr:uid="{9CFC607A-E1A0-4C4C-B21F-8FBF72B8247D}"/>
    <cellStyle name="Normal 2 4 11 2 3 2" xfId="5758" xr:uid="{7E7C9214-8877-40BF-9116-CABDD370A9A2}"/>
    <cellStyle name="Normal 2 4 11 2 3 2 2" xfId="5759" xr:uid="{D8DA17C5-60C5-4A2C-95BA-16A308E0C2F9}"/>
    <cellStyle name="Normal 2 4 11 2 3 3" xfId="5760" xr:uid="{6A141712-F48A-49EF-95C0-1201431BBAED}"/>
    <cellStyle name="Normal 2 4 11 2 4" xfId="5761" xr:uid="{883FA876-D3E2-404C-831D-2AD812494F06}"/>
    <cellStyle name="Normal 2 4 11 2 4 2" xfId="5762" xr:uid="{44B8308F-527B-464B-B34D-8B9974E63CA1}"/>
    <cellStyle name="Normal 2 4 11 2 5" xfId="5763" xr:uid="{596E2D24-8A2C-4E03-997A-B8C7943A75A5}"/>
    <cellStyle name="Normal 2 4 11 3" xfId="5764" xr:uid="{90D22801-40A7-428D-8D1A-32CF44593424}"/>
    <cellStyle name="Normal 2 4 11 3 2" xfId="5765" xr:uid="{8A8867BC-ABAB-48A6-8FD5-3E00F9606341}"/>
    <cellStyle name="Normal 2 4 11 3 2 2" xfId="5766" xr:uid="{241A3B15-E5BC-4739-A2A0-9D5424A591EB}"/>
    <cellStyle name="Normal 2 4 11 3 2 2 2" xfId="5767" xr:uid="{184BF1D1-F6D8-477D-8292-2F0EDF14233C}"/>
    <cellStyle name="Normal 2 4 11 3 2 3" xfId="5768" xr:uid="{FA575CDD-62E3-44D3-8C37-F662124FC3A4}"/>
    <cellStyle name="Normal 2 4 11 3 3" xfId="5769" xr:uid="{713F52E8-458E-4F90-B21C-80AE6E989BE7}"/>
    <cellStyle name="Normal 2 4 11 3 3 2" xfId="5770" xr:uid="{D1F53923-D2F1-459D-91B6-2103270F9565}"/>
    <cellStyle name="Normal 2 4 11 3 4" xfId="5771" xr:uid="{CE12EDC7-5A83-473D-8484-99F645EDACB8}"/>
    <cellStyle name="Normal 2 4 11 4" xfId="5772" xr:uid="{EE2116E8-BB63-437F-9C03-2B4F074A509F}"/>
    <cellStyle name="Normal 2 4 11 5" xfId="5773" xr:uid="{49C2EA67-FBBD-4733-973B-0354E919FA60}"/>
    <cellStyle name="Normal 2 4 11 5 2" xfId="5774" xr:uid="{E6B69BD5-C634-46BD-A425-0859A77FB717}"/>
    <cellStyle name="Normal 2 4 11 6" xfId="5775" xr:uid="{4E4C49F2-C29D-46D6-A493-42D521C332F3}"/>
    <cellStyle name="Normal 2 4 12" xfId="5776" xr:uid="{58F797F9-FCB4-4518-A3F2-40EAC5E9F8D4}"/>
    <cellStyle name="Normal 2 4 12 2" xfId="5777" xr:uid="{3BC34445-8391-4FB1-BB28-4883F4D5EAC9}"/>
    <cellStyle name="Normal 2 4 12 2 2" xfId="5778" xr:uid="{06FB20FF-4153-4F14-957C-3C6682785C9C}"/>
    <cellStyle name="Normal 2 4 12 2 2 2" xfId="5779" xr:uid="{5F855405-54BE-4556-8F98-92BF9C39DD52}"/>
    <cellStyle name="Normal 2 4 12 2 2 2 2" xfId="5780" xr:uid="{9C6E00D1-B4EE-4BD2-B164-FECA4CD9494C}"/>
    <cellStyle name="Normal 2 4 12 2 2 3" xfId="5781" xr:uid="{D09E96E5-F193-491E-86D2-B2B6CB19BFC5}"/>
    <cellStyle name="Normal 2 4 12 2 3" xfId="5782" xr:uid="{94800AB4-0ACF-4E74-A22D-B2794ACBA94D}"/>
    <cellStyle name="Normal 2 4 12 2 3 2" xfId="5783" xr:uid="{BAEC992D-52D5-4655-9267-1A2D0975C9D8}"/>
    <cellStyle name="Normal 2 4 12 2 3 2 2" xfId="5784" xr:uid="{7085FDB3-1C73-4C29-8BD4-5E04F7367FB0}"/>
    <cellStyle name="Normal 2 4 12 2 3 3" xfId="5785" xr:uid="{62FF1E96-0688-4CF0-A158-D4518A4F1A09}"/>
    <cellStyle name="Normal 2 4 12 2 4" xfId="5786" xr:uid="{94F2818B-4738-4978-BD1F-75BB43799DB6}"/>
    <cellStyle name="Normal 2 4 12 2 4 2" xfId="5787" xr:uid="{A4BE47E4-05BC-4411-A121-310DB5ED09E4}"/>
    <cellStyle name="Normal 2 4 12 2 5" xfId="5788" xr:uid="{6A6891BE-1160-4B99-B6CA-89A6A14C974C}"/>
    <cellStyle name="Normal 2 4 12 3" xfId="5789" xr:uid="{F67DCC67-DB8B-4EB0-8590-1F55EE15AF84}"/>
    <cellStyle name="Normal 2 4 12 3 2" xfId="5790" xr:uid="{C03F269C-A806-4580-96C8-DBF039693601}"/>
    <cellStyle name="Normal 2 4 12 3 2 2" xfId="5791" xr:uid="{4A2E449F-3E70-4DBB-A3CC-C0EEACBF8538}"/>
    <cellStyle name="Normal 2 4 12 3 2 2 2" xfId="5792" xr:uid="{DB38BF41-6B05-4C00-9BB8-78AA18CF3552}"/>
    <cellStyle name="Normal 2 4 12 3 2 3" xfId="5793" xr:uid="{31693313-61C5-4995-B781-01895F0ACE6B}"/>
    <cellStyle name="Normal 2 4 12 3 3" xfId="5794" xr:uid="{80821F0C-4B8B-4E44-898D-EB9ADE4559E5}"/>
    <cellStyle name="Normal 2 4 12 3 3 2" xfId="5795" xr:uid="{0AB69A44-098E-454A-8C78-7190703AEB10}"/>
    <cellStyle name="Normal 2 4 12 3 4" xfId="5796" xr:uid="{450E7957-CD51-4E87-B688-E71534E4171E}"/>
    <cellStyle name="Normal 2 4 12 4" xfId="5797" xr:uid="{1C6ABA84-E3E6-4D80-B6F6-F3554F41FFAA}"/>
    <cellStyle name="Normal 2 4 12 5" xfId="5798" xr:uid="{93105858-2BF7-4ABA-B146-259FF7B0EDE6}"/>
    <cellStyle name="Normal 2 4 12 5 2" xfId="5799" xr:uid="{46DC2812-A62C-4AA7-A1F9-9FB6904A75D8}"/>
    <cellStyle name="Normal 2 4 12 6" xfId="5800" xr:uid="{A1073635-959D-4B48-AE91-2EC0EBC86197}"/>
    <cellStyle name="Normal 2 4 13" xfId="5801" xr:uid="{C792F65B-41F1-428A-8DBB-EDAB5DAFEFE2}"/>
    <cellStyle name="Normal 2 4 13 2" xfId="5802" xr:uid="{45F71A68-56C9-4B76-89CE-1BA9CED173E3}"/>
    <cellStyle name="Normal 2 4 13 2 2" xfId="5803" xr:uid="{40125F94-C529-49B0-92A5-0BFCD86356A5}"/>
    <cellStyle name="Normal 2 4 13 2 2 2" xfId="5804" xr:uid="{092F9A9F-876E-417D-9F9A-25A009820FF8}"/>
    <cellStyle name="Normal 2 4 13 2 2 2 2" xfId="5805" xr:uid="{D0D85DBB-3747-4D93-AC4A-5E9DA2063617}"/>
    <cellStyle name="Normal 2 4 13 2 2 3" xfId="5806" xr:uid="{95484D14-879B-460B-9246-D15E63EFFB30}"/>
    <cellStyle name="Normal 2 4 13 2 3" xfId="5807" xr:uid="{092110F5-14B2-41D7-AD9C-2CB4AC315C63}"/>
    <cellStyle name="Normal 2 4 13 2 3 2" xfId="5808" xr:uid="{0894FADC-55B5-4FAB-991E-C65C988F9F3A}"/>
    <cellStyle name="Normal 2 4 13 2 3 2 2" xfId="5809" xr:uid="{BD3613E2-C7EB-4215-819E-79594CAB561A}"/>
    <cellStyle name="Normal 2 4 13 2 3 3" xfId="5810" xr:uid="{E647A46F-41B9-4C52-9E3A-46258C8E1D88}"/>
    <cellStyle name="Normal 2 4 13 2 4" xfId="5811" xr:uid="{C8EA5602-E8CF-4BBF-AB0A-94967E13F4EA}"/>
    <cellStyle name="Normal 2 4 13 2 4 2" xfId="5812" xr:uid="{1F38CD24-B157-48AD-B362-1CB5A452CE67}"/>
    <cellStyle name="Normal 2 4 13 2 5" xfId="5813" xr:uid="{948CDFD8-1840-40BC-B392-4AE13B4DF6AF}"/>
    <cellStyle name="Normal 2 4 13 3" xfId="5814" xr:uid="{42BF616B-E994-4389-AB03-70FBFD249274}"/>
    <cellStyle name="Normal 2 4 13 3 2" xfId="5815" xr:uid="{C59FA4A8-8E39-4A98-A9CA-245468045734}"/>
    <cellStyle name="Normal 2 4 13 3 2 2" xfId="5816" xr:uid="{897C091D-2DCF-48E4-8C02-FD1F0F625220}"/>
    <cellStyle name="Normal 2 4 13 3 2 2 2" xfId="5817" xr:uid="{FECEBF2C-C25F-41CF-81AC-F430088BD32E}"/>
    <cellStyle name="Normal 2 4 13 3 2 3" xfId="5818" xr:uid="{8E2DB93C-3C78-4561-8FCF-596255A07E26}"/>
    <cellStyle name="Normal 2 4 13 3 3" xfId="5819" xr:uid="{8E206606-0B4C-447C-B8B7-307DADD8C45F}"/>
    <cellStyle name="Normal 2 4 13 3 3 2" xfId="5820" xr:uid="{8772257F-B29B-4D1D-8DC9-36F05B1B9903}"/>
    <cellStyle name="Normal 2 4 13 3 4" xfId="5821" xr:uid="{EB80D551-4FC8-4BE3-8107-FAD28ABC3E02}"/>
    <cellStyle name="Normal 2 4 13 4" xfId="5822" xr:uid="{26628A69-2C64-44D8-B73D-AB9BE1F618CC}"/>
    <cellStyle name="Normal 2 4 13 5" xfId="5823" xr:uid="{7E5CD5D1-C0B7-4D75-BAB8-69F83025BEEC}"/>
    <cellStyle name="Normal 2 4 13 5 2" xfId="5824" xr:uid="{459DF0CB-E47C-42A3-AA85-A3CFB186EB66}"/>
    <cellStyle name="Normal 2 4 13 6" xfId="5825" xr:uid="{8CF78F5E-FC13-410D-B8F2-8750EE0866F6}"/>
    <cellStyle name="Normal 2 4 14" xfId="5826" xr:uid="{0BB992B2-E755-450A-8026-CCAB60BC8D96}"/>
    <cellStyle name="Normal 2 4 2" xfId="5827" xr:uid="{AAFECC80-E078-4C63-B3CE-98793A42F09E}"/>
    <cellStyle name="Normal 2 4 2 2" xfId="5828" xr:uid="{85FDC529-5CD4-4D13-AAD8-E8E8D54C9D69}"/>
    <cellStyle name="Normal 2 4 2 2 2" xfId="5829" xr:uid="{A1283906-3678-4F02-AEFB-2555F844AB5E}"/>
    <cellStyle name="Normal 2 4 2 2 2 2" xfId="5830" xr:uid="{59AB178E-D257-4E49-A79E-24F66669CFE8}"/>
    <cellStyle name="Normal 2 4 2 2 2 2 2" xfId="5831" xr:uid="{FADA30D7-6796-415C-96AF-B1FEEBD91E64}"/>
    <cellStyle name="Normal 2 4 2 2 2 2 2 2" xfId="5832" xr:uid="{64C5D34D-00EE-44C0-889C-4F6D6FF5C1EC}"/>
    <cellStyle name="Normal 2 4 2 2 2 2 3" xfId="5833" xr:uid="{975EA330-B5DF-4221-AEDA-5D2E50F6C867}"/>
    <cellStyle name="Normal 2 4 2 2 2 3" xfId="5834" xr:uid="{1F51225D-DA0E-4B1C-9F88-4B21D1790A3C}"/>
    <cellStyle name="Normal 2 4 2 2 2 3 2" xfId="5835" xr:uid="{3F25A9DA-86E2-4FA8-AF20-2FEF4E49094B}"/>
    <cellStyle name="Normal 2 4 2 2 2 3 2 2" xfId="5836" xr:uid="{E4B18DDD-29BE-4BD4-A629-776F2BFA9E50}"/>
    <cellStyle name="Normal 2 4 2 2 2 3 3" xfId="5837" xr:uid="{C0A22582-5E5B-4852-85A4-5EE092436475}"/>
    <cellStyle name="Normal 2 4 2 2 2 4" xfId="5838" xr:uid="{5C93A0F6-73FC-451E-8EA2-6D8E5D82C1A3}"/>
    <cellStyle name="Normal 2 4 2 2 2 4 2" xfId="5839" xr:uid="{2A177144-756E-4F34-8838-8C62F6F25998}"/>
    <cellStyle name="Normal 2 4 2 2 2 5" xfId="5840" xr:uid="{C9B7543C-7D58-4B5D-925D-F489B93F07FE}"/>
    <cellStyle name="Normal 2 4 2 2 3" xfId="5841" xr:uid="{33A2B391-6F3D-4E91-BDF2-9AB08D8EE132}"/>
    <cellStyle name="Normal 2 4 2 2 3 2" xfId="5842" xr:uid="{410402DB-7EBF-4393-9FBB-BDB58F1B67CC}"/>
    <cellStyle name="Normal 2 4 2 2 3 2 2" xfId="5843" xr:uid="{8788BCC3-4201-454A-8AFF-3928371FFAF0}"/>
    <cellStyle name="Normal 2 4 2 2 3 3" xfId="5844" xr:uid="{F4368CB9-8692-4E78-8E92-6AE764BCC1B3}"/>
    <cellStyle name="Normal 2 4 2 2 4" xfId="5845" xr:uid="{0190B600-C0A0-4847-9C62-FC7D1292D9A3}"/>
    <cellStyle name="Normal 2 4 2 2 4 2" xfId="5846" xr:uid="{E8E05DF2-25A8-412D-82B4-BB7CFE6171A2}"/>
    <cellStyle name="Normal 2 4 2 2 4 2 2" xfId="5847" xr:uid="{4E43BF39-DF27-42A8-A6E7-AEC50DF859C3}"/>
    <cellStyle name="Normal 2 4 2 2 4 3" xfId="5848" xr:uid="{BE2C117D-4B7D-410B-9E61-2B38445D97A3}"/>
    <cellStyle name="Normal 2 4 2 2 5" xfId="5849" xr:uid="{55FE69D0-1968-4319-AAEA-77A3DDAA8833}"/>
    <cellStyle name="Normal 2 4 2 2 5 2" xfId="5850" xr:uid="{D085C6E6-66CE-4B88-8BFB-D4C4515E5574}"/>
    <cellStyle name="Normal 2 4 2 2 6" xfId="5851" xr:uid="{F4370F7A-3DEF-49F2-A63C-C7E2F4CFA594}"/>
    <cellStyle name="Normal 2 4 2 3" xfId="5852" xr:uid="{A58E226A-F668-4F8E-BA7A-A0CAA7540106}"/>
    <cellStyle name="Normal 2 4 2 4" xfId="5853" xr:uid="{CF2F4ED4-5863-4FB1-B3AF-7BAA89FABFFD}"/>
    <cellStyle name="Normal 2 4 3" xfId="5854" xr:uid="{6D952E44-25A2-4B61-AF14-FADA0377F2B0}"/>
    <cellStyle name="Normal 2 4 3 2" xfId="5855" xr:uid="{36CCE184-8DC7-46C4-83EA-7A246182D16A}"/>
    <cellStyle name="Normal 2 4 3 2 2" xfId="5856" xr:uid="{847A3E75-347C-4F53-A98C-02B1F907FAF2}"/>
    <cellStyle name="Normal 2 4 3 2 2 2" xfId="5857" xr:uid="{637BA181-97CE-4F7C-83FA-77FDAE25E999}"/>
    <cellStyle name="Normal 2 4 3 2 2 2 2" xfId="5858" xr:uid="{70DA1C9C-8934-4F67-BE1C-A0B5D396224B}"/>
    <cellStyle name="Normal 2 4 3 2 2 2 2 2" xfId="5859" xr:uid="{5CF352C4-54FA-40B9-939C-020190AB9690}"/>
    <cellStyle name="Normal 2 4 3 2 2 2 3" xfId="5860" xr:uid="{952A5F40-AFE5-42F4-9FE6-3623A5607A85}"/>
    <cellStyle name="Normal 2 4 3 2 2 3" xfId="5861" xr:uid="{0DEDBD9E-B467-4111-B1DB-F6246034CE4D}"/>
    <cellStyle name="Normal 2 4 3 2 2 3 2" xfId="5862" xr:uid="{C1C00D67-EF69-42C4-9C54-9A1452C10948}"/>
    <cellStyle name="Normal 2 4 3 2 2 3 2 2" xfId="5863" xr:uid="{CBD4EDE1-DA33-4648-B12B-AE4BAF2C9AFD}"/>
    <cellStyle name="Normal 2 4 3 2 2 3 3" xfId="5864" xr:uid="{E6146023-2C7B-4715-BF2A-C5FF95E609CC}"/>
    <cellStyle name="Normal 2 4 3 2 2 4" xfId="5865" xr:uid="{CBB75E51-BA38-4CA2-8712-0A9A7A6F121C}"/>
    <cellStyle name="Normal 2 4 3 2 2 4 2" xfId="5866" xr:uid="{6C2C73D7-85E1-4E69-B849-D9119CB8FD21}"/>
    <cellStyle name="Normal 2 4 3 2 2 5" xfId="5867" xr:uid="{86ADD8E4-3C3C-4E27-8DEE-A1903AE4637B}"/>
    <cellStyle name="Normal 2 4 3 2 3" xfId="5868" xr:uid="{D0AF31FC-C21C-413E-BC2A-B84B55FB33CE}"/>
    <cellStyle name="Normal 2 4 3 2 3 2" xfId="5869" xr:uid="{2AA7B6FF-58C5-43E0-9391-21776E1A4179}"/>
    <cellStyle name="Normal 2 4 3 2 3 2 2" xfId="5870" xr:uid="{F92BC345-9806-4C34-9C1A-3BC8AB081DB2}"/>
    <cellStyle name="Normal 2 4 3 2 3 3" xfId="5871" xr:uid="{E732DB00-EA02-4584-AD05-ADB83F376B0C}"/>
    <cellStyle name="Normal 2 4 3 2 4" xfId="5872" xr:uid="{2ED50B62-717C-4215-AE8E-1675F0123C71}"/>
    <cellStyle name="Normal 2 4 3 2 4 2" xfId="5873" xr:uid="{9887C424-C7E5-4069-B4E9-34B6B483DC48}"/>
    <cellStyle name="Normal 2 4 3 2 4 2 2" xfId="5874" xr:uid="{4DDE40AF-44F7-4592-B036-8EFB8B824B12}"/>
    <cellStyle name="Normal 2 4 3 2 4 3" xfId="5875" xr:uid="{A7F1F689-BD35-43F6-BCF8-4CFD15BC22E3}"/>
    <cellStyle name="Normal 2 4 3 2 5" xfId="5876" xr:uid="{0E8A89A6-12CB-480E-A512-3D4D3F06E01B}"/>
    <cellStyle name="Normal 2 4 3 2 5 2" xfId="5877" xr:uid="{CC51AF1B-2022-4A9B-8824-05CE337D248D}"/>
    <cellStyle name="Normal 2 4 3 2 6" xfId="5878" xr:uid="{465CB24D-0C57-4A4F-8FFC-11BADFFE634E}"/>
    <cellStyle name="Normal 2 4 3 3" xfId="5879" xr:uid="{6E8E06AD-4AD4-4687-AA75-539D08271A3F}"/>
    <cellStyle name="Normal 2 4 3 4" xfId="5880" xr:uid="{CE7F2529-833B-44E4-8BA1-398AD846403B}"/>
    <cellStyle name="Normal 2 4 3 5" xfId="5881" xr:uid="{E0FDB840-07E6-4B90-9052-2E7667219803}"/>
    <cellStyle name="Normal 2 4 4" xfId="5882" xr:uid="{0F1C2FD4-AD6D-4E62-AB55-99BCDBF5B703}"/>
    <cellStyle name="Normal 2 4 4 2" xfId="5883" xr:uid="{83E98894-D211-457B-A5E4-FEEA7D854E92}"/>
    <cellStyle name="Normal 2 4 4 2 2" xfId="5884" xr:uid="{DAB0570B-E161-404B-8A0A-EF0FD2A7F6D0}"/>
    <cellStyle name="Normal 2 4 4 2 2 2" xfId="5885" xr:uid="{C5FCF7AF-CFDE-44B7-8325-65FDC0E22E14}"/>
    <cellStyle name="Normal 2 4 4 2 2 2 2" xfId="5886" xr:uid="{B9E656E4-A183-4850-9D2E-4B1DCF9D8469}"/>
    <cellStyle name="Normal 2 4 4 2 2 2 2 2" xfId="5887" xr:uid="{5EF1314F-4EE5-406E-B748-F394EBAE4CE2}"/>
    <cellStyle name="Normal 2 4 4 2 2 2 3" xfId="5888" xr:uid="{F628B93D-B10C-45CF-8D0F-05A3ED3B4B64}"/>
    <cellStyle name="Normal 2 4 4 2 2 3" xfId="5889" xr:uid="{A915C8AF-D984-4158-8E8B-E11705D3C389}"/>
    <cellStyle name="Normal 2 4 4 2 2 3 2" xfId="5890" xr:uid="{A82E7FF4-0FE0-41CC-B6E7-1BD952509FD5}"/>
    <cellStyle name="Normal 2 4 4 2 2 3 2 2" xfId="5891" xr:uid="{230358F7-A33B-4A9F-AC20-F04CAC18D6D2}"/>
    <cellStyle name="Normal 2 4 4 2 2 3 3" xfId="5892" xr:uid="{43555925-8D96-40DC-9723-62A2E323F4BB}"/>
    <cellStyle name="Normal 2 4 4 2 2 4" xfId="5893" xr:uid="{EAB5A84E-8561-4B5D-A7E3-DEF9B59F5BAB}"/>
    <cellStyle name="Normal 2 4 4 2 2 4 2" xfId="5894" xr:uid="{03653A61-6E14-4317-BFFC-37FA52E844FA}"/>
    <cellStyle name="Normal 2 4 4 2 2 5" xfId="5895" xr:uid="{277E0F37-4027-4B0F-B3DC-1A69B285C833}"/>
    <cellStyle name="Normal 2 4 4 2 3" xfId="5896" xr:uid="{BC4465DC-6B3C-4AF4-8389-DC873DB11768}"/>
    <cellStyle name="Normal 2 4 4 2 3 2" xfId="5897" xr:uid="{4546899D-341F-4977-9F5A-2E7A9DEA3003}"/>
    <cellStyle name="Normal 2 4 4 2 3 2 2" xfId="5898" xr:uid="{649CADED-FB5F-4129-816F-2701A49BC601}"/>
    <cellStyle name="Normal 2 4 4 2 3 3" xfId="5899" xr:uid="{E8B0D978-EC02-4E4E-8FB9-F670B904BE86}"/>
    <cellStyle name="Normal 2 4 4 2 4" xfId="5900" xr:uid="{3F9D35AD-B54B-456B-B63B-D68A3FC90801}"/>
    <cellStyle name="Normal 2 4 4 2 4 2" xfId="5901" xr:uid="{AB8F7E2A-1E97-442C-93A1-8DDB151DD24A}"/>
    <cellStyle name="Normal 2 4 4 2 4 2 2" xfId="5902" xr:uid="{9604CF64-F507-483D-8261-15153F16D7D6}"/>
    <cellStyle name="Normal 2 4 4 2 4 3" xfId="5903" xr:uid="{D9EC700A-C904-499D-8F21-72DCC9609DD9}"/>
    <cellStyle name="Normal 2 4 4 2 5" xfId="5904" xr:uid="{FC491F8A-6FBB-497E-9EA8-C16CE92879C4}"/>
    <cellStyle name="Normal 2 4 4 2 5 2" xfId="5905" xr:uid="{1EA39E28-99D9-449B-81DB-1D800AFC6261}"/>
    <cellStyle name="Normal 2 4 4 2 6" xfId="5906" xr:uid="{19887650-67FA-42AB-90DC-62CCF3790783}"/>
    <cellStyle name="Normal 2 4 4 3" xfId="5907" xr:uid="{C5910940-71DC-4571-9DDA-DF44ADE0D826}"/>
    <cellStyle name="Normal 2 4 4 4" xfId="5908" xr:uid="{2F4A959B-DEEC-4312-B6A0-F64F65CBACC8}"/>
    <cellStyle name="Normal 2 4 4 5" xfId="5909" xr:uid="{5AE94BA7-63E8-40CF-AB65-6DBA71F3028B}"/>
    <cellStyle name="Normal 2 4 5" xfId="5910" xr:uid="{0E812419-E3A7-4E41-870A-6B3182C55C79}"/>
    <cellStyle name="Normal 2 4 5 2" xfId="5911" xr:uid="{7A09493D-7B48-498C-BECB-9282A42CF4F6}"/>
    <cellStyle name="Normal 2 4 5 2 2" xfId="5912" xr:uid="{EF5A66D7-EB91-4FE4-AD9D-F1AE10AE0D53}"/>
    <cellStyle name="Normal 2 4 5 2 2 2" xfId="5913" xr:uid="{68B514F2-4010-44A2-B07D-1F8B4B89A756}"/>
    <cellStyle name="Normal 2 4 5 2 2 2 2" xfId="5914" xr:uid="{C2327D93-94A7-49F1-BA2B-FAFAAC4A8A43}"/>
    <cellStyle name="Normal 2 4 5 2 2 2 2 2" xfId="5915" xr:uid="{7F728549-4EF1-41D6-8AD0-1C4DF4C522AC}"/>
    <cellStyle name="Normal 2 4 5 2 2 2 3" xfId="5916" xr:uid="{19A5C268-D281-4E19-84E5-6AFAB37A86D1}"/>
    <cellStyle name="Normal 2 4 5 2 2 3" xfId="5917" xr:uid="{DF2A563B-C228-4131-9EF9-471CB832247C}"/>
    <cellStyle name="Normal 2 4 5 2 2 3 2" xfId="5918" xr:uid="{65ADA168-8C20-481D-9F14-F45B3C406F32}"/>
    <cellStyle name="Normal 2 4 5 2 2 3 2 2" xfId="5919" xr:uid="{F7A1DC7B-C8CE-4E99-9C4A-2E4DFA217FE0}"/>
    <cellStyle name="Normal 2 4 5 2 2 3 3" xfId="5920" xr:uid="{10AF1A2D-7E80-47CE-8BAA-1D12DDD603F9}"/>
    <cellStyle name="Normal 2 4 5 2 2 4" xfId="5921" xr:uid="{FF1A1CA8-46D9-4A3B-97B8-E3CD00ADC5E3}"/>
    <cellStyle name="Normal 2 4 5 2 2 4 2" xfId="5922" xr:uid="{F28A97D2-8E72-4DE4-8C15-1E3E8A206D5A}"/>
    <cellStyle name="Normal 2 4 5 2 2 5" xfId="5923" xr:uid="{FB6C417D-4A3B-4942-872F-EDF306C785D8}"/>
    <cellStyle name="Normal 2 4 5 2 3" xfId="5924" xr:uid="{F93F0EE0-F17D-4FD6-96DF-BBE59B72C663}"/>
    <cellStyle name="Normal 2 4 5 2 3 2" xfId="5925" xr:uid="{92D72B61-EF17-41A9-8172-007C5A1F853B}"/>
    <cellStyle name="Normal 2 4 5 2 3 2 2" xfId="5926" xr:uid="{F4325F06-0020-4C37-83F2-4AB755557A6A}"/>
    <cellStyle name="Normal 2 4 5 2 3 3" xfId="5927" xr:uid="{E16FC3AC-B7D5-492C-8329-F261F75B474D}"/>
    <cellStyle name="Normal 2 4 5 2 4" xfId="5928" xr:uid="{81F7AB5B-C77A-49E5-8669-C02E5A564E35}"/>
    <cellStyle name="Normal 2 4 5 2 4 2" xfId="5929" xr:uid="{D7D61B4A-5B13-438B-B97F-63840E9AC50A}"/>
    <cellStyle name="Normal 2 4 5 2 4 2 2" xfId="5930" xr:uid="{4945125D-DC26-4C78-99FA-FDE1777A1E2D}"/>
    <cellStyle name="Normal 2 4 5 2 4 3" xfId="5931" xr:uid="{51236727-D23C-452F-B432-9BAB9177BFB3}"/>
    <cellStyle name="Normal 2 4 5 2 5" xfId="5932" xr:uid="{E0C8E0C9-0B5A-42FD-887D-0CFF6FFF735C}"/>
    <cellStyle name="Normal 2 4 5 2 5 2" xfId="5933" xr:uid="{4C1B166A-D65B-45A8-B8DF-E5B7E3E2F8F6}"/>
    <cellStyle name="Normal 2 4 5 2 6" xfId="5934" xr:uid="{C670BBC1-2DF1-4271-8513-246F86A0B830}"/>
    <cellStyle name="Normal 2 4 5 3" xfId="5935" xr:uid="{AC1041CB-8D93-4F51-9702-89A1C20D92EA}"/>
    <cellStyle name="Normal 2 4 5 3 2" xfId="5936" xr:uid="{040AB7C1-E81C-464F-B118-E2F95E50AA84}"/>
    <cellStyle name="Normal 2 4 5 3 2 2" xfId="5937" xr:uid="{B2178B61-05B5-4146-A12C-A03BC031201C}"/>
    <cellStyle name="Normal 2 4 5 3 2 2 2" xfId="5938" xr:uid="{F720D429-8F20-4C3D-874F-6CE7D77DF4F4}"/>
    <cellStyle name="Normal 2 4 5 3 2 3" xfId="5939" xr:uid="{75434F15-C16D-41A5-899F-54D1A1B72459}"/>
    <cellStyle name="Normal 2 4 5 3 3" xfId="5940" xr:uid="{F5870CD5-1539-45B5-822C-C24782E59163}"/>
    <cellStyle name="Normal 2 4 5 3 3 2" xfId="5941" xr:uid="{9877512F-921E-439A-BC22-3CE6C28598DE}"/>
    <cellStyle name="Normal 2 4 5 3 3 2 2" xfId="5942" xr:uid="{8D762A58-FA64-4499-B187-0F068929A1A2}"/>
    <cellStyle name="Normal 2 4 5 3 3 3" xfId="5943" xr:uid="{1F3147BE-8859-489F-A7B8-D1B8B79A9EF9}"/>
    <cellStyle name="Normal 2 4 5 3 4" xfId="5944" xr:uid="{D7FAA688-2E54-4E4F-AD78-CF6EDFB2A26F}"/>
    <cellStyle name="Normal 2 4 5 3 4 2" xfId="5945" xr:uid="{0BFD0181-5AFA-4823-A3E5-9345C96A9A61}"/>
    <cellStyle name="Normal 2 4 5 3 5" xfId="5946" xr:uid="{FC395A64-88FF-4769-AB57-650E9C9BAEB4}"/>
    <cellStyle name="Normal 2 4 5 4" xfId="5947" xr:uid="{0348E76C-0CB1-4C90-B37F-C159F71A48C4}"/>
    <cellStyle name="Normal 2 4 5 4 2" xfId="5948" xr:uid="{AE9DA2D1-D7C1-41C4-8049-2E234AB1378B}"/>
    <cellStyle name="Normal 2 4 5 4 2 2" xfId="5949" xr:uid="{A30A3AD7-AD02-4164-9756-4BD136F41263}"/>
    <cellStyle name="Normal 2 4 5 4 2 2 2" xfId="5950" xr:uid="{526B5F13-8448-4F6F-8228-A8E3AFE8F0B0}"/>
    <cellStyle name="Normal 2 4 5 4 2 3" xfId="5951" xr:uid="{1B876A88-1FFE-4C7B-B84F-B9A3D36E67E0}"/>
    <cellStyle name="Normal 2 4 5 4 3" xfId="5952" xr:uid="{A3787385-DEFA-4332-98EE-A02674B19CF2}"/>
    <cellStyle name="Normal 2 4 5 4 3 2" xfId="5953" xr:uid="{CE419EF0-7716-4228-87BC-21746B0B6C74}"/>
    <cellStyle name="Normal 2 4 5 4 4" xfId="5954" xr:uid="{44151F6E-613F-44C2-8C92-1ADF9FD33E01}"/>
    <cellStyle name="Normal 2 4 5 5" xfId="5955" xr:uid="{295AFEE9-3561-4C09-ABBD-C65E27B17A53}"/>
    <cellStyle name="Normal 2 4 5 6" xfId="5956" xr:uid="{8B467017-A225-4A74-B889-5E7C704E854A}"/>
    <cellStyle name="Normal 2 4 5 6 2" xfId="5957" xr:uid="{F3A06A7E-F532-4AF4-96F7-64C2BEF1FF43}"/>
    <cellStyle name="Normal 2 4 5 7" xfId="5958" xr:uid="{4BDB6675-CF03-4D65-90EA-C1F0B89E9D83}"/>
    <cellStyle name="Normal 2 4 6" xfId="5959" xr:uid="{13BA2AFA-464F-4825-93D5-ECE62C5EC77D}"/>
    <cellStyle name="Normal 2 4 6 2" xfId="5960" xr:uid="{E2A011AA-A867-4AC8-9C58-7FAAD7A9CF72}"/>
    <cellStyle name="Normal 2 4 6 2 2" xfId="5961" xr:uid="{5309D7D1-A3DF-424C-94B5-2103393AE960}"/>
    <cellStyle name="Normal 2 4 6 2 2 2" xfId="5962" xr:uid="{BAF2885D-46DC-4665-9983-62225985CCCC}"/>
    <cellStyle name="Normal 2 4 6 2 2 2 2" xfId="5963" xr:uid="{D0D38336-6A9B-4993-8611-E2212BD04EFC}"/>
    <cellStyle name="Normal 2 4 6 2 2 3" xfId="5964" xr:uid="{4E540551-4DC5-4C09-BFC8-146F86823C79}"/>
    <cellStyle name="Normal 2 4 6 2 3" xfId="5965" xr:uid="{5178721A-3438-496B-A2EC-6BF90A475C6F}"/>
    <cellStyle name="Normal 2 4 6 2 3 2" xfId="5966" xr:uid="{4D5EF4DD-47E1-491F-938A-3E438B532987}"/>
    <cellStyle name="Normal 2 4 6 2 3 2 2" xfId="5967" xr:uid="{1EC387EA-EB8A-4D87-B15D-608DE14C4731}"/>
    <cellStyle name="Normal 2 4 6 2 3 3" xfId="5968" xr:uid="{73A13039-DD81-4C80-90D1-39099FB23A16}"/>
    <cellStyle name="Normal 2 4 6 2 4" xfId="5969" xr:uid="{F76FF51C-1D41-44B1-811A-49E4BD675029}"/>
    <cellStyle name="Normal 2 4 6 2 4 2" xfId="5970" xr:uid="{A1C1B2B3-776C-437D-868E-9E77DF18D23A}"/>
    <cellStyle name="Normal 2 4 6 2 5" xfId="5971" xr:uid="{01207389-1A4D-4B96-B8B9-86A0FC2DCA58}"/>
    <cellStyle name="Normal 2 4 6 3" xfId="5972" xr:uid="{99902541-377D-417C-8DC7-AF675F728DD2}"/>
    <cellStyle name="Normal 2 4 6 3 2" xfId="5973" xr:uid="{FD7D1674-3E3C-4A26-8B67-3711EAAEFFFC}"/>
    <cellStyle name="Normal 2 4 6 3 2 2" xfId="5974" xr:uid="{22F1808B-873E-47AE-9EAD-5C5E46FB8A59}"/>
    <cellStyle name="Normal 2 4 6 3 2 2 2" xfId="5975" xr:uid="{623F2E1B-D777-423C-A2DE-69EF4D25C9D8}"/>
    <cellStyle name="Normal 2 4 6 3 2 3" xfId="5976" xr:uid="{71EBA19F-8AC5-49A9-A9E9-9D19CD2ECBA0}"/>
    <cellStyle name="Normal 2 4 6 3 3" xfId="5977" xr:uid="{9E151E1B-5148-48EA-B0A7-F7D8839FB370}"/>
    <cellStyle name="Normal 2 4 6 3 3 2" xfId="5978" xr:uid="{52E96872-E9DC-432B-ACCA-CA81C9AB26F6}"/>
    <cellStyle name="Normal 2 4 6 3 4" xfId="5979" xr:uid="{198D63C9-1E40-4A30-BAC6-74AEB62A0046}"/>
    <cellStyle name="Normal 2 4 6 4" xfId="5980" xr:uid="{AFCEC9F6-BD70-462D-9A3C-C43BBAB5E2FB}"/>
    <cellStyle name="Normal 2 4 6 5" xfId="5981" xr:uid="{03D8197C-CF53-4BD8-B6CE-35556EC11FC6}"/>
    <cellStyle name="Normal 2 4 6 5 2" xfId="5982" xr:uid="{67035499-1306-48BE-A222-472C4AA6E1D9}"/>
    <cellStyle name="Normal 2 4 6 6" xfId="5983" xr:uid="{D0E4AF82-7711-4C8F-8B1F-292BDE405263}"/>
    <cellStyle name="Normal 2 4 7" xfId="5984" xr:uid="{814A34AD-797E-4EAA-9A6D-37B1C44D0758}"/>
    <cellStyle name="Normal 2 4 7 2" xfId="5985" xr:uid="{5A2C447A-207B-46A3-A529-57FC68EA93AC}"/>
    <cellStyle name="Normal 2 4 7 2 2" xfId="5986" xr:uid="{8D3901C8-2166-4943-ACC3-6B9BD8155D42}"/>
    <cellStyle name="Normal 2 4 7 2 2 2" xfId="5987" xr:uid="{174E9058-A5FB-430D-9EA7-D6C7B8898418}"/>
    <cellStyle name="Normal 2 4 7 2 2 2 2" xfId="5988" xr:uid="{34CC2F52-5E5A-46BA-97BD-F89B1763C2AA}"/>
    <cellStyle name="Normal 2 4 7 2 2 3" xfId="5989" xr:uid="{195589E1-487E-4E38-A312-B78D2E94C058}"/>
    <cellStyle name="Normal 2 4 7 2 3" xfId="5990" xr:uid="{FA281835-98B6-469D-BBD1-83E8ADC2E90D}"/>
    <cellStyle name="Normal 2 4 7 2 3 2" xfId="5991" xr:uid="{2DCAA3B0-924E-4D1C-94A0-66C4840DBA9D}"/>
    <cellStyle name="Normal 2 4 7 2 3 2 2" xfId="5992" xr:uid="{78A8DBB5-9B5A-44ED-A12E-FCFCB6E31EDB}"/>
    <cellStyle name="Normal 2 4 7 2 3 3" xfId="5993" xr:uid="{3BB45896-98D5-4FBB-9BCE-3F772C0BC907}"/>
    <cellStyle name="Normal 2 4 7 2 4" xfId="5994" xr:uid="{A37EB172-B0F6-43BD-977D-8721DA350C40}"/>
    <cellStyle name="Normal 2 4 7 2 4 2" xfId="5995" xr:uid="{4DC913B6-64A1-443D-8A23-5EE395C76035}"/>
    <cellStyle name="Normal 2 4 7 2 5" xfId="5996" xr:uid="{AE663560-E098-49D4-8511-E860BF44877F}"/>
    <cellStyle name="Normal 2 4 7 3" xfId="5997" xr:uid="{94F9BA60-2F6C-4253-B748-9DDC5E06DFBE}"/>
    <cellStyle name="Normal 2 4 7 3 2" xfId="5998" xr:uid="{2456110F-EB50-4B7B-8D49-51499E6DC534}"/>
    <cellStyle name="Normal 2 4 7 3 2 2" xfId="5999" xr:uid="{54E92679-1976-45D4-B51A-C2571B695B5F}"/>
    <cellStyle name="Normal 2 4 7 3 2 2 2" xfId="6000" xr:uid="{EE8C374E-7111-4CAC-B4D4-140DFAA431B6}"/>
    <cellStyle name="Normal 2 4 7 3 2 3" xfId="6001" xr:uid="{41098D5B-51AD-40F9-887D-0DCF12C7E3BB}"/>
    <cellStyle name="Normal 2 4 7 3 3" xfId="6002" xr:uid="{1B625082-4073-49E2-AF4F-C809DCEC417B}"/>
    <cellStyle name="Normal 2 4 7 3 3 2" xfId="6003" xr:uid="{BD2F6CC7-1B92-4AA3-BDEC-1BA9DA422BDC}"/>
    <cellStyle name="Normal 2 4 7 3 4" xfId="6004" xr:uid="{97FD3236-7A0E-4C95-81BA-B84DF2720918}"/>
    <cellStyle name="Normal 2 4 7 4" xfId="6005" xr:uid="{F19AA5CC-C252-4DD0-81F4-77296C930C5D}"/>
    <cellStyle name="Normal 2 4 7 5" xfId="6006" xr:uid="{EB774982-A24C-4CA5-A778-820C86FBD5E8}"/>
    <cellStyle name="Normal 2 4 7 5 2" xfId="6007" xr:uid="{69D142AC-A6BB-4458-9BE8-3680963B6EF3}"/>
    <cellStyle name="Normal 2 4 7 6" xfId="6008" xr:uid="{59EBAE62-12BD-494B-82B4-ADCAAB82ED76}"/>
    <cellStyle name="Normal 2 4 8" xfId="6009" xr:uid="{81B8A780-899A-4B8B-9465-595CAE957FE8}"/>
    <cellStyle name="Normal 2 4 8 2" xfId="6010" xr:uid="{A3B3EF2F-015C-473E-90F1-06F5878DB539}"/>
    <cellStyle name="Normal 2 4 8 2 2" xfId="6011" xr:uid="{F873322E-A29F-4E91-903C-1E4A91F83FBD}"/>
    <cellStyle name="Normal 2 4 8 2 2 2" xfId="6012" xr:uid="{9DF4C445-2BA9-4719-8AE0-A58523167CCD}"/>
    <cellStyle name="Normal 2 4 8 2 2 2 2" xfId="6013" xr:uid="{2BA297ED-0B92-4F4E-9084-7B251164A38F}"/>
    <cellStyle name="Normal 2 4 8 2 2 3" xfId="6014" xr:uid="{73E9EC90-F00A-4082-826B-79716BB4B2E0}"/>
    <cellStyle name="Normal 2 4 8 2 3" xfId="6015" xr:uid="{67DA21D4-C271-4F5E-9AEE-F301F5923CB1}"/>
    <cellStyle name="Normal 2 4 8 2 3 2" xfId="6016" xr:uid="{8926782D-0F32-4483-A655-94EFE11A761A}"/>
    <cellStyle name="Normal 2 4 8 2 3 2 2" xfId="6017" xr:uid="{CF5E4B8D-8B6C-4978-8EAE-EEB72294EC44}"/>
    <cellStyle name="Normal 2 4 8 2 3 3" xfId="6018" xr:uid="{20DA094E-F8EE-4B64-AE38-B295CE3E3501}"/>
    <cellStyle name="Normal 2 4 8 2 4" xfId="6019" xr:uid="{AEA71C98-003D-4492-A830-C70D57D341C0}"/>
    <cellStyle name="Normal 2 4 8 2 4 2" xfId="6020" xr:uid="{3405FFE2-8FD5-45B9-826C-F3BB7A77BF3F}"/>
    <cellStyle name="Normal 2 4 8 2 5" xfId="6021" xr:uid="{E14E0D4E-75DF-4638-83D0-856FECED473D}"/>
    <cellStyle name="Normal 2 4 8 3" xfId="6022" xr:uid="{6B68D19A-C6BB-4D1F-9C59-304EFE2E0D87}"/>
    <cellStyle name="Normal 2 4 8 3 2" xfId="6023" xr:uid="{01FA22AB-0DA7-40A9-85EE-4E88235276F6}"/>
    <cellStyle name="Normal 2 4 8 3 2 2" xfId="6024" xr:uid="{83F1C58F-0B89-4D08-85D8-E79B6123A1ED}"/>
    <cellStyle name="Normal 2 4 8 3 2 2 2" xfId="6025" xr:uid="{1AECFB09-C815-41D6-8E47-44DCCBDD6654}"/>
    <cellStyle name="Normal 2 4 8 3 2 3" xfId="6026" xr:uid="{68D2CB58-5100-4100-B8D3-961D38BF9626}"/>
    <cellStyle name="Normal 2 4 8 3 3" xfId="6027" xr:uid="{5DF1D6F6-90EC-4B4C-A9A9-4AF08E7A625C}"/>
    <cellStyle name="Normal 2 4 8 3 3 2" xfId="6028" xr:uid="{74881FBC-AB78-4C98-BAE9-F34631D7B5E4}"/>
    <cellStyle name="Normal 2 4 8 3 4" xfId="6029" xr:uid="{84022FAD-2613-4B09-9404-4E57A114F9C2}"/>
    <cellStyle name="Normal 2 4 8 4" xfId="6030" xr:uid="{9A01DF23-E409-4BFD-9637-703A8F986A11}"/>
    <cellStyle name="Normal 2 4 8 5" xfId="6031" xr:uid="{B11CDF65-4CC9-4232-959D-9238754AE56A}"/>
    <cellStyle name="Normal 2 4 8 5 2" xfId="6032" xr:uid="{CDCA46EF-FF0C-4C62-A870-2D4A88CB2FED}"/>
    <cellStyle name="Normal 2 4 8 6" xfId="6033" xr:uid="{61D60D22-15B5-43D0-BDFA-265F78B7B835}"/>
    <cellStyle name="Normal 2 4 9" xfId="6034" xr:uid="{0622E2F1-5DDF-4163-9CE0-87ADCDD9BBBC}"/>
    <cellStyle name="Normal 2 4 9 2" xfId="6035" xr:uid="{0E2773D1-47C7-400A-BA5C-5057FFCBB0C6}"/>
    <cellStyle name="Normal 2 4 9 2 2" xfId="6036" xr:uid="{F5E02B0C-1FE9-43F4-A7DA-BC1EBF11BF73}"/>
    <cellStyle name="Normal 2 4 9 2 2 2" xfId="6037" xr:uid="{79BDEED4-D13A-4C1D-B8D7-C0709E026283}"/>
    <cellStyle name="Normal 2 4 9 2 2 2 2" xfId="6038" xr:uid="{299B7675-5AE1-45F5-BDC8-1F969493BFD7}"/>
    <cellStyle name="Normal 2 4 9 2 2 3" xfId="6039" xr:uid="{912BC28D-2C6C-4D07-8EEF-555D4343B7A0}"/>
    <cellStyle name="Normal 2 4 9 2 3" xfId="6040" xr:uid="{DBA71FEA-0758-45EE-84A2-0CA77CBC7B8A}"/>
    <cellStyle name="Normal 2 4 9 2 3 2" xfId="6041" xr:uid="{8252E066-79DA-4CA0-A137-C4119EEDD4D2}"/>
    <cellStyle name="Normal 2 4 9 2 3 2 2" xfId="6042" xr:uid="{B8FC5D90-22BB-48A5-BB3E-A71335DFE9CF}"/>
    <cellStyle name="Normal 2 4 9 2 3 3" xfId="6043" xr:uid="{719E60A2-568F-4835-86A3-687D05A70B32}"/>
    <cellStyle name="Normal 2 4 9 2 4" xfId="6044" xr:uid="{662636F0-6FBF-4731-8281-31914E028D3C}"/>
    <cellStyle name="Normal 2 4 9 2 4 2" xfId="6045" xr:uid="{1057AF69-4880-4B44-BE31-07CDEBC92C83}"/>
    <cellStyle name="Normal 2 4 9 2 5" xfId="6046" xr:uid="{0F6CAE3B-22A5-47C1-97F2-318DCEC82B6B}"/>
    <cellStyle name="Normal 2 4 9 3" xfId="6047" xr:uid="{21E15565-4E35-4471-87F4-7785068C33C3}"/>
    <cellStyle name="Normal 2 4 9 3 2" xfId="6048" xr:uid="{C3FDD180-13C1-4528-AB11-F5E55A4011AF}"/>
    <cellStyle name="Normal 2 4 9 3 2 2" xfId="6049" xr:uid="{E80FE308-1A6C-4D14-B056-50725B00584C}"/>
    <cellStyle name="Normal 2 4 9 3 2 2 2" xfId="6050" xr:uid="{9027CEAE-EA81-44D6-83D6-E82568820C62}"/>
    <cellStyle name="Normal 2 4 9 3 2 3" xfId="6051" xr:uid="{8F9416C1-C42D-4F69-8E84-2FE497A11060}"/>
    <cellStyle name="Normal 2 4 9 3 3" xfId="6052" xr:uid="{46BB9F42-5976-4D77-80D6-6A53C07610F1}"/>
    <cellStyle name="Normal 2 4 9 3 3 2" xfId="6053" xr:uid="{473A5703-31FC-41B2-820F-8FDE02843912}"/>
    <cellStyle name="Normal 2 4 9 3 4" xfId="6054" xr:uid="{3E27F3D3-2B78-45F8-9C5B-2ABFED63E252}"/>
    <cellStyle name="Normal 2 4 9 4" xfId="6055" xr:uid="{B3DF1DD1-863A-4DB5-B5CC-70C0ACEB2D0E}"/>
    <cellStyle name="Normal 2 4 9 5" xfId="6056" xr:uid="{D8A7F4C0-F9E6-4E3A-B1A9-3E6B499BD4AF}"/>
    <cellStyle name="Normal 2 4 9 5 2" xfId="6057" xr:uid="{B4B9EAB5-0811-44F1-A691-C8438E272EC3}"/>
    <cellStyle name="Normal 2 4 9 6" xfId="6058" xr:uid="{F12119CB-9BCF-4423-9653-CCF4F873E724}"/>
    <cellStyle name="Normal 2 40" xfId="6059" xr:uid="{29EF11A8-4E55-4737-8CD1-49DB3615B6CE}"/>
    <cellStyle name="Normal 2 41" xfId="6060" xr:uid="{1D0956CA-5B82-41CC-80F9-B20D4B1A753A}"/>
    <cellStyle name="Normal 2 42" xfId="6061" xr:uid="{827D92EF-3D9F-43FA-8ED7-391AD2048182}"/>
    <cellStyle name="Normal 2 43" xfId="6062" xr:uid="{EF2B4D1B-97AC-4FD8-8A14-ED37BB84C269}"/>
    <cellStyle name="Normal 2 44" xfId="6063" xr:uid="{96B35DCD-B61B-4913-AE13-C78CEB6F4CEC}"/>
    <cellStyle name="Normal 2 45" xfId="6064" xr:uid="{67F6D29B-274D-4C9B-922E-EC79260BA385}"/>
    <cellStyle name="Normal 2 45 2" xfId="6065" xr:uid="{75920017-79DA-49DB-A8B1-FA78B20A19B7}"/>
    <cellStyle name="Normal 2 45 2 2" xfId="6066" xr:uid="{B0861B69-6ECF-40FB-80C5-DA9C31117DAC}"/>
    <cellStyle name="Normal 2 45 2 2 2" xfId="6067" xr:uid="{BD5AE3A2-6FAB-486F-8DAC-813E30285034}"/>
    <cellStyle name="Normal 2 45 2 2 2 2" xfId="6068" xr:uid="{AB056C59-A003-4F2D-A12C-AA457B3690D9}"/>
    <cellStyle name="Normal 2 45 2 2 3" xfId="6069" xr:uid="{E53595F5-997E-4FBE-B03C-833D0C0890E6}"/>
    <cellStyle name="Normal 2 45 2 3" xfId="6070" xr:uid="{3DFB015E-52AC-4DF6-A4F1-C3B6095E1377}"/>
    <cellStyle name="Normal 2 45 2 3 2" xfId="6071" xr:uid="{507275D9-D004-4A72-BF61-F16666ED8711}"/>
    <cellStyle name="Normal 2 45 2 3 2 2" xfId="6072" xr:uid="{AF810569-4120-44E7-9236-6008F083C771}"/>
    <cellStyle name="Normal 2 45 2 3 3" xfId="6073" xr:uid="{548ACDBF-FF44-4611-9A0C-E5DB5CB0A846}"/>
    <cellStyle name="Normal 2 45 2 4" xfId="6074" xr:uid="{4A845DC0-6EDF-4236-939F-1C6B9D61C510}"/>
    <cellStyle name="Normal 2 45 2 4 2" xfId="6075" xr:uid="{16524B61-635D-430B-850F-669918EE97ED}"/>
    <cellStyle name="Normal 2 45 2 5" xfId="6076" xr:uid="{AB080C7A-029C-404F-8B28-56D01A2B2F4E}"/>
    <cellStyle name="Normal 2 45 3" xfId="6077" xr:uid="{63ECA398-AEFD-4536-8CA6-2927AB91DEF9}"/>
    <cellStyle name="Normal 2 45 3 2" xfId="6078" xr:uid="{404D49B2-AA6C-4684-B072-AAAC76007148}"/>
    <cellStyle name="Normal 2 45 3 2 2" xfId="6079" xr:uid="{B959C282-29A9-4B65-8660-62C9059828CD}"/>
    <cellStyle name="Normal 2 45 3 3" xfId="6080" xr:uid="{9D94B295-D7C5-427A-AEFE-67A645A3179C}"/>
    <cellStyle name="Normal 2 45 3 4" xfId="6081" xr:uid="{99442B80-FD18-402E-AF14-4CA3AFC83DF6}"/>
    <cellStyle name="Normal 2 45 4" xfId="6082" xr:uid="{9CD8D86E-5B8E-4769-B1AE-9921F75788E9}"/>
    <cellStyle name="Normal 2 45 4 2" xfId="6083" xr:uid="{A8FFFC4F-B5E2-4338-ABE2-42CD6A4CF0A4}"/>
    <cellStyle name="Normal 2 45 4 2 2" xfId="6084" xr:uid="{B5BCD934-74AB-4280-AAC8-6BC1A00FC146}"/>
    <cellStyle name="Normal 2 45 4 3" xfId="6085" xr:uid="{F47B34B6-AE97-4FC9-B5D0-B5E1C67B30DB}"/>
    <cellStyle name="Normal 2 45 5" xfId="6086" xr:uid="{4272192D-172A-41D9-B217-5FCFBF0FF2AA}"/>
    <cellStyle name="Normal 2 45 5 2" xfId="6087" xr:uid="{37BFAFAF-09A7-4A4A-AAAD-C6812CC9DA3D}"/>
    <cellStyle name="Normal 2 45 6" xfId="6088" xr:uid="{EF90BF7F-222C-4A45-904B-E5ECFE4C6002}"/>
    <cellStyle name="Normal 2 46" xfId="6089" xr:uid="{F193A79E-B677-4CE5-AF99-F83ADEC12C7B}"/>
    <cellStyle name="Normal 2 46 2" xfId="6090" xr:uid="{A1B67353-50F6-4274-96A8-09344637C10E}"/>
    <cellStyle name="Normal 2 46 2 2" xfId="6091" xr:uid="{AC4E2F9D-ACEA-44A2-898A-39F1A0FB6796}"/>
    <cellStyle name="Normal 2 46 2 2 2" xfId="6092" xr:uid="{257487EA-EED0-4954-80A1-50C8584A5B92}"/>
    <cellStyle name="Normal 2 46 2 2 2 2" xfId="6093" xr:uid="{C12DECA8-6A23-491C-9B2D-AFE96C0484CA}"/>
    <cellStyle name="Normal 2 46 2 2 3" xfId="6094" xr:uid="{66CC11A6-F96E-4BE0-91F3-BABDB07DB3DE}"/>
    <cellStyle name="Normal 2 46 2 3" xfId="6095" xr:uid="{AE7283BA-9AE7-47E5-B4A6-35ACF5BB1CCE}"/>
    <cellStyle name="Normal 2 46 2 3 2" xfId="6096" xr:uid="{07687AAE-8BE5-432C-A569-6EB0F3A6A4A5}"/>
    <cellStyle name="Normal 2 46 2 3 2 2" xfId="6097" xr:uid="{99C16C57-7B1C-48BC-8227-0F6DE652A30E}"/>
    <cellStyle name="Normal 2 46 2 3 3" xfId="6098" xr:uid="{3828BB0B-48F2-4138-9710-97AD9FA85048}"/>
    <cellStyle name="Normal 2 46 2 4" xfId="6099" xr:uid="{931FD722-FCD9-4BB5-860A-DED0A18D15BB}"/>
    <cellStyle name="Normal 2 46 2 4 2" xfId="6100" xr:uid="{087A8D35-D732-4928-975C-4061B5338E7C}"/>
    <cellStyle name="Normal 2 46 2 5" xfId="6101" xr:uid="{5C4ADF03-2A8A-414D-B335-3F1E477B5B6E}"/>
    <cellStyle name="Normal 2 46 3" xfId="6102" xr:uid="{7FC79582-2DF4-49E0-B00C-C9D182C004BA}"/>
    <cellStyle name="Normal 2 46 3 2" xfId="6103" xr:uid="{C6E6070D-73D2-44E8-BA62-6C83208533D5}"/>
    <cellStyle name="Normal 2 46 3 2 2" xfId="6104" xr:uid="{FA3242EA-691D-458E-8EC4-00251F2133CC}"/>
    <cellStyle name="Normal 2 46 3 3" xfId="6105" xr:uid="{CBE43471-1A59-41A0-B32D-067E33A84C6B}"/>
    <cellStyle name="Normal 2 46 4" xfId="6106" xr:uid="{61FC3001-64C9-49BD-9EEF-4083D7806068}"/>
    <cellStyle name="Normal 2 46 4 2" xfId="6107" xr:uid="{FD03771C-6AFB-4E7B-88B3-431150EFF05E}"/>
    <cellStyle name="Normal 2 46 4 2 2" xfId="6108" xr:uid="{3FE84BEA-12B3-45B3-98BA-8196317B3C70}"/>
    <cellStyle name="Normal 2 46 4 3" xfId="6109" xr:uid="{4C4CC93C-03FD-4799-8265-C76FD71FB392}"/>
    <cellStyle name="Normal 2 46 5" xfId="6110" xr:uid="{D4B9AC0C-8EA9-4DEF-8587-A05635C0E7CC}"/>
    <cellStyle name="Normal 2 46 5 2" xfId="6111" xr:uid="{6D1F357D-0ACF-446E-A086-1E54FE15D0CF}"/>
    <cellStyle name="Normal 2 46 6" xfId="6112" xr:uid="{51127EF9-7E6D-4D12-8186-5D6D3AE5BABA}"/>
    <cellStyle name="Normal 2 47" xfId="6113" xr:uid="{44C2406A-2CF2-46EA-ADC5-AB48543E70E1}"/>
    <cellStyle name="Normal 2 47 2" xfId="6114" xr:uid="{80C0D094-0F38-4CE3-89B0-7D8AE067E9FE}"/>
    <cellStyle name="Normal 2 47 2 2" xfId="6115" xr:uid="{5FB0F639-6697-4647-B0C6-917E371D448E}"/>
    <cellStyle name="Normal 2 47 2 2 2" xfId="6116" xr:uid="{38A6166E-2098-4DE2-9C6D-62E234F805C7}"/>
    <cellStyle name="Normal 2 47 2 2 2 2" xfId="6117" xr:uid="{7C8D46BA-0C47-4F86-BE3D-963E24C4FF68}"/>
    <cellStyle name="Normal 2 47 2 2 3" xfId="6118" xr:uid="{4681B38D-377D-4803-8838-2D44C67F35EF}"/>
    <cellStyle name="Normal 2 47 2 3" xfId="6119" xr:uid="{F0AE4E60-1A2C-4D87-ABEC-8483993D4794}"/>
    <cellStyle name="Normal 2 47 2 3 2" xfId="6120" xr:uid="{B5C3EC80-62C8-42E7-AD98-7F94AE13B343}"/>
    <cellStyle name="Normal 2 47 2 3 2 2" xfId="6121" xr:uid="{EA22E334-7287-4E81-B7D5-EF6C99B47B13}"/>
    <cellStyle name="Normal 2 47 2 3 3" xfId="6122" xr:uid="{E0CC00F3-CB06-4222-95CA-A8CCEA17F6D8}"/>
    <cellStyle name="Normal 2 47 2 4" xfId="6123" xr:uid="{EFFBAC95-6301-4837-873C-1A3E7426C18D}"/>
    <cellStyle name="Normal 2 47 2 4 2" xfId="6124" xr:uid="{F68B5CC5-D349-407D-9565-77C8EF8992B5}"/>
    <cellStyle name="Normal 2 47 2 5" xfId="6125" xr:uid="{B6D5D531-2A38-41F3-8DCC-D724727D7CD7}"/>
    <cellStyle name="Normal 2 47 3" xfId="6126" xr:uid="{9A191855-5748-4CFF-B487-D7E71F751042}"/>
    <cellStyle name="Normal 2 47 3 2" xfId="6127" xr:uid="{6CFE180C-CA35-4628-8ED5-CCCCB118629F}"/>
    <cellStyle name="Normal 2 47 3 2 2" xfId="6128" xr:uid="{1A7396CD-83A6-4E2B-AA83-39FC8DE1FF27}"/>
    <cellStyle name="Normal 2 47 3 3" xfId="6129" xr:uid="{5AF3ECCA-D5A2-4EC0-B490-B7A1612AF80F}"/>
    <cellStyle name="Normal 2 47 4" xfId="6130" xr:uid="{3FD3EDA3-5563-411E-90B8-9146C933EF15}"/>
    <cellStyle name="Normal 2 47 4 2" xfId="6131" xr:uid="{C2DF8BF5-81E1-472C-B11F-7A382A236579}"/>
    <cellStyle name="Normal 2 47 4 2 2" xfId="6132" xr:uid="{CC5167F9-DF88-4497-933B-B32041333E22}"/>
    <cellStyle name="Normal 2 47 4 3" xfId="6133" xr:uid="{3BFEEACC-D789-4F14-B3CE-68B8139FABC0}"/>
    <cellStyle name="Normal 2 47 5" xfId="6134" xr:uid="{155D950E-5B02-466F-ACA4-1C9877C756C3}"/>
    <cellStyle name="Normal 2 47 5 2" xfId="6135" xr:uid="{F22087D0-A60F-4086-9964-D5E1A81E8DAE}"/>
    <cellStyle name="Normal 2 47 6" xfId="6136" xr:uid="{5019006C-9909-4EF3-89B0-EACD56068CAC}"/>
    <cellStyle name="Normal 2 48" xfId="6137" xr:uid="{8A2A03A9-B419-4EEE-A019-AA31137EC948}"/>
    <cellStyle name="Normal 2 48 2" xfId="6138" xr:uid="{DC8270B5-9FD4-459A-B345-688EE3B2C326}"/>
    <cellStyle name="Normal 2 48 2 2" xfId="6139" xr:uid="{8B56A9BA-4D23-4971-9E9E-B8E6FEA83CB2}"/>
    <cellStyle name="Normal 2 48 2 2 2" xfId="6140" xr:uid="{97129C6D-5ECE-4DC7-AAF7-C786A9042CE0}"/>
    <cellStyle name="Normal 2 48 2 2 2 2" xfId="6141" xr:uid="{31DBF716-2B7D-420C-B2E5-96C0B4FB5DEF}"/>
    <cellStyle name="Normal 2 48 2 2 3" xfId="6142" xr:uid="{30ECE1A7-8BF4-4782-9747-DAE14393B2AB}"/>
    <cellStyle name="Normal 2 48 2 3" xfId="6143" xr:uid="{6615470D-4EE1-4893-ABEB-D136467D43AB}"/>
    <cellStyle name="Normal 2 48 2 3 2" xfId="6144" xr:uid="{C2BFB226-34D2-4EEB-9B27-D69163EEB6D9}"/>
    <cellStyle name="Normal 2 48 2 3 2 2" xfId="6145" xr:uid="{3412DF48-519A-434D-A93F-2E969C7B5F5E}"/>
    <cellStyle name="Normal 2 48 2 3 3" xfId="6146" xr:uid="{E89E99A0-AD98-46D6-8BB9-81A66D61A6B0}"/>
    <cellStyle name="Normal 2 48 2 4" xfId="6147" xr:uid="{48B992F5-10AA-46C4-9B99-5D1F5E4610B6}"/>
    <cellStyle name="Normal 2 48 2 4 2" xfId="6148" xr:uid="{C74FC21D-2A14-457A-A2CF-8451E4CBA97C}"/>
    <cellStyle name="Normal 2 48 2 5" xfId="6149" xr:uid="{759406CE-9B4D-4E3B-93FF-950CEEA01AFA}"/>
    <cellStyle name="Normal 2 48 3" xfId="6150" xr:uid="{D333BD3A-C083-404F-BC74-E5A47CAFF007}"/>
    <cellStyle name="Normal 2 48 3 2" xfId="6151" xr:uid="{03EA4B52-7138-4249-B90D-7C56B1079223}"/>
    <cellStyle name="Normal 2 48 3 2 2" xfId="6152" xr:uid="{53E2C936-8265-498E-B64E-AF2FB1B6BF6E}"/>
    <cellStyle name="Normal 2 48 3 3" xfId="6153" xr:uid="{073665DA-02DA-481D-B2FB-A48E5B5A7129}"/>
    <cellStyle name="Normal 2 48 4" xfId="6154" xr:uid="{17858AA8-D3D0-421F-B264-FFB6BD585570}"/>
    <cellStyle name="Normal 2 48 4 2" xfId="6155" xr:uid="{B3CB7174-E0AF-4366-9235-3E9C5CD22660}"/>
    <cellStyle name="Normal 2 48 4 2 2" xfId="6156" xr:uid="{281435A6-0769-458C-BCBB-E99AFBD9DFBF}"/>
    <cellStyle name="Normal 2 48 4 3" xfId="6157" xr:uid="{5B4CC505-E774-42F2-BF7E-810D23A7A930}"/>
    <cellStyle name="Normal 2 48 5" xfId="6158" xr:uid="{1091F2D2-F7B8-451C-8A60-9BAEB512C41F}"/>
    <cellStyle name="Normal 2 48 5 2" xfId="6159" xr:uid="{1D589FC2-E51C-4483-91A9-CE8B11C03FCE}"/>
    <cellStyle name="Normal 2 48 6" xfId="6160" xr:uid="{91933068-8F5E-47CC-917C-39D73ADDA7CA}"/>
    <cellStyle name="Normal 2 49" xfId="6161" xr:uid="{D207CD2B-FD00-4D71-97C6-7BFF91F734E5}"/>
    <cellStyle name="Normal 2 49 2" xfId="6162" xr:uid="{CF51C9EA-1322-4487-A652-A549D30A8756}"/>
    <cellStyle name="Normal 2 49 2 2" xfId="6163" xr:uid="{5FCC8E37-6E6E-4666-A6F4-30E3ABF6F034}"/>
    <cellStyle name="Normal 2 49 2 2 2" xfId="6164" xr:uid="{B15D9949-32AF-41E7-98C6-DC97141D3864}"/>
    <cellStyle name="Normal 2 49 2 3" xfId="6165" xr:uid="{370C48ED-67E3-4A8F-A47E-A10D0C356FF1}"/>
    <cellStyle name="Normal 2 49 3" xfId="6166" xr:uid="{5A47835E-77D3-4915-90DA-5B31C1EEDA8C}"/>
    <cellStyle name="Normal 2 49 3 2" xfId="6167" xr:uid="{738F5C2C-BB4F-426D-8C86-182841B81D9D}"/>
    <cellStyle name="Normal 2 49 3 2 2" xfId="6168" xr:uid="{052462B3-9FEE-48F5-A2EA-9523D4280C8A}"/>
    <cellStyle name="Normal 2 49 3 3" xfId="6169" xr:uid="{07CF96D6-3F8F-45F5-8497-835EEA6AD82F}"/>
    <cellStyle name="Normal 2 49 4" xfId="6170" xr:uid="{A708BA08-B7CA-48B1-868F-9F184BD4FC3C}"/>
    <cellStyle name="Normal 2 49 4 2" xfId="6171" xr:uid="{8010B697-4954-40F3-9ACC-AF2AC07F6066}"/>
    <cellStyle name="Normal 2 49 5" xfId="6172" xr:uid="{1695EDE7-2749-4486-B865-699DE0EC1750}"/>
    <cellStyle name="Normal 2 5" xfId="6173" xr:uid="{B74F21BA-BCB7-428C-9B29-2AEA40CC63EC}"/>
    <cellStyle name="Normal 2 5 10" xfId="6174" xr:uid="{51198194-B32C-4A51-969C-F04DED78ECEA}"/>
    <cellStyle name="Normal 2 5 11" xfId="6175" xr:uid="{A3CDCE95-2D00-431A-8DAC-51C6A2687FC3}"/>
    <cellStyle name="Normal 2 5 12" xfId="6176" xr:uid="{E9F7B075-9DC1-459C-A685-7179ED118C38}"/>
    <cellStyle name="Normal 2 5 13" xfId="6177" xr:uid="{BFA53B07-6AE3-4E36-AC70-2CD3FF1F5700}"/>
    <cellStyle name="Normal 2 5 14" xfId="6178" xr:uid="{F2E200B3-A564-4DD5-A4D9-90F67FAC86CB}"/>
    <cellStyle name="Normal 2 5 15" xfId="6179" xr:uid="{B09FD531-671D-4266-B5B2-CE23FED0EB22}"/>
    <cellStyle name="Normal 2 5 16" xfId="6180" xr:uid="{24A0FD19-0CEB-459E-8E52-3A0BD5FCFDEF}"/>
    <cellStyle name="Normal 2 5 17" xfId="6181" xr:uid="{FE9BFF17-579C-4452-9CC6-FB43AC1867D8}"/>
    <cellStyle name="Normal 2 5 2" xfId="6182" xr:uid="{39B9F2EB-B13F-4880-A007-54580B37D852}"/>
    <cellStyle name="Normal 2 5 2 10" xfId="6183" xr:uid="{78B8A18B-116E-43AE-87CD-159DFDF8211D}"/>
    <cellStyle name="Normal 2 5 2 2" xfId="6184" xr:uid="{ECA7FD0F-9E0C-4078-BBAC-4564A86020F7}"/>
    <cellStyle name="Normal 2 5 2 2 2" xfId="6185" xr:uid="{4B5797A2-EDD0-45CE-9D9A-0E04667A42DD}"/>
    <cellStyle name="Normal 2 5 2 2 3" xfId="6186" xr:uid="{30FA311C-BE2F-4E68-8D31-CFB06964DBB1}"/>
    <cellStyle name="Normal 2 5 2 2 3 2" xfId="6187" xr:uid="{1E087F54-7B69-4CA0-BB13-54842C8E64A2}"/>
    <cellStyle name="Normal 2 5 2 2 3 2 2" xfId="6188" xr:uid="{6D8C6AB6-511E-441B-A958-78C4DDF9AD0F}"/>
    <cellStyle name="Normal 2 5 2 2 3 2 2 2" xfId="6189" xr:uid="{92E53595-1581-4207-AF50-7B7404804B15}"/>
    <cellStyle name="Normal 2 5 2 2 3 2 3" xfId="6190" xr:uid="{75AE8ADE-DEBF-4394-9988-3C20A47695C9}"/>
    <cellStyle name="Normal 2 5 2 2 3 3" xfId="6191" xr:uid="{3DB2F3B5-4D8D-41A1-BD75-9ECE9FF98780}"/>
    <cellStyle name="Normal 2 5 2 2 3 3 2" xfId="6192" xr:uid="{4A25B40E-BBD6-4464-AA78-4CB8F0D93F61}"/>
    <cellStyle name="Normal 2 5 2 2 3 3 2 2" xfId="6193" xr:uid="{FE5FA24C-F907-42DB-9C02-D708BD70E66C}"/>
    <cellStyle name="Normal 2 5 2 2 3 3 3" xfId="6194" xr:uid="{B6BF507A-4F7E-4BF1-BB0B-36F807F20859}"/>
    <cellStyle name="Normal 2 5 2 2 3 4" xfId="6195" xr:uid="{837C6CCD-AB21-429E-8FB9-B7FB041E6F89}"/>
    <cellStyle name="Normal 2 5 2 2 3 4 2" xfId="6196" xr:uid="{2CDA360C-DBF0-4D03-A06F-4EA5054E71A2}"/>
    <cellStyle name="Normal 2 5 2 2 3 5" xfId="6197" xr:uid="{1DF107C4-1CC2-4199-B008-8589F4D31611}"/>
    <cellStyle name="Normal 2 5 2 2 4" xfId="6198" xr:uid="{64215BCC-B327-459E-BC4E-D0411A98554B}"/>
    <cellStyle name="Normal 2 5 2 2 4 2" xfId="6199" xr:uid="{7F644087-88E0-4F1B-9045-CEB18240636A}"/>
    <cellStyle name="Normal 2 5 2 2 4 2 2" xfId="6200" xr:uid="{D11F1132-5611-4E80-AF55-D31DF266DAF6}"/>
    <cellStyle name="Normal 2 5 2 2 4 3" xfId="6201" xr:uid="{44ABBB4E-85F2-4D3B-A039-461F12BCDB67}"/>
    <cellStyle name="Normal 2 5 2 2 5" xfId="6202" xr:uid="{F21D5289-4451-4876-AD07-3224F234A666}"/>
    <cellStyle name="Normal 2 5 2 2 5 2" xfId="6203" xr:uid="{A56B6FD9-EB9A-4B88-B063-AE77EC6B506D}"/>
    <cellStyle name="Normal 2 5 2 2 5 2 2" xfId="6204" xr:uid="{B6E4A548-29D2-4C81-A290-626F874C5A49}"/>
    <cellStyle name="Normal 2 5 2 2 5 3" xfId="6205" xr:uid="{B5113BE6-D1C8-4AAB-B8B9-F8DB7CD9F527}"/>
    <cellStyle name="Normal 2 5 2 2 6" xfId="6206" xr:uid="{3CA5A2CD-8534-45FD-B044-CC151873B301}"/>
    <cellStyle name="Normal 2 5 2 2 6 2" xfId="6207" xr:uid="{8AAC857A-4196-4629-A68C-02BA954844AC}"/>
    <cellStyle name="Normal 2 5 2 2 7" xfId="6208" xr:uid="{4FC5BA4E-8936-4FD2-81A3-19E15DF8384A}"/>
    <cellStyle name="Normal 2 5 2 3" xfId="6209" xr:uid="{DE5D055D-D231-42DC-9A30-7C377E078F6F}"/>
    <cellStyle name="Normal 2 5 2 3 2" xfId="6210" xr:uid="{5AB9AAA6-386D-4B94-B910-D8C4C5D1A5D4}"/>
    <cellStyle name="Normal 2 5 2 3 2 2" xfId="6211" xr:uid="{079321AA-C6A8-4BD2-937C-044262153FAC}"/>
    <cellStyle name="Normal 2 5 2 3 2 2 2" xfId="6212" xr:uid="{ABDFF8C1-E3A0-46D3-8021-963B4E9808A1}"/>
    <cellStyle name="Normal 2 5 2 3 2 2 2 2" xfId="6213" xr:uid="{AF2A68C2-D105-4700-8909-A4C176B6874A}"/>
    <cellStyle name="Normal 2 5 2 3 2 2 3" xfId="6214" xr:uid="{D332273F-1238-4C45-8E69-F873B6FF905F}"/>
    <cellStyle name="Normal 2 5 2 3 2 3" xfId="6215" xr:uid="{4DBEF4BC-EC9F-4937-A753-2A9FBF3EFC05}"/>
    <cellStyle name="Normal 2 5 2 3 2 3 2" xfId="6216" xr:uid="{33842A4D-00B0-4D19-AC64-D5928E221E11}"/>
    <cellStyle name="Normal 2 5 2 3 2 3 2 2" xfId="6217" xr:uid="{788C0B98-B3C1-4E73-8B32-D66BE79CE9BC}"/>
    <cellStyle name="Normal 2 5 2 3 2 3 3" xfId="6218" xr:uid="{7F373C45-AF1D-447B-9157-33FF3981E00F}"/>
    <cellStyle name="Normal 2 5 2 3 2 4" xfId="6219" xr:uid="{FF1F7067-1AF5-47AD-A463-BB20FDDC0104}"/>
    <cellStyle name="Normal 2 5 2 3 2 4 2" xfId="6220" xr:uid="{07F65847-961D-4A39-9E53-5D7599B9C9A8}"/>
    <cellStyle name="Normal 2 5 2 3 2 5" xfId="6221" xr:uid="{1EE757D8-9D80-4C95-B254-80495611960F}"/>
    <cellStyle name="Normal 2 5 2 3 3" xfId="6222" xr:uid="{35A2F5D3-3114-4DA7-BC0B-2458B313EBE3}"/>
    <cellStyle name="Normal 2 5 2 3 3 2" xfId="6223" xr:uid="{49DD91CE-3F5A-444D-872E-AD71F1C7229C}"/>
    <cellStyle name="Normal 2 5 2 3 3 2 2" xfId="6224" xr:uid="{1B75D5F5-6789-443D-AF32-699A6C8DA4B8}"/>
    <cellStyle name="Normal 2 5 2 3 3 3" xfId="6225" xr:uid="{BBC9613B-49D5-4453-99A5-6A75AA2717D1}"/>
    <cellStyle name="Normal 2 5 2 3 4" xfId="6226" xr:uid="{17ED6B23-C516-45F0-A089-63B5CD017641}"/>
    <cellStyle name="Normal 2 5 2 3 4 2" xfId="6227" xr:uid="{3A1DF681-94A9-4101-8BA0-503B2E6A6C3A}"/>
    <cellStyle name="Normal 2 5 2 3 4 2 2" xfId="6228" xr:uid="{31E65452-6A77-4CDA-AB4F-9E727DFE6C66}"/>
    <cellStyle name="Normal 2 5 2 3 4 3" xfId="6229" xr:uid="{6F7A1C2A-33FA-4550-9AA1-07CDF67495E0}"/>
    <cellStyle name="Normal 2 5 2 3 5" xfId="6230" xr:uid="{97B179FA-15DB-4068-87B1-A5C5272AC173}"/>
    <cellStyle name="Normal 2 5 2 3 5 2" xfId="6231" xr:uid="{FF034624-FD57-4331-B872-27AD4D2DE77D}"/>
    <cellStyle name="Normal 2 5 2 3 6" xfId="6232" xr:uid="{DBE8180A-A3A4-419C-872C-82AEA3CBE5BA}"/>
    <cellStyle name="Normal 2 5 2 4" xfId="6233" xr:uid="{BFD60EDE-DA79-4AA1-99D8-AEE13FDE7F8F}"/>
    <cellStyle name="Normal 2 5 2 4 2" xfId="6234" xr:uid="{98DA47C1-E00B-46C0-9EAF-4CA62115E5BD}"/>
    <cellStyle name="Normal 2 5 2 4 2 2" xfId="6235" xr:uid="{63042BC1-7D08-4F00-834A-37AD71DF06F8}"/>
    <cellStyle name="Normal 2 5 2 4 2 2 2" xfId="6236" xr:uid="{BC2A604A-C13C-4FA1-85C8-EE4BD02C6F9C}"/>
    <cellStyle name="Normal 2 5 2 4 2 2 2 2" xfId="6237" xr:uid="{588E1208-1401-4083-B1D0-0D92BFE98432}"/>
    <cellStyle name="Normal 2 5 2 4 2 2 3" xfId="6238" xr:uid="{96CCCFC5-0149-4F93-B421-F359E000C5C6}"/>
    <cellStyle name="Normal 2 5 2 4 2 3" xfId="6239" xr:uid="{9603AB9F-6654-443F-9EC5-A2676BEB7AA3}"/>
    <cellStyle name="Normal 2 5 2 4 2 3 2" xfId="6240" xr:uid="{81F4A521-46B4-4CF0-B39D-6BF64C4488DB}"/>
    <cellStyle name="Normal 2 5 2 4 2 3 2 2" xfId="6241" xr:uid="{2E55A41A-2D0E-4AB1-AA55-3273053C5AD1}"/>
    <cellStyle name="Normal 2 5 2 4 2 3 3" xfId="6242" xr:uid="{56F1C69C-443F-4457-89D6-8AE0CCCF7DA2}"/>
    <cellStyle name="Normal 2 5 2 4 2 4" xfId="6243" xr:uid="{65D28C98-5DF1-430C-9FA8-FAF6766659C3}"/>
    <cellStyle name="Normal 2 5 2 4 2 4 2" xfId="6244" xr:uid="{2BD71FD5-9F6B-4789-93E8-D58E5FC25F5F}"/>
    <cellStyle name="Normal 2 5 2 4 2 5" xfId="6245" xr:uid="{FBB23AB6-677A-4193-910E-D2D95344C71E}"/>
    <cellStyle name="Normal 2 5 2 4 3" xfId="6246" xr:uid="{C18BAA00-A1AA-4C40-A3DF-CFC4317D9117}"/>
    <cellStyle name="Normal 2 5 2 4 3 2" xfId="6247" xr:uid="{2C2CB908-0725-4CE3-95D7-A8DA9BD15616}"/>
    <cellStyle name="Normal 2 5 2 4 3 2 2" xfId="6248" xr:uid="{7E8B3600-1DD5-42A9-BEA0-36088041AE8F}"/>
    <cellStyle name="Normal 2 5 2 4 3 3" xfId="6249" xr:uid="{609183E8-2C6F-422E-9879-FE6EE47FA630}"/>
    <cellStyle name="Normal 2 5 2 4 4" xfId="6250" xr:uid="{A74176F6-97BD-4E15-902E-20707F5F58BD}"/>
    <cellStyle name="Normal 2 5 2 4 4 2" xfId="6251" xr:uid="{8FBF183B-5637-4F01-AB3E-044B121A3582}"/>
    <cellStyle name="Normal 2 5 2 4 4 2 2" xfId="6252" xr:uid="{43395DAC-6BC3-47A6-82D6-E6B582F79B58}"/>
    <cellStyle name="Normal 2 5 2 4 4 3" xfId="6253" xr:uid="{FB9B6C82-9133-422D-A2BC-94039EB73858}"/>
    <cellStyle name="Normal 2 5 2 4 5" xfId="6254" xr:uid="{7B49D00B-037B-44E4-91F2-A96CD1C4FFB3}"/>
    <cellStyle name="Normal 2 5 2 4 5 2" xfId="6255" xr:uid="{932AE134-D56A-4F50-8339-20BA4250943A}"/>
    <cellStyle name="Normal 2 5 2 4 6" xfId="6256" xr:uid="{59F445BC-5836-4E8F-97BF-BF98291B18C4}"/>
    <cellStyle name="Normal 2 5 2 5" xfId="6257" xr:uid="{9FDC4A28-AA3A-4F03-BEB0-2EB649043E61}"/>
    <cellStyle name="Normal 2 5 2 5 2" xfId="6258" xr:uid="{C39C8AD7-E68A-47A5-94B6-96BD2222535D}"/>
    <cellStyle name="Normal 2 5 2 5 2 2" xfId="6259" xr:uid="{B2A82342-ECDE-4F4D-9376-F9437E1C3B65}"/>
    <cellStyle name="Normal 2 5 2 5 2 2 2" xfId="6260" xr:uid="{DD2104A4-1866-40F7-BFFB-73BFE8C0FC70}"/>
    <cellStyle name="Normal 2 5 2 5 2 2 2 2" xfId="6261" xr:uid="{6517ED0D-F2C3-4640-A60B-95BA68ABBF90}"/>
    <cellStyle name="Normal 2 5 2 5 2 2 3" xfId="6262" xr:uid="{816EB00D-7537-4259-8C8A-FD7684DC7045}"/>
    <cellStyle name="Normal 2 5 2 5 2 3" xfId="6263" xr:uid="{91DC266A-02EE-4CDB-8F35-53D1B10595D5}"/>
    <cellStyle name="Normal 2 5 2 5 2 3 2" xfId="6264" xr:uid="{9637C5CC-887B-416F-8372-0E6C0FB3C25C}"/>
    <cellStyle name="Normal 2 5 2 5 2 3 2 2" xfId="6265" xr:uid="{6F680098-38A6-47F7-99B9-DDC57A474BC4}"/>
    <cellStyle name="Normal 2 5 2 5 2 3 3" xfId="6266" xr:uid="{330C1AE2-EEDB-4935-97F2-DFE91363A991}"/>
    <cellStyle name="Normal 2 5 2 5 2 4" xfId="6267" xr:uid="{B1F7CECA-DD20-4169-B49F-DA629E70BC94}"/>
    <cellStyle name="Normal 2 5 2 5 2 4 2" xfId="6268" xr:uid="{E75459B2-8837-4907-A85A-06FBEB18A2E7}"/>
    <cellStyle name="Normal 2 5 2 5 2 5" xfId="6269" xr:uid="{ECD2E9F0-F7C3-4831-ACA8-6CD7E5F3E934}"/>
    <cellStyle name="Normal 2 5 2 5 3" xfId="6270" xr:uid="{F0CAA42D-7AE1-4EE2-98FB-5ED62B8104FE}"/>
    <cellStyle name="Normal 2 5 2 5 3 2" xfId="6271" xr:uid="{CFC4A5C0-4AE3-4C15-B193-120C49E76F1E}"/>
    <cellStyle name="Normal 2 5 2 5 3 2 2" xfId="6272" xr:uid="{7F9C33AD-5387-489C-9E7D-69B8AA3726E0}"/>
    <cellStyle name="Normal 2 5 2 5 3 3" xfId="6273" xr:uid="{FAC17830-CD78-492A-B2CF-649F51A154A7}"/>
    <cellStyle name="Normal 2 5 2 5 4" xfId="6274" xr:uid="{493769C8-18A5-4DBF-892F-B18B97281853}"/>
    <cellStyle name="Normal 2 5 2 5 4 2" xfId="6275" xr:uid="{5738BA72-0422-4D2A-96AD-F48D6BBD8B78}"/>
    <cellStyle name="Normal 2 5 2 5 4 2 2" xfId="6276" xr:uid="{A1F52DC6-8197-4A46-9575-F36E51F42B89}"/>
    <cellStyle name="Normal 2 5 2 5 4 3" xfId="6277" xr:uid="{8BB9E285-ABB3-4F3C-8708-3B393D480ED4}"/>
    <cellStyle name="Normal 2 5 2 5 5" xfId="6278" xr:uid="{91AEE158-6297-40CB-9D99-F939CAADB861}"/>
    <cellStyle name="Normal 2 5 2 5 5 2" xfId="6279" xr:uid="{955EB9BD-A838-4F39-A2C9-9845E62D4194}"/>
    <cellStyle name="Normal 2 5 2 5 6" xfId="6280" xr:uid="{7D0FB0E6-2D45-4FD1-BC14-0C21EACD52E2}"/>
    <cellStyle name="Normal 2 5 2 6" xfId="6281" xr:uid="{621BD721-DD55-4933-A91B-49EA2B725ADE}"/>
    <cellStyle name="Normal 2 5 2 6 2" xfId="6282" xr:uid="{07292725-6AF2-4BBE-8FC0-47798E3E6BBB}"/>
    <cellStyle name="Normal 2 5 2 6 2 2" xfId="6283" xr:uid="{F4973E88-3546-486D-BD05-7B9457BA3D4F}"/>
    <cellStyle name="Normal 2 5 2 6 2 2 2" xfId="6284" xr:uid="{F996705F-02CF-4884-A6E6-7BA504276434}"/>
    <cellStyle name="Normal 2 5 2 6 2 3" xfId="6285" xr:uid="{713025D3-9943-4527-A6D4-E8C060AE3178}"/>
    <cellStyle name="Normal 2 5 2 6 3" xfId="6286" xr:uid="{D25D595B-48F0-409B-A4C4-E194818F7428}"/>
    <cellStyle name="Normal 2 5 2 6 3 2" xfId="6287" xr:uid="{B74FEC25-AA25-4ACD-9B6A-85F1F757D649}"/>
    <cellStyle name="Normal 2 5 2 6 3 2 2" xfId="6288" xr:uid="{B693C923-6F66-4388-BDFD-472B60C94CC9}"/>
    <cellStyle name="Normal 2 5 2 6 3 3" xfId="6289" xr:uid="{5DD645AC-EEF3-4E14-B719-FB4D4845DAEF}"/>
    <cellStyle name="Normal 2 5 2 6 4" xfId="6290" xr:uid="{F40F1F39-B35D-45F3-B5C2-7F375B5E78E0}"/>
    <cellStyle name="Normal 2 5 2 6 4 2" xfId="6291" xr:uid="{13123D11-9E22-4257-A6AC-C2763705E9F2}"/>
    <cellStyle name="Normal 2 5 2 6 5" xfId="6292" xr:uid="{AE9F2E16-FEDA-49BD-87E6-86D7A23AF620}"/>
    <cellStyle name="Normal 2 5 2 7" xfId="6293" xr:uid="{A988E80B-1E9B-4B50-BA4F-6685AF972005}"/>
    <cellStyle name="Normal 2 5 2 7 2" xfId="6294" xr:uid="{CBC49C04-7DAC-4D0E-AE84-F9483F540982}"/>
    <cellStyle name="Normal 2 5 2 7 2 2" xfId="6295" xr:uid="{18C2AC20-92C4-43F3-917A-EB413AD86103}"/>
    <cellStyle name="Normal 2 5 2 7 3" xfId="6296" xr:uid="{5FF86F7C-5223-4DD9-836D-705B45514136}"/>
    <cellStyle name="Normal 2 5 2 8" xfId="6297" xr:uid="{397CF5FF-76C7-44F5-90C0-827183E505D5}"/>
    <cellStyle name="Normal 2 5 2 8 2" xfId="6298" xr:uid="{E5A44936-5791-4DF6-BABB-48D4F38A70E4}"/>
    <cellStyle name="Normal 2 5 2 8 2 2" xfId="6299" xr:uid="{CCAB2A44-2EE2-4695-9B4C-C447F9B56420}"/>
    <cellStyle name="Normal 2 5 2 8 3" xfId="6300" xr:uid="{9C6E979A-449F-49DA-9CE4-1841F14F060D}"/>
    <cellStyle name="Normal 2 5 2 9" xfId="6301" xr:uid="{883D730C-DA6E-480E-9F40-C9E6F7F2A955}"/>
    <cellStyle name="Normal 2 5 2 9 2" xfId="6302" xr:uid="{AFA8C789-12C5-40D3-BD57-BE421D3EF5B0}"/>
    <cellStyle name="Normal 2 5 3" xfId="6303" xr:uid="{A2EC5F41-7C7E-4F77-8CDB-C702C93EB4B8}"/>
    <cellStyle name="Normal 2 5 4" xfId="6304" xr:uid="{37033419-CBC0-4F45-8113-5CE3E642B6C3}"/>
    <cellStyle name="Normal 2 5 5" xfId="6305" xr:uid="{918F10C5-621F-4D24-8651-038834E8EED2}"/>
    <cellStyle name="Normal 2 5 6" xfId="6306" xr:uid="{F6BC3352-29FD-4DA8-A245-1E868557C7FD}"/>
    <cellStyle name="Normal 2 5 7" xfId="6307" xr:uid="{8F10D660-95DB-4213-BAE5-FFF5799B81BE}"/>
    <cellStyle name="Normal 2 5 8" xfId="6308" xr:uid="{B391F8D0-34D3-4F5A-A448-CEE062106288}"/>
    <cellStyle name="Normal 2 5 9" xfId="6309" xr:uid="{42D1A64E-0F11-4F53-9A96-423F73B7BC61}"/>
    <cellStyle name="Normal 2 50" xfId="6310" xr:uid="{4D0CCC91-C1E8-40AE-B4BF-1B4D872F77DD}"/>
    <cellStyle name="Normal 2 50 2" xfId="6311" xr:uid="{73D57269-3E0D-4C8F-A6CE-3D02C9FC270A}"/>
    <cellStyle name="Normal 2 50 2 2" xfId="6312" xr:uid="{14556E54-9295-4D9E-9543-1BE70744EE86}"/>
    <cellStyle name="Normal 2 50 3" xfId="6313" xr:uid="{07CA922E-2542-472D-83B2-F8E3553B07DA}"/>
    <cellStyle name="Normal 2 51" xfId="6314" xr:uid="{47A4757F-1094-449B-AE61-894C01C1483D}"/>
    <cellStyle name="Normal 2 51 2" xfId="6315" xr:uid="{9F15343C-75DD-49BF-B4D5-1AC526A08C58}"/>
    <cellStyle name="Normal 2 52" xfId="6316" xr:uid="{B8DE6A9C-6595-446A-AC16-83B0CEE9289B}"/>
    <cellStyle name="Normal 2 52 2" xfId="6317" xr:uid="{97811550-D927-41B8-B282-3C6C5E3EFA5D}"/>
    <cellStyle name="Normal 2 53" xfId="6318" xr:uid="{486BB659-75EA-4336-A910-2E07B1315BFF}"/>
    <cellStyle name="Normal 2 53 2" xfId="6319" xr:uid="{887E60AF-7101-4E98-877A-18FEA50E5AE4}"/>
    <cellStyle name="Normal 2 54" xfId="6320" xr:uid="{467BBBA8-B416-449F-AF59-A13169DB71BD}"/>
    <cellStyle name="Normal 2 54 2" xfId="6321" xr:uid="{F274D6EA-541E-447B-8FB8-5D3010A1F9FF}"/>
    <cellStyle name="Normal 2 55" xfId="4551" xr:uid="{50068A50-D276-4849-B38B-8D5694269126}"/>
    <cellStyle name="Normal 2 6" xfId="6322" xr:uid="{01CA7115-F00B-459B-82E6-564E48B30F15}"/>
    <cellStyle name="Normal 2 6 10" xfId="6323" xr:uid="{121B1544-0DAA-43A0-A5C7-460BB58C81E9}"/>
    <cellStyle name="Normal 2 6 11" xfId="6324" xr:uid="{AC7CCBE5-3BB7-4077-A5FF-3233776CE852}"/>
    <cellStyle name="Normal 2 6 12" xfId="6325" xr:uid="{B0E7D7CF-B198-4855-B599-2A2BDFF85AD9}"/>
    <cellStyle name="Normal 2 6 13" xfId="6326" xr:uid="{02B56CA2-0BAC-48C8-A370-D7466AF54F59}"/>
    <cellStyle name="Normal 2 6 14" xfId="6327" xr:uid="{0357AC77-89F9-45A3-B159-F78ADCCB1092}"/>
    <cellStyle name="Normal 2 6 15" xfId="6328" xr:uid="{8A2AA37A-1DD6-43E3-BDE7-0F80A739BE4B}"/>
    <cellStyle name="Normal 2 6 16" xfId="6329" xr:uid="{BBCE07AD-6365-461D-A243-1C8CA80C56DE}"/>
    <cellStyle name="Normal 2 6 17" xfId="6330" xr:uid="{15997551-6200-4B15-B82C-C0F7F50CB8AB}"/>
    <cellStyle name="Normal 2 6 17 2" xfId="6331" xr:uid="{72691A68-E9FB-4ABC-84DD-1B8778F6B83E}"/>
    <cellStyle name="Normal 2 6 17 2 2" xfId="6332" xr:uid="{699A40A1-0670-4C62-8067-02D37D31078F}"/>
    <cellStyle name="Normal 2 6 17 2 2 2" xfId="6333" xr:uid="{120A298D-DE5E-40D7-AEE5-82D1090B4AAB}"/>
    <cellStyle name="Normal 2 6 17 2 2 2 2" xfId="6334" xr:uid="{A1250331-E6A9-41B7-B43E-719BF97BE953}"/>
    <cellStyle name="Normal 2 6 17 2 2 3" xfId="6335" xr:uid="{1A7030E4-A1AA-4358-A222-33B2B0F3E4C1}"/>
    <cellStyle name="Normal 2 6 17 2 3" xfId="6336" xr:uid="{800D1406-B41B-4F72-BC8E-CAD6C5D458D1}"/>
    <cellStyle name="Normal 2 6 17 2 3 2" xfId="6337" xr:uid="{9ECB2F60-1545-4385-8085-F02C037CA124}"/>
    <cellStyle name="Normal 2 6 17 2 3 2 2" xfId="6338" xr:uid="{2E123E9C-347A-4EF7-8CDC-D7F08BA4DAA0}"/>
    <cellStyle name="Normal 2 6 17 2 3 3" xfId="6339" xr:uid="{8703A4BF-E3BA-43CD-91A8-F9709E981381}"/>
    <cellStyle name="Normal 2 6 17 2 4" xfId="6340" xr:uid="{8DC05E3E-CC5D-418C-848C-39E088D8E515}"/>
    <cellStyle name="Normal 2 6 17 2 4 2" xfId="6341" xr:uid="{FE9947B2-1B74-47C8-BE34-B53A8FBFC19A}"/>
    <cellStyle name="Normal 2 6 17 2 5" xfId="6342" xr:uid="{1AF04CA5-1CE8-4ED2-A472-67E60A9136A4}"/>
    <cellStyle name="Normal 2 6 17 3" xfId="6343" xr:uid="{133793AD-9281-4311-8AD4-B6782F38E355}"/>
    <cellStyle name="Normal 2 6 17 3 2" xfId="6344" xr:uid="{5E33C557-AF90-4843-B0F3-4623142CA1DE}"/>
    <cellStyle name="Normal 2 6 17 3 2 2" xfId="6345" xr:uid="{748E611E-7165-45E7-B739-4614C960C18D}"/>
    <cellStyle name="Normal 2 6 17 3 3" xfId="6346" xr:uid="{CF68C355-547F-44F1-B7B9-9C2CF99E0606}"/>
    <cellStyle name="Normal 2 6 17 4" xfId="6347" xr:uid="{B3104789-9FA0-4B18-BFDE-A092690BCA32}"/>
    <cellStyle name="Normal 2 6 17 4 2" xfId="6348" xr:uid="{2FD6D52E-F8F4-4370-BA9D-E8F29F83FC13}"/>
    <cellStyle name="Normal 2 6 17 4 2 2" xfId="6349" xr:uid="{5DC2E073-A921-4F89-BB00-2BD84144053D}"/>
    <cellStyle name="Normal 2 6 17 4 3" xfId="6350" xr:uid="{7CE4A0DF-258A-45CB-932C-56089003173A}"/>
    <cellStyle name="Normal 2 6 17 5" xfId="6351" xr:uid="{25C82541-F1BE-42FD-8448-D38EC299C690}"/>
    <cellStyle name="Normal 2 6 17 5 2" xfId="6352" xr:uid="{BFFFA09A-13BF-453D-869B-9AD68E991CF3}"/>
    <cellStyle name="Normal 2 6 17 6" xfId="6353" xr:uid="{8A24229A-3DDC-4983-9DF4-61927C651DD6}"/>
    <cellStyle name="Normal 2 6 18" xfId="6354" xr:uid="{9F9BCFC8-F9F1-445A-BC77-B055C96E365D}"/>
    <cellStyle name="Normal 2 6 18 2" xfId="6355" xr:uid="{DE7B5145-5030-4D84-8A8E-E4DDC03748CE}"/>
    <cellStyle name="Normal 2 6 18 2 2" xfId="6356" xr:uid="{46802926-80F5-4413-B0BE-912128BD06BE}"/>
    <cellStyle name="Normal 2 6 18 2 2 2" xfId="6357" xr:uid="{2EE2BD09-D275-4FE5-B830-C291C5D68935}"/>
    <cellStyle name="Normal 2 6 18 2 2 2 2" xfId="6358" xr:uid="{94755879-C52C-450C-8A95-6B340EE11E77}"/>
    <cellStyle name="Normal 2 6 18 2 2 3" xfId="6359" xr:uid="{C5D49A8B-CE48-4F46-9954-547F22ABE99A}"/>
    <cellStyle name="Normal 2 6 18 2 3" xfId="6360" xr:uid="{00512F54-BD84-4920-9924-8A0528C2FAFB}"/>
    <cellStyle name="Normal 2 6 18 2 3 2" xfId="6361" xr:uid="{1EFDB465-4198-47F6-9DB6-0033E3B8D0C4}"/>
    <cellStyle name="Normal 2 6 18 2 3 2 2" xfId="6362" xr:uid="{C732495B-D0B5-4900-AADB-BF80BB1A3F9E}"/>
    <cellStyle name="Normal 2 6 18 2 3 3" xfId="6363" xr:uid="{F6003BD2-5158-449E-A72D-52AACF103B39}"/>
    <cellStyle name="Normal 2 6 18 2 4" xfId="6364" xr:uid="{0D8DA9FB-F09A-4940-8560-D58282FDECBF}"/>
    <cellStyle name="Normal 2 6 18 2 4 2" xfId="6365" xr:uid="{AA1C6005-0AC1-4C7B-9CA9-53CC42281AF6}"/>
    <cellStyle name="Normal 2 6 18 2 5" xfId="6366" xr:uid="{D74F1898-7463-4C1A-80B8-15464EFDB60E}"/>
    <cellStyle name="Normal 2 6 18 3" xfId="6367" xr:uid="{39A1596A-01D2-4AFE-B136-ACA02D355FBD}"/>
    <cellStyle name="Normal 2 6 18 3 2" xfId="6368" xr:uid="{7842DFC8-D369-4328-8E4F-3BA8AB495EB8}"/>
    <cellStyle name="Normal 2 6 18 3 2 2" xfId="6369" xr:uid="{BF228081-E87D-4299-8C69-E806A99BB0BD}"/>
    <cellStyle name="Normal 2 6 18 3 3" xfId="6370" xr:uid="{5286AF3B-6C83-4FE2-AD65-5454357E97A9}"/>
    <cellStyle name="Normal 2 6 18 4" xfId="6371" xr:uid="{0F5DB497-3CEC-42B6-8E14-2B453CAB3B75}"/>
    <cellStyle name="Normal 2 6 18 4 2" xfId="6372" xr:uid="{72336088-EAFE-43F3-B9A7-ECF1C82FA039}"/>
    <cellStyle name="Normal 2 6 18 4 2 2" xfId="6373" xr:uid="{61CAC036-D61B-4D4A-9959-7ECC6A64F78F}"/>
    <cellStyle name="Normal 2 6 18 4 3" xfId="6374" xr:uid="{2F5AC897-6852-4DD1-AD4A-8131A294D914}"/>
    <cellStyle name="Normal 2 6 18 5" xfId="6375" xr:uid="{DAB6A86D-1062-448F-BA6F-6C8D126ECEB5}"/>
    <cellStyle name="Normal 2 6 18 5 2" xfId="6376" xr:uid="{454D2025-9D24-4652-B9B2-9329214D8AC3}"/>
    <cellStyle name="Normal 2 6 18 6" xfId="6377" xr:uid="{5DB8FEBE-70AF-49CF-8C0A-064972B93078}"/>
    <cellStyle name="Normal 2 6 19" xfId="6378" xr:uid="{55E7F30F-57F5-4A8D-9F12-F349BA76CED6}"/>
    <cellStyle name="Normal 2 6 19 2" xfId="6379" xr:uid="{5FACEF10-AA86-4C10-8719-7456A46F1FAA}"/>
    <cellStyle name="Normal 2 6 19 2 2" xfId="6380" xr:uid="{71C31372-14AF-4F1C-831A-E1F887FE5631}"/>
    <cellStyle name="Normal 2 6 19 2 2 2" xfId="6381" xr:uid="{7F42B2D2-47B3-4DFB-8949-9A73A85EFC0B}"/>
    <cellStyle name="Normal 2 6 19 2 3" xfId="6382" xr:uid="{8825484F-49C1-472B-8912-65845EE21571}"/>
    <cellStyle name="Normal 2 6 19 3" xfId="6383" xr:uid="{257E7011-C642-4F98-8799-200DBAF27898}"/>
    <cellStyle name="Normal 2 6 19 3 2" xfId="6384" xr:uid="{D76D273A-1B52-45D2-ADB9-1D6584717509}"/>
    <cellStyle name="Normal 2 6 19 3 2 2" xfId="6385" xr:uid="{F935AA0E-2235-45FF-AB0C-B1A890E82B84}"/>
    <cellStyle name="Normal 2 6 19 3 3" xfId="6386" xr:uid="{ED8C0778-F255-4F55-96ED-88569170E810}"/>
    <cellStyle name="Normal 2 6 19 4" xfId="6387" xr:uid="{319BBAE4-1BF8-4A4A-AF99-10CC39EF0560}"/>
    <cellStyle name="Normal 2 6 19 4 2" xfId="6388" xr:uid="{28785D76-32BB-4983-9E7B-E469120F6F23}"/>
    <cellStyle name="Normal 2 6 19 5" xfId="6389" xr:uid="{FD7AFA7C-FD86-4EF5-A349-D25945386B85}"/>
    <cellStyle name="Normal 2 6 2" xfId="6390" xr:uid="{4725868A-79CC-4DD2-B2E8-8CAA4BAA4782}"/>
    <cellStyle name="Normal 2 6 2 2" xfId="6391" xr:uid="{2DE4B7C2-1E80-45E5-9738-CE9BDFB7BC39}"/>
    <cellStyle name="Normal 2 6 2 3" xfId="6392" xr:uid="{8EE0573D-784F-43FB-BFDD-9C2A7A89F498}"/>
    <cellStyle name="Normal 2 6 2 3 2" xfId="6393" xr:uid="{26288EF2-04B7-443F-970F-7202833BAC35}"/>
    <cellStyle name="Normal 2 6 2 3 2 2" xfId="6394" xr:uid="{63E50F9E-64A2-4DBE-B9BB-B6FC00AD8820}"/>
    <cellStyle name="Normal 2 6 2 3 2 2 2" xfId="6395" xr:uid="{0FE5221C-E9C2-44A0-9BCD-434976159E90}"/>
    <cellStyle name="Normal 2 6 2 3 2 2 2 2" xfId="6396" xr:uid="{18445916-95F2-496C-A524-01FAE984E2BC}"/>
    <cellStyle name="Normal 2 6 2 3 2 2 3" xfId="6397" xr:uid="{0A7D8367-708C-4409-B697-318D9390AA3F}"/>
    <cellStyle name="Normal 2 6 2 3 2 3" xfId="6398" xr:uid="{3041AF0E-59BD-46F4-8EED-EC770B9F00D9}"/>
    <cellStyle name="Normal 2 6 2 3 2 3 2" xfId="6399" xr:uid="{A124A162-7C08-42EC-AB1C-9CAC69F501FA}"/>
    <cellStyle name="Normal 2 6 2 3 2 3 2 2" xfId="6400" xr:uid="{3539A87B-36C4-47E9-B46B-74C14E233440}"/>
    <cellStyle name="Normal 2 6 2 3 2 3 3" xfId="6401" xr:uid="{6A904EF9-608C-4A1B-9A07-88EF9D43CD88}"/>
    <cellStyle name="Normal 2 6 2 3 2 4" xfId="6402" xr:uid="{AA871B42-C35A-47F7-A407-740A406A667E}"/>
    <cellStyle name="Normal 2 6 2 3 2 4 2" xfId="6403" xr:uid="{9EB3CE42-D4B7-4C23-A256-835D3F5B0D3D}"/>
    <cellStyle name="Normal 2 6 2 3 2 5" xfId="6404" xr:uid="{9E5F277F-DEAE-4AA8-9CA2-96586BEA7AD6}"/>
    <cellStyle name="Normal 2 6 2 3 3" xfId="6405" xr:uid="{7B89EA34-096F-40D0-A25B-4E793F5C4F1A}"/>
    <cellStyle name="Normal 2 6 2 3 3 2" xfId="6406" xr:uid="{DA4B9E21-59ED-405E-B06F-F7B76504F710}"/>
    <cellStyle name="Normal 2 6 2 3 3 2 2" xfId="6407" xr:uid="{8D54EE42-7B2C-47F9-8992-B5272ECE620A}"/>
    <cellStyle name="Normal 2 6 2 3 3 3" xfId="6408" xr:uid="{AA490EF8-AF84-4AE6-B91E-0CADBDBFF3DE}"/>
    <cellStyle name="Normal 2 6 2 3 4" xfId="6409" xr:uid="{73D352D9-E051-4CC3-A8ED-5E4C3C5C0AC2}"/>
    <cellStyle name="Normal 2 6 2 3 4 2" xfId="6410" xr:uid="{70F72D07-F6A7-4895-BC34-B96DC420D180}"/>
    <cellStyle name="Normal 2 6 2 3 4 2 2" xfId="6411" xr:uid="{941CB7A1-BCE8-4B23-9CF0-FC1549810D8C}"/>
    <cellStyle name="Normal 2 6 2 3 4 3" xfId="6412" xr:uid="{022431C2-EB2D-4E0B-8CE6-412D770D59C2}"/>
    <cellStyle name="Normal 2 6 2 3 5" xfId="6413" xr:uid="{958F57BD-C30B-42D6-A307-64B2212C2762}"/>
    <cellStyle name="Normal 2 6 2 3 5 2" xfId="6414" xr:uid="{E42B5C5E-37F6-4911-A5A8-6B083A3A71A4}"/>
    <cellStyle name="Normal 2 6 2 3 6" xfId="6415" xr:uid="{9ED7DE78-FA30-4822-9A63-466357D61238}"/>
    <cellStyle name="Normal 2 6 2 4" xfId="6416" xr:uid="{26A05239-ABBF-4FF7-B77A-EDF15298C645}"/>
    <cellStyle name="Normal 2 6 2 4 2" xfId="6417" xr:uid="{649FBD17-9B4D-42D1-BFA7-BB617F20B964}"/>
    <cellStyle name="Normal 2 6 2 4 2 2" xfId="6418" xr:uid="{BD255377-75A6-4C3E-879D-16400B62F495}"/>
    <cellStyle name="Normal 2 6 2 4 2 2 2" xfId="6419" xr:uid="{67B91DC3-CC1A-4F51-B113-140F4DE983DF}"/>
    <cellStyle name="Normal 2 6 2 4 2 2 2 2" xfId="6420" xr:uid="{3AD2A408-8F0A-4160-93F2-9075ED9F5BDB}"/>
    <cellStyle name="Normal 2 6 2 4 2 2 3" xfId="6421" xr:uid="{149F0821-5F60-490F-9D60-A8C228CBDF40}"/>
    <cellStyle name="Normal 2 6 2 4 2 3" xfId="6422" xr:uid="{E3F2F2CB-4E6A-4B22-822F-D70AF2084D29}"/>
    <cellStyle name="Normal 2 6 2 4 2 3 2" xfId="6423" xr:uid="{B973A0BD-1195-4B64-9BA9-E29CF4D4B309}"/>
    <cellStyle name="Normal 2 6 2 4 2 3 2 2" xfId="6424" xr:uid="{0A47A068-D7DE-4F18-B874-FAFCCC2B5320}"/>
    <cellStyle name="Normal 2 6 2 4 2 3 3" xfId="6425" xr:uid="{6E5733F9-8CEB-4944-AC06-23E0011D479D}"/>
    <cellStyle name="Normal 2 6 2 4 2 4" xfId="6426" xr:uid="{21764C02-F4E5-496F-9E5E-0DA5F160F0F9}"/>
    <cellStyle name="Normal 2 6 2 4 2 4 2" xfId="6427" xr:uid="{661F65CB-A0CB-4D6B-81D9-CA51D0F7866A}"/>
    <cellStyle name="Normal 2 6 2 4 2 5" xfId="6428" xr:uid="{B8AA6C86-0186-49DD-8B5D-9C87F6076600}"/>
    <cellStyle name="Normal 2 6 2 4 3" xfId="6429" xr:uid="{7F44A92F-DB16-4C00-88CC-12239EEBADED}"/>
    <cellStyle name="Normal 2 6 2 4 3 2" xfId="6430" xr:uid="{52C8F789-D6D7-449C-9960-4F7F556A4D9F}"/>
    <cellStyle name="Normal 2 6 2 4 3 2 2" xfId="6431" xr:uid="{8A120450-D9B8-4BF5-88D5-A1F6D0EE609B}"/>
    <cellStyle name="Normal 2 6 2 4 3 3" xfId="6432" xr:uid="{282156E3-D0F1-46A9-904F-CA050334C900}"/>
    <cellStyle name="Normal 2 6 2 4 4" xfId="6433" xr:uid="{9D81674B-A615-4852-99A0-DA31EED8093B}"/>
    <cellStyle name="Normal 2 6 2 4 4 2" xfId="6434" xr:uid="{2F6EFB76-093C-47A3-BF5C-17738053F0FB}"/>
    <cellStyle name="Normal 2 6 2 4 4 2 2" xfId="6435" xr:uid="{666EA4AA-F1AC-4786-8B51-142444D8FB64}"/>
    <cellStyle name="Normal 2 6 2 4 4 3" xfId="6436" xr:uid="{35A3EC16-A586-445E-AAF6-2A2E96765D44}"/>
    <cellStyle name="Normal 2 6 2 4 5" xfId="6437" xr:uid="{F8F73994-3078-4023-8EF2-81C83E7710E2}"/>
    <cellStyle name="Normal 2 6 2 4 5 2" xfId="6438" xr:uid="{7AC1619F-5E57-4A89-B916-D229B4947050}"/>
    <cellStyle name="Normal 2 6 2 4 6" xfId="6439" xr:uid="{B3A10258-B211-4569-BF0F-740A488FF94A}"/>
    <cellStyle name="Normal 2 6 2 5" xfId="6440" xr:uid="{557DCC82-A636-4B4B-A82E-BF0CEE5398CE}"/>
    <cellStyle name="Normal 2 6 2 5 2" xfId="6441" xr:uid="{148A9A92-D5D2-4F13-9B76-EEFBC24C1F6F}"/>
    <cellStyle name="Normal 2 6 2 5 2 2" xfId="6442" xr:uid="{4C626839-65BE-4889-936A-59E1B80B71CD}"/>
    <cellStyle name="Normal 2 6 2 5 2 2 2" xfId="6443" xr:uid="{8BC8D785-1A5A-4BC1-9EAA-62736114CCFC}"/>
    <cellStyle name="Normal 2 6 2 5 2 3" xfId="6444" xr:uid="{A8D838A2-88B1-4A2E-9A78-127459E2564A}"/>
    <cellStyle name="Normal 2 6 2 5 3" xfId="6445" xr:uid="{57B4B89C-4296-4179-B8D1-EA8C0AB90013}"/>
    <cellStyle name="Normal 2 6 2 5 3 2" xfId="6446" xr:uid="{5B914E02-6685-4F47-A686-43ECF45E1808}"/>
    <cellStyle name="Normal 2 6 2 5 3 2 2" xfId="6447" xr:uid="{8234A13B-1EF2-4444-82C7-A5AF0A107EDD}"/>
    <cellStyle name="Normal 2 6 2 5 3 3" xfId="6448" xr:uid="{F394CBBA-2739-4DAC-8E2B-9E6DBBE1260E}"/>
    <cellStyle name="Normal 2 6 2 5 4" xfId="6449" xr:uid="{55178AA1-85DF-423A-93CA-9C08737352EE}"/>
    <cellStyle name="Normal 2 6 2 5 4 2" xfId="6450" xr:uid="{B882AE31-86E8-43F3-A913-125437826C09}"/>
    <cellStyle name="Normal 2 6 2 5 5" xfId="6451" xr:uid="{9E9F3008-5BCA-4556-AB6A-69015256A9DA}"/>
    <cellStyle name="Normal 2 6 2 6" xfId="6452" xr:uid="{756AA637-CEF7-4F95-A5C8-6C40CB59BEBB}"/>
    <cellStyle name="Normal 2 6 2 6 2" xfId="6453" xr:uid="{E0ABDC02-BB4E-487C-B303-0539ECA2C995}"/>
    <cellStyle name="Normal 2 6 2 6 2 2" xfId="6454" xr:uid="{0A5A219B-ACB3-45EE-B36D-6892B0383485}"/>
    <cellStyle name="Normal 2 6 2 6 3" xfId="6455" xr:uid="{5999E718-A131-414D-8855-705356680FB4}"/>
    <cellStyle name="Normal 2 6 2 7" xfId="6456" xr:uid="{85937209-EF81-4CB4-8245-100DF81DD25E}"/>
    <cellStyle name="Normal 2 6 2 7 2" xfId="6457" xr:uid="{BC65CB71-BF00-4027-B798-DF6AE4042DC1}"/>
    <cellStyle name="Normal 2 6 2 7 2 2" xfId="6458" xr:uid="{47B1424C-3FDA-412F-B06A-45B485F8A18E}"/>
    <cellStyle name="Normal 2 6 2 7 3" xfId="6459" xr:uid="{D628D86C-CEF9-4155-AB92-94EA95604305}"/>
    <cellStyle name="Normal 2 6 2 8" xfId="6460" xr:uid="{EA2B08EE-097C-4CAC-B357-00755EF7AB29}"/>
    <cellStyle name="Normal 2 6 2 8 2" xfId="6461" xr:uid="{64BF21B4-9F58-4CA0-9ED5-8D56A75C86E5}"/>
    <cellStyle name="Normal 2 6 2 9" xfId="6462" xr:uid="{DFD86BB7-1250-45BE-A8C3-E1D1D49837AE}"/>
    <cellStyle name="Normal 2 6 20" xfId="6463" xr:uid="{D91464DB-0732-48B4-8EE0-F9C852C970D0}"/>
    <cellStyle name="Normal 2 6 20 2" xfId="6464" xr:uid="{BBABB18F-E855-4CDC-9488-7684B573D27A}"/>
    <cellStyle name="Normal 2 6 20 2 2" xfId="6465" xr:uid="{9D509465-1C70-429B-A01D-3990CEF3D701}"/>
    <cellStyle name="Normal 2 6 20 2 2 2" xfId="6466" xr:uid="{C96F23A7-4EBF-4D91-8748-B2506044DCB1}"/>
    <cellStyle name="Normal 2 6 20 2 3" xfId="6467" xr:uid="{BE347B6B-1781-4CAA-9DD1-46268DB97D79}"/>
    <cellStyle name="Normal 2 6 20 3" xfId="6468" xr:uid="{D02CD7DB-86FE-40BB-818D-BE9FB89450A5}"/>
    <cellStyle name="Normal 2 6 20 3 2" xfId="6469" xr:uid="{4E411DEA-2C0B-4422-8DBB-DE8A99FEDF8A}"/>
    <cellStyle name="Normal 2 6 20 4" xfId="6470" xr:uid="{69B3D165-0D68-47F6-A067-756F99406738}"/>
    <cellStyle name="Normal 2 6 21" xfId="6471" xr:uid="{A16D742E-81C5-437D-9948-700BA799B883}"/>
    <cellStyle name="Normal 2 6 21 2" xfId="6472" xr:uid="{A7EB1E18-9DB3-4AFD-99F5-B914CC270F6D}"/>
    <cellStyle name="Normal 2 6 3" xfId="6473" xr:uid="{4B21479B-3F71-47F1-8EFD-16BDED98D9E7}"/>
    <cellStyle name="Normal 2 6 3 2" xfId="6474" xr:uid="{AEA0907B-1A92-46B2-90CC-157686E83194}"/>
    <cellStyle name="Normal 2 6 3 3" xfId="6475" xr:uid="{C2C9D753-D2BB-4C40-9F3F-842D13EA7E6A}"/>
    <cellStyle name="Normal 2 6 3 3 2" xfId="6476" xr:uid="{9BD911A7-8221-4A21-B406-D0082AD87A5F}"/>
    <cellStyle name="Normal 2 6 3 3 2 2" xfId="6477" xr:uid="{F47752F3-4304-434E-995F-29D81C6FA328}"/>
    <cellStyle name="Normal 2 6 3 3 2 2 2" xfId="6478" xr:uid="{70716D9D-C0A8-4E77-ABCE-33992CA3D432}"/>
    <cellStyle name="Normal 2 6 3 3 2 3" xfId="6479" xr:uid="{DBC7868A-97E5-40C7-BB70-2D4C58442690}"/>
    <cellStyle name="Normal 2 6 3 3 3" xfId="6480" xr:uid="{4D4577F7-E00D-4099-9B14-D2A3A166C359}"/>
    <cellStyle name="Normal 2 6 3 3 3 2" xfId="6481" xr:uid="{EE27E169-0E9E-4759-A7A1-1D86CAF19602}"/>
    <cellStyle name="Normal 2 6 3 3 3 2 2" xfId="6482" xr:uid="{5935CB93-A2A1-4F81-95F2-D716A6343EEB}"/>
    <cellStyle name="Normal 2 6 3 3 3 3" xfId="6483" xr:uid="{D6380313-ECF8-4E67-8F10-39EEA66989BD}"/>
    <cellStyle name="Normal 2 6 3 3 4" xfId="6484" xr:uid="{36D05CF5-B59D-490F-B80A-E9F10DCAA8FC}"/>
    <cellStyle name="Normal 2 6 3 3 4 2" xfId="6485" xr:uid="{40F71A5C-143D-4FEB-976B-CD6458083277}"/>
    <cellStyle name="Normal 2 6 3 3 5" xfId="6486" xr:uid="{88EB9C34-9CEC-4B95-82A9-436FD8B37F95}"/>
    <cellStyle name="Normal 2 6 3 4" xfId="6487" xr:uid="{A1CE3A9F-3C30-436C-B95A-54DE756496DC}"/>
    <cellStyle name="Normal 2 6 3 4 2" xfId="6488" xr:uid="{5FDFBDE8-B940-4CC4-AA5E-CB22FD9B187D}"/>
    <cellStyle name="Normal 2 6 3 4 2 2" xfId="6489" xr:uid="{2CE6D867-5284-4472-9332-0B7A77F51C45}"/>
    <cellStyle name="Normal 2 6 3 4 3" xfId="6490" xr:uid="{A91B96DA-58D8-4F73-95E1-E7FAA65934CC}"/>
    <cellStyle name="Normal 2 6 3 5" xfId="6491" xr:uid="{B87535F3-F699-46FC-8A22-EB2666C58EEE}"/>
    <cellStyle name="Normal 2 6 3 5 2" xfId="6492" xr:uid="{F5C4FA74-5830-4F00-A22D-7A04BB7543A2}"/>
    <cellStyle name="Normal 2 6 3 5 2 2" xfId="6493" xr:uid="{FD85E155-5EB6-4478-A2C4-CBF7A3F3A12D}"/>
    <cellStyle name="Normal 2 6 3 5 3" xfId="6494" xr:uid="{E1535B61-3130-421E-8698-C3AC15306B05}"/>
    <cellStyle name="Normal 2 6 3 6" xfId="6495" xr:uid="{1C2C89DC-4010-482C-B396-35396BBAB2A8}"/>
    <cellStyle name="Normal 2 6 3 6 2" xfId="6496" xr:uid="{502D3364-93C5-49EB-9FD9-39131C0807E6}"/>
    <cellStyle name="Normal 2 6 3 7" xfId="6497" xr:uid="{22D39695-33FA-4A92-843A-ED7F8F66BFB4}"/>
    <cellStyle name="Normal 2 6 4" xfId="6498" xr:uid="{0B44648C-0876-47AF-9ED6-FAA707935760}"/>
    <cellStyle name="Normal 2 6 5" xfId="6499" xr:uid="{A3A71661-0EBD-4798-ADC2-65A2AA88DA53}"/>
    <cellStyle name="Normal 2 6 6" xfId="6500" xr:uid="{CCED2947-A7AD-4E25-A30B-E1AA46CAE916}"/>
    <cellStyle name="Normal 2 6 7" xfId="6501" xr:uid="{5120F82A-2B27-43C6-98B5-F2783EF58BCF}"/>
    <cellStyle name="Normal 2 6 8" xfId="6502" xr:uid="{E32A5859-FDEC-42BB-B079-65630F124A62}"/>
    <cellStyle name="Normal 2 6 9" xfId="6503" xr:uid="{82AE5531-1094-4737-894C-986066B37DB4}"/>
    <cellStyle name="Normal 2 7" xfId="6504" xr:uid="{96C820DB-0137-4B21-9DE6-CB4F1C7BE549}"/>
    <cellStyle name="Normal 2 7 2" xfId="6505" xr:uid="{CC42B893-F5C9-4E15-ACCC-5A013480A361}"/>
    <cellStyle name="Normal 2 8" xfId="6506" xr:uid="{B1D684CD-A87D-4E39-B1A1-EC47B7FF7E1C}"/>
    <cellStyle name="Normal 2 8 2" xfId="6507" xr:uid="{B502B720-70BA-45C2-92B3-93D084B4DADC}"/>
    <cellStyle name="Normal 2 8 3" xfId="6508" xr:uid="{3387B28A-9C16-412E-B0F9-3224C1378208}"/>
    <cellStyle name="Normal 2 8 4" xfId="6509" xr:uid="{9071E627-60B9-4D65-86C8-CFFDDDF818EB}"/>
    <cellStyle name="Normal 2 8 4 2" xfId="6510" xr:uid="{4AEF165B-9943-4EDD-AD13-2BD84B91422B}"/>
    <cellStyle name="Normal 2 9" xfId="6511" xr:uid="{1E21862F-59C0-40E3-A390-08CF9E2130A4}"/>
    <cellStyle name="Normal 2 9 2" xfId="6512" xr:uid="{C836BE7A-8187-4868-B234-44F389A0468C}"/>
    <cellStyle name="Normal 2 9 2 2" xfId="6513" xr:uid="{10ACCADD-08D3-4D6A-96F5-F81E0657FED6}"/>
    <cellStyle name="Normal 2 9 2 3" xfId="6514" xr:uid="{3A87DDCB-D01E-4917-81B3-B6F9E11A0BBD}"/>
    <cellStyle name="Normal 2 9 2 3 2" xfId="6515" xr:uid="{A418E311-CD0F-409F-9B88-E4E6815FEA82}"/>
    <cellStyle name="Normal 2 9 2 3 2 2" xfId="6516" xr:uid="{50EF8E2C-8676-4158-BD99-0DB461C5D0CE}"/>
    <cellStyle name="Normal 2 9 2 3 2 2 2" xfId="6517" xr:uid="{42158E2D-50FD-4370-B51E-339E5A85578F}"/>
    <cellStyle name="Normal 2 9 2 3 2 3" xfId="6518" xr:uid="{317FEF11-1C43-453C-ACB4-BD07F8107D9F}"/>
    <cellStyle name="Normal 2 9 2 3 3" xfId="6519" xr:uid="{FB6F4D04-5955-4D14-825E-993E6E92D374}"/>
    <cellStyle name="Normal 2 9 2 3 3 2" xfId="6520" xr:uid="{42A7D9FC-D722-442A-8218-D55770C05393}"/>
    <cellStyle name="Normal 2 9 2 3 3 2 2" xfId="6521" xr:uid="{F0D83161-1BD9-443F-A5E4-6FA197280A82}"/>
    <cellStyle name="Normal 2 9 2 3 3 3" xfId="6522" xr:uid="{AD997A89-46B7-45C1-A00B-846A9F75E7BD}"/>
    <cellStyle name="Normal 2 9 2 3 4" xfId="6523" xr:uid="{BADEF468-0581-46B9-BC2F-2D98C16D6107}"/>
    <cellStyle name="Normal 2 9 2 3 4 2" xfId="6524" xr:uid="{29A0F3AB-4651-4690-B62B-D26639406296}"/>
    <cellStyle name="Normal 2 9 2 3 5" xfId="6525" xr:uid="{12A75651-23B2-4DE9-B9ED-7129773919A7}"/>
    <cellStyle name="Normal 2 9 2 4" xfId="6526" xr:uid="{FDE78633-6EEF-4EF8-9DA9-712E18EE67B8}"/>
    <cellStyle name="Normal 2 9 2 4 2" xfId="6527" xr:uid="{FC38DE9C-BEA1-452D-A978-47B13178F787}"/>
    <cellStyle name="Normal 2 9 2 4 2 2" xfId="6528" xr:uid="{EA408ED2-953E-42FA-B0CB-1B1F2AC7A8F1}"/>
    <cellStyle name="Normal 2 9 2 4 3" xfId="6529" xr:uid="{58F1393F-2E55-4555-9C3B-67638CA86B37}"/>
    <cellStyle name="Normal 2 9 2 5" xfId="6530" xr:uid="{CD914D53-F97F-4FB3-9DE5-E9201AE62928}"/>
    <cellStyle name="Normal 2 9 2 5 2" xfId="6531" xr:uid="{249B2BBB-2118-4EFA-94F3-D746366AA32F}"/>
    <cellStyle name="Normal 2 9 2 5 2 2" xfId="6532" xr:uid="{F19FC495-FF87-4692-A528-FEBCBB661962}"/>
    <cellStyle name="Normal 2 9 2 5 3" xfId="6533" xr:uid="{678C4E12-AC39-46D9-872C-C0074DAC0D5E}"/>
    <cellStyle name="Normal 2 9 2 6" xfId="6534" xr:uid="{B668E12B-E794-4C8D-A320-52C8448151DE}"/>
    <cellStyle name="Normal 2 9 2 6 2" xfId="6535" xr:uid="{711E77C3-9D47-4D09-BD7A-4C824455185E}"/>
    <cellStyle name="Normal 2 9 2 7" xfId="6536" xr:uid="{383F603A-0BD5-46C0-915A-6751B4D9A659}"/>
    <cellStyle name="Normal 2 9 3" xfId="6537" xr:uid="{190C07F8-8AA3-4CBA-994A-ABD39E3011F0}"/>
    <cellStyle name="Normal 2 9 3 2" xfId="6538" xr:uid="{95CC8EEC-1D7D-4104-A5B0-C50428526056}"/>
    <cellStyle name="Normal 2 9 3 2 2" xfId="6539" xr:uid="{9319BFCD-6B0D-48AA-90D5-225A2766FF6D}"/>
    <cellStyle name="Normal 2 9 3 2 2 2" xfId="6540" xr:uid="{C4E6A5E2-58C5-41E4-BA52-044F8B7528DB}"/>
    <cellStyle name="Normal 2 9 3 2 2 2 2" xfId="6541" xr:uid="{7A30E47E-1EAE-41C8-A767-8186EA29B0FA}"/>
    <cellStyle name="Normal 2 9 3 2 2 3" xfId="6542" xr:uid="{EB7D27E3-2FE9-4460-A3C6-9CA47BB1DBF4}"/>
    <cellStyle name="Normal 2 9 3 2 3" xfId="6543" xr:uid="{B832BC00-2FCC-4570-9BF1-249667C95BBD}"/>
    <cellStyle name="Normal 2 9 3 2 3 2" xfId="6544" xr:uid="{DC481FB5-8028-4776-813C-629F91AD6921}"/>
    <cellStyle name="Normal 2 9 3 2 3 2 2" xfId="6545" xr:uid="{D844AB2F-C1FF-46C7-A58F-150C34A7BB80}"/>
    <cellStyle name="Normal 2 9 3 2 3 3" xfId="6546" xr:uid="{E6AB0B37-CAA9-4D7F-9FAE-22D9D83FCD33}"/>
    <cellStyle name="Normal 2 9 3 2 4" xfId="6547" xr:uid="{535DEE35-9E84-48B0-B2F9-AFF2A5B1EE64}"/>
    <cellStyle name="Normal 2 9 3 2 4 2" xfId="6548" xr:uid="{F9C4F25B-0413-4633-A331-E6C0FD311760}"/>
    <cellStyle name="Normal 2 9 3 2 5" xfId="6549" xr:uid="{416B8EE3-F44D-424A-B1A3-F4AFFB5F3A0C}"/>
    <cellStyle name="Normal 2 9 3 3" xfId="6550" xr:uid="{ACC9B94C-97A1-46DF-AB61-371671ECA48E}"/>
    <cellStyle name="Normal 2 9 3 3 2" xfId="6551" xr:uid="{DCDB8218-B2B9-4BB1-93B7-1115D639E1B6}"/>
    <cellStyle name="Normal 2 9 3 3 2 2" xfId="6552" xr:uid="{DB8CC5B4-A86E-41B7-809B-268BC23997A7}"/>
    <cellStyle name="Normal 2 9 3 3 3" xfId="6553" xr:uid="{7060B599-2465-48E1-A344-B6DB0EAAB2E7}"/>
    <cellStyle name="Normal 2 9 3 4" xfId="6554" xr:uid="{8E5E7947-F6A4-4751-B216-2B513A015243}"/>
    <cellStyle name="Normal 2 9 3 4 2" xfId="6555" xr:uid="{C94A0F08-7329-4C55-B8D1-765074FF4F17}"/>
    <cellStyle name="Normal 2 9 3 4 2 2" xfId="6556" xr:uid="{9A292118-0770-4868-BB6F-EEAB53D7F2C5}"/>
    <cellStyle name="Normal 2 9 3 4 3" xfId="6557" xr:uid="{7872C356-8F1C-4F24-94E6-B27E71E07FF5}"/>
    <cellStyle name="Normal 2 9 3 5" xfId="6558" xr:uid="{F4819A1B-6194-4428-A9D2-9D188E4C7E0A}"/>
    <cellStyle name="Normal 2 9 3 5 2" xfId="6559" xr:uid="{6AFF5433-8F3C-4248-8954-BF34C6EFDE8F}"/>
    <cellStyle name="Normal 2 9 3 6" xfId="6560" xr:uid="{5921E683-B216-46BF-86CC-15EC3A0FA8BE}"/>
    <cellStyle name="Normal 2 9 4" xfId="6561" xr:uid="{9922EE14-7C55-4F3F-8AF8-79D3F142D94E}"/>
    <cellStyle name="Normal 2 9 4 2" xfId="6562" xr:uid="{971ED80E-74F6-4AC0-9EED-EB4F2CEB9A9F}"/>
    <cellStyle name="Normal 2 9 4 2 2" xfId="6563" xr:uid="{B41C95BB-5357-402C-ADBF-0B30D7483A48}"/>
    <cellStyle name="Normal 2 9 4 2 2 2" xfId="6564" xr:uid="{B0AD71C4-BCC8-4534-A6C6-8423BC683C0E}"/>
    <cellStyle name="Normal 2 9 4 2 3" xfId="6565" xr:uid="{BA8DE41A-B711-4A4A-84C3-2DF7A2EA5C60}"/>
    <cellStyle name="Normal 2 9 4 3" xfId="6566" xr:uid="{A4AFFD6C-996F-41B9-991F-241018B00933}"/>
    <cellStyle name="Normal 2 9 4 3 2" xfId="6567" xr:uid="{E6EF7ACD-E1A7-41F3-8577-5BF10F5142D0}"/>
    <cellStyle name="Normal 2 9 4 3 2 2" xfId="6568" xr:uid="{E4D9BD84-11A5-4CE9-AFD5-ABAE4A6D4CE2}"/>
    <cellStyle name="Normal 2 9 4 3 3" xfId="6569" xr:uid="{FF371441-AD07-48F8-B7ED-823F86315DA9}"/>
    <cellStyle name="Normal 2 9 4 4" xfId="6570" xr:uid="{8EF9A2EC-3544-4396-BE4F-B33A28B7DACC}"/>
    <cellStyle name="Normal 2 9 4 4 2" xfId="6571" xr:uid="{D3BADE27-BCE7-40A9-85E0-A6001F959AD6}"/>
    <cellStyle name="Normal 2 9 4 5" xfId="6572" xr:uid="{85417948-DF47-40BF-AC1F-558EC930C40E}"/>
    <cellStyle name="Normal 2 9 5" xfId="6573" xr:uid="{6568DC4D-D79C-473B-BDE5-1545E5AB211C}"/>
    <cellStyle name="Normal 2 9 5 2" xfId="6574" xr:uid="{61C403FB-DADC-4EE7-98C9-17FE38090BF9}"/>
    <cellStyle name="Normal 2 9 5 2 2" xfId="6575" xr:uid="{5A69ED86-DCD6-4169-95D3-4B03230D519F}"/>
    <cellStyle name="Normal 2 9 5 2 2 2" xfId="6576" xr:uid="{E8E52081-F972-4380-911C-D1531DCDF136}"/>
    <cellStyle name="Normal 2 9 5 2 3" xfId="6577" xr:uid="{6047908E-B837-47C2-8613-AE28EFD7FCC8}"/>
    <cellStyle name="Normal 2 9 5 3" xfId="6578" xr:uid="{E457E74C-4B38-4CCA-B8DD-F51EBF4AE817}"/>
    <cellStyle name="Normal 2 9 5 3 2" xfId="6579" xr:uid="{51442E39-309F-45B9-BABB-429BD017264D}"/>
    <cellStyle name="Normal 2 9 5 4" xfId="6580" xr:uid="{F2A1FDA1-30FD-423D-895E-05164747F582}"/>
    <cellStyle name="Normal 2 9 6" xfId="6581" xr:uid="{B51CB3A8-E42A-4285-A812-A4B895CB1713}"/>
    <cellStyle name="Normal 2 9 6 2" xfId="6582" xr:uid="{87FD1ACE-10A9-4F9C-928C-A8AFA2DF4A9C}"/>
    <cellStyle name="Normal 2_ELC" xfId="6583" xr:uid="{999B8692-EC32-4C44-848A-B4544AD8C854}"/>
    <cellStyle name="Normal 20" xfId="6584" xr:uid="{6D449945-A7F8-432F-BCC2-876D5BA81702}"/>
    <cellStyle name="Normal 20 2" xfId="6585" xr:uid="{7B41DA3E-2847-42C4-9C3E-C44513012E65}"/>
    <cellStyle name="Normal 20 3" xfId="6586" xr:uid="{BFA3539C-9F01-494C-B004-8A4D4D26620F}"/>
    <cellStyle name="Normal 20 4" xfId="6587" xr:uid="{A974993D-7608-44F7-AE66-3F259BB97249}"/>
    <cellStyle name="Normal 21" xfId="6588" xr:uid="{DC7A532B-93DB-480A-A7DE-938CA8821994}"/>
    <cellStyle name="Normal 21 2" xfId="6589" xr:uid="{D9CE4D2B-8D9A-4CB1-A871-D6D552143328}"/>
    <cellStyle name="Normal 21 2 2" xfId="6590" xr:uid="{0F2427C1-F746-4CAD-8695-D21A23976B70}"/>
    <cellStyle name="Normal 21 3" xfId="6591" xr:uid="{E6733589-34D6-4D6F-8A75-7F46BCD903AC}"/>
    <cellStyle name="Normal 21 4" xfId="6592" xr:uid="{9CBF0632-17A1-409D-A01B-4CB8CA1C64B0}"/>
    <cellStyle name="Normal 21 5" xfId="6593" xr:uid="{42EFF55B-4C87-44BA-BABB-57C3EA31A3C6}"/>
    <cellStyle name="Normal 21 5 2" xfId="6594" xr:uid="{9D7AC53C-9E1F-4096-8271-05F2777EF038}"/>
    <cellStyle name="Normal 21_Scen_XBase" xfId="6595" xr:uid="{AE0CEBE1-9EB7-40D1-AB21-18ED7CFA2B3D}"/>
    <cellStyle name="Normal 22" xfId="6596" xr:uid="{267656B9-0840-49E8-BA33-E12A3D796E9C}"/>
    <cellStyle name="Normal 22 2" xfId="6597" xr:uid="{AE4D0D0B-DBC0-4C95-9A14-27D48F9A29C6}"/>
    <cellStyle name="Normal 23" xfId="6598" xr:uid="{2722FEA9-0FA2-4874-B2C9-FB6BD603CE23}"/>
    <cellStyle name="Normal 23 2" xfId="6599" xr:uid="{324A0B9E-D8B6-44A7-9823-A99E4F9E407A}"/>
    <cellStyle name="Normal 23 3" xfId="6600" xr:uid="{FF79298E-DE8A-4426-ADD6-6FB5907AA4FE}"/>
    <cellStyle name="Normal 24" xfId="6601" xr:uid="{D1FD2213-50C1-4F1C-AB74-3C52D3F4B06A}"/>
    <cellStyle name="Normal 24 10" xfId="6602" xr:uid="{0B5493C5-3B01-43C7-805A-F669E6ABBC3A}"/>
    <cellStyle name="Normal 24 11" xfId="6603" xr:uid="{2964B392-C553-4E91-9A9B-F81853B6F4C2}"/>
    <cellStyle name="Normal 24 12" xfId="6604" xr:uid="{31FBBDB0-7B4C-4CFA-99AD-6E3481699FC5}"/>
    <cellStyle name="Normal 24 13" xfId="6605" xr:uid="{33399B3A-71EA-4D76-835B-0FF873A8E846}"/>
    <cellStyle name="Normal 24 14" xfId="6606" xr:uid="{BFF3148A-1DEE-4129-86B2-00B3A4C17DAA}"/>
    <cellStyle name="Normal 24 15" xfId="6607" xr:uid="{A67EC96A-F0B3-46C9-962E-DFB429554DBA}"/>
    <cellStyle name="Normal 24 16" xfId="6608" xr:uid="{CD92C398-8C4C-41FC-A8A6-1CA9B8060977}"/>
    <cellStyle name="Normal 24 17" xfId="6609" xr:uid="{16B2F11A-E9A7-47D2-B8C0-7D4CAFBD938D}"/>
    <cellStyle name="Normal 24 18" xfId="6610" xr:uid="{531B7067-21EC-46FA-BD6D-BC5624A4B0C0}"/>
    <cellStyle name="Normal 24 19" xfId="6611" xr:uid="{2AD97BA8-85EB-4D71-929B-FF0C17A3C290}"/>
    <cellStyle name="Normal 24 2" xfId="6612" xr:uid="{948E57A7-08C3-4EDA-8F72-A4518F18448F}"/>
    <cellStyle name="Normal 24 20" xfId="6613" xr:uid="{C0E0B7B9-B6CC-49C7-8C0B-AB10C7FB799F}"/>
    <cellStyle name="Normal 24 21" xfId="6614" xr:uid="{FDD4520A-3855-414D-9372-8FF8441B3F4B}"/>
    <cellStyle name="Normal 24 22" xfId="6615" xr:uid="{2F585B60-7C25-4EE5-A064-51AD99F76388}"/>
    <cellStyle name="Normal 24 3" xfId="6616" xr:uid="{9331DA5A-D09A-44C8-8FD5-22B21A0A873B}"/>
    <cellStyle name="Normal 24 4" xfId="6617" xr:uid="{F52F3CD0-DC85-4307-9E22-FA834D759BD6}"/>
    <cellStyle name="Normal 24 5" xfId="6618" xr:uid="{174D40A8-A704-46EC-B523-B9638339C452}"/>
    <cellStyle name="Normal 24 6" xfId="6619" xr:uid="{DF2C2D07-35C3-49F9-9E71-90F4D3EF2C30}"/>
    <cellStyle name="Normal 24 7" xfId="6620" xr:uid="{979ACB3B-CE90-478D-8B0C-2FFB4C6788D8}"/>
    <cellStyle name="Normal 24 8" xfId="6621" xr:uid="{D9E2719D-CCA9-40EE-8726-E28EDCBA104D}"/>
    <cellStyle name="Normal 24 9" xfId="6622" xr:uid="{9E5869DE-A9B7-43A3-8206-9FA9FB1C8542}"/>
    <cellStyle name="Normal 25" xfId="6623" xr:uid="{04A71785-8D5E-47D3-BF48-54FC176AFE5C}"/>
    <cellStyle name="Normal 25 2" xfId="6624" xr:uid="{98FE445D-FA31-4E37-BD06-A2F22664D9F8}"/>
    <cellStyle name="Normal 25 3" xfId="6625" xr:uid="{E147BACE-4308-404C-9E68-AE8F10F1D294}"/>
    <cellStyle name="Normal 26" xfId="6626" xr:uid="{F10C536B-1233-4BAE-B336-0DA70D2027A5}"/>
    <cellStyle name="Normal 26 2" xfId="6627" xr:uid="{4A9071ED-D462-4F59-BCCE-17B8900AFA53}"/>
    <cellStyle name="Normal 26 3" xfId="6628" xr:uid="{80434AB0-BD22-45D6-8964-66B6158FE361}"/>
    <cellStyle name="Normal 27" xfId="6629" xr:uid="{CB852991-295C-4EC8-8331-389512B7E923}"/>
    <cellStyle name="Normal 27 2" xfId="6630" xr:uid="{F5DA4E03-4281-46CB-B036-AD3A73759AED}"/>
    <cellStyle name="Normal 28" xfId="6631" xr:uid="{996A2F54-FAEC-43E5-8FD4-20DB5C0E9E6C}"/>
    <cellStyle name="Normal 29" xfId="6632" xr:uid="{AE2265CB-55A7-407B-8CB2-7CF32A896847}"/>
    <cellStyle name="Normal 3" xfId="17" xr:uid="{00000000-0005-0000-0000-000012000000}"/>
    <cellStyle name="Normal 3 10" xfId="6634" xr:uid="{1B92EE3A-2A2B-4198-BBBA-9514A547777F}"/>
    <cellStyle name="Normal 3 11" xfId="6635" xr:uid="{0E4D578E-EC56-4E7A-B7F0-366493700587}"/>
    <cellStyle name="Normal 3 12" xfId="6636" xr:uid="{FE87EBE1-42A7-47D4-BC33-BD881686BF45}"/>
    <cellStyle name="Normal 3 13" xfId="6637" xr:uid="{D62B6673-DBBE-4AED-9861-A67EB2118992}"/>
    <cellStyle name="Normal 3 14" xfId="6638" xr:uid="{52BB085D-B9BF-49AC-8212-4F688543773C}"/>
    <cellStyle name="Normal 3 15" xfId="6639" xr:uid="{096448C7-4A37-4099-AF8E-817C13CA3654}"/>
    <cellStyle name="Normal 3 16" xfId="6640" xr:uid="{3CCC64E5-1770-4193-B6E9-86A6F45E754D}"/>
    <cellStyle name="Normal 3 17" xfId="6641" xr:uid="{CA97F64C-4AA2-41EC-A01D-30FD21939E8B}"/>
    <cellStyle name="Normal 3 18" xfId="6642" xr:uid="{429A4691-7917-4B23-88CE-945C07B05AAA}"/>
    <cellStyle name="Normal 3 19" xfId="6643" xr:uid="{F24E5EF6-28E1-4DAD-B68E-619F1C78B589}"/>
    <cellStyle name="Normal 3 2" xfId="6644" xr:uid="{690198D1-0B1F-4B46-8CFE-57A84A2EC43A}"/>
    <cellStyle name="Normal 3 2 10" xfId="6645" xr:uid="{A5A4BADE-4345-4C1A-A267-51C1540F006B}"/>
    <cellStyle name="Normal 3 2 11" xfId="6646" xr:uid="{FB94A1AE-287F-4165-AA0A-9AEE885A35A7}"/>
    <cellStyle name="Normal 3 2 11 2" xfId="6647" xr:uid="{395A15F2-9D53-4B02-A812-623F68CDAD39}"/>
    <cellStyle name="Normal 3 2 11 2 2" xfId="6648" xr:uid="{BFC0FCD2-F8B2-4F5B-9594-1BF2B55A31A3}"/>
    <cellStyle name="Normal 3 2 11 2 2 2" xfId="6649" xr:uid="{81543DBE-0E04-4D5E-958A-4208947A823B}"/>
    <cellStyle name="Normal 3 2 11 2 2 2 2" xfId="6650" xr:uid="{97BE507F-1483-4B4D-BD4E-47E33A148E91}"/>
    <cellStyle name="Normal 3 2 11 2 2 3" xfId="6651" xr:uid="{85A32295-EE73-484D-8769-008451C554F6}"/>
    <cellStyle name="Normal 3 2 11 2 3" xfId="6652" xr:uid="{EDE793AD-0F61-4519-AC52-E3CA65366C12}"/>
    <cellStyle name="Normal 3 2 11 2 3 2" xfId="6653" xr:uid="{D2871317-1DF5-4233-BEB6-44394BAB660B}"/>
    <cellStyle name="Normal 3 2 11 2 3 2 2" xfId="6654" xr:uid="{FD6DD9B3-5564-4478-9D76-FACF17E1A26E}"/>
    <cellStyle name="Normal 3 2 11 2 3 3" xfId="6655" xr:uid="{B3391DEC-4AED-48B4-9405-65127451CC67}"/>
    <cellStyle name="Normal 3 2 11 2 4" xfId="6656" xr:uid="{5416A809-1D67-40CB-B0C1-2F89F3445A20}"/>
    <cellStyle name="Normal 3 2 11 2 4 2" xfId="6657" xr:uid="{B6053E2E-1876-414A-82FE-5C3BE6DAB13B}"/>
    <cellStyle name="Normal 3 2 11 2 5" xfId="6658" xr:uid="{6EE58ECD-C5EE-47BD-8A2B-90ECECDB34A0}"/>
    <cellStyle name="Normal 3 2 11 3" xfId="6659" xr:uid="{E5D6E18B-1CD3-414E-8915-9215EBD3DFBC}"/>
    <cellStyle name="Normal 3 2 11 3 2" xfId="6660" xr:uid="{BF006761-5035-462A-9E8E-CDC52161466E}"/>
    <cellStyle name="Normal 3 2 11 3 2 2" xfId="6661" xr:uid="{1B5520BA-9219-4964-AD23-785CFB9F7736}"/>
    <cellStyle name="Normal 3 2 11 3 3" xfId="6662" xr:uid="{529D6909-5593-498D-8757-5BB19601EA3A}"/>
    <cellStyle name="Normal 3 2 11 4" xfId="6663" xr:uid="{2485D325-D67C-48C8-9098-DDABBA483EE0}"/>
    <cellStyle name="Normal 3 2 11 4 2" xfId="6664" xr:uid="{BA017C33-5770-4A0C-AF63-BB4F15514766}"/>
    <cellStyle name="Normal 3 2 11 4 2 2" xfId="6665" xr:uid="{C83891C3-1B8F-462C-B9B7-50AD9238A451}"/>
    <cellStyle name="Normal 3 2 11 4 3" xfId="6666" xr:uid="{C489DF3D-B9A1-4367-AECC-743275014328}"/>
    <cellStyle name="Normal 3 2 11 5" xfId="6667" xr:uid="{D0AB907A-9F85-4718-BCCB-0CD54223003D}"/>
    <cellStyle name="Normal 3 2 11 5 2" xfId="6668" xr:uid="{33FC14DD-3A45-4382-8743-32748C1C5333}"/>
    <cellStyle name="Normal 3 2 11 6" xfId="6669" xr:uid="{9C0F9655-8155-4280-9580-843EE6A1F68F}"/>
    <cellStyle name="Normal 3 2 12" xfId="6670" xr:uid="{379E4CAE-C87C-49FA-934D-B65844A5607D}"/>
    <cellStyle name="Normal 3 2 13" xfId="6671" xr:uid="{E4536C42-E474-4B3A-B611-7EBCE55E8F9C}"/>
    <cellStyle name="Normal 3 2 2" xfId="6672" xr:uid="{8B806A8C-DB76-427E-9664-0CB4964989CF}"/>
    <cellStyle name="Normal 3 2 2 2" xfId="6673" xr:uid="{221E8952-9389-43E5-8695-A44DCD44CAA5}"/>
    <cellStyle name="Normal 3 2 2 2 2" xfId="6674" xr:uid="{51747BDB-D483-40D6-8A7E-D1BEB3141406}"/>
    <cellStyle name="Normal 3 2 2 3" xfId="6675" xr:uid="{2516937B-4554-480A-B900-9AA242CF5ECF}"/>
    <cellStyle name="Normal 3 2 2 4" xfId="6676" xr:uid="{30EDE617-75D4-48EC-8224-E84CEA667F9F}"/>
    <cellStyle name="Normal 3 2 2 4 2" xfId="6677" xr:uid="{45C3DD68-5C7B-4A41-93FF-35C7C7F6AF10}"/>
    <cellStyle name="Normal 3 2 2 4 2 2" xfId="6678" xr:uid="{C4B06AFD-EFEE-44BC-95FE-366EC8AAFB59}"/>
    <cellStyle name="Normal 3 2 2 4 2 2 2" xfId="6679" xr:uid="{88BDF37D-BD64-4DE9-A451-00E1332D591C}"/>
    <cellStyle name="Normal 3 2 2 4 2 2 2 2" xfId="6680" xr:uid="{2C84A280-3B4C-46E0-B226-21EE66B2534C}"/>
    <cellStyle name="Normal 3 2 2 4 2 2 3" xfId="6681" xr:uid="{141BEAD3-917E-4F6E-8EA9-4D6AC1664053}"/>
    <cellStyle name="Normal 3 2 2 4 2 3" xfId="6682" xr:uid="{802E5610-1795-4704-A776-67B0A2555177}"/>
    <cellStyle name="Normal 3 2 2 4 2 3 2" xfId="6683" xr:uid="{BEBC8760-002C-4499-B423-12B9764472F8}"/>
    <cellStyle name="Normal 3 2 2 4 2 3 2 2" xfId="6684" xr:uid="{E2DDA964-8525-46A6-AD6F-2603B793F43C}"/>
    <cellStyle name="Normal 3 2 2 4 2 3 3" xfId="6685" xr:uid="{4C3D803D-9483-493A-904D-C0BDB045B991}"/>
    <cellStyle name="Normal 3 2 2 4 2 4" xfId="6686" xr:uid="{11CE9844-2D44-4370-B086-DD1D77E8A6F2}"/>
    <cellStyle name="Normal 3 2 2 4 2 4 2" xfId="6687" xr:uid="{6EFD40AB-0CAD-4595-ABD2-E1BACB44C121}"/>
    <cellStyle name="Normal 3 2 2 4 2 5" xfId="6688" xr:uid="{F7BF9593-7407-4EAC-A19D-9E0B916D489D}"/>
    <cellStyle name="Normal 3 2 2 4 3" xfId="6689" xr:uid="{FFC00620-C154-45E0-B205-95713371BE18}"/>
    <cellStyle name="Normal 3 2 2 4 3 2" xfId="6690" xr:uid="{0C1D2E4A-2993-458B-BC45-3BE6FB9BD5D5}"/>
    <cellStyle name="Normal 3 2 2 4 3 2 2" xfId="6691" xr:uid="{CB4A65E3-26DB-4FD7-9605-E15970776195}"/>
    <cellStyle name="Normal 3 2 2 4 3 3" xfId="6692" xr:uid="{E3EB6169-497F-4E08-8C55-C06CEAB047ED}"/>
    <cellStyle name="Normal 3 2 2 4 4" xfId="6693" xr:uid="{A1B56A1B-69D2-455B-8FD9-1BC2FE25C812}"/>
    <cellStyle name="Normal 3 2 2 4 4 2" xfId="6694" xr:uid="{73E2142F-F6AD-47E6-AF35-42AA127C3E7A}"/>
    <cellStyle name="Normal 3 2 2 4 4 2 2" xfId="6695" xr:uid="{D15DD733-CAAE-435B-87A4-65303BD0B9BD}"/>
    <cellStyle name="Normal 3 2 2 4 4 3" xfId="6696" xr:uid="{C6220650-95DF-416B-83E0-31E8B2FDEE6B}"/>
    <cellStyle name="Normal 3 2 2 4 5" xfId="6697" xr:uid="{0504C163-01F3-46C0-BBE7-31EADD90B9A3}"/>
    <cellStyle name="Normal 3 2 2 4 5 2" xfId="6698" xr:uid="{484BFC16-673B-4F0C-9437-43A7493AE006}"/>
    <cellStyle name="Normal 3 2 2 4 6" xfId="6699" xr:uid="{2857B85C-12B4-4B09-97EC-A267C26965B9}"/>
    <cellStyle name="Normal 3 2 3" xfId="6700" xr:uid="{66BBC12B-3083-4609-8CBB-16B93CD0FB6C}"/>
    <cellStyle name="Normal 3 2 3 2" xfId="6701" xr:uid="{F7AAB225-8EDB-4776-B8E0-220F3CB41FFB}"/>
    <cellStyle name="Normal 3 2 3 3" xfId="6702" xr:uid="{B87084A1-C199-42F4-856C-6D65C6B74289}"/>
    <cellStyle name="Normal 3 2 3 3 2" xfId="6703" xr:uid="{A8454CC6-1E94-41C8-84F1-07C4E14DCA4C}"/>
    <cellStyle name="Normal 3 2 3 3 2 2" xfId="6704" xr:uid="{544059DC-5D18-4AB8-9736-41FD42C67DFB}"/>
    <cellStyle name="Normal 3 2 3 3 2 2 2" xfId="6705" xr:uid="{1CF9097F-ACCC-4459-A0B4-0A3B144B9F7D}"/>
    <cellStyle name="Normal 3 2 3 3 2 3" xfId="6706" xr:uid="{9B4AEA3D-9467-4ABA-A600-C6C3BB6C46F2}"/>
    <cellStyle name="Normal 3 2 3 3 3" xfId="6707" xr:uid="{694E8623-D66B-4A5B-ADB5-0E2BB59EFAD8}"/>
    <cellStyle name="Normal 3 2 3 3 3 2" xfId="6708" xr:uid="{AD594AE1-631D-441A-BE71-6F9A4E67C755}"/>
    <cellStyle name="Normal 3 2 3 3 3 2 2" xfId="6709" xr:uid="{9069642C-874D-471B-9704-673B054556CB}"/>
    <cellStyle name="Normal 3 2 3 3 3 3" xfId="6710" xr:uid="{90D29E15-F1EA-4E0C-8108-59C7F59457CE}"/>
    <cellStyle name="Normal 3 2 3 3 4" xfId="6711" xr:uid="{0FBE45DA-48D3-467D-9326-B5CD2AA50E7B}"/>
    <cellStyle name="Normal 3 2 3 3 4 2" xfId="6712" xr:uid="{1180D0E3-D6E1-49CB-9F0A-6EE6E2645521}"/>
    <cellStyle name="Normal 3 2 3 3 5" xfId="6713" xr:uid="{6DF7D74D-6C9A-41A0-8004-DDFB795F9844}"/>
    <cellStyle name="Normal 3 2 3 4" xfId="6714" xr:uid="{2BF3B5B3-AAC2-4F1B-B223-B19B921EA87A}"/>
    <cellStyle name="Normal 3 2 3 4 2" xfId="6715" xr:uid="{D5C730C8-3EBD-467D-A10F-D875A596B2A5}"/>
    <cellStyle name="Normal 3 2 3 4 2 2" xfId="6716" xr:uid="{BFC88B84-231B-4C3C-80D7-3B66DB9BF7D7}"/>
    <cellStyle name="Normal 3 2 3 4 2 2 2" xfId="6717" xr:uid="{66951E6E-3126-4751-8884-866542B5BC4B}"/>
    <cellStyle name="Normal 3 2 3 4 2 3" xfId="6718" xr:uid="{61975AFB-F91D-4E19-979A-833C573CBC22}"/>
    <cellStyle name="Normal 3 2 3 4 3" xfId="6719" xr:uid="{B51E675E-58EC-47E0-A61F-BD370B54A48D}"/>
    <cellStyle name="Normal 3 2 3 4 3 2" xfId="6720" xr:uid="{AA544A3F-4812-4596-B6C2-5C4F8D668E93}"/>
    <cellStyle name="Normal 3 2 3 4 4" xfId="6721" xr:uid="{09B99560-4E09-4C1B-8AE3-69A79F7F441A}"/>
    <cellStyle name="Normal 3 2 3 5" xfId="6722" xr:uid="{7CCBDDEC-DF47-419B-8D70-E1EF9B8CAA36}"/>
    <cellStyle name="Normal 3 2 3 5 2" xfId="6723" xr:uid="{69465BE5-7F02-4A35-A607-C6BDF3FB60EC}"/>
    <cellStyle name="Normal 3 2 4" xfId="6724" xr:uid="{CA7C9D34-E760-4FAD-9FA2-930D83706135}"/>
    <cellStyle name="Normal 3 2 4 2" xfId="6725" xr:uid="{8D2BE86A-2A9A-4E37-9E52-261AE9521545}"/>
    <cellStyle name="Normal 3 2 4 3" xfId="6726" xr:uid="{82BF682E-2947-4CF0-AB74-1296E3291D93}"/>
    <cellStyle name="Normal 3 2 5" xfId="6727" xr:uid="{3E9D52F9-FE5A-49C9-8EDC-C159888938ED}"/>
    <cellStyle name="Normal 3 2 6" xfId="6728" xr:uid="{D640F784-928C-40A4-811D-F87D1C7474A1}"/>
    <cellStyle name="Normal 3 2 7" xfId="6729" xr:uid="{33D56D64-6054-488F-AA1C-AD2A066194F3}"/>
    <cellStyle name="Normal 3 2 8" xfId="6730" xr:uid="{6C4CE738-44C9-41A5-A45C-DCDF13F58164}"/>
    <cellStyle name="Normal 3 2 9" xfId="6731" xr:uid="{E6D95F03-2E23-41E0-8AB2-9BFB396FD65F}"/>
    <cellStyle name="Normal 3 2 9 2" xfId="6732" xr:uid="{94EF09E4-5B49-4B2C-909A-93C541EB47B1}"/>
    <cellStyle name="Normal 3 2 9 2 2" xfId="6733" xr:uid="{1B74FC4B-5243-40BF-9434-8AD607A0B7E2}"/>
    <cellStyle name="Normal 3 2 9 2 2 2" xfId="6734" xr:uid="{D17407AC-CF39-4CFB-AD28-854B87E42A86}"/>
    <cellStyle name="Normal 3 2 9 2 2 2 2" xfId="6735" xr:uid="{ADDD922A-3C07-4764-A75B-460FBD431480}"/>
    <cellStyle name="Normal 3 2 9 2 2 2 2 2" xfId="6736" xr:uid="{30B57D76-72D8-4C0B-A881-F5F935270C45}"/>
    <cellStyle name="Normal 3 2 9 2 2 2 3" xfId="6737" xr:uid="{2BF2E37E-4746-4168-8DC1-FE27CF0C0B33}"/>
    <cellStyle name="Normal 3 2 9 2 2 3" xfId="6738" xr:uid="{6B958B0C-6A72-4337-8E1F-916A88F1A1D4}"/>
    <cellStyle name="Normal 3 2 9 2 2 3 2" xfId="6739" xr:uid="{7462794B-E8CC-44C0-9AB4-DDD82A4386EB}"/>
    <cellStyle name="Normal 3 2 9 2 2 3 2 2" xfId="6740" xr:uid="{C7059E8A-0D59-45B6-9C80-9D396B233929}"/>
    <cellStyle name="Normal 3 2 9 2 2 3 3" xfId="6741" xr:uid="{03259EEA-6B81-46BB-8C27-DD21F774510F}"/>
    <cellStyle name="Normal 3 2 9 2 2 4" xfId="6742" xr:uid="{F4282B2D-0A1F-481E-858B-25AB7B0F1EF8}"/>
    <cellStyle name="Normal 3 2 9 2 2 4 2" xfId="6743" xr:uid="{B161D201-9671-453C-9F80-C1A327D47CC0}"/>
    <cellStyle name="Normal 3 2 9 2 2 5" xfId="6744" xr:uid="{76346AF1-AE22-44C9-83F9-FC0988EE9BFE}"/>
    <cellStyle name="Normal 3 2 9 2 3" xfId="6745" xr:uid="{B04308D0-288C-434A-A5BE-A077C65760DE}"/>
    <cellStyle name="Normal 3 2 9 2 3 2" xfId="6746" xr:uid="{34D8808E-A410-488C-852C-DBC22CB41B41}"/>
    <cellStyle name="Normal 3 2 9 2 3 2 2" xfId="6747" xr:uid="{84A3D82E-88BC-4E19-899C-541FC1BF6584}"/>
    <cellStyle name="Normal 3 2 9 2 3 3" xfId="6748" xr:uid="{591C80A2-5A25-45ED-915A-6549A6D4A495}"/>
    <cellStyle name="Normal 3 2 9 2 4" xfId="6749" xr:uid="{5D90320D-33AA-4E9A-9D1C-4F5D4B015864}"/>
    <cellStyle name="Normal 3 2 9 2 4 2" xfId="6750" xr:uid="{056D15B7-C0D4-4FD7-B4AA-BDCA88A57496}"/>
    <cellStyle name="Normal 3 2 9 2 4 2 2" xfId="6751" xr:uid="{83FEEAB3-F95B-4CC3-B9D5-6862E0CBEBA2}"/>
    <cellStyle name="Normal 3 2 9 2 4 3" xfId="6752" xr:uid="{65A4E930-A7B7-4C9C-9EA5-4F2F762479F1}"/>
    <cellStyle name="Normal 3 2 9 2 5" xfId="6753" xr:uid="{EA9635C3-6B76-45CC-9F56-FB71E3C4B237}"/>
    <cellStyle name="Normal 3 2 9 2 5 2" xfId="6754" xr:uid="{A2F755B0-327D-4252-877B-7EAB13172257}"/>
    <cellStyle name="Normal 3 2 9 2 6" xfId="6755" xr:uid="{29765EE1-1CB9-453D-B4BE-E5494F5CEA6E}"/>
    <cellStyle name="Normal 3 2 9 3" xfId="6756" xr:uid="{0C4FB0EF-FBEA-450A-9AB6-108F21DE99D4}"/>
    <cellStyle name="Normal 3 2 9 4" xfId="6757" xr:uid="{B87E99A5-9B4C-45F4-8086-9482283EF8CE}"/>
    <cellStyle name="Normal 3 2 9 4 2" xfId="6758" xr:uid="{2E26DCF0-5CB7-4202-A055-20C6B7EE603A}"/>
    <cellStyle name="Normal 3 2 9 4 2 2" xfId="6759" xr:uid="{1C5EE1B1-8655-4A23-ACEA-9BF32068837A}"/>
    <cellStyle name="Normal 3 2 9 4 3" xfId="6760" xr:uid="{A7E26DF7-ABB8-4CC0-983E-B461869FF7AC}"/>
    <cellStyle name="Normal 3 2_ELC" xfId="6761" xr:uid="{649A4742-2877-42CB-8B62-1B3D8DF210F8}"/>
    <cellStyle name="Normal 3 20" xfId="6762" xr:uid="{253DC691-FDFE-4A15-9A7C-C8D5731BFA2E}"/>
    <cellStyle name="Normal 3 21" xfId="6763" xr:uid="{F0D6B5C1-C125-4A13-AEE8-920C200FD33E}"/>
    <cellStyle name="Normal 3 22" xfId="6764" xr:uid="{25B47E3F-0985-447F-AEAB-AB776045A5C0}"/>
    <cellStyle name="Normal 3 23" xfId="6765" xr:uid="{C174792C-F186-44CF-B0D6-C6521CF5607F}"/>
    <cellStyle name="Normal 3 24" xfId="6766" xr:uid="{508F331C-32E3-435F-95B7-981BD38B6B24}"/>
    <cellStyle name="Normal 3 25" xfId="6767" xr:uid="{43047D39-9AAA-4D70-A438-B55E4E73F14F}"/>
    <cellStyle name="Normal 3 26" xfId="6768" xr:uid="{8D5F53C2-28EE-49CE-B227-E234F40BFC61}"/>
    <cellStyle name="Normal 3 27" xfId="6769" xr:uid="{F725997C-60E2-4F84-97D2-F75E90E8F666}"/>
    <cellStyle name="Normal 3 28" xfId="6770" xr:uid="{5582C383-E5D7-4E87-B685-D3BAA91EE231}"/>
    <cellStyle name="Normal 3 29" xfId="6771" xr:uid="{AD1676C1-B6F0-4839-9420-91F6D29D52EF}"/>
    <cellStyle name="Normal 3 29 2" xfId="6772" xr:uid="{00E22827-9BA0-4342-B465-F2AA6D909C88}"/>
    <cellStyle name="Normal 3 3" xfId="6773" xr:uid="{824FB97D-1AED-48A9-BB3F-56CCA9D5B43F}"/>
    <cellStyle name="Normal 3 3 2" xfId="6774" xr:uid="{7EB97405-7882-48C4-B981-BB106DE26C8A}"/>
    <cellStyle name="Normal 3 3 2 2" xfId="6775" xr:uid="{8372D6B4-3F4A-4D42-A0BB-DCB951100976}"/>
    <cellStyle name="Normal 3 3 2 3" xfId="6776" xr:uid="{D3138DC2-5FD3-4C50-81F0-9CC413EC0C05}"/>
    <cellStyle name="Normal 3 3 3" xfId="6777" xr:uid="{6194D8C7-7604-4C49-9942-6A044145A3AC}"/>
    <cellStyle name="Normal 3 3 4" xfId="6778" xr:uid="{3B2EA8A0-7033-49B7-9A7B-F48CE30AD309}"/>
    <cellStyle name="Normal 3 3 5" xfId="6779" xr:uid="{220BC93C-1E7A-487E-BE04-0E3E4ACD1A89}"/>
    <cellStyle name="Normal 3 3 6" xfId="6780" xr:uid="{C05D667C-4781-4BE2-97A9-B8DB7C24E7F5}"/>
    <cellStyle name="Normal 3 3 7" xfId="6781" xr:uid="{0109E549-6EED-4100-88B8-7D384202868C}"/>
    <cellStyle name="Normal 3 3 8" xfId="6782" xr:uid="{3A7D45C1-7DAB-48D4-A55B-13A17883DABD}"/>
    <cellStyle name="Normal 3 3 9" xfId="6783" xr:uid="{70965D67-9F0B-46EE-ADAD-8480F505EC49}"/>
    <cellStyle name="Normal 3 30" xfId="6784" xr:uid="{F3562232-8307-4602-A809-D68FBCDBBCE2}"/>
    <cellStyle name="Normal 3 30 2" xfId="6785" xr:uid="{E35250C3-CF3F-4E2A-9B7F-49F4C65E046F}"/>
    <cellStyle name="Normal 3 30 2 2" xfId="6786" xr:uid="{75474861-B449-4ED2-BD57-932C5B92E173}"/>
    <cellStyle name="Normal 3 30 2 2 2" xfId="6787" xr:uid="{EF3C885F-892D-4337-B816-EA155BCCF69F}"/>
    <cellStyle name="Normal 3 30 2 3" xfId="6788" xr:uid="{ABF37B44-CFE2-4299-90B7-3638AA2A535C}"/>
    <cellStyle name="Normal 3 30 2 4" xfId="6789" xr:uid="{7BB9F2F1-5A69-4348-AB3D-87148FDCCF5E}"/>
    <cellStyle name="Normal 3 30 3" xfId="6790" xr:uid="{E6E5FE53-D756-4B44-B1C2-E53EF3CCCD33}"/>
    <cellStyle name="Normal 3 30 3 2" xfId="6791" xr:uid="{FD773C43-15FC-48E4-BA1B-899BE21D08F2}"/>
    <cellStyle name="Normal 3 30 3 2 2" xfId="6792" xr:uid="{845D1AB5-8B43-41A4-8E9B-BB349C99D8F0}"/>
    <cellStyle name="Normal 3 30 3 3" xfId="6793" xr:uid="{081D5E96-6689-4424-9423-BF5A9CD5918C}"/>
    <cellStyle name="Normal 3 30 4" xfId="6794" xr:uid="{0073409D-6DC7-4C55-A609-661F00F30464}"/>
    <cellStyle name="Normal 3 30 4 2" xfId="6795" xr:uid="{E1E33AC5-294A-45E1-A6F4-F2B902564CD3}"/>
    <cellStyle name="Normal 3 30 5" xfId="6796" xr:uid="{B2513017-F673-476F-89B0-C96EC3AAC828}"/>
    <cellStyle name="Normal 3 31" xfId="6797" xr:uid="{5C72E807-EE00-402E-8FA6-A6BEABCAC13B}"/>
    <cellStyle name="Normal 3 31 2" xfId="6798" xr:uid="{9799E2D2-E439-44BB-9135-CB934D4644CA}"/>
    <cellStyle name="Normal 3 31 2 2" xfId="6799" xr:uid="{C29A89A0-CA08-40C7-B7AA-4637E6211DDA}"/>
    <cellStyle name="Normal 3 31 3" xfId="6800" xr:uid="{83FB54D4-D0F4-45AA-B80F-82F9B04E2534}"/>
    <cellStyle name="Normal 3 31 4" xfId="6801" xr:uid="{150AA6B8-A2EA-4890-80E0-F2279AF2254B}"/>
    <cellStyle name="Normal 3 32" xfId="6802" xr:uid="{57F030D6-F801-4A51-B66B-D6866C73FF57}"/>
    <cellStyle name="Normal 3 32 2" xfId="6803" xr:uid="{145D35A3-A250-4379-A64A-36E8B251EF2B}"/>
    <cellStyle name="Normal 3 32 3" xfId="6804" xr:uid="{2501BAEA-C8AF-4FB6-8C71-3CAF11FDABE2}"/>
    <cellStyle name="Normal 3 33" xfId="6633" xr:uid="{29CFA2E0-F012-412D-9D5E-2F68364CEF47}"/>
    <cellStyle name="Normal 3 4" xfId="6805" xr:uid="{8927AA54-3140-4496-B526-10E355D19935}"/>
    <cellStyle name="Normal 3 4 2" xfId="6806" xr:uid="{E5B2EC68-3DF2-449B-9AFB-DE56C5ED29AD}"/>
    <cellStyle name="Normal 3 4 3" xfId="6807" xr:uid="{02F8F6BF-17AA-41CA-AA9F-EB4EA1C34044}"/>
    <cellStyle name="Normal 3 4 4" xfId="6808" xr:uid="{C9215C92-2AC2-4436-BF30-53D9F9DBDC91}"/>
    <cellStyle name="Normal 3 4 4 2" xfId="6809" xr:uid="{05221891-CE73-4953-BEF1-8768E9A042E5}"/>
    <cellStyle name="Normal 3 4 4 3" xfId="6810" xr:uid="{BB24C19A-DB08-4C35-9DEC-2FEBC28A2F30}"/>
    <cellStyle name="Normal 3 4 5" xfId="6811" xr:uid="{48C37D9D-9FFC-47AE-91AC-D151FF94328C}"/>
    <cellStyle name="Normal 3 4 6" xfId="6812" xr:uid="{287B7437-6E85-48D0-9257-B14F45D9B638}"/>
    <cellStyle name="Normal 3 4 7" xfId="6813" xr:uid="{877D35E8-881A-4A2F-AC19-CF9FDF587D1E}"/>
    <cellStyle name="Normal 3 4 8" xfId="6814" xr:uid="{69C1D432-729E-456B-A6A9-988C2CD40F4B}"/>
    <cellStyle name="Normal 3 5" xfId="6815" xr:uid="{56011EA8-FA23-41AF-9036-DC70DE9DB921}"/>
    <cellStyle name="Normal 3 5 2" xfId="6816" xr:uid="{8653C710-B4A9-4BD0-BAE6-6D2CDB6C30BB}"/>
    <cellStyle name="Normal 3 5 3" xfId="6817" xr:uid="{6112A1BF-2AE2-4E80-8B0F-9DBA32576BC9}"/>
    <cellStyle name="Normal 3 5 3 2" xfId="6818" xr:uid="{FDF2E2A8-EA38-4C6D-864F-3C1A92CD87B8}"/>
    <cellStyle name="Normal 3 5 3 3" xfId="6819" xr:uid="{9886235B-A8CE-4FE6-9375-9727C7BA616F}"/>
    <cellStyle name="Normal 3 5 4" xfId="6820" xr:uid="{F598BEFC-4177-42CF-B448-0771C6743813}"/>
    <cellStyle name="Normal 3 5 4 2" xfId="6821" xr:uid="{097140D0-D7A5-467E-AAC2-5403B488A98C}"/>
    <cellStyle name="Normal 3 5 4 3" xfId="6822" xr:uid="{1483EAE8-028A-4B1B-BE29-057B6AE1376F}"/>
    <cellStyle name="Normal 3 5 4 3 2" xfId="6823" xr:uid="{13CE053E-AC99-45FA-84FC-CC33C1C18C52}"/>
    <cellStyle name="Normal 3 5 4 3 2 2" xfId="6824" xr:uid="{C2C84F90-96EC-4D0C-9527-FB3E47FD6283}"/>
    <cellStyle name="Normal 3 5 4 3 2 2 2" xfId="6825" xr:uid="{63EE6214-8505-4EB9-B5D8-AB02F99B90E0}"/>
    <cellStyle name="Normal 3 5 4 3 2 3" xfId="6826" xr:uid="{F0E3DB0E-5363-4333-A62B-4E9AE2215BC4}"/>
    <cellStyle name="Normal 3 5 4 3 3" xfId="6827" xr:uid="{29B48D98-F38C-45D2-86FA-B52643075C8D}"/>
    <cellStyle name="Normal 3 5 4 3 3 2" xfId="6828" xr:uid="{A80C21EB-F295-4875-B6E4-21A1197E4A6E}"/>
    <cellStyle name="Normal 3 5 4 3 3 2 2" xfId="6829" xr:uid="{257ED079-E411-4D64-B7D3-D823663D0BAB}"/>
    <cellStyle name="Normal 3 5 4 3 3 3" xfId="6830" xr:uid="{87F8A5F2-E87C-4BC6-B5D6-DEDC05F41E4B}"/>
    <cellStyle name="Normal 3 5 4 3 4" xfId="6831" xr:uid="{29A98BD1-726E-4A54-A9EF-F10D2909305F}"/>
    <cellStyle name="Normal 3 5 4 3 4 2" xfId="6832" xr:uid="{A9952682-BACB-4011-BDEC-AC660E45EC3D}"/>
    <cellStyle name="Normal 3 5 4 3 5" xfId="6833" xr:uid="{21D4C8FC-91B2-4AE2-85AC-23365ACC22F5}"/>
    <cellStyle name="Normal 3 5 4 4" xfId="6834" xr:uid="{88B5D18B-4D20-4BEF-8215-99DAEBC0D5F8}"/>
    <cellStyle name="Normal 3 5 4 4 2" xfId="6835" xr:uid="{E80F6499-F1AE-4E8D-A478-9DDD57EB6D66}"/>
    <cellStyle name="Normal 3 5 4 4 2 2" xfId="6836" xr:uid="{6F298269-26A8-4AA0-B622-9A4E26DCD4F0}"/>
    <cellStyle name="Normal 3 5 4 4 2 2 2" xfId="6837" xr:uid="{2BB05E3A-06FE-4FBF-8BDD-904EB6E7BA42}"/>
    <cellStyle name="Normal 3 5 4 4 2 3" xfId="6838" xr:uid="{A8E9A3A8-8906-41EF-A073-BC9B17FBC403}"/>
    <cellStyle name="Normal 3 5 4 4 3" xfId="6839" xr:uid="{9A6F0FD1-C125-4621-854A-494C90877EBA}"/>
    <cellStyle name="Normal 3 5 4 4 3 2" xfId="6840" xr:uid="{01236C95-75AB-44AC-9087-5FC3AD17EADF}"/>
    <cellStyle name="Normal 3 5 4 4 4" xfId="6841" xr:uid="{5F95FB23-ECC0-4D0D-B868-C8CDB0F13347}"/>
    <cellStyle name="Normal 3 5 4 5" xfId="6842" xr:uid="{715154C3-9789-4443-B130-FA3F681E0C22}"/>
    <cellStyle name="Normal 3 5 4 5 2" xfId="6843" xr:uid="{4FDFB49D-93F7-4EB1-BEB7-405445B4A2C7}"/>
    <cellStyle name="Normal 3 5 5" xfId="6844" xr:uid="{4955D484-77FA-4249-996A-265609513021}"/>
    <cellStyle name="Normal 3 5 6" xfId="6845" xr:uid="{8D3BB789-F455-44EF-BD75-41B046EAF34D}"/>
    <cellStyle name="Normal 3 5 7" xfId="6846" xr:uid="{EE60C5CD-C55D-450B-9375-B37642208900}"/>
    <cellStyle name="Normal 3 5 8" xfId="6847" xr:uid="{0B39CFD4-908C-4762-9C67-8D058223CF16}"/>
    <cellStyle name="Normal 3 5 9" xfId="6848" xr:uid="{4633AB4D-907E-47D8-84D2-13B65472329A}"/>
    <cellStyle name="Normal 3 6" xfId="6849" xr:uid="{968F8B14-620D-464C-AE4F-8ECDB63DD8F4}"/>
    <cellStyle name="Normal 3 6 2" xfId="6850" xr:uid="{5E467370-9534-478D-B95C-F287A26F3F7C}"/>
    <cellStyle name="Normal 3 6 3" xfId="6851" xr:uid="{4C58A01D-B0A4-4410-ACCF-2EFA74DA4B67}"/>
    <cellStyle name="Normal 3 7" xfId="6852" xr:uid="{6957B590-2164-4752-828B-6104A0263681}"/>
    <cellStyle name="Normal 3 7 2" xfId="6853" xr:uid="{4DDC287E-1A02-44D7-82F5-42B418DF941F}"/>
    <cellStyle name="Normal 3 7 3" xfId="6854" xr:uid="{0E30E72E-BA99-436D-B0F6-495101748840}"/>
    <cellStyle name="Normal 3 8" xfId="6855" xr:uid="{06AE6CE7-8CD7-444B-8A6F-8CE988921939}"/>
    <cellStyle name="Normal 3 9" xfId="6856" xr:uid="{92EFB1D0-B390-48BA-9943-A1D16FDE7392}"/>
    <cellStyle name="Normal 3_PrimaryEnergyPrices_TIMES" xfId="6857" xr:uid="{5D5B57F3-D861-46DA-A34F-D10EFF4071F5}"/>
    <cellStyle name="Normal 30" xfId="6858" xr:uid="{FEF2843E-D104-43CF-A1DA-C903BEFB178E}"/>
    <cellStyle name="Normal 31" xfId="6859" xr:uid="{B4B145F2-F1CE-4451-88B1-091CF5513B2A}"/>
    <cellStyle name="Normal 31 2" xfId="6860" xr:uid="{B21925A8-B162-4C02-BE17-D6E65123505B}"/>
    <cellStyle name="Normal 31 3" xfId="6861" xr:uid="{BE86FC5B-5802-4FE4-8B92-91429532D6F6}"/>
    <cellStyle name="Normal 32" xfId="6862" xr:uid="{53D88AFD-89D9-4C81-AB05-83F4EB5417AB}"/>
    <cellStyle name="Normal 32 2" xfId="6863" xr:uid="{45FBCAFD-441A-467E-B3B0-69EEAB75ECAD}"/>
    <cellStyle name="Normal 33" xfId="6864" xr:uid="{52130275-33C1-44D7-B1C3-0F9CB7A46C9A}"/>
    <cellStyle name="Normal 33 10" xfId="6865" xr:uid="{C2B4464C-DE8E-4206-9797-70B0E1833ABA}"/>
    <cellStyle name="Normal 33 11" xfId="6866" xr:uid="{B8786DF4-DB32-468E-AC33-EFF9093C1E39}"/>
    <cellStyle name="Normal 33 12" xfId="6867" xr:uid="{F80A6197-927B-42EB-AA11-241D720EAEC9}"/>
    <cellStyle name="Normal 33 13" xfId="6868" xr:uid="{3218D313-65FB-4048-980F-E1D781CFFDF7}"/>
    <cellStyle name="Normal 33 2" xfId="6869" xr:uid="{3F9A847E-48B9-40F9-9A6B-42B27B4F60B3}"/>
    <cellStyle name="Normal 33 3" xfId="6870" xr:uid="{F5B1F9DD-C4FA-4557-8F40-B0A14EDF09DE}"/>
    <cellStyle name="Normal 33 4" xfId="6871" xr:uid="{89D703CC-1CBE-4F3E-9F0A-595576888D88}"/>
    <cellStyle name="Normal 33 5" xfId="6872" xr:uid="{C88B70E7-BC7A-4276-8AB7-9AE66529646B}"/>
    <cellStyle name="Normal 33 6" xfId="6873" xr:uid="{DD689856-528C-4B7F-8AD8-3D654C96157D}"/>
    <cellStyle name="Normal 33 7" xfId="6874" xr:uid="{71BFE9EB-0DE0-4514-945C-506076BDD589}"/>
    <cellStyle name="Normal 33 8" xfId="6875" xr:uid="{F52AC235-003D-4444-B12A-F181C2526CE4}"/>
    <cellStyle name="Normal 33 9" xfId="6876" xr:uid="{38ED9014-EE01-452F-A3B9-9DCF6A637CFD}"/>
    <cellStyle name="Normal 33_Scen_XBase" xfId="6877" xr:uid="{CF6E04F4-AAB6-4C55-BDE9-C2582101F419}"/>
    <cellStyle name="Normal 34" xfId="6878" xr:uid="{3C753036-14E5-47A6-89E3-F27233DD9370}"/>
    <cellStyle name="Normal 35" xfId="6879" xr:uid="{0FBE24C3-F52F-467C-9D0F-8BE8F273460C}"/>
    <cellStyle name="Normal 35 2" xfId="6880" xr:uid="{3AEE66DB-3071-46C0-AF40-F3120C3C7555}"/>
    <cellStyle name="Normal 35 2 2" xfId="6881" xr:uid="{708D990E-8C4C-4D13-8818-93DD94B38A6A}"/>
    <cellStyle name="Normal 35 2 2 2" xfId="6882" xr:uid="{64F703DE-13FC-4ED1-9982-89E88865B184}"/>
    <cellStyle name="Normal 35 2 2 2 2" xfId="6883" xr:uid="{71ACEC7B-E29C-4A21-8A30-05EBC870DE34}"/>
    <cellStyle name="Normal 35 2 2 3" xfId="6884" xr:uid="{561BCFB1-3799-4FE0-B81F-F0F1FD44C86B}"/>
    <cellStyle name="Normal 35 2 3" xfId="6885" xr:uid="{5C59D0A9-45FB-40D0-B35E-B1EF57F141E3}"/>
    <cellStyle name="Normal 35 2 3 2" xfId="6886" xr:uid="{BC1F0296-CFAE-43B9-A17E-F5F13970757E}"/>
    <cellStyle name="Normal 35 2 3 2 2" xfId="6887" xr:uid="{B13A3CAD-E6F3-4965-8A0F-46B55F87F80C}"/>
    <cellStyle name="Normal 35 2 3 3" xfId="6888" xr:uid="{69039756-3AE7-4B1E-B900-800030749BDD}"/>
    <cellStyle name="Normal 35 2 4" xfId="6889" xr:uid="{1FA8717B-2CD8-4456-951B-E25FAB4AD0DF}"/>
    <cellStyle name="Normal 35 2 4 2" xfId="6890" xr:uid="{466F9C2B-CCC3-406E-8D70-498383849888}"/>
    <cellStyle name="Normal 35 2 5" xfId="6891" xr:uid="{5DB0BCB5-5245-4931-82B8-384BCE524635}"/>
    <cellStyle name="Normal 35 3" xfId="6892" xr:uid="{B73D4E40-A8E6-498F-B824-9E50D9C5C9A9}"/>
    <cellStyle name="Normal 35 3 2" xfId="6893" xr:uid="{3F1BD8A1-DC4D-43F7-A9A6-8C2BD41BA1D9}"/>
    <cellStyle name="Normal 35 3 2 2" xfId="6894" xr:uid="{F2FCFC5E-1D29-4261-A7C6-4164EF277D2E}"/>
    <cellStyle name="Normal 35 3 3" xfId="6895" xr:uid="{F731F61C-1C7F-4922-AECF-BE90F836C6CD}"/>
    <cellStyle name="Normal 35 3 4" xfId="6896" xr:uid="{214ADE49-A317-4793-87DA-E15ED144E8FE}"/>
    <cellStyle name="Normal 35 4" xfId="6897" xr:uid="{CA5692E1-7AD0-4C5A-A291-58D35CA241AB}"/>
    <cellStyle name="Normal 35 4 2" xfId="6898" xr:uid="{5DDB0E02-2AD9-4BA8-A5B8-5A2EB022D763}"/>
    <cellStyle name="Normal 35 4 2 2" xfId="6899" xr:uid="{F8D9DC26-778E-4E91-90BE-DE3EDC375879}"/>
    <cellStyle name="Normal 35 4 3" xfId="6900" xr:uid="{94BBE67D-1FFD-45BF-BA92-BBDB46B6F858}"/>
    <cellStyle name="Normal 35 5" xfId="6901" xr:uid="{00C2DBAC-4CB8-445A-94F0-DDE3897FA16A}"/>
    <cellStyle name="Normal 35 5 2" xfId="6902" xr:uid="{AD39CCCA-F29C-4642-98DE-14D20D5B7480}"/>
    <cellStyle name="Normal 35 6" xfId="6903" xr:uid="{A365B9D7-C9DA-444B-8CE2-DCC6BEE8F927}"/>
    <cellStyle name="Normal 36" xfId="6904" xr:uid="{B4C1D729-879F-42AD-9FD1-6F70AD1F4528}"/>
    <cellStyle name="Normal 36 2" xfId="6905" xr:uid="{FF943B86-3EA9-4298-8C4C-85D63CB00FBE}"/>
    <cellStyle name="Normal 36 2 2" xfId="6906" xr:uid="{B63CE111-5C20-4123-956C-0B6EB9DA49A6}"/>
    <cellStyle name="Normal 36 2 2 2" xfId="6907" xr:uid="{5B0B4779-6136-496F-9535-074AAA29D164}"/>
    <cellStyle name="Normal 36 2 2 2 2" xfId="6908" xr:uid="{AEA079DC-08DA-4C59-9FEE-CBEC133D4CFA}"/>
    <cellStyle name="Normal 36 2 2 3" xfId="6909" xr:uid="{40BDD470-6344-43C1-BC3C-647B41E467C3}"/>
    <cellStyle name="Normal 36 2 3" xfId="6910" xr:uid="{C7C44A16-3B7E-4C8D-86B4-38C1EA9A9D30}"/>
    <cellStyle name="Normal 36 2 3 2" xfId="6911" xr:uid="{68457C7B-9681-44C8-9469-AACF30DAF1CE}"/>
    <cellStyle name="Normal 36 2 3 2 2" xfId="6912" xr:uid="{7241593E-7C07-4BD5-A97E-894A7E992A8E}"/>
    <cellStyle name="Normal 36 2 3 3" xfId="6913" xr:uid="{8EB3FD24-0EDC-4522-9449-D965A72913C3}"/>
    <cellStyle name="Normal 36 2 4" xfId="6914" xr:uid="{D6109B60-6966-4C9B-A13E-0511632E797F}"/>
    <cellStyle name="Normal 36 2 4 2" xfId="6915" xr:uid="{0FB83D30-E3B0-41BC-8E44-BE37AD690592}"/>
    <cellStyle name="Normal 36 2 5" xfId="6916" xr:uid="{74274723-EE0B-4C41-92DC-526350E63944}"/>
    <cellStyle name="Normal 36 3" xfId="6917" xr:uid="{0C173C37-C458-44B6-BB1B-70C543A8604B}"/>
    <cellStyle name="Normal 36 3 2" xfId="6918" xr:uid="{74E4C295-4277-4BDB-8B22-989E60D88152}"/>
    <cellStyle name="Normal 36 3 2 2" xfId="6919" xr:uid="{3D338AAA-AAFB-4209-B1C3-DD104A34F128}"/>
    <cellStyle name="Normal 36 3 3" xfId="6920" xr:uid="{2537CFD7-3AFE-4735-B929-C9CB935E6045}"/>
    <cellStyle name="Normal 36 4" xfId="6921" xr:uid="{F78F4B7B-F7D3-4E1F-B9A9-6D4B6EE270B8}"/>
    <cellStyle name="Normal 36 4 2" xfId="6922" xr:uid="{32FB1C3F-75D3-4019-90AE-1470F9F95F9D}"/>
    <cellStyle name="Normal 36 4 2 2" xfId="6923" xr:uid="{5DDAF06D-FDC9-455C-A9C9-3E5097E7DF58}"/>
    <cellStyle name="Normal 36 4 3" xfId="6924" xr:uid="{FEF50C11-30B0-4361-8718-9D6474208718}"/>
    <cellStyle name="Normal 36 5" xfId="6925" xr:uid="{C62E8E79-C5EE-434A-814C-FFFB12279E89}"/>
    <cellStyle name="Normal 36 5 2" xfId="6926" xr:uid="{893956C5-B975-48A0-896C-81AC6006604F}"/>
    <cellStyle name="Normal 36 6" xfId="6927" xr:uid="{4B0F916B-D05E-41FB-849B-3E46D9FBA40F}"/>
    <cellStyle name="Normal 37" xfId="6928" xr:uid="{87C173E1-1F86-423E-A7EE-0AC41488E44B}"/>
    <cellStyle name="Normal 37 2" xfId="6929" xr:uid="{C26BDF98-1902-4438-94E4-B815A40AA3FB}"/>
    <cellStyle name="Normal 37 2 2" xfId="6930" xr:uid="{4BE7BBEA-6424-456E-8C08-45FC935ACB5A}"/>
    <cellStyle name="Normal 37 2 2 2" xfId="6931" xr:uid="{1361E220-EB45-4309-8768-FD331F81C56C}"/>
    <cellStyle name="Normal 37 2 2 2 2" xfId="6932" xr:uid="{231347B8-A2FD-45FE-9E93-683609CE05AE}"/>
    <cellStyle name="Normal 37 2 2 3" xfId="6933" xr:uid="{5A5CE302-F6D8-4CE3-84C8-761203AD8EBC}"/>
    <cellStyle name="Normal 37 2 3" xfId="6934" xr:uid="{2B164F3E-7C47-4F5D-8210-13BAFD67A133}"/>
    <cellStyle name="Normal 37 2 3 2" xfId="6935" xr:uid="{4B85B21B-4924-4755-AE90-75656BC9B683}"/>
    <cellStyle name="Normal 37 2 3 2 2" xfId="6936" xr:uid="{CD5FE146-D486-430D-95A1-385576105F34}"/>
    <cellStyle name="Normal 37 2 3 3" xfId="6937" xr:uid="{9711DB16-0CF6-4886-805E-9FE672579CD3}"/>
    <cellStyle name="Normal 37 2 4" xfId="6938" xr:uid="{848DA4A7-2712-4670-85BE-E616A0FA7299}"/>
    <cellStyle name="Normal 37 2 4 2" xfId="6939" xr:uid="{D24AE0F7-6300-46C5-A0F6-1A76B46FA3C9}"/>
    <cellStyle name="Normal 37 2 5" xfId="6940" xr:uid="{DD304342-3837-4E92-BF5B-2732A4C13F78}"/>
    <cellStyle name="Normal 37 3" xfId="6941" xr:uid="{771DC318-D71E-47F8-93E1-42223C3176FD}"/>
    <cellStyle name="Normal 37 3 2" xfId="6942" xr:uid="{18D0B298-28FD-41B8-87A4-1226B42371CF}"/>
    <cellStyle name="Normal 37 3 2 2" xfId="6943" xr:uid="{CB8B967E-D367-4C4F-8922-BDAB137BA957}"/>
    <cellStyle name="Normal 37 3 3" xfId="6944" xr:uid="{F9618090-2C53-49A8-AB7F-C92BF6AFF2EA}"/>
    <cellStyle name="Normal 37 4" xfId="6945" xr:uid="{8C845F76-6F55-4392-B791-02056E964E5B}"/>
    <cellStyle name="Normal 37 4 2" xfId="6946" xr:uid="{AEBA737C-09BA-4A7E-96B7-AC8742B777A7}"/>
    <cellStyle name="Normal 37 4 2 2" xfId="6947" xr:uid="{EB4242FE-F3D6-41DA-9157-7D8B23AB2283}"/>
    <cellStyle name="Normal 37 4 3" xfId="6948" xr:uid="{3ADA3818-C5EA-4304-AAD0-01889FFE3CBE}"/>
    <cellStyle name="Normal 37 5" xfId="6949" xr:uid="{0C2C6308-B9F5-481A-8559-2B486739D82F}"/>
    <cellStyle name="Normal 37 5 2" xfId="6950" xr:uid="{B7308220-79D1-4E85-A952-E7EDE03E8288}"/>
    <cellStyle name="Normal 37 6" xfId="6951" xr:uid="{DD4ABD05-03A5-4B11-A0D3-4AC98CE141C3}"/>
    <cellStyle name="Normal 38" xfId="6952" xr:uid="{7106D249-E810-483C-9D0E-FE35A69ABF0B}"/>
    <cellStyle name="Normal 39" xfId="6953" xr:uid="{AC008F44-F19E-4F59-83E0-EA0EC11F45A1}"/>
    <cellStyle name="Normal 4" xfId="18" xr:uid="{00000000-0005-0000-0000-000013000000}"/>
    <cellStyle name="Normal 4 10" xfId="6955" xr:uid="{AFB18BAE-1B2F-4695-BB92-1770778B3385}"/>
    <cellStyle name="Normal 4 10 2" xfId="6956" xr:uid="{BA8FC8A1-D090-4836-86C5-612E4BCEDB42}"/>
    <cellStyle name="Normal 4 10 3" xfId="6957" xr:uid="{0149AEDA-1BC5-472A-AD91-4FF1C76D7D29}"/>
    <cellStyle name="Normal 4 11" xfId="6958" xr:uid="{943B500F-8549-44B2-A33A-31520A5E8D18}"/>
    <cellStyle name="Normal 4 11 2" xfId="6959" xr:uid="{AD95A3C9-B7F7-48A6-8069-00CF636DC9AD}"/>
    <cellStyle name="Normal 4 11 3" xfId="6960" xr:uid="{CBBE3337-23FA-4910-B776-1EAB5C3E8528}"/>
    <cellStyle name="Normal 4 12" xfId="6961" xr:uid="{12AEBA30-7043-4CB2-BF35-61074317D9AC}"/>
    <cellStyle name="Normal 4 13" xfId="6962" xr:uid="{E7C69651-F1E5-4B8F-A178-8586E1F05BB9}"/>
    <cellStyle name="Normal 4 13 2" xfId="6963" xr:uid="{6CB3F056-F73F-46FA-BDAE-3C321CCCFBAF}"/>
    <cellStyle name="Normal 4 13 2 2" xfId="6964" xr:uid="{34145360-4E5E-4CF9-9756-7E9DED33D52F}"/>
    <cellStyle name="Normal 4 13 2 3" xfId="6965" xr:uid="{C3C51549-1434-458E-9DD8-0562539E7037}"/>
    <cellStyle name="Normal 4 13 2 4" xfId="6966" xr:uid="{3315A716-BBCE-4357-A840-AD75C657D32F}"/>
    <cellStyle name="Normal 4 13 3" xfId="6967" xr:uid="{CCC20AC9-73EC-4881-8ECC-958C8AFF10B2}"/>
    <cellStyle name="Normal 4 14" xfId="6954" xr:uid="{EEADA211-54BC-4C30-833D-389C3CF6F778}"/>
    <cellStyle name="Normal 4 2" xfId="6968" xr:uid="{6ABEE805-9891-47F6-A8AF-9A9048A38DC4}"/>
    <cellStyle name="Normal 4 2 10" xfId="6969" xr:uid="{676B4723-3D39-4C77-85D6-FC42A0C6D276}"/>
    <cellStyle name="Normal 4 2 10 2" xfId="6970" xr:uid="{41E287FD-AF0C-4267-B215-DAD1E7156EC2}"/>
    <cellStyle name="Normal 4 2 10 2 2" xfId="6971" xr:uid="{1728E2A8-D01A-459B-9EB2-557CA6C1F203}"/>
    <cellStyle name="Normal 4 2 10 2 2 2" xfId="6972" xr:uid="{ABABA22B-F4C6-413C-A52B-E499CAB8F2B7}"/>
    <cellStyle name="Normal 4 2 10 2 2 2 2" xfId="6973" xr:uid="{FC2E7C43-BC2B-4A20-9172-0787CA4D1E55}"/>
    <cellStyle name="Normal 4 2 10 2 2 3" xfId="6974" xr:uid="{FF144720-2DB6-4142-811D-7C273523662E}"/>
    <cellStyle name="Normal 4 2 10 2 3" xfId="6975" xr:uid="{E52A9109-DA71-489C-AEBC-9AB7960B0999}"/>
    <cellStyle name="Normal 4 2 10 2 3 2" xfId="6976" xr:uid="{8948F829-F3FD-4A2B-AC41-AA98863090F4}"/>
    <cellStyle name="Normal 4 2 10 2 3 2 2" xfId="6977" xr:uid="{852386C6-1F04-491F-AEF1-0CA5FC24E73F}"/>
    <cellStyle name="Normal 4 2 10 2 3 3" xfId="6978" xr:uid="{CFA2B428-A676-440A-877B-51057A051D9B}"/>
    <cellStyle name="Normal 4 2 10 2 4" xfId="6979" xr:uid="{A6532801-EE7F-4808-B407-2A33C3E33B78}"/>
    <cellStyle name="Normal 4 2 10 2 4 2" xfId="6980" xr:uid="{A62C4370-3D79-4563-B1DB-CC57CC696D71}"/>
    <cellStyle name="Normal 4 2 10 2 5" xfId="6981" xr:uid="{3AC0E1C9-5EC8-4B78-B3A9-28D88F2FCB70}"/>
    <cellStyle name="Normal 4 2 10 3" xfId="6982" xr:uid="{77C0DE76-DEEA-468E-8711-50AD95C437A8}"/>
    <cellStyle name="Normal 4 2 10 3 2" xfId="6983" xr:uid="{BD02AE2B-148F-4AEC-849A-EA573A567238}"/>
    <cellStyle name="Normal 4 2 10 3 2 2" xfId="6984" xr:uid="{F71DD6B5-BDA9-42D4-9530-1297DE96D588}"/>
    <cellStyle name="Normal 4 2 10 3 3" xfId="6985" xr:uid="{C940132F-6A6A-478B-A76C-3DDD86C63B2B}"/>
    <cellStyle name="Normal 4 2 10 4" xfId="6986" xr:uid="{FC33D8FC-EE57-47B4-A6BC-94C9757AEFBE}"/>
    <cellStyle name="Normal 4 2 10 4 2" xfId="6987" xr:uid="{3EC4A26D-4D69-4FE4-9EFF-7B2D0906E8FB}"/>
    <cellStyle name="Normal 4 2 10 4 2 2" xfId="6988" xr:uid="{D3B996B3-37B9-4306-8B20-D5A5E932F3BA}"/>
    <cellStyle name="Normal 4 2 10 4 3" xfId="6989" xr:uid="{29D235D7-A8D1-4AD2-8B0C-C58915C7F906}"/>
    <cellStyle name="Normal 4 2 10 5" xfId="6990" xr:uid="{634E40E5-608A-4055-B186-D7B697DC9027}"/>
    <cellStyle name="Normal 4 2 10 5 2" xfId="6991" xr:uid="{A10A7DDC-C753-428F-AC59-D87B03C2E7E5}"/>
    <cellStyle name="Normal 4 2 10 6" xfId="6992" xr:uid="{AB2FBB6E-7FCE-42D7-9B72-A9C790DF0C20}"/>
    <cellStyle name="Normal 4 2 11" xfId="6993" xr:uid="{18429EB9-00A9-4EFC-834C-094190A6C70A}"/>
    <cellStyle name="Normal 4 2 12" xfId="6994" xr:uid="{A96EAE16-231E-4F93-B4F8-CCAFAA2B2E41}"/>
    <cellStyle name="Normal 4 2 2" xfId="6995" xr:uid="{A0B1E9F8-ECF9-4D1D-8516-047F594D1FB4}"/>
    <cellStyle name="Normal 4 2 2 10" xfId="6996" xr:uid="{CCFBCB96-E8E9-4ADD-8671-65BF8291CE83}"/>
    <cellStyle name="Normal 4 2 2 10 2" xfId="6997" xr:uid="{5F4FB734-077F-4820-8E85-C0C0249EFDF3}"/>
    <cellStyle name="Normal 4 2 2 10 2 2" xfId="6998" xr:uid="{0B16618C-8C0E-4C68-BE7D-74E520D79511}"/>
    <cellStyle name="Normal 4 2 2 10 2 2 2" xfId="6999" xr:uid="{B5628910-BFC0-402D-8CEC-8D72BD16EEA6}"/>
    <cellStyle name="Normal 4 2 2 10 2 2 2 2" xfId="7000" xr:uid="{609C17D7-8439-43C6-8661-E7CFEC3F6400}"/>
    <cellStyle name="Normal 4 2 2 10 2 2 3" xfId="7001" xr:uid="{139DBAFF-CC3F-427D-BCD2-6C108A3E8D77}"/>
    <cellStyle name="Normal 4 2 2 10 2 3" xfId="7002" xr:uid="{314BBA11-F010-4FD4-9014-D928A0BCC154}"/>
    <cellStyle name="Normal 4 2 2 10 2 3 2" xfId="7003" xr:uid="{676CC791-257C-49E9-9C90-F1DF9779BB11}"/>
    <cellStyle name="Normal 4 2 2 10 2 3 2 2" xfId="7004" xr:uid="{CD83B68B-AFD0-4508-AC55-DBA2BC7060E0}"/>
    <cellStyle name="Normal 4 2 2 10 2 3 3" xfId="7005" xr:uid="{20A1E4E2-C4A3-4C2B-91C6-3B387175FD54}"/>
    <cellStyle name="Normal 4 2 2 10 2 4" xfId="7006" xr:uid="{882F0D1A-8FF3-4A2F-9701-550A3E873789}"/>
    <cellStyle name="Normal 4 2 2 10 2 4 2" xfId="7007" xr:uid="{FE398C44-B25F-450A-B981-76F6DCB561AB}"/>
    <cellStyle name="Normal 4 2 2 10 2 5" xfId="7008" xr:uid="{098D60E0-BF09-43AF-ABB9-E862E8DC4F4A}"/>
    <cellStyle name="Normal 4 2 2 10 3" xfId="7009" xr:uid="{EC06594A-7786-4644-B8E8-5EBE83D043C4}"/>
    <cellStyle name="Normal 4 2 2 10 3 2" xfId="7010" xr:uid="{69D6DBDF-E5ED-40B1-A7F2-B38771BE3D4C}"/>
    <cellStyle name="Normal 4 2 2 10 3 2 2" xfId="7011" xr:uid="{9C70FE4A-FBD6-400B-945E-3A0AF18F81D7}"/>
    <cellStyle name="Normal 4 2 2 10 3 2 2 2" xfId="7012" xr:uid="{CA83A399-D819-4906-BBDC-F9506BC95548}"/>
    <cellStyle name="Normal 4 2 2 10 3 2 3" xfId="7013" xr:uid="{B9645922-CB15-4EFB-BAB3-A8CB76F7DE6F}"/>
    <cellStyle name="Normal 4 2 2 10 3 3" xfId="7014" xr:uid="{8A7416C2-778C-4BBC-A8CA-6CEFB40A9DF6}"/>
    <cellStyle name="Normal 4 2 2 10 3 3 2" xfId="7015" xr:uid="{0C162028-1782-40A5-9924-918BF48CC741}"/>
    <cellStyle name="Normal 4 2 2 10 3 4" xfId="7016" xr:uid="{EE94E2CA-620F-4CC7-9AB3-80971CFD683D}"/>
    <cellStyle name="Normal 4 2 2 10 4" xfId="7017" xr:uid="{BF2AB51C-B791-446D-97C2-24152FA6B4C5}"/>
    <cellStyle name="Normal 4 2 2 10 5" xfId="7018" xr:uid="{98548481-BB43-4356-8746-9652AB8FA37D}"/>
    <cellStyle name="Normal 4 2 2 10 5 2" xfId="7019" xr:uid="{E560E025-A605-4F1E-9C75-FFB49B1DC41C}"/>
    <cellStyle name="Normal 4 2 2 10 6" xfId="7020" xr:uid="{797069BF-FB43-440D-8D7F-F54D6BACCBC1}"/>
    <cellStyle name="Normal 4 2 2 11" xfId="7021" xr:uid="{4ECC9E31-AA20-47DF-9E97-8ED954F99F24}"/>
    <cellStyle name="Normal 4 2 2 11 2" xfId="7022" xr:uid="{9503B659-3C4E-4D2D-B35F-6EF72ACA3D1D}"/>
    <cellStyle name="Normal 4 2 2 11 2 2" xfId="7023" xr:uid="{BE0EC51E-6AC1-46B2-8B3C-F10B1DA18552}"/>
    <cellStyle name="Normal 4 2 2 11 2 2 2" xfId="7024" xr:uid="{EB0338F7-1149-48E5-B243-FBF5F47ECEEE}"/>
    <cellStyle name="Normal 4 2 2 11 2 2 2 2" xfId="7025" xr:uid="{593D8852-9676-4DE4-90FC-BBF9CF64269C}"/>
    <cellStyle name="Normal 4 2 2 11 2 2 3" xfId="7026" xr:uid="{9F9C809C-4F30-499B-A4B9-4C6CB55FA497}"/>
    <cellStyle name="Normal 4 2 2 11 2 3" xfId="7027" xr:uid="{9EC3ADF1-C0CC-4EB0-AB39-A022D58A8A53}"/>
    <cellStyle name="Normal 4 2 2 11 2 3 2" xfId="7028" xr:uid="{72B451F0-B49E-4C1C-9468-E5E8EB9C82EE}"/>
    <cellStyle name="Normal 4 2 2 11 2 3 2 2" xfId="7029" xr:uid="{F6F68218-B2A5-4269-A6AC-3F41206B742E}"/>
    <cellStyle name="Normal 4 2 2 11 2 3 3" xfId="7030" xr:uid="{4D7D210E-AA22-493B-9DF2-F4B2B04C2F1A}"/>
    <cellStyle name="Normal 4 2 2 11 2 4" xfId="7031" xr:uid="{4CB7CFB8-08BD-4F27-886A-D75970785755}"/>
    <cellStyle name="Normal 4 2 2 11 2 4 2" xfId="7032" xr:uid="{C301B78C-4592-4E7F-8E17-3C99BE6FC287}"/>
    <cellStyle name="Normal 4 2 2 11 2 5" xfId="7033" xr:uid="{93669A62-A26C-43EB-8BD0-18CAD7EC2507}"/>
    <cellStyle name="Normal 4 2 2 11 3" xfId="7034" xr:uid="{806250B2-F981-40A9-BD2C-50238FD7C7E5}"/>
    <cellStyle name="Normal 4 2 2 11 3 2" xfId="7035" xr:uid="{D1F33CFE-5C36-419C-9203-500D56C73EC7}"/>
    <cellStyle name="Normal 4 2 2 11 3 2 2" xfId="7036" xr:uid="{DE70098B-7BC7-4392-B3E9-5385EE4D92E2}"/>
    <cellStyle name="Normal 4 2 2 11 3 2 2 2" xfId="7037" xr:uid="{8A59170E-3363-4914-A326-B20E6195068D}"/>
    <cellStyle name="Normal 4 2 2 11 3 2 3" xfId="7038" xr:uid="{64B09510-6A3F-4AC7-A665-2399951658C9}"/>
    <cellStyle name="Normal 4 2 2 11 3 3" xfId="7039" xr:uid="{20BC8318-7E94-4F25-81E1-1A96CEC95CFF}"/>
    <cellStyle name="Normal 4 2 2 11 3 3 2" xfId="7040" xr:uid="{FBEE0984-F656-4B91-8EA5-D05F9BE80867}"/>
    <cellStyle name="Normal 4 2 2 11 3 4" xfId="7041" xr:uid="{9674840E-C67C-464C-BA04-C3158EB2EE20}"/>
    <cellStyle name="Normal 4 2 2 11 4" xfId="7042" xr:uid="{C338E4A7-002A-4438-BB46-16477FECFFF5}"/>
    <cellStyle name="Normal 4 2 2 11 5" xfId="7043" xr:uid="{D55D61F7-7FD1-4D4C-AB81-6128668D87CC}"/>
    <cellStyle name="Normal 4 2 2 11 5 2" xfId="7044" xr:uid="{1F801877-C057-4998-9006-1AA000B35C06}"/>
    <cellStyle name="Normal 4 2 2 11 6" xfId="7045" xr:uid="{2D4DE909-94D4-4110-9F61-AEFAB077C05D}"/>
    <cellStyle name="Normal 4 2 2 12" xfId="7046" xr:uid="{56673864-96D5-4294-A70C-1C619537398C}"/>
    <cellStyle name="Normal 4 2 2 12 2" xfId="7047" xr:uid="{DA3DEA77-5DF3-4C0B-AFBA-92FEF5B64FCE}"/>
    <cellStyle name="Normal 4 2 2 12 2 2" xfId="7048" xr:uid="{B447E24E-140E-48D0-BB9C-51049B8BBC42}"/>
    <cellStyle name="Normal 4 2 2 12 2 2 2" xfId="7049" xr:uid="{27932961-6AF3-4B26-9A4B-67E536E6AA42}"/>
    <cellStyle name="Normal 4 2 2 12 2 2 2 2" xfId="7050" xr:uid="{BC55589C-5D54-4187-9863-004C5C829AE3}"/>
    <cellStyle name="Normal 4 2 2 12 2 2 3" xfId="7051" xr:uid="{3FF101F9-4B77-429E-B365-A863BE2B24AC}"/>
    <cellStyle name="Normal 4 2 2 12 2 3" xfId="7052" xr:uid="{FFE886CC-E98A-42E4-A351-D1D13943F5D0}"/>
    <cellStyle name="Normal 4 2 2 12 2 3 2" xfId="7053" xr:uid="{A53F7119-691D-4A11-9A73-C418B2E6F71F}"/>
    <cellStyle name="Normal 4 2 2 12 2 3 2 2" xfId="7054" xr:uid="{34CBDF2F-9D36-4477-8778-0E33350F7037}"/>
    <cellStyle name="Normal 4 2 2 12 2 3 3" xfId="7055" xr:uid="{15C499F7-5E96-4F30-A9D4-4CFF06DD38A1}"/>
    <cellStyle name="Normal 4 2 2 12 2 4" xfId="7056" xr:uid="{AB7686FE-A39C-4C77-BF54-2E24670D944C}"/>
    <cellStyle name="Normal 4 2 2 12 2 4 2" xfId="7057" xr:uid="{2FC0E5CE-64CD-487E-8711-9A333979B028}"/>
    <cellStyle name="Normal 4 2 2 12 2 5" xfId="7058" xr:uid="{4867C50B-150E-4BB6-B1A4-54973693757A}"/>
    <cellStyle name="Normal 4 2 2 12 3" xfId="7059" xr:uid="{E9C5F2FE-A60F-4089-9C1E-F0A9A6785FB8}"/>
    <cellStyle name="Normal 4 2 2 12 3 2" xfId="7060" xr:uid="{1212FBE2-3F7F-492D-ABA3-F5CF02710646}"/>
    <cellStyle name="Normal 4 2 2 12 3 2 2" xfId="7061" xr:uid="{1AEACB61-D7C0-4DF2-92E1-25EC0D3B4FC6}"/>
    <cellStyle name="Normal 4 2 2 12 3 2 2 2" xfId="7062" xr:uid="{A8CCA81E-1A25-4A0E-8A7C-3397A5333387}"/>
    <cellStyle name="Normal 4 2 2 12 3 2 3" xfId="7063" xr:uid="{A979ED0B-477C-4B81-8348-C744B7D44292}"/>
    <cellStyle name="Normal 4 2 2 12 3 3" xfId="7064" xr:uid="{AE8724AE-FE63-4407-AE88-F96C5611ED0B}"/>
    <cellStyle name="Normal 4 2 2 12 3 3 2" xfId="7065" xr:uid="{0B11C458-5843-4691-9E37-E2EE31D31DB1}"/>
    <cellStyle name="Normal 4 2 2 12 3 4" xfId="7066" xr:uid="{1A31CE28-B005-4E7F-B344-59F5DE604620}"/>
    <cellStyle name="Normal 4 2 2 12 4" xfId="7067" xr:uid="{74D45EA7-C156-446C-BA43-5FC1912817E0}"/>
    <cellStyle name="Normal 4 2 2 12 5" xfId="7068" xr:uid="{D9C1E382-4A70-4A3F-9236-6A7AC7FC1EE3}"/>
    <cellStyle name="Normal 4 2 2 12 5 2" xfId="7069" xr:uid="{5ECF64ED-F1A5-42FB-BC39-DBDDD7C14814}"/>
    <cellStyle name="Normal 4 2 2 12 6" xfId="7070" xr:uid="{718ECDBC-8F5D-465A-9364-F7138331370C}"/>
    <cellStyle name="Normal 4 2 2 13" xfId="7071" xr:uid="{F67E2954-4F1D-40F5-A000-9C97A5D4E76E}"/>
    <cellStyle name="Normal 4 2 2 13 2" xfId="7072" xr:uid="{873D0A53-98C4-490C-9A9C-2EFDFADBE591}"/>
    <cellStyle name="Normal 4 2 2 13 2 2" xfId="7073" xr:uid="{E866D736-3405-4A12-83D7-CD0CA4BA2598}"/>
    <cellStyle name="Normal 4 2 2 13 2 2 2" xfId="7074" xr:uid="{30F8D9AB-D24F-4EC5-9ECF-BB8626D55AFA}"/>
    <cellStyle name="Normal 4 2 2 13 2 2 2 2" xfId="7075" xr:uid="{4581FD14-8A2F-48CB-A06D-C70A42F02166}"/>
    <cellStyle name="Normal 4 2 2 13 2 2 3" xfId="7076" xr:uid="{AB50A3AC-4BD8-4944-B8B7-CDD1A13B9821}"/>
    <cellStyle name="Normal 4 2 2 13 2 3" xfId="7077" xr:uid="{E9A5A3D0-466B-41B9-9224-A4335F08F441}"/>
    <cellStyle name="Normal 4 2 2 13 2 3 2" xfId="7078" xr:uid="{433F94D5-28F5-4951-BC75-756B71026059}"/>
    <cellStyle name="Normal 4 2 2 13 2 3 2 2" xfId="7079" xr:uid="{1C7E8A3F-B2CF-4AFE-9780-47AFF49F8D89}"/>
    <cellStyle name="Normal 4 2 2 13 2 3 3" xfId="7080" xr:uid="{35AC0957-987C-4D98-9B50-2CAD2543A515}"/>
    <cellStyle name="Normal 4 2 2 13 2 4" xfId="7081" xr:uid="{8B6F9F43-A057-4575-9AA5-FBA0D013D823}"/>
    <cellStyle name="Normal 4 2 2 13 2 4 2" xfId="7082" xr:uid="{41774F59-9870-41CA-AC34-19064343CBB4}"/>
    <cellStyle name="Normal 4 2 2 13 2 5" xfId="7083" xr:uid="{2D7D4F78-9310-4E90-A52D-F36B013468B2}"/>
    <cellStyle name="Normal 4 2 2 13 3" xfId="7084" xr:uid="{D77B67F6-E926-43B9-B4F1-CF0DAE533288}"/>
    <cellStyle name="Normal 4 2 2 13 3 2" xfId="7085" xr:uid="{35E5A929-93BB-447C-8596-25AB388FCF88}"/>
    <cellStyle name="Normal 4 2 2 13 3 2 2" xfId="7086" xr:uid="{DDD76BF9-0F5E-44D1-86EE-015E6F307BC6}"/>
    <cellStyle name="Normal 4 2 2 13 3 2 2 2" xfId="7087" xr:uid="{4012DDFA-F94F-4716-B224-DA277214D045}"/>
    <cellStyle name="Normal 4 2 2 13 3 2 3" xfId="7088" xr:uid="{EFF08640-53A2-41F7-A48B-51E13A93BFAC}"/>
    <cellStyle name="Normal 4 2 2 13 3 3" xfId="7089" xr:uid="{2C1ED29B-1354-4FDC-9BB1-6767661F30B5}"/>
    <cellStyle name="Normal 4 2 2 13 3 3 2" xfId="7090" xr:uid="{9582EFAD-A045-4F66-A409-7F042D5D20EC}"/>
    <cellStyle name="Normal 4 2 2 13 3 4" xfId="7091" xr:uid="{97A0D946-71ED-46E5-8410-CA8E562765A5}"/>
    <cellStyle name="Normal 4 2 2 13 4" xfId="7092" xr:uid="{7CFEA228-6A53-4E0D-8F7E-37CF6855010F}"/>
    <cellStyle name="Normal 4 2 2 13 5" xfId="7093" xr:uid="{4093714E-D39B-4558-A45D-01AA98BC100F}"/>
    <cellStyle name="Normal 4 2 2 13 5 2" xfId="7094" xr:uid="{014581D5-EC46-40AD-82D7-A3034AEDD4EF}"/>
    <cellStyle name="Normal 4 2 2 13 6" xfId="7095" xr:uid="{5DF70D2F-DD10-47EC-8AEF-C76F7E5407D5}"/>
    <cellStyle name="Normal 4 2 2 14" xfId="7096" xr:uid="{72911432-8CD4-4642-B901-63687D15FEC0}"/>
    <cellStyle name="Normal 4 2 2 14 2" xfId="7097" xr:uid="{E06DD9E8-1782-41BE-A68D-50BCBE72925D}"/>
    <cellStyle name="Normal 4 2 2 14 2 2" xfId="7098" xr:uid="{41FA457E-36EA-47BF-8778-7E0650E79F75}"/>
    <cellStyle name="Normal 4 2 2 14 2 2 2" xfId="7099" xr:uid="{DF12A38E-BA97-4FCB-8A51-1CFC560D12B7}"/>
    <cellStyle name="Normal 4 2 2 14 2 3" xfId="7100" xr:uid="{A4A4946A-FF3B-42BC-96F2-D276A9E1847E}"/>
    <cellStyle name="Normal 4 2 2 14 3" xfId="7101" xr:uid="{C14AE3AA-355A-4F8B-8B4F-04895BD2275A}"/>
    <cellStyle name="Normal 4 2 2 14 3 2" xfId="7102" xr:uid="{AB4EA320-EA30-49DA-AA9C-6BF974D7335F}"/>
    <cellStyle name="Normal 4 2 2 14 3 2 2" xfId="7103" xr:uid="{0F10C794-E7BC-4176-A830-6CBFA87C4B57}"/>
    <cellStyle name="Normal 4 2 2 14 3 3" xfId="7104" xr:uid="{073D64A1-D7C6-487A-AF92-ADE1A9DDF6A1}"/>
    <cellStyle name="Normal 4 2 2 14 4" xfId="7105" xr:uid="{B3ACC3C6-A688-4CE1-8AEA-09863C4788D8}"/>
    <cellStyle name="Normal 4 2 2 14 4 2" xfId="7106" xr:uid="{3B233724-80DF-471E-AAEB-728E66330698}"/>
    <cellStyle name="Normal 4 2 2 14 5" xfId="7107" xr:uid="{7972B4A2-B6FB-40BB-9CAB-752774C3A326}"/>
    <cellStyle name="Normal 4 2 2 15" xfId="7108" xr:uid="{58454667-824F-45D7-ACA7-BA3960475D5B}"/>
    <cellStyle name="Normal 4 2 2 15 2" xfId="7109" xr:uid="{4694B72A-FC95-457B-BAE5-901E47467BB2}"/>
    <cellStyle name="Normal 4 2 2 15 2 2" xfId="7110" xr:uid="{283F21C9-B31E-40F0-B4F8-4C63F7EEB989}"/>
    <cellStyle name="Normal 4 2 2 15 2 2 2" xfId="7111" xr:uid="{9C109C6D-DAF2-4EBC-A855-AF4656CAAE9B}"/>
    <cellStyle name="Normal 4 2 2 15 2 3" xfId="7112" xr:uid="{4F0D083B-92F4-45F7-B2E7-C14FC2161B0E}"/>
    <cellStyle name="Normal 4 2 2 15 3" xfId="7113" xr:uid="{D09EE57C-8662-4E66-A922-12751F28B9CE}"/>
    <cellStyle name="Normal 4 2 2 15 3 2" xfId="7114" xr:uid="{215B6B59-EFF8-40F5-9A87-2DCA05B8685F}"/>
    <cellStyle name="Normal 4 2 2 15 4" xfId="7115" xr:uid="{18D9562B-2C76-4D0C-BBF6-956178481C2C}"/>
    <cellStyle name="Normal 4 2 2 16" xfId="7116" xr:uid="{6271681D-0DD2-4792-BC99-803EDBE71ED5}"/>
    <cellStyle name="Normal 4 2 2 16 2" xfId="7117" xr:uid="{4845B1EE-B24A-4CB0-BF06-F6E491CC6291}"/>
    <cellStyle name="Normal 4 2 2 2" xfId="7118" xr:uid="{048B2AD4-6800-4EE3-821E-916516000160}"/>
    <cellStyle name="Normal 4 2 2 2 10" xfId="7119" xr:uid="{6ABD105B-F422-4DFA-A86F-A9CA064D045D}"/>
    <cellStyle name="Normal 4 2 2 2 11" xfId="7120" xr:uid="{7FB89894-3D1E-4974-A496-6DEDD29645FE}"/>
    <cellStyle name="Normal 4 2 2 2 12" xfId="7121" xr:uid="{12D5D7B6-EEC6-4F38-863D-637D54B3A311}"/>
    <cellStyle name="Normal 4 2 2 2 13" xfId="7122" xr:uid="{216E178C-5EF6-4788-9B0F-CA99C756956E}"/>
    <cellStyle name="Normal 4 2 2 2 14" xfId="7123" xr:uid="{7F911CF8-EECC-408B-B3CE-15F759CE41F1}"/>
    <cellStyle name="Normal 4 2 2 2 14 2" xfId="7124" xr:uid="{CB91F406-FDC2-4035-A0D5-05758EDDBE6B}"/>
    <cellStyle name="Normal 4 2 2 2 14 2 2" xfId="7125" xr:uid="{D64F3E26-91D0-4335-B81D-F481008E24D2}"/>
    <cellStyle name="Normal 4 2 2 2 14 2 2 2" xfId="7126" xr:uid="{3F4C2488-771F-451D-8F9E-99BBDABDD2E0}"/>
    <cellStyle name="Normal 4 2 2 2 14 2 2 2 2" xfId="7127" xr:uid="{FAA4D771-2EA2-47D8-850D-D593A04AFE2D}"/>
    <cellStyle name="Normal 4 2 2 2 14 2 2 3" xfId="7128" xr:uid="{63693C9A-970E-4DF0-A7C1-4736A935A615}"/>
    <cellStyle name="Normal 4 2 2 2 14 2 3" xfId="7129" xr:uid="{510CBC18-9415-4A5B-80B0-0B959921D5C1}"/>
    <cellStyle name="Normal 4 2 2 2 14 2 3 2" xfId="7130" xr:uid="{F97E974B-6211-4D2A-8322-BCCA31545A6D}"/>
    <cellStyle name="Normal 4 2 2 2 14 2 3 2 2" xfId="7131" xr:uid="{FD4C3C1D-B06F-4220-90E5-5BF65681F0ED}"/>
    <cellStyle name="Normal 4 2 2 2 14 2 3 3" xfId="7132" xr:uid="{D48E4CE6-6825-43E0-A84E-51DA060515E0}"/>
    <cellStyle name="Normal 4 2 2 2 14 2 4" xfId="7133" xr:uid="{92032A6F-043E-4A34-8A15-60348F28106D}"/>
    <cellStyle name="Normal 4 2 2 2 14 2 4 2" xfId="7134" xr:uid="{6220F44E-19DA-42B2-BA35-DF8B2C2A4C6A}"/>
    <cellStyle name="Normal 4 2 2 2 14 2 5" xfId="7135" xr:uid="{6766E5C3-9CE6-42E6-96C8-32CC25635E40}"/>
    <cellStyle name="Normal 4 2 2 2 14 3" xfId="7136" xr:uid="{7963A708-ACD4-4121-A6AF-781B931B075A}"/>
    <cellStyle name="Normal 4 2 2 2 14 3 2" xfId="7137" xr:uid="{2FDEF899-3487-4FE7-998F-1AD799EC0913}"/>
    <cellStyle name="Normal 4 2 2 2 14 3 2 2" xfId="7138" xr:uid="{63492CC6-7CC5-4B7A-AE4E-DE37EC411AFD}"/>
    <cellStyle name="Normal 4 2 2 2 14 3 3" xfId="7139" xr:uid="{B75B22AC-A66B-4721-BD57-3E8C6D8920BB}"/>
    <cellStyle name="Normal 4 2 2 2 14 4" xfId="7140" xr:uid="{FE60BC37-B81A-4E37-B77D-35C1308DEAE8}"/>
    <cellStyle name="Normal 4 2 2 2 14 4 2" xfId="7141" xr:uid="{4A7A6F05-8312-4E5E-B46E-F2B745A1CCF4}"/>
    <cellStyle name="Normal 4 2 2 2 14 4 2 2" xfId="7142" xr:uid="{F26FC894-5222-4B5C-8A48-759472C72DAA}"/>
    <cellStyle name="Normal 4 2 2 2 14 4 3" xfId="7143" xr:uid="{A0C0665F-303F-4030-A103-EF3DF0B00D43}"/>
    <cellStyle name="Normal 4 2 2 2 14 5" xfId="7144" xr:uid="{08969EA3-7F4D-4E77-9D1F-766E04CDBE40}"/>
    <cellStyle name="Normal 4 2 2 2 14 5 2" xfId="7145" xr:uid="{FF2ADFBC-FB42-4758-A8D4-77736804F40C}"/>
    <cellStyle name="Normal 4 2 2 2 14 6" xfId="7146" xr:uid="{FE5573E5-4AFF-4D7A-8967-3F6AFE05496A}"/>
    <cellStyle name="Normal 4 2 2 2 15" xfId="7147" xr:uid="{227345B2-9B0A-46EE-B1FB-BAEDE1C304AA}"/>
    <cellStyle name="Normal 4 2 2 2 16" xfId="7148" xr:uid="{C8F1AB6D-3B9C-49D1-990E-26AD5E3D5E39}"/>
    <cellStyle name="Normal 4 2 2 2 2" xfId="7149" xr:uid="{91F840E4-05CA-470F-ADB7-046C6D28114B}"/>
    <cellStyle name="Normal 4 2 2 2 3" xfId="7150" xr:uid="{37DF602F-18DD-4B37-93D4-54001E9D21ED}"/>
    <cellStyle name="Normal 4 2 2 2 4" xfId="7151" xr:uid="{8BC932A6-ED4E-4969-BB67-8FED697EB0E6}"/>
    <cellStyle name="Normal 4 2 2 2 5" xfId="7152" xr:uid="{35BA1B5F-9132-4066-969B-344151E6F9B6}"/>
    <cellStyle name="Normal 4 2 2 2 6" xfId="7153" xr:uid="{4721C412-1248-4EF5-A097-77B3AAE951CB}"/>
    <cellStyle name="Normal 4 2 2 2 7" xfId="7154" xr:uid="{1E961726-9704-47EC-8D0C-77A54B7F8C06}"/>
    <cellStyle name="Normal 4 2 2 2 8" xfId="7155" xr:uid="{3A12BD76-E427-403D-BF6F-5335860CE139}"/>
    <cellStyle name="Normal 4 2 2 2 9" xfId="7156" xr:uid="{16C5F98F-1334-4E72-92FC-31D869CA0C13}"/>
    <cellStyle name="Normal 4 2 2 3" xfId="7157" xr:uid="{2FD00776-169F-4E2C-8FDB-0D93E0FC1ED6}"/>
    <cellStyle name="Normal 4 2 2 3 2" xfId="7158" xr:uid="{17A1FB23-91F5-4F97-A4AD-720882C44FA9}"/>
    <cellStyle name="Normal 4 2 2 3 2 2" xfId="7159" xr:uid="{E6F7385E-0DB2-4CD3-B79D-C6782BE37F11}"/>
    <cellStyle name="Normal 4 2 2 3 2 2 2" xfId="7160" xr:uid="{37745252-C204-4510-8FEB-75F1FCD7E8F5}"/>
    <cellStyle name="Normal 4 2 2 3 2 2 2 2" xfId="7161" xr:uid="{5D287391-AD8B-4F9D-AEFD-343C3FECB63E}"/>
    <cellStyle name="Normal 4 2 2 3 2 2 3" xfId="7162" xr:uid="{7C804B3A-370B-4C76-9757-75907AD02C83}"/>
    <cellStyle name="Normal 4 2 2 3 2 3" xfId="7163" xr:uid="{7CBF9829-FBFF-4677-93BE-A4D79C336442}"/>
    <cellStyle name="Normal 4 2 2 3 2 3 2" xfId="7164" xr:uid="{D6BC71EC-8391-4DAC-AE97-3EF685CC1F24}"/>
    <cellStyle name="Normal 4 2 2 3 2 3 2 2" xfId="7165" xr:uid="{2A2D1B50-B6C5-4CFD-AE8E-0F8EA373BDF0}"/>
    <cellStyle name="Normal 4 2 2 3 2 3 3" xfId="7166" xr:uid="{BB20909E-F226-432C-8735-A0B3BCEC31AE}"/>
    <cellStyle name="Normal 4 2 2 3 2 4" xfId="7167" xr:uid="{88638B28-36B7-4AB8-9D10-6EEE32E43DE1}"/>
    <cellStyle name="Normal 4 2 2 3 2 4 2" xfId="7168" xr:uid="{E6B12D28-A320-497C-BF62-7C1ED0DAFBAF}"/>
    <cellStyle name="Normal 4 2 2 3 2 5" xfId="7169" xr:uid="{4797A0B2-41D8-480D-BB40-51598C4A0227}"/>
    <cellStyle name="Normal 4 2 2 3 3" xfId="7170" xr:uid="{0DDD25C5-4D0B-4BEB-BDA2-4D152143E524}"/>
    <cellStyle name="Normal 4 2 2 3 3 2" xfId="7171" xr:uid="{41B3C0A4-1AD4-4533-824C-C64B108C30CD}"/>
    <cellStyle name="Normal 4 2 2 3 3 2 2" xfId="7172" xr:uid="{DD7EA050-72B5-420C-B683-0A032F062882}"/>
    <cellStyle name="Normal 4 2 2 3 3 2 2 2" xfId="7173" xr:uid="{5407B1CD-F4A4-44EF-8A4C-A8B6D0F45C45}"/>
    <cellStyle name="Normal 4 2 2 3 3 2 3" xfId="7174" xr:uid="{159B9516-6B8D-4794-BC02-516B45FCDEA3}"/>
    <cellStyle name="Normal 4 2 2 3 3 3" xfId="7175" xr:uid="{2FD2F389-C3E4-42B5-960A-767DCA5449C5}"/>
    <cellStyle name="Normal 4 2 2 3 3 3 2" xfId="7176" xr:uid="{1FD5D537-E620-4AEB-99CB-63CD618C0093}"/>
    <cellStyle name="Normal 4 2 2 3 3 4" xfId="7177" xr:uid="{5A12193C-5B94-4394-A746-2A7F504DD1A6}"/>
    <cellStyle name="Normal 4 2 2 3 4" xfId="7178" xr:uid="{43715A30-4333-44A3-B89C-E1DC1AA084EB}"/>
    <cellStyle name="Normal 4 2 2 3 5" xfId="7179" xr:uid="{8009134B-5840-468E-81DF-EBC87C11970F}"/>
    <cellStyle name="Normal 4 2 2 3 5 2" xfId="7180" xr:uid="{0EEC5922-9F97-41AB-84BB-A8D27389C8C3}"/>
    <cellStyle name="Normal 4 2 2 3 6" xfId="7181" xr:uid="{4CA82C99-CF87-460C-934E-52A0AB110E69}"/>
    <cellStyle name="Normal 4 2 2 4" xfId="7182" xr:uid="{4E9749C0-E470-4ED6-9FD7-9357181CD77F}"/>
    <cellStyle name="Normal 4 2 2 4 2" xfId="7183" xr:uid="{0989F053-1B17-4370-AA33-EA4219FF855A}"/>
    <cellStyle name="Normal 4 2 2 4 2 2" xfId="7184" xr:uid="{9872B181-A897-4ECB-80EA-AA0618EC05B5}"/>
    <cellStyle name="Normal 4 2 2 4 2 2 2" xfId="7185" xr:uid="{7A64E7AC-35E3-4141-A191-1883662142B3}"/>
    <cellStyle name="Normal 4 2 2 4 2 2 2 2" xfId="7186" xr:uid="{631A4303-AF41-45B4-A8E5-C4B50644CD31}"/>
    <cellStyle name="Normal 4 2 2 4 2 2 3" xfId="7187" xr:uid="{FB9F1363-6BDE-4128-8FD3-3E30D3BD1E49}"/>
    <cellStyle name="Normal 4 2 2 4 2 3" xfId="7188" xr:uid="{42380AAB-46D3-4752-9425-9E65DB23C76C}"/>
    <cellStyle name="Normal 4 2 2 4 2 3 2" xfId="7189" xr:uid="{5AB85748-EE74-4C91-B393-5992D3E0DF95}"/>
    <cellStyle name="Normal 4 2 2 4 2 3 2 2" xfId="7190" xr:uid="{1B2B70A4-5145-4FF0-B083-EDBB72DB6D5F}"/>
    <cellStyle name="Normal 4 2 2 4 2 3 3" xfId="7191" xr:uid="{5CC46011-EFF2-4E37-850A-72FF856BEC8F}"/>
    <cellStyle name="Normal 4 2 2 4 2 4" xfId="7192" xr:uid="{F776A192-D80C-47BF-A504-3F6779884295}"/>
    <cellStyle name="Normal 4 2 2 4 2 4 2" xfId="7193" xr:uid="{D60DD5A4-C5A7-47C8-8899-21698D4E6F02}"/>
    <cellStyle name="Normal 4 2 2 4 2 5" xfId="7194" xr:uid="{DA1831A8-2FD4-4FA5-B233-C70607A51E92}"/>
    <cellStyle name="Normal 4 2 2 4 3" xfId="7195" xr:uid="{6AFF5A0E-FE0D-49FD-9001-98375AF23593}"/>
    <cellStyle name="Normal 4 2 2 4 3 2" xfId="7196" xr:uid="{2457B639-D5E4-4529-9785-B5A161805240}"/>
    <cellStyle name="Normal 4 2 2 4 3 2 2" xfId="7197" xr:uid="{206E084F-C710-41EE-8275-4E0957F95C7C}"/>
    <cellStyle name="Normal 4 2 2 4 3 2 2 2" xfId="7198" xr:uid="{DD14420A-C4F0-4FD9-8140-6996755BDA37}"/>
    <cellStyle name="Normal 4 2 2 4 3 2 3" xfId="7199" xr:uid="{2478CDA5-AD57-428F-99A7-E8AA31CD2338}"/>
    <cellStyle name="Normal 4 2 2 4 3 3" xfId="7200" xr:uid="{DBE78B94-AADF-4941-B06B-302E0A426838}"/>
    <cellStyle name="Normal 4 2 2 4 3 3 2" xfId="7201" xr:uid="{D31B03A1-5A1A-4E5D-AFCB-D4B493DB7B5A}"/>
    <cellStyle name="Normal 4 2 2 4 3 4" xfId="7202" xr:uid="{016779B9-5FFC-4CF7-A988-B340DF3FC2ED}"/>
    <cellStyle name="Normal 4 2 2 4 4" xfId="7203" xr:uid="{EF5D5C16-4FB2-42DA-9D8F-FAF4FED372F3}"/>
    <cellStyle name="Normal 4 2 2 4 5" xfId="7204" xr:uid="{BF324939-D758-408A-99D5-A5BC4E49CBEA}"/>
    <cellStyle name="Normal 4 2 2 4 5 2" xfId="7205" xr:uid="{6F2D5C0A-1078-40BE-8173-95371CF42DE5}"/>
    <cellStyle name="Normal 4 2 2 4 6" xfId="7206" xr:uid="{A7648CD7-299E-493A-B590-5BA4A66EDCB1}"/>
    <cellStyle name="Normal 4 2 2 5" xfId="7207" xr:uid="{E4BFF045-2323-4EAB-858E-1181A11896F9}"/>
    <cellStyle name="Normal 4 2 2 5 2" xfId="7208" xr:uid="{D0D2165C-ECD6-478A-98A1-6466B9D1D7A5}"/>
    <cellStyle name="Normal 4 2 2 5 2 2" xfId="7209" xr:uid="{46DCD4C3-0DCD-430C-9B56-0819E8E78575}"/>
    <cellStyle name="Normal 4 2 2 5 2 2 2" xfId="7210" xr:uid="{C8E4073B-CC95-4AC0-82F4-F5A23AF72FB1}"/>
    <cellStyle name="Normal 4 2 2 5 2 2 2 2" xfId="7211" xr:uid="{81DDA15B-03F0-4C69-9C47-B4BEC24E506A}"/>
    <cellStyle name="Normal 4 2 2 5 2 2 3" xfId="7212" xr:uid="{A904592D-3E2D-40F8-B527-B1333D47217F}"/>
    <cellStyle name="Normal 4 2 2 5 2 3" xfId="7213" xr:uid="{92C6BB82-B31B-444C-826D-68C907CF8A33}"/>
    <cellStyle name="Normal 4 2 2 5 2 3 2" xfId="7214" xr:uid="{5100D1E3-9137-4200-BC6E-5C98BD7F15F3}"/>
    <cellStyle name="Normal 4 2 2 5 2 3 2 2" xfId="7215" xr:uid="{981B063A-9059-4922-A614-2F1EC77FA4EA}"/>
    <cellStyle name="Normal 4 2 2 5 2 3 3" xfId="7216" xr:uid="{ADCC0E44-D126-4DB9-867E-68C458327DA1}"/>
    <cellStyle name="Normal 4 2 2 5 2 4" xfId="7217" xr:uid="{CA6DCA90-EE12-478F-9896-B8786FD78E3D}"/>
    <cellStyle name="Normal 4 2 2 5 2 4 2" xfId="7218" xr:uid="{AFE5780A-995C-4E5D-A260-1EE9A718AD7F}"/>
    <cellStyle name="Normal 4 2 2 5 2 5" xfId="7219" xr:uid="{0CF2BFB0-362D-4200-B606-6E6F078508E2}"/>
    <cellStyle name="Normal 4 2 2 5 3" xfId="7220" xr:uid="{483A6EE3-549C-4A08-B798-7BEDB838CA17}"/>
    <cellStyle name="Normal 4 2 2 5 3 2" xfId="7221" xr:uid="{1B48BF6D-3D01-4BFA-A9B4-FF4376078FB0}"/>
    <cellStyle name="Normal 4 2 2 5 3 2 2" xfId="7222" xr:uid="{3F10FB37-B63C-4478-A659-AD83BF4D7D28}"/>
    <cellStyle name="Normal 4 2 2 5 3 2 2 2" xfId="7223" xr:uid="{89B23951-84A1-4DA7-A821-776C57F0498F}"/>
    <cellStyle name="Normal 4 2 2 5 3 2 3" xfId="7224" xr:uid="{B82641C8-7233-4010-9123-22F8E6FD90FE}"/>
    <cellStyle name="Normal 4 2 2 5 3 3" xfId="7225" xr:uid="{C03CB79B-1FEF-4451-AE43-ED5B5C7BC200}"/>
    <cellStyle name="Normal 4 2 2 5 3 3 2" xfId="7226" xr:uid="{B246359B-E1D2-4682-9C42-9848DE292493}"/>
    <cellStyle name="Normal 4 2 2 5 3 4" xfId="7227" xr:uid="{ADC3B1D3-2B9F-4AA7-AE98-BE47C492BA69}"/>
    <cellStyle name="Normal 4 2 2 5 4" xfId="7228" xr:uid="{B89010D4-7E5A-4285-98C1-8052AD219A16}"/>
    <cellStyle name="Normal 4 2 2 5 5" xfId="7229" xr:uid="{9CAB9AAE-CE6F-49A0-866D-275DB6E9C00C}"/>
    <cellStyle name="Normal 4 2 2 5 5 2" xfId="7230" xr:uid="{790920B1-3584-45C2-B3FE-48BAAB6CA81D}"/>
    <cellStyle name="Normal 4 2 2 5 6" xfId="7231" xr:uid="{A3C6C513-B7A1-4363-89A5-BD46681884E6}"/>
    <cellStyle name="Normal 4 2 2 6" xfId="7232" xr:uid="{F4E7E577-14C2-4737-ACCA-2C14BB55FACA}"/>
    <cellStyle name="Normal 4 2 2 6 2" xfId="7233" xr:uid="{6F9F9F67-6E9B-446E-9299-21BFD466D9FE}"/>
    <cellStyle name="Normal 4 2 2 6 2 2" xfId="7234" xr:uid="{B636E4BF-F7E2-494E-873C-EB6830C081F2}"/>
    <cellStyle name="Normal 4 2 2 6 2 2 2" xfId="7235" xr:uid="{567B2B13-C8A0-446D-A022-99B876619423}"/>
    <cellStyle name="Normal 4 2 2 6 2 2 2 2" xfId="7236" xr:uid="{E1A01211-C053-485F-827D-520A71FFDE85}"/>
    <cellStyle name="Normal 4 2 2 6 2 2 3" xfId="7237" xr:uid="{508A3827-2973-4B9F-B647-F4382ED15EC6}"/>
    <cellStyle name="Normal 4 2 2 6 2 3" xfId="7238" xr:uid="{2E8444F7-B959-4850-AE50-D874D99084D2}"/>
    <cellStyle name="Normal 4 2 2 6 2 3 2" xfId="7239" xr:uid="{3911A4F4-4F3C-4B64-9C82-7019B69EA125}"/>
    <cellStyle name="Normal 4 2 2 6 2 3 2 2" xfId="7240" xr:uid="{F81F3972-A174-458A-8718-C9291352CF7E}"/>
    <cellStyle name="Normal 4 2 2 6 2 3 3" xfId="7241" xr:uid="{F7F25DC1-DEE9-492E-A336-FFE96E4AEE7B}"/>
    <cellStyle name="Normal 4 2 2 6 2 4" xfId="7242" xr:uid="{C70BAE1D-4797-4D9B-9324-B32633972387}"/>
    <cellStyle name="Normal 4 2 2 6 2 4 2" xfId="7243" xr:uid="{6904338E-6324-4D3C-99F5-97F94ECC0044}"/>
    <cellStyle name="Normal 4 2 2 6 2 5" xfId="7244" xr:uid="{56B40EFA-3BC3-49C7-A57A-772BE9FDC89F}"/>
    <cellStyle name="Normal 4 2 2 6 3" xfId="7245" xr:uid="{D6735449-59D1-4B08-BB26-FAA823328A48}"/>
    <cellStyle name="Normal 4 2 2 6 3 2" xfId="7246" xr:uid="{80A0ED48-4193-47A7-BB54-AD8729578781}"/>
    <cellStyle name="Normal 4 2 2 6 3 2 2" xfId="7247" xr:uid="{D3EA25DD-C4F5-43D9-8C70-D234CA4BC306}"/>
    <cellStyle name="Normal 4 2 2 6 3 2 2 2" xfId="7248" xr:uid="{43C5E33C-F50E-4882-9BB4-CC48164BC261}"/>
    <cellStyle name="Normal 4 2 2 6 3 2 3" xfId="7249" xr:uid="{E539E86F-7F67-4130-BDBB-26CA9045AFFD}"/>
    <cellStyle name="Normal 4 2 2 6 3 3" xfId="7250" xr:uid="{4508CBA6-90DB-42FE-9007-5ABCC38BC2EA}"/>
    <cellStyle name="Normal 4 2 2 6 3 3 2" xfId="7251" xr:uid="{2A882030-1332-4C48-95C3-7E5FD8098749}"/>
    <cellStyle name="Normal 4 2 2 6 3 4" xfId="7252" xr:uid="{2237F5AD-0050-41AA-8690-12241D3C4256}"/>
    <cellStyle name="Normal 4 2 2 6 4" xfId="7253" xr:uid="{C68E613F-3E56-4C2E-A742-230F5569AB10}"/>
    <cellStyle name="Normal 4 2 2 6 5" xfId="7254" xr:uid="{FB50965A-6EE9-4EA1-BFEA-A31DE524A16C}"/>
    <cellStyle name="Normal 4 2 2 6 5 2" xfId="7255" xr:uid="{F94EC5E3-B324-4521-BE13-BFA1C702D996}"/>
    <cellStyle name="Normal 4 2 2 6 6" xfId="7256" xr:uid="{58B5513F-1265-416F-8DDC-E0E2B8F7B476}"/>
    <cellStyle name="Normal 4 2 2 7" xfId="7257" xr:uid="{634DBB90-954A-45BC-B38C-40E0CBAAA0FC}"/>
    <cellStyle name="Normal 4 2 2 7 2" xfId="7258" xr:uid="{C9565CB7-8FA1-4E3A-A7D2-6D15B4D0C259}"/>
    <cellStyle name="Normal 4 2 2 7 2 2" xfId="7259" xr:uid="{1BFF46C8-43FB-4124-8E83-98C7D18EC1A4}"/>
    <cellStyle name="Normal 4 2 2 7 2 2 2" xfId="7260" xr:uid="{C0A7E6EA-A886-402C-96ED-E9BBA6E27392}"/>
    <cellStyle name="Normal 4 2 2 7 2 2 2 2" xfId="7261" xr:uid="{84471553-C9DF-45CD-AA63-2FA82DDB8C5F}"/>
    <cellStyle name="Normal 4 2 2 7 2 2 3" xfId="7262" xr:uid="{C61680B8-7844-4C0C-983A-DDE3E022F216}"/>
    <cellStyle name="Normal 4 2 2 7 2 3" xfId="7263" xr:uid="{F9032906-E0BD-4357-90C8-34E17402E270}"/>
    <cellStyle name="Normal 4 2 2 7 2 3 2" xfId="7264" xr:uid="{268FB5CC-6B46-4141-BAB0-395A0EBC8820}"/>
    <cellStyle name="Normal 4 2 2 7 2 3 2 2" xfId="7265" xr:uid="{883C609F-37BB-46F4-8345-223B9BA94478}"/>
    <cellStyle name="Normal 4 2 2 7 2 3 3" xfId="7266" xr:uid="{BC105994-E5E4-440E-B755-8808C2D625FC}"/>
    <cellStyle name="Normal 4 2 2 7 2 4" xfId="7267" xr:uid="{17E0686D-EECE-4929-87C7-E1114A9640DD}"/>
    <cellStyle name="Normal 4 2 2 7 2 4 2" xfId="7268" xr:uid="{3D115CDF-6CFD-4442-B7BE-8FBDD2660A07}"/>
    <cellStyle name="Normal 4 2 2 7 2 5" xfId="7269" xr:uid="{70B9E093-52CB-424C-BE94-10C92D4F5633}"/>
    <cellStyle name="Normal 4 2 2 7 3" xfId="7270" xr:uid="{010A31CA-1346-4292-85BD-149FFD88E035}"/>
    <cellStyle name="Normal 4 2 2 7 3 2" xfId="7271" xr:uid="{5AD1D754-1F95-4338-87CB-4270E2F33605}"/>
    <cellStyle name="Normal 4 2 2 7 3 2 2" xfId="7272" xr:uid="{B39CD7B3-C5FE-4EEF-BA5D-1BE88B8A5957}"/>
    <cellStyle name="Normal 4 2 2 7 3 2 2 2" xfId="7273" xr:uid="{E6B200B7-B428-4A49-B4D5-F4E6674B44BD}"/>
    <cellStyle name="Normal 4 2 2 7 3 2 3" xfId="7274" xr:uid="{999824F0-F11B-4AF3-A090-F959F48F3622}"/>
    <cellStyle name="Normal 4 2 2 7 3 3" xfId="7275" xr:uid="{1FCF82C1-B707-4B29-9553-C5BC4A17133F}"/>
    <cellStyle name="Normal 4 2 2 7 3 3 2" xfId="7276" xr:uid="{32A46224-8037-4CB2-82A2-3B3752295CB3}"/>
    <cellStyle name="Normal 4 2 2 7 3 4" xfId="7277" xr:uid="{A47D0193-98B6-4A20-BDE5-B5F609B5BBDD}"/>
    <cellStyle name="Normal 4 2 2 7 4" xfId="7278" xr:uid="{7E37E399-F5BA-4018-8184-41324900ABF3}"/>
    <cellStyle name="Normal 4 2 2 7 5" xfId="7279" xr:uid="{7A9CC9CB-E700-4CE3-A1C3-6A6BC761BAFC}"/>
    <cellStyle name="Normal 4 2 2 7 5 2" xfId="7280" xr:uid="{C72B2919-DE38-4081-B494-B7F94C4469F5}"/>
    <cellStyle name="Normal 4 2 2 7 6" xfId="7281" xr:uid="{C092A3FF-9BC3-4924-B029-8D46FC894B1F}"/>
    <cellStyle name="Normal 4 2 2 8" xfId="7282" xr:uid="{FE866995-7B1C-4D21-A48F-DE130B8FB1D3}"/>
    <cellStyle name="Normal 4 2 2 8 2" xfId="7283" xr:uid="{AD74E00E-8461-4E9C-B7D2-3876CCD43A43}"/>
    <cellStyle name="Normal 4 2 2 8 2 2" xfId="7284" xr:uid="{FDD779BA-BA90-43BD-8C5D-CDF826456E13}"/>
    <cellStyle name="Normal 4 2 2 8 2 2 2" xfId="7285" xr:uid="{9A9C80D9-1A5E-4F45-9856-1884026BAFDC}"/>
    <cellStyle name="Normal 4 2 2 8 2 2 2 2" xfId="7286" xr:uid="{CB14AD3E-1FCB-4C3A-9DA1-7629E3051698}"/>
    <cellStyle name="Normal 4 2 2 8 2 2 3" xfId="7287" xr:uid="{BC9FF9B4-A541-4C8A-B642-3E746493DCB4}"/>
    <cellStyle name="Normal 4 2 2 8 2 3" xfId="7288" xr:uid="{09B8131F-3502-479E-AD5A-6EACA234CD40}"/>
    <cellStyle name="Normal 4 2 2 8 2 3 2" xfId="7289" xr:uid="{A9C96698-F19D-4E7F-B197-3FA0466963E0}"/>
    <cellStyle name="Normal 4 2 2 8 2 3 2 2" xfId="7290" xr:uid="{5885F3AF-CD4E-485F-8EB5-3C516502BB71}"/>
    <cellStyle name="Normal 4 2 2 8 2 3 3" xfId="7291" xr:uid="{3AB679AC-1BF1-428B-BD0E-0F301B8008A1}"/>
    <cellStyle name="Normal 4 2 2 8 2 4" xfId="7292" xr:uid="{7C8525F4-4BCA-4FDD-AA3C-6D4B4674C832}"/>
    <cellStyle name="Normal 4 2 2 8 2 4 2" xfId="7293" xr:uid="{546560D9-A494-4111-A0E6-06FE1EFFCFB8}"/>
    <cellStyle name="Normal 4 2 2 8 2 5" xfId="7294" xr:uid="{E473FF59-2412-45F5-80B6-98CAAC37C41B}"/>
    <cellStyle name="Normal 4 2 2 8 3" xfId="7295" xr:uid="{531DF73D-72B3-439E-81B1-E386E65AC69B}"/>
    <cellStyle name="Normal 4 2 2 8 3 2" xfId="7296" xr:uid="{7D07FF9D-3A72-43CE-BC80-BFF43CFF49A6}"/>
    <cellStyle name="Normal 4 2 2 8 3 2 2" xfId="7297" xr:uid="{A5DA616F-CFC6-41A7-AF0C-422FFB25F7C5}"/>
    <cellStyle name="Normal 4 2 2 8 3 2 2 2" xfId="7298" xr:uid="{46EAC696-715A-42C9-86EA-A5B06582F296}"/>
    <cellStyle name="Normal 4 2 2 8 3 2 3" xfId="7299" xr:uid="{7F3C05A7-C3ED-484C-94C0-885861A44815}"/>
    <cellStyle name="Normal 4 2 2 8 3 3" xfId="7300" xr:uid="{59939276-1F7D-438D-9E91-D9001DCE6B5E}"/>
    <cellStyle name="Normal 4 2 2 8 3 3 2" xfId="7301" xr:uid="{F448DED0-D5A2-4831-A60A-6A396171E20E}"/>
    <cellStyle name="Normal 4 2 2 8 3 4" xfId="7302" xr:uid="{9FD7479A-C8CB-4380-A47F-791B4A84F33C}"/>
    <cellStyle name="Normal 4 2 2 8 4" xfId="7303" xr:uid="{67BD33D4-30EF-4465-8C3E-4F4E0C5F1FEF}"/>
    <cellStyle name="Normal 4 2 2 8 5" xfId="7304" xr:uid="{1111A59E-8ED7-4FAF-88CC-BEC802D9DC76}"/>
    <cellStyle name="Normal 4 2 2 8 5 2" xfId="7305" xr:uid="{5FA3C494-0CFA-4D44-B822-7A734589802F}"/>
    <cellStyle name="Normal 4 2 2 8 6" xfId="7306" xr:uid="{B66BD2C4-FA23-442A-B5DA-8D03D6613E57}"/>
    <cellStyle name="Normal 4 2 2 9" xfId="7307" xr:uid="{7EFCD53B-AB9C-4A85-B3C0-DD1A37E3AE0C}"/>
    <cellStyle name="Normal 4 2 2 9 2" xfId="7308" xr:uid="{391B8EAD-7086-4AF4-94CC-4CC8235827D2}"/>
    <cellStyle name="Normal 4 2 2 9 2 2" xfId="7309" xr:uid="{5A535F7E-F5E1-47DC-A6E4-737F787C09D7}"/>
    <cellStyle name="Normal 4 2 2 9 2 2 2" xfId="7310" xr:uid="{7B603456-6FB3-417D-B058-54B1EECACB1C}"/>
    <cellStyle name="Normal 4 2 2 9 2 2 2 2" xfId="7311" xr:uid="{7350D8A7-378A-4471-BE14-32969DA339C3}"/>
    <cellStyle name="Normal 4 2 2 9 2 2 3" xfId="7312" xr:uid="{ED557A5D-B1B6-4C3A-8091-C8BA3FF57963}"/>
    <cellStyle name="Normal 4 2 2 9 2 3" xfId="7313" xr:uid="{51AEAB57-53A5-466D-A50F-535A60EB6E82}"/>
    <cellStyle name="Normal 4 2 2 9 2 3 2" xfId="7314" xr:uid="{B23B2502-E7EA-473F-BB41-F3D96208404C}"/>
    <cellStyle name="Normal 4 2 2 9 2 3 2 2" xfId="7315" xr:uid="{0D692290-B50C-445E-A5C5-A393D71A8E57}"/>
    <cellStyle name="Normal 4 2 2 9 2 3 3" xfId="7316" xr:uid="{8AE52D5A-F13A-4E9C-AE49-5B3B584D1C86}"/>
    <cellStyle name="Normal 4 2 2 9 2 4" xfId="7317" xr:uid="{329EAF20-29E4-4DBF-A4A1-B6B7383919DE}"/>
    <cellStyle name="Normal 4 2 2 9 2 4 2" xfId="7318" xr:uid="{B860D3F8-C697-403E-8B51-8B1437821B66}"/>
    <cellStyle name="Normal 4 2 2 9 2 5" xfId="7319" xr:uid="{9AF5FC8F-0C30-49B1-9E50-2B093E4BCD1A}"/>
    <cellStyle name="Normal 4 2 2 9 3" xfId="7320" xr:uid="{0E68B590-7845-4E5E-85A4-D9C6084FBFFA}"/>
    <cellStyle name="Normal 4 2 2 9 3 2" xfId="7321" xr:uid="{980C4848-D2AF-43C4-A4AC-E8B5914CC8A8}"/>
    <cellStyle name="Normal 4 2 2 9 3 2 2" xfId="7322" xr:uid="{6004D575-1195-4118-846A-0B69C028B03C}"/>
    <cellStyle name="Normal 4 2 2 9 3 2 2 2" xfId="7323" xr:uid="{4BA62791-7126-41D5-80D8-49F7DBE6F966}"/>
    <cellStyle name="Normal 4 2 2 9 3 2 3" xfId="7324" xr:uid="{E5481AEA-E466-44E9-BAEE-2716CBD20C61}"/>
    <cellStyle name="Normal 4 2 2 9 3 3" xfId="7325" xr:uid="{FAB89719-34A2-4C99-8BB8-392B5BA61D58}"/>
    <cellStyle name="Normal 4 2 2 9 3 3 2" xfId="7326" xr:uid="{C03A8DAA-9BE0-477E-992E-5963AEBFD1D2}"/>
    <cellStyle name="Normal 4 2 2 9 3 4" xfId="7327" xr:uid="{CFD4DD2F-11F5-4D99-ACD6-FA39E845F125}"/>
    <cellStyle name="Normal 4 2 2 9 4" xfId="7328" xr:uid="{2FF1B64B-2E4D-404D-8582-5DE4F5745480}"/>
    <cellStyle name="Normal 4 2 2 9 5" xfId="7329" xr:uid="{C3936A7C-7C60-4542-A653-AB1EB19E4342}"/>
    <cellStyle name="Normal 4 2 2 9 5 2" xfId="7330" xr:uid="{9B0F959C-5310-44BB-81FA-B17132D893E8}"/>
    <cellStyle name="Normal 4 2 2 9 6" xfId="7331" xr:uid="{2C321B89-826D-42FC-8E13-6A2BC1531BEC}"/>
    <cellStyle name="Normal 4 2 3" xfId="7332" xr:uid="{77EA8D85-F4A5-4A83-BDE1-4B0F87AF9189}"/>
    <cellStyle name="Normal 4 2 3 2" xfId="7333" xr:uid="{46E9E957-5151-47DB-A6F6-D268D3395A40}"/>
    <cellStyle name="Normal 4 2 3 2 2" xfId="7334" xr:uid="{4BB18C8B-1EDE-4B8F-BC75-8739807E022E}"/>
    <cellStyle name="Normal 4 2 3 2 2 2" xfId="7335" xr:uid="{548B55D7-83D5-4853-93E6-26115F50DDC4}"/>
    <cellStyle name="Normal 4 2 3 2 2 2 2" xfId="7336" xr:uid="{01A5B856-AB22-4729-B30B-FBF7764A0FF4}"/>
    <cellStyle name="Normal 4 2 3 2 2 2 2 2" xfId="7337" xr:uid="{EA7B6E56-05F4-4D30-99D2-904C59581069}"/>
    <cellStyle name="Normal 4 2 3 2 2 2 3" xfId="7338" xr:uid="{EB2CD56F-D738-4007-A77C-0E8C5D03E8AD}"/>
    <cellStyle name="Normal 4 2 3 2 2 3" xfId="7339" xr:uid="{652AEED6-68E4-4467-94D9-A6342F830197}"/>
    <cellStyle name="Normal 4 2 3 2 2 3 2" xfId="7340" xr:uid="{3B23573A-8179-4610-B6D3-638E552B64B0}"/>
    <cellStyle name="Normal 4 2 3 2 2 3 2 2" xfId="7341" xr:uid="{8FEC7CC4-CE18-4C7B-AEBB-E08957F1C771}"/>
    <cellStyle name="Normal 4 2 3 2 2 3 3" xfId="7342" xr:uid="{7BE65A0A-BBB0-40F0-934C-11B69E64E01C}"/>
    <cellStyle name="Normal 4 2 3 2 2 4" xfId="7343" xr:uid="{194F3C60-97DB-4869-A523-0B9172EE5BF7}"/>
    <cellStyle name="Normal 4 2 3 2 2 4 2" xfId="7344" xr:uid="{C651D331-99AD-4D2B-954C-49A50883F120}"/>
    <cellStyle name="Normal 4 2 3 2 2 5" xfId="7345" xr:uid="{A1B8C282-0379-47E5-8DC5-4BAA9E8E05BF}"/>
    <cellStyle name="Normal 4 2 3 2 3" xfId="7346" xr:uid="{9A266A90-D876-467C-B2F1-57DF8E7573F2}"/>
    <cellStyle name="Normal 4 2 3 2 3 2" xfId="7347" xr:uid="{143E2C93-35E8-48DD-A1FE-8F69A62A3D85}"/>
    <cellStyle name="Normal 4 2 3 2 3 2 2" xfId="7348" xr:uid="{58BA2652-25C0-42CB-82A6-91F8C8358BFB}"/>
    <cellStyle name="Normal 4 2 3 2 3 3" xfId="7349" xr:uid="{D24292F3-5E22-47C8-8A5F-5DB4D19917CF}"/>
    <cellStyle name="Normal 4 2 3 2 3 4" xfId="7350" xr:uid="{1B25C739-49B2-462F-B5A8-85061788BE05}"/>
    <cellStyle name="Normal 4 2 3 2 4" xfId="7351" xr:uid="{30061121-400F-4730-86D6-BC2BBC88E2E1}"/>
    <cellStyle name="Normal 4 2 3 2 4 2" xfId="7352" xr:uid="{A20030A9-1BCF-4768-92B2-CA33EC2B4915}"/>
    <cellStyle name="Normal 4 2 3 2 4 2 2" xfId="7353" xr:uid="{55D2EA20-5345-4635-B582-C7993BAA6145}"/>
    <cellStyle name="Normal 4 2 3 2 4 3" xfId="7354" xr:uid="{8A645AA9-FB4B-4814-A666-FA737B7BC1AA}"/>
    <cellStyle name="Normal 4 2 3 2 5" xfId="7355" xr:uid="{764EAC22-B573-475A-A78D-0A3434DA13A0}"/>
    <cellStyle name="Normal 4 2 3 2 5 2" xfId="7356" xr:uid="{11791830-366A-49D4-A2C2-43F4EC626131}"/>
    <cellStyle name="Normal 4 2 3 2 6" xfId="7357" xr:uid="{F965C55A-DD7D-4139-A78F-5FD5AED73BC2}"/>
    <cellStyle name="Normal 4 2 3 3" xfId="7358" xr:uid="{43BD4E9D-FE9E-46A2-8DD0-6DDA5A98619C}"/>
    <cellStyle name="Normal 4 2 3 4" xfId="7359" xr:uid="{CC36B9D0-76E1-429B-A379-5360FE573923}"/>
    <cellStyle name="Normal 4 2 4" xfId="7360" xr:uid="{5C0E512E-4913-497C-AD68-D4125CC1DF95}"/>
    <cellStyle name="Normal 4 2 5" xfId="7361" xr:uid="{5383C655-FC17-4381-A7D1-D44FE5B0CB04}"/>
    <cellStyle name="Normal 4 2 6" xfId="7362" xr:uid="{F20BDD8C-AD4A-4D41-A24C-2A3A70EA6DC7}"/>
    <cellStyle name="Normal 4 2 7" xfId="7363" xr:uid="{46F4BD09-ECD8-4F18-B0DA-F34ADBEB4FE4}"/>
    <cellStyle name="Normal 4 2 8" xfId="7364" xr:uid="{16D80809-B304-43C3-A7CB-745AFCA1C732}"/>
    <cellStyle name="Normal 4 2 9" xfId="7365" xr:uid="{5EB288A5-7613-4033-A1D1-4BE0F8EFEBF1}"/>
    <cellStyle name="Normal 4 2 9 2" xfId="7366" xr:uid="{7E425DF5-6594-4FF8-8C60-7E8BF7FAE628}"/>
    <cellStyle name="Normal 4 2 9 3" xfId="7367" xr:uid="{4EE80179-342F-42AA-BFA5-6F5DF97F34D4}"/>
    <cellStyle name="Normal 4 2 9 3 2" xfId="7368" xr:uid="{346934A6-3CAF-4E9E-BAD5-2743D09791EA}"/>
    <cellStyle name="Normal 4 2 9 3 2 2" xfId="7369" xr:uid="{6BFE6962-D5E7-46D2-B7FC-0C44AE61E5F8}"/>
    <cellStyle name="Normal 4 2 9 3 3" xfId="7370" xr:uid="{62EEBA67-6A7B-42F3-8EB3-D4B1CFDA5FB2}"/>
    <cellStyle name="Normal 4 2_Scen_XBase" xfId="7371" xr:uid="{A9C79A1F-5015-4544-8C3B-911F353B7FAA}"/>
    <cellStyle name="Normal 4 3" xfId="7372" xr:uid="{0AFE9521-0708-49DD-9702-3152E6A0B6B5}"/>
    <cellStyle name="Normal 4 3 10" xfId="7373" xr:uid="{1EB56BAD-AE06-4093-B5AB-91460A6D6E3D}"/>
    <cellStyle name="Normal 4 3 10 2" xfId="7374" xr:uid="{11922BF4-52E3-43FB-B068-E226E16359D9}"/>
    <cellStyle name="Normal 4 3 10 2 2" xfId="7375" xr:uid="{7E6CB1F3-E1E5-4C40-848B-63E6A3CF1B28}"/>
    <cellStyle name="Normal 4 3 10 2 2 2" xfId="7376" xr:uid="{D9870B78-AF86-4190-BE69-206B4E65457A}"/>
    <cellStyle name="Normal 4 3 10 2 3" xfId="7377" xr:uid="{6CCB0193-D05B-45FA-B603-9E0A2DCF11BA}"/>
    <cellStyle name="Normal 4 3 10 3" xfId="7378" xr:uid="{D6F6E53D-8AFE-433F-ABA0-C727F7FD809E}"/>
    <cellStyle name="Normal 4 3 10 3 2" xfId="7379" xr:uid="{E0404023-B820-4FFE-9BA4-DD11739C5A8D}"/>
    <cellStyle name="Normal 4 3 10 3 2 2" xfId="7380" xr:uid="{A52CACFA-C26E-46A3-880B-42CE5BC08E28}"/>
    <cellStyle name="Normal 4 3 10 3 3" xfId="7381" xr:uid="{C34A0113-D8FA-4459-AF89-2325C07CA663}"/>
    <cellStyle name="Normal 4 3 10 4" xfId="7382" xr:uid="{FF68E04D-11D8-4C98-9B50-847A125B06FE}"/>
    <cellStyle name="Normal 4 3 10 4 2" xfId="7383" xr:uid="{1DEEA9F9-4E07-427A-A40D-06C5CDCD544C}"/>
    <cellStyle name="Normal 4 3 10 5" xfId="7384" xr:uid="{53CB1F6F-1C23-43F0-8DFA-1D85FF434951}"/>
    <cellStyle name="Normal 4 3 11" xfId="7385" xr:uid="{39606D75-631C-42F0-B2C4-6A4FFF84B670}"/>
    <cellStyle name="Normal 4 3 11 2" xfId="7386" xr:uid="{46A546B7-D9AD-4C81-9A1F-A7FADC0CC81C}"/>
    <cellStyle name="Normal 4 3 11 2 2" xfId="7387" xr:uid="{8F08E8C1-C1F6-475E-B26F-D80D07775252}"/>
    <cellStyle name="Normal 4 3 11 2 2 2" xfId="7388" xr:uid="{D8485B03-669D-4935-93C0-655522A9B281}"/>
    <cellStyle name="Normal 4 3 11 2 3" xfId="7389" xr:uid="{C857F7E1-2EE0-4594-AC17-5C8E441400AB}"/>
    <cellStyle name="Normal 4 3 11 3" xfId="7390" xr:uid="{B109EB5B-C8BF-4D50-9B5A-A02CB70FE8B0}"/>
    <cellStyle name="Normal 4 3 11 3 2" xfId="7391" xr:uid="{2D54011C-5B58-4FC3-A193-95846E4ED470}"/>
    <cellStyle name="Normal 4 3 11 4" xfId="7392" xr:uid="{D2C85565-9014-46BD-A196-8CC055EA9EC9}"/>
    <cellStyle name="Normal 4 3 12" xfId="7393" xr:uid="{C670F0AE-9743-4745-B032-9303E9CFD3C0}"/>
    <cellStyle name="Normal 4 3 12 2" xfId="7394" xr:uid="{D03BC3D9-432A-45BC-A5A5-117BDDF84716}"/>
    <cellStyle name="Normal 4 3 2" xfId="7395" xr:uid="{3515CEF6-1538-4D3C-A8E6-B2BE4EE4E204}"/>
    <cellStyle name="Normal 4 3 2 2" xfId="7396" xr:uid="{D2A7E4C4-F42C-4EEA-877E-11942932EBEF}"/>
    <cellStyle name="Normal 4 3 2 3" xfId="7397" xr:uid="{1323B820-FA46-4A37-A163-529CB26B423E}"/>
    <cellStyle name="Normal 4 3 3" xfId="7398" xr:uid="{E207F563-7527-4BF4-A923-D6CA23F0B173}"/>
    <cellStyle name="Normal 4 3 3 2" xfId="7399" xr:uid="{9F106351-A556-42C6-97C8-00360EFCC567}"/>
    <cellStyle name="Normal 4 3 3 2 2" xfId="7400" xr:uid="{C9A1F6BF-3B5A-413C-946F-BB45BEBDF130}"/>
    <cellStyle name="Normal 4 3 3 2 2 2" xfId="7401" xr:uid="{EE152629-6423-4741-BA3A-EC4AD0D3CAB9}"/>
    <cellStyle name="Normal 4 3 3 2 2 2 2" xfId="7402" xr:uid="{A4A858F8-CC73-40F5-A6B4-51A7028CB0E4}"/>
    <cellStyle name="Normal 4 3 3 2 2 2 2 2" xfId="7403" xr:uid="{537C438D-D9CD-4E6D-87B8-63A62EBE6249}"/>
    <cellStyle name="Normal 4 3 3 2 2 2 3" xfId="7404" xr:uid="{449B7583-ED99-47E3-B441-4A9FB363CE80}"/>
    <cellStyle name="Normal 4 3 3 2 2 3" xfId="7405" xr:uid="{B071766D-65EF-4B2B-AB51-71A61885BAE0}"/>
    <cellStyle name="Normal 4 3 3 2 2 3 2" xfId="7406" xr:uid="{E423C9B9-FEFF-45C6-B781-6BE9104E5C6E}"/>
    <cellStyle name="Normal 4 3 3 2 2 3 2 2" xfId="7407" xr:uid="{752CE612-F4E4-4F4C-B612-4CC4BAC28913}"/>
    <cellStyle name="Normal 4 3 3 2 2 3 3" xfId="7408" xr:uid="{48C5B5F0-79BD-411A-9129-532F45CB7990}"/>
    <cellStyle name="Normal 4 3 3 2 2 4" xfId="7409" xr:uid="{F967C63D-961C-476E-806A-171B0DFFE33C}"/>
    <cellStyle name="Normal 4 3 3 2 2 4 2" xfId="7410" xr:uid="{AEF7D2D4-036C-4D09-A5F7-C3E84F0DBA0C}"/>
    <cellStyle name="Normal 4 3 3 2 2 5" xfId="7411" xr:uid="{59753243-8F1D-4CAB-A09B-EFB5E9159FBA}"/>
    <cellStyle name="Normal 4 3 3 2 3" xfId="7412" xr:uid="{E47FC89B-2C52-47C4-BFA7-5E5C3579AE53}"/>
    <cellStyle name="Normal 4 3 3 2 3 2" xfId="7413" xr:uid="{8BC4FD52-0149-4233-B948-1818A1CBDEF4}"/>
    <cellStyle name="Normal 4 3 3 2 3 2 2" xfId="7414" xr:uid="{2ACA7CA8-96DD-468E-A05C-1350ECD89654}"/>
    <cellStyle name="Normal 4 3 3 2 3 3" xfId="7415" xr:uid="{92DAAD76-0002-4E64-A2A3-D660703B2ADD}"/>
    <cellStyle name="Normal 4 3 3 2 4" xfId="7416" xr:uid="{5165406B-39B7-4AEA-B0E1-1D2E05E332DF}"/>
    <cellStyle name="Normal 4 3 3 2 4 2" xfId="7417" xr:uid="{A3B6354E-EF51-4AC8-B7D3-9292C59A42F8}"/>
    <cellStyle name="Normal 4 3 3 2 4 2 2" xfId="7418" xr:uid="{560B9D84-8F08-408E-9FAD-50321C27ADF7}"/>
    <cellStyle name="Normal 4 3 3 2 4 3" xfId="7419" xr:uid="{F0CB9AA8-56C2-4B46-9903-E13475D6C557}"/>
    <cellStyle name="Normal 4 3 3 2 5" xfId="7420" xr:uid="{CB3DCC9E-8848-4FCE-8F7B-22419C2B6382}"/>
    <cellStyle name="Normal 4 3 3 2 5 2" xfId="7421" xr:uid="{121BFA00-AF6B-477C-B91F-4E505E8232A9}"/>
    <cellStyle name="Normal 4 3 3 2 6" xfId="7422" xr:uid="{664D80FC-5B7F-42EC-A957-99314A53E45B}"/>
    <cellStyle name="Normal 4 3 3 3" xfId="7423" xr:uid="{9F9F3792-51D5-4CAF-80D6-72BADA8CB3F5}"/>
    <cellStyle name="Normal 4 3 3 4" xfId="7424" xr:uid="{200FEB7B-124A-4160-84F3-B11BBA23E58D}"/>
    <cellStyle name="Normal 4 3 3 4 2" xfId="7425" xr:uid="{34A1558F-DD8E-4847-8DD9-15B03DCEFED3}"/>
    <cellStyle name="Normal 4 3 3 4 2 2" xfId="7426" xr:uid="{2E338AFF-4A9A-4821-82D6-2964A61BFE79}"/>
    <cellStyle name="Normal 4 3 3 4 2 2 2" xfId="7427" xr:uid="{3B28898B-B31B-4E99-8A66-A11E385A159C}"/>
    <cellStyle name="Normal 4 3 3 4 2 3" xfId="7428" xr:uid="{CCBFF39F-2690-49C6-9E5A-DD046B4B3D76}"/>
    <cellStyle name="Normal 4 3 3 4 3" xfId="7429" xr:uid="{0AA05BE8-57D0-4590-A99A-4212BA95997A}"/>
    <cellStyle name="Normal 4 3 3 4 3 2" xfId="7430" xr:uid="{69BD0905-01E9-446F-927E-5D068A8998F3}"/>
    <cellStyle name="Normal 4 3 3 4 3 2 2" xfId="7431" xr:uid="{A7066AF7-C011-4119-935D-A1957A850B24}"/>
    <cellStyle name="Normal 4 3 3 4 3 3" xfId="7432" xr:uid="{5259D05C-949B-479D-B7E9-26BD92AE0CA2}"/>
    <cellStyle name="Normal 4 3 3 4 4" xfId="7433" xr:uid="{96A47C27-B704-455F-8E64-CFB50C355D79}"/>
    <cellStyle name="Normal 4 3 3 4 4 2" xfId="7434" xr:uid="{3D8F330D-FA5F-4067-9721-C9BC7FB54AA3}"/>
    <cellStyle name="Normal 4 3 3 4 5" xfId="7435" xr:uid="{3CEA8045-B6F0-4335-B732-91692EA1E9EB}"/>
    <cellStyle name="Normal 4 3 3 5" xfId="7436" xr:uid="{B2ACCED8-D8AD-49E4-8636-3B849F1C3242}"/>
    <cellStyle name="Normal 4 3 3 5 2" xfId="7437" xr:uid="{E62D0CD8-A2E6-402E-8DEE-5C4BE67B1483}"/>
    <cellStyle name="Normal 4 3 3 5 2 2" xfId="7438" xr:uid="{1E24E709-A0D7-429C-985C-CDB8B0C7A4D7}"/>
    <cellStyle name="Normal 4 3 3 5 2 2 2" xfId="7439" xr:uid="{A5257F39-F04E-4442-A266-28C09508FA87}"/>
    <cellStyle name="Normal 4 3 3 5 2 3" xfId="7440" xr:uid="{B5179793-7B53-4A03-8A5A-85E9D194A613}"/>
    <cellStyle name="Normal 4 3 3 5 3" xfId="7441" xr:uid="{19BA1768-C5B5-4A55-BC2F-8E6CCD7938C2}"/>
    <cellStyle name="Normal 4 3 3 5 3 2" xfId="7442" xr:uid="{677A3E3F-73D9-48CD-AC1B-86FB748969E8}"/>
    <cellStyle name="Normal 4 3 3 5 4" xfId="7443" xr:uid="{2E792609-BA8E-4748-AB82-049D71ADD6C2}"/>
    <cellStyle name="Normal 4 3 3 6" xfId="7444" xr:uid="{068D791E-514E-4EB0-B18F-1379511DF223}"/>
    <cellStyle name="Normal 4 3 3 6 2" xfId="7445" xr:uid="{326B8596-5412-4AA9-A604-7D7E14997A8A}"/>
    <cellStyle name="Normal 4 3 4" xfId="7446" xr:uid="{A5AF3E2B-45B1-4D91-AE03-142573B98144}"/>
    <cellStyle name="Normal 4 3 4 2" xfId="7447" xr:uid="{34B0B741-2CA9-46EC-B2B3-D9D1AA7DFF18}"/>
    <cellStyle name="Normal 4 3 4 3" xfId="7448" xr:uid="{4533E80E-2731-4D77-BC2D-C44617FFAA74}"/>
    <cellStyle name="Normal 4 3 4 4" xfId="7449" xr:uid="{DD646722-4E32-4422-8ED8-20C2E9E05418}"/>
    <cellStyle name="Normal 4 3 4 4 2" xfId="7450" xr:uid="{FDE83068-0352-490B-BA16-59FCE975DEFF}"/>
    <cellStyle name="Normal 4 3 4 4 2 2" xfId="7451" xr:uid="{C226C01B-5F08-4E9A-8493-278971BF9D0D}"/>
    <cellStyle name="Normal 4 3 4 4 2 2 2" xfId="7452" xr:uid="{B060570E-5206-4819-84BA-D2324DC52353}"/>
    <cellStyle name="Normal 4 3 4 4 2 3" xfId="7453" xr:uid="{A0FCBD3A-6318-459C-A6C8-822B18C30445}"/>
    <cellStyle name="Normal 4 3 4 4 3" xfId="7454" xr:uid="{0D14F1E6-60EA-4798-89B6-516C498B727E}"/>
    <cellStyle name="Normal 4 3 4 4 3 2" xfId="7455" xr:uid="{F30253E6-5AF7-4B7D-86C6-5DB978357F61}"/>
    <cellStyle name="Normal 4 3 4 4 3 2 2" xfId="7456" xr:uid="{509F4F52-3DD3-47B1-A26B-A083081B6F62}"/>
    <cellStyle name="Normal 4 3 4 4 3 3" xfId="7457" xr:uid="{AE6434CA-050D-46CC-AE82-4A49AF69D3D6}"/>
    <cellStyle name="Normal 4 3 4 4 4" xfId="7458" xr:uid="{E545D891-A155-4769-80B9-CC481CD3FD91}"/>
    <cellStyle name="Normal 4 3 4 4 4 2" xfId="7459" xr:uid="{F0B6D4E4-ED1A-4C80-B794-F50824E8F1B1}"/>
    <cellStyle name="Normal 4 3 4 4 5" xfId="7460" xr:uid="{C053975F-EBFD-4AA6-B4CA-C7C1AEA3575E}"/>
    <cellStyle name="Normal 4 3 4 5" xfId="7461" xr:uid="{300800F6-6C80-42BB-BA6C-0C79D110B2F8}"/>
    <cellStyle name="Normal 4 3 4 5 2" xfId="7462" xr:uid="{1C55C704-5CBA-4672-8FC5-5B63CB4D75B4}"/>
    <cellStyle name="Normal 4 3 4 5 2 2" xfId="7463" xr:uid="{E4CDD854-D0A3-44C6-BD4C-6433437523BD}"/>
    <cellStyle name="Normal 4 3 4 5 2 2 2" xfId="7464" xr:uid="{4DBE44F4-36E4-4F53-B578-5718EA8F3FAF}"/>
    <cellStyle name="Normal 4 3 4 5 2 3" xfId="7465" xr:uid="{C04ECBBD-8074-414E-936F-19E73B1B8DED}"/>
    <cellStyle name="Normal 4 3 4 5 3" xfId="7466" xr:uid="{2D51BB50-9C38-4923-B515-41D1C48B86B6}"/>
    <cellStyle name="Normal 4 3 4 5 3 2" xfId="7467" xr:uid="{3B42C931-3325-47FD-961C-35220A4CCCCA}"/>
    <cellStyle name="Normal 4 3 4 5 4" xfId="7468" xr:uid="{12C3EB79-44F8-40A5-BFD1-653F7237B995}"/>
    <cellStyle name="Normal 4 3 4 6" xfId="7469" xr:uid="{7D808B61-D94C-4CC4-802E-811990FA0348}"/>
    <cellStyle name="Normal 4 3 4 6 2" xfId="7470" xr:uid="{7B6E3E03-DD07-494F-8E43-8D0539FC344C}"/>
    <cellStyle name="Normal 4 3 5" xfId="7471" xr:uid="{C1F2F0FA-F958-4174-8811-CD6731091894}"/>
    <cellStyle name="Normal 4 3 5 2" xfId="7472" xr:uid="{C46EF0CE-9718-40FD-8222-7A167C8FD68A}"/>
    <cellStyle name="Normal 4 3 5 3" xfId="7473" xr:uid="{3EBE3CDD-097A-4163-B66F-E4CD6FE990E0}"/>
    <cellStyle name="Normal 4 3 5 3 2" xfId="7474" xr:uid="{F2ABF60D-8787-4649-8C1D-89741858BEB4}"/>
    <cellStyle name="Normal 4 3 5 3 2 2" xfId="7475" xr:uid="{427503DD-AB05-4ACA-BFE7-4C1B92F392B5}"/>
    <cellStyle name="Normal 4 3 5 3 2 2 2" xfId="7476" xr:uid="{CA2CD14B-95AC-4B45-992B-93CBCD838301}"/>
    <cellStyle name="Normal 4 3 5 3 2 3" xfId="7477" xr:uid="{682C5EF0-1417-418E-B8B6-20D6882CA87D}"/>
    <cellStyle name="Normal 4 3 5 3 3" xfId="7478" xr:uid="{33146DD8-6398-49A5-876D-D8887F64C6F9}"/>
    <cellStyle name="Normal 4 3 5 3 3 2" xfId="7479" xr:uid="{8DDEC159-D8C5-4389-B8B5-A29724C5293C}"/>
    <cellStyle name="Normal 4 3 5 3 3 2 2" xfId="7480" xr:uid="{45EDB646-4F49-49DF-9124-4213FB54D062}"/>
    <cellStyle name="Normal 4 3 5 3 3 3" xfId="7481" xr:uid="{2F24B76B-35C9-4DB1-9118-48B6B7DC37F3}"/>
    <cellStyle name="Normal 4 3 5 3 4" xfId="7482" xr:uid="{CABB478F-162B-4925-816C-B23C5B03EE7D}"/>
    <cellStyle name="Normal 4 3 5 3 4 2" xfId="7483" xr:uid="{CD50DAEB-5398-4F9A-897D-D0421CDFE27E}"/>
    <cellStyle name="Normal 4 3 5 3 5" xfId="7484" xr:uid="{49955E54-2E5C-469D-A0CD-C44CDA620E9E}"/>
    <cellStyle name="Normal 4 3 5 4" xfId="7485" xr:uid="{9936BBA8-15FB-438C-92E5-81B78FD7735E}"/>
    <cellStyle name="Normal 4 3 5 4 2" xfId="7486" xr:uid="{DD73345F-1F56-43C9-B507-8B8DECD5CA09}"/>
    <cellStyle name="Normal 4 3 5 4 2 2" xfId="7487" xr:uid="{6D72134A-5313-4D41-85B2-B65CAAFED377}"/>
    <cellStyle name="Normal 4 3 5 4 2 2 2" xfId="7488" xr:uid="{9491DF8D-3BF5-471C-A334-0E6293591108}"/>
    <cellStyle name="Normal 4 3 5 4 2 3" xfId="7489" xr:uid="{D6312F9D-B189-4865-B494-ABD774B4E0E9}"/>
    <cellStyle name="Normal 4 3 5 4 3" xfId="7490" xr:uid="{F8512298-14E5-4CA7-A392-8BFE89F43C17}"/>
    <cellStyle name="Normal 4 3 5 4 3 2" xfId="7491" xr:uid="{A0B50915-671F-452A-B9D1-9AABF084C542}"/>
    <cellStyle name="Normal 4 3 5 4 4" xfId="7492" xr:uid="{A7C90940-BFB9-46AC-A10D-5F949E10FD56}"/>
    <cellStyle name="Normal 4 3 5 5" xfId="7493" xr:uid="{D31128F6-B8D6-4F9C-B7CA-BC1E9FCF51F5}"/>
    <cellStyle name="Normal 4 3 5 5 2" xfId="7494" xr:uid="{71BC8139-99D1-4F27-A064-3C6B1B18EA01}"/>
    <cellStyle name="Normal 4 3 6" xfId="7495" xr:uid="{71F61239-CBD2-45CD-8A80-62733BD5B7A7}"/>
    <cellStyle name="Normal 4 3 7" xfId="7496" xr:uid="{97A11418-DB32-4898-90F0-087A6443C64E}"/>
    <cellStyle name="Normal 4 3 8" xfId="7497" xr:uid="{08BA4A77-D5A5-4C5F-85D8-45EED6E2F0B4}"/>
    <cellStyle name="Normal 4 3 9" xfId="7498" xr:uid="{0B4C6786-995E-4269-AEFB-A57BE0871180}"/>
    <cellStyle name="Normal 4 3 9 2" xfId="7499" xr:uid="{A9315805-C076-4EEE-B8F7-2A83D69C1D85}"/>
    <cellStyle name="Normal 4 3 9 2 2" xfId="7500" xr:uid="{90C8BF32-04EA-4313-BDC4-485642C01CF9}"/>
    <cellStyle name="Normal 4 3 9 2 2 2" xfId="7501" xr:uid="{71D12ADC-7D28-4919-A7B5-9F4149713E0E}"/>
    <cellStyle name="Normal 4 3 9 2 2 2 2" xfId="7502" xr:uid="{7922D764-39FF-4F72-8A5F-85EE38A268CC}"/>
    <cellStyle name="Normal 4 3 9 2 2 3" xfId="7503" xr:uid="{4687C001-4060-46D6-A452-71DDDDF32506}"/>
    <cellStyle name="Normal 4 3 9 2 3" xfId="7504" xr:uid="{B7FD20E3-E56F-4D2B-91CC-B1D8CE962BDC}"/>
    <cellStyle name="Normal 4 3 9 2 3 2" xfId="7505" xr:uid="{DFA2905C-AB9F-483A-85DC-FFE6AC0946C0}"/>
    <cellStyle name="Normal 4 3 9 2 3 2 2" xfId="7506" xr:uid="{8DA5AE68-3819-4959-ACAA-5E9E5A93190B}"/>
    <cellStyle name="Normal 4 3 9 2 3 3" xfId="7507" xr:uid="{5B7D49B5-9413-4A63-8BAE-2C283E805021}"/>
    <cellStyle name="Normal 4 3 9 2 4" xfId="7508" xr:uid="{C197C66B-4CCE-4F86-B5CF-580FEB87F886}"/>
    <cellStyle name="Normal 4 3 9 2 4 2" xfId="7509" xr:uid="{5B9A67D7-BEB5-4E97-82F9-7EFE6CAE2E47}"/>
    <cellStyle name="Normal 4 3 9 2 5" xfId="7510" xr:uid="{0B7DCF50-97BD-4792-A661-377FD0F8043B}"/>
    <cellStyle name="Normal 4 3 9 3" xfId="7511" xr:uid="{186F8200-3951-400D-9967-9AFC917B2ECB}"/>
    <cellStyle name="Normal 4 3 9 3 2" xfId="7512" xr:uid="{7C872DD1-7F84-449B-8AAC-27A803DAF10B}"/>
    <cellStyle name="Normal 4 3 9 3 2 2" xfId="7513" xr:uid="{A8A38CD5-3C75-4BF2-A1F8-C368DA5691CD}"/>
    <cellStyle name="Normal 4 3 9 3 3" xfId="7514" xr:uid="{29A2E4CA-A993-4D76-8483-225D8655219B}"/>
    <cellStyle name="Normal 4 3 9 4" xfId="7515" xr:uid="{E8D2235B-0F71-4719-A1A9-E0C739D5FA33}"/>
    <cellStyle name="Normal 4 3 9 4 2" xfId="7516" xr:uid="{B8BA9369-F093-4AF9-8C1C-E013B14DC6B7}"/>
    <cellStyle name="Normal 4 3 9 4 2 2" xfId="7517" xr:uid="{D383BEB8-9DF8-4E05-96FD-204777BF3B1E}"/>
    <cellStyle name="Normal 4 3 9 4 3" xfId="7518" xr:uid="{A87121CC-A5D6-441A-B518-AE055FEBA4E3}"/>
    <cellStyle name="Normal 4 3 9 5" xfId="7519" xr:uid="{2B13A03E-058E-4C9D-B54C-18CD2257E98F}"/>
    <cellStyle name="Normal 4 3 9 5 2" xfId="7520" xr:uid="{F2D257DD-236B-4392-94A0-8DEBB7F0E4D2}"/>
    <cellStyle name="Normal 4 3 9 6" xfId="7521" xr:uid="{315223A9-7736-4F81-949C-BB3916E27CF3}"/>
    <cellStyle name="Normal 4 3_Scen_XBase" xfId="7522" xr:uid="{4C79554A-EB39-4D85-B2C1-A3E2AD880AC0}"/>
    <cellStyle name="Normal 4 4" xfId="7523" xr:uid="{1E316DCC-AC90-4058-B436-41A5F8B6B23A}"/>
    <cellStyle name="Normal 4 4 2" xfId="7524" xr:uid="{A02003F3-8BC6-4111-BE1B-F26F8BA7D7AD}"/>
    <cellStyle name="Normal 4 4 3" xfId="7525" xr:uid="{FB5B9DA8-8776-411D-98B5-8D9BC245692E}"/>
    <cellStyle name="Normal 4 4 3 2" xfId="7526" xr:uid="{0BA82D69-0D20-403F-B351-3800AFB0CEAA}"/>
    <cellStyle name="Normal 4 4 3 3" xfId="7527" xr:uid="{E5401A92-9C46-4315-85BE-6026642C6A06}"/>
    <cellStyle name="Normal 4 4 4" xfId="7528" xr:uid="{4247AD4D-F8AD-47D5-8FE5-8FA6A18D2B2F}"/>
    <cellStyle name="Normal 4 4 5" xfId="7529" xr:uid="{6907F157-2F33-4782-AFD0-3BF44B21E495}"/>
    <cellStyle name="Normal 4 4 6" xfId="7530" xr:uid="{EE060EF5-E48A-4565-9601-D58770FA670D}"/>
    <cellStyle name="Normal 4 4 7" xfId="7531" xr:uid="{AF717D20-0BAD-4755-828D-94D8DF0A134D}"/>
    <cellStyle name="Normal 4 4 8" xfId="7532" xr:uid="{5D816B51-05A9-4577-8642-0DBAB813FB7D}"/>
    <cellStyle name="Normal 4 4 9" xfId="7533" xr:uid="{C628634A-E549-4F9E-9BDC-6C6208DA5219}"/>
    <cellStyle name="Normal 4 5" xfId="7534" xr:uid="{59E3542C-3DC5-4B1A-99A7-50A6C94347AC}"/>
    <cellStyle name="Normal 4 5 10" xfId="7535" xr:uid="{A7C279CB-1D8E-4BC0-B84F-ABD1DAAA9871}"/>
    <cellStyle name="Normal 4 5 10 2" xfId="7536" xr:uid="{0767449D-997D-44E3-8FC4-817D3939359D}"/>
    <cellStyle name="Normal 4 5 10 2 2" xfId="7537" xr:uid="{61F8CCF0-0959-467F-876F-DD09F7EBF8DC}"/>
    <cellStyle name="Normal 4 5 10 2 2 2" xfId="7538" xr:uid="{ADE7AD5D-45B6-4BEE-AAF5-F1B7B092E5CC}"/>
    <cellStyle name="Normal 4 5 10 2 3" xfId="7539" xr:uid="{9C2432F7-E75A-4B4D-8CDE-8E1C0B0B1861}"/>
    <cellStyle name="Normal 4 5 10 3" xfId="7540" xr:uid="{E9CB4039-3E8E-4C2B-9044-7F239D40063B}"/>
    <cellStyle name="Normal 4 5 10 3 2" xfId="7541" xr:uid="{FA7BCC0C-624A-4F92-80C0-026F4CEE6642}"/>
    <cellStyle name="Normal 4 5 10 3 2 2" xfId="7542" xr:uid="{13154947-6A76-47C0-912C-E6E24CCE6DF6}"/>
    <cellStyle name="Normal 4 5 10 3 3" xfId="7543" xr:uid="{55CBA90A-DF5B-4286-A830-D4FCC3722456}"/>
    <cellStyle name="Normal 4 5 10 4" xfId="7544" xr:uid="{B3B94DE3-F0CD-4481-B1A9-0C1ED1D5CECE}"/>
    <cellStyle name="Normal 4 5 10 4 2" xfId="7545" xr:uid="{79F5F146-DEA2-42C5-8A22-4366483691F8}"/>
    <cellStyle name="Normal 4 5 10 5" xfId="7546" xr:uid="{763C6029-F188-4FA6-90A8-FC60780ABF23}"/>
    <cellStyle name="Normal 4 5 11" xfId="7547" xr:uid="{2E1404C7-4DC3-4065-8BE0-FA4CD7BD4312}"/>
    <cellStyle name="Normal 4 5 11 2" xfId="7548" xr:uid="{8732B181-A273-4518-9F9E-0CE252D6C118}"/>
    <cellStyle name="Normal 4 5 11 2 2" xfId="7549" xr:uid="{E92AF1FC-067F-48F9-8039-7B2C1FDF3102}"/>
    <cellStyle name="Normal 4 5 11 2 2 2" xfId="7550" xr:uid="{57281843-4A26-4670-B4FD-8767FBAA3747}"/>
    <cellStyle name="Normal 4 5 11 2 3" xfId="7551" xr:uid="{0A776D00-2F0A-4A84-B3F4-F617F4E360F9}"/>
    <cellStyle name="Normal 4 5 11 3" xfId="7552" xr:uid="{2C463B16-CDD2-42BB-BE10-A49FE264915C}"/>
    <cellStyle name="Normal 4 5 11 3 2" xfId="7553" xr:uid="{9897F38C-CAAD-467D-A20B-775448D1149C}"/>
    <cellStyle name="Normal 4 5 11 4" xfId="7554" xr:uid="{D3548E75-F010-4A8C-86F1-F4E0D09F8E64}"/>
    <cellStyle name="Normal 4 5 12" xfId="7555" xr:uid="{3531B547-81D5-48DA-A134-0D327836A4E8}"/>
    <cellStyle name="Normal 4 5 12 2" xfId="7556" xr:uid="{1D86CFFF-CBB9-4420-A243-D30D2541546B}"/>
    <cellStyle name="Normal 4 5 2" xfId="7557" xr:uid="{4727879C-BC50-4ED6-80F8-5F6EF0E21097}"/>
    <cellStyle name="Normal 4 5 2 2" xfId="7558" xr:uid="{7577530B-0BD5-4700-96B3-65FE9DCB46D2}"/>
    <cellStyle name="Normal 4 5 2 3" xfId="7559" xr:uid="{679AF9D9-5042-4677-B376-91E97A65B84A}"/>
    <cellStyle name="Normal 4 5 2 3 2" xfId="7560" xr:uid="{9517A453-4D6F-4657-A465-13CBF7F0F90A}"/>
    <cellStyle name="Normal 4 5 2 3 2 2" xfId="7561" xr:uid="{3DCE53F2-487B-4298-83F2-41B2A2976EB1}"/>
    <cellStyle name="Normal 4 5 2 3 2 2 2" xfId="7562" xr:uid="{66B0FCB7-7810-4B3C-856F-392C24A44086}"/>
    <cellStyle name="Normal 4 5 2 3 2 3" xfId="7563" xr:uid="{1BB0640E-3AF2-4A98-AC83-7FB376A61FED}"/>
    <cellStyle name="Normal 4 5 2 3 3" xfId="7564" xr:uid="{E569959F-B94E-4E31-9746-9AEBC7C0879F}"/>
    <cellStyle name="Normal 4 5 2 3 3 2" xfId="7565" xr:uid="{CB1682A5-B939-48DF-82F9-2E22E87A107B}"/>
    <cellStyle name="Normal 4 5 2 3 3 2 2" xfId="7566" xr:uid="{A04730B2-472A-482F-9CA5-24377C4BBF7B}"/>
    <cellStyle name="Normal 4 5 2 3 3 3" xfId="7567" xr:uid="{37F04377-2FE5-4B3D-B6CA-5940505E514B}"/>
    <cellStyle name="Normal 4 5 2 3 4" xfId="7568" xr:uid="{148AE220-238B-4A95-A6D7-03E3EAB395AE}"/>
    <cellStyle name="Normal 4 5 2 3 4 2" xfId="7569" xr:uid="{47533BEF-ABAD-4CA3-98E3-BF58E40F90BE}"/>
    <cellStyle name="Normal 4 5 2 3 5" xfId="7570" xr:uid="{11B69F8C-784A-4753-B982-E5D678CE2D82}"/>
    <cellStyle name="Normal 4 5 2 4" xfId="7571" xr:uid="{2C69343E-511B-49D6-A243-09AF4F9C44D2}"/>
    <cellStyle name="Normal 4 5 2 4 2" xfId="7572" xr:uid="{2FF2319D-4964-4454-9106-410FF35B6823}"/>
    <cellStyle name="Normal 4 5 2 4 2 2" xfId="7573" xr:uid="{61308DEF-F363-4917-8FB5-7739EB8D6CF8}"/>
    <cellStyle name="Normal 4 5 2 4 2 2 2" xfId="7574" xr:uid="{06362ACA-4F85-4505-BC21-011306091F2D}"/>
    <cellStyle name="Normal 4 5 2 4 2 3" xfId="7575" xr:uid="{BF214EBD-BB1E-4D00-A847-4A05BED7108E}"/>
    <cellStyle name="Normal 4 5 2 4 3" xfId="7576" xr:uid="{790D844B-1290-4FE4-835E-B371982169F6}"/>
    <cellStyle name="Normal 4 5 2 4 3 2" xfId="7577" xr:uid="{F45718EB-EF04-46EB-923C-46AD8B1E67EE}"/>
    <cellStyle name="Normal 4 5 2 4 4" xfId="7578" xr:uid="{76D0BAB3-92DD-42B1-9B14-E8DE67C33D8A}"/>
    <cellStyle name="Normal 4 5 2 5" xfId="7579" xr:uid="{B8EEF27E-E42C-446F-A2D6-3114BCF5E694}"/>
    <cellStyle name="Normal 4 5 2 5 2" xfId="7580" xr:uid="{2AA76F85-2151-4740-9F9F-F4B70E6753A3}"/>
    <cellStyle name="Normal 4 5 3" xfId="7581" xr:uid="{93D05430-0098-41C8-955A-C2C679895DEB}"/>
    <cellStyle name="Normal 4 5 3 2" xfId="7582" xr:uid="{EE2E7814-1A57-444F-B39E-EC05CF83AE76}"/>
    <cellStyle name="Normal 4 5 3 3" xfId="7583" xr:uid="{B243C0D9-B99C-47E8-8684-AFAB38997F40}"/>
    <cellStyle name="Normal 4 5 3 3 2" xfId="7584" xr:uid="{32242CEC-2CDC-4929-A459-AEE808C494CA}"/>
    <cellStyle name="Normal 4 5 3 3 2 2" xfId="7585" xr:uid="{D086A06D-C33B-4D0E-B1F4-9A25FCB54A01}"/>
    <cellStyle name="Normal 4 5 3 3 2 2 2" xfId="7586" xr:uid="{A4E61F9C-2E7E-4BF8-9F04-E40E2AE5DAE1}"/>
    <cellStyle name="Normal 4 5 3 3 2 3" xfId="7587" xr:uid="{A7806E3F-AF85-4DC5-9E7A-BEFB63EFB8AF}"/>
    <cellStyle name="Normal 4 5 3 3 3" xfId="7588" xr:uid="{11743BEC-30B8-4F3D-91D0-132C8033998B}"/>
    <cellStyle name="Normal 4 5 3 3 3 2" xfId="7589" xr:uid="{E50B156B-A360-45DC-A412-8430AC6CD49C}"/>
    <cellStyle name="Normal 4 5 3 3 3 2 2" xfId="7590" xr:uid="{1CF2DC2E-63FB-4361-ACF0-EE8B5309D57D}"/>
    <cellStyle name="Normal 4 5 3 3 3 3" xfId="7591" xr:uid="{33B942D0-ABF9-49C9-88B4-22763C759DAF}"/>
    <cellStyle name="Normal 4 5 3 3 4" xfId="7592" xr:uid="{0EE7B095-2639-49B1-B6DC-58C5C61E10FA}"/>
    <cellStyle name="Normal 4 5 3 3 4 2" xfId="7593" xr:uid="{B3655955-5190-4F21-96B1-0F91C44D0216}"/>
    <cellStyle name="Normal 4 5 3 3 5" xfId="7594" xr:uid="{DDEF6094-F41D-434D-80AD-5E880E4440FD}"/>
    <cellStyle name="Normal 4 5 3 4" xfId="7595" xr:uid="{7032B7BF-53A6-445D-A2E5-A2C42F3AA62C}"/>
    <cellStyle name="Normal 4 5 3 4 2" xfId="7596" xr:uid="{F527F074-3122-4D91-8B11-72B8661B1FC0}"/>
    <cellStyle name="Normal 4 5 3 4 2 2" xfId="7597" xr:uid="{FCE469A2-0EC9-43A4-BF4C-0D691D279C49}"/>
    <cellStyle name="Normal 4 5 3 4 2 2 2" xfId="7598" xr:uid="{B59FC5B3-DB41-41FC-B7DF-2E568BECE78C}"/>
    <cellStyle name="Normal 4 5 3 4 2 3" xfId="7599" xr:uid="{697CFA46-CDAD-4146-A4C6-504D98E90D12}"/>
    <cellStyle name="Normal 4 5 3 4 3" xfId="7600" xr:uid="{6CCC59CB-4D61-44FE-9C11-E6FF9E0F692C}"/>
    <cellStyle name="Normal 4 5 3 4 3 2" xfId="7601" xr:uid="{7430AA89-12BE-4005-9722-8D7E4AE8AC99}"/>
    <cellStyle name="Normal 4 5 3 4 4" xfId="7602" xr:uid="{EA031FD6-96DD-4DF6-BD4F-CC94748AFF22}"/>
    <cellStyle name="Normal 4 5 3 5" xfId="7603" xr:uid="{98B7040B-978B-4436-9B90-975424C0CC35}"/>
    <cellStyle name="Normal 4 5 3 5 2" xfId="7604" xr:uid="{E1CB9AC1-1CE5-4010-B5CA-A91A15BACE08}"/>
    <cellStyle name="Normal 4 5 4" xfId="7605" xr:uid="{A3DB6C18-0150-422F-A1BE-5C425B7EC303}"/>
    <cellStyle name="Normal 4 5 5" xfId="7606" xr:uid="{A56E196F-7DA1-492F-B3EA-78252221D68D}"/>
    <cellStyle name="Normal 4 5 6" xfId="7607" xr:uid="{5BC4BA5F-5953-43C0-ACBA-A9EEF7B0F666}"/>
    <cellStyle name="Normal 4 5 7" xfId="7608" xr:uid="{CEB30329-C6E6-4359-87EB-D56E58723775}"/>
    <cellStyle name="Normal 4 5 8" xfId="7609" xr:uid="{1E9502D3-1992-4D4F-BCDF-D5D09AF16D8B}"/>
    <cellStyle name="Normal 4 5 9" xfId="7610" xr:uid="{04460B4B-C9EC-436F-B014-4F776A173EDD}"/>
    <cellStyle name="Normal 4 5 9 2" xfId="7611" xr:uid="{756D705C-223A-4ACD-A77D-D1001A48FB28}"/>
    <cellStyle name="Normal 4 5 9 2 2" xfId="7612" xr:uid="{E6F217FC-DCB0-4433-AC9B-1B172B202328}"/>
    <cellStyle name="Normal 4 5 9 2 2 2" xfId="7613" xr:uid="{23F2128E-0966-4AD8-9B1E-8B670A95B6CC}"/>
    <cellStyle name="Normal 4 5 9 2 2 2 2" xfId="7614" xr:uid="{3F5D566F-F430-406F-A543-E38595D237FA}"/>
    <cellStyle name="Normal 4 5 9 2 2 3" xfId="7615" xr:uid="{1AE184D1-29F4-4235-A255-CC9F8ED940C4}"/>
    <cellStyle name="Normal 4 5 9 2 3" xfId="7616" xr:uid="{B85E15E3-A446-4E92-BBD2-E3C2EA1937DF}"/>
    <cellStyle name="Normal 4 5 9 2 3 2" xfId="7617" xr:uid="{DD7E5D17-1A1A-486D-BE8E-B662EC59F6C2}"/>
    <cellStyle name="Normal 4 5 9 2 3 2 2" xfId="7618" xr:uid="{1C565CFF-5A92-4A7B-9A08-22BD0857C53D}"/>
    <cellStyle name="Normal 4 5 9 2 3 3" xfId="7619" xr:uid="{41D37537-6C4E-4719-B9A2-664B266138B6}"/>
    <cellStyle name="Normal 4 5 9 2 4" xfId="7620" xr:uid="{C384A7D0-7741-43F5-B00D-48C84857A469}"/>
    <cellStyle name="Normal 4 5 9 2 4 2" xfId="7621" xr:uid="{435FB7BC-BF75-442B-BFC6-EB313E574435}"/>
    <cellStyle name="Normal 4 5 9 2 5" xfId="7622" xr:uid="{322C77A8-4995-4688-ABE7-93AF395FE918}"/>
    <cellStyle name="Normal 4 5 9 3" xfId="7623" xr:uid="{44A18E0E-9A7A-44A1-BC01-4F5089E8BAE1}"/>
    <cellStyle name="Normal 4 5 9 3 2" xfId="7624" xr:uid="{EEFFC103-F3AE-4C8C-B493-DEA620DED7FA}"/>
    <cellStyle name="Normal 4 5 9 3 2 2" xfId="7625" xr:uid="{9E98E0BC-D4A2-417F-AE42-AE41803EC3D1}"/>
    <cellStyle name="Normal 4 5 9 3 3" xfId="7626" xr:uid="{977E1C57-32FC-4C81-A9B3-336BD7581112}"/>
    <cellStyle name="Normal 4 5 9 4" xfId="7627" xr:uid="{5D3FB1B2-8353-4ECD-B4E4-906B7F02417F}"/>
    <cellStyle name="Normal 4 5 9 4 2" xfId="7628" xr:uid="{A09306BB-6EE1-4362-8BDB-A38459B43419}"/>
    <cellStyle name="Normal 4 5 9 4 2 2" xfId="7629" xr:uid="{EAFC0F61-7BF2-4964-A3EB-4EF3C0F81A83}"/>
    <cellStyle name="Normal 4 5 9 4 3" xfId="7630" xr:uid="{9D703F32-0C43-40BD-9FA3-FF5AC9CBEAF7}"/>
    <cellStyle name="Normal 4 5 9 5" xfId="7631" xr:uid="{660BDB53-8895-431D-84FA-08F55DF87406}"/>
    <cellStyle name="Normal 4 5 9 5 2" xfId="7632" xr:uid="{AA74DC29-53A0-4805-BAE2-C2346BDFB4DC}"/>
    <cellStyle name="Normal 4 5 9 6" xfId="7633" xr:uid="{B1ACD67A-F547-40A3-8043-769FE6C7DB60}"/>
    <cellStyle name="Normal 4 6" xfId="7634" xr:uid="{364FE0EC-0219-4A99-ADFF-D9BFA2604286}"/>
    <cellStyle name="Normal 4 6 2" xfId="7635" xr:uid="{838FB71B-CA12-432F-A845-B37A563B42BA}"/>
    <cellStyle name="Normal 4 6 2 2" xfId="7636" xr:uid="{D09B01D2-F32B-4994-9CF4-74F2654AEB92}"/>
    <cellStyle name="Normal 4 6 2 3" xfId="7637" xr:uid="{E8122016-5737-4BCB-A707-48745D9734FF}"/>
    <cellStyle name="Normal 4 6 2 3 2" xfId="7638" xr:uid="{9B83D747-0F16-4718-B129-2ABBEF7CC623}"/>
    <cellStyle name="Normal 4 6 2 3 2 2" xfId="7639" xr:uid="{10B8276D-2C51-481C-89C7-1A590EC177F0}"/>
    <cellStyle name="Normal 4 6 2 3 2 2 2" xfId="7640" xr:uid="{F219CFFF-67A6-4A60-AB98-86923487B357}"/>
    <cellStyle name="Normal 4 6 2 3 2 3" xfId="7641" xr:uid="{BD90F07C-EE4D-41C2-A431-8053901DDC9D}"/>
    <cellStyle name="Normal 4 6 2 3 3" xfId="7642" xr:uid="{A4A9403F-475C-4525-A5B8-129FD36131DB}"/>
    <cellStyle name="Normal 4 6 2 3 3 2" xfId="7643" xr:uid="{AF371C86-4CF5-4636-A803-CAFB79DEE26E}"/>
    <cellStyle name="Normal 4 6 2 3 3 2 2" xfId="7644" xr:uid="{D4E6121D-5CFA-485C-B597-E1C8C73B7D53}"/>
    <cellStyle name="Normal 4 6 2 3 3 3" xfId="7645" xr:uid="{B765E63C-5513-430B-BF24-DE66BA1E3DDD}"/>
    <cellStyle name="Normal 4 6 2 3 4" xfId="7646" xr:uid="{FBC356CD-2EF8-4714-A5C3-61B5F6861BF9}"/>
    <cellStyle name="Normal 4 6 2 3 4 2" xfId="7647" xr:uid="{6EA0DBE9-4560-4ACE-B4D4-FB9A566FF3FB}"/>
    <cellStyle name="Normal 4 6 2 3 5" xfId="7648" xr:uid="{D7823B1D-3CCD-437F-9083-72831A9AE4B0}"/>
    <cellStyle name="Normal 4 6 2 4" xfId="7649" xr:uid="{4306E960-8C3F-4955-A3BB-966161C9523D}"/>
    <cellStyle name="Normal 4 6 2 4 2" xfId="7650" xr:uid="{A02506F9-86F2-42CC-A9C3-A7C083DD4AD2}"/>
    <cellStyle name="Normal 4 6 2 4 2 2" xfId="7651" xr:uid="{27467941-3306-4DE4-8E9B-615D2F70F0C5}"/>
    <cellStyle name="Normal 4 6 2 4 3" xfId="7652" xr:uid="{33690B8D-F6F8-4300-9A00-ED94AC770E8D}"/>
    <cellStyle name="Normal 4 6 2 5" xfId="7653" xr:uid="{AA77CA06-2500-4DEB-9069-D5170AB79BF3}"/>
    <cellStyle name="Normal 4 6 2 5 2" xfId="7654" xr:uid="{D098388D-3A2F-4534-9C5A-19DB4C1925A9}"/>
    <cellStyle name="Normal 4 6 2 5 2 2" xfId="7655" xr:uid="{8A4EB001-4388-48FB-9E90-B7936E06D36E}"/>
    <cellStyle name="Normal 4 6 2 5 3" xfId="7656" xr:uid="{5778C016-414A-4727-899C-42445EF25529}"/>
    <cellStyle name="Normal 4 6 2 6" xfId="7657" xr:uid="{9B8E42A7-B905-485C-B39A-7CBA281C06F0}"/>
    <cellStyle name="Normal 4 6 2 6 2" xfId="7658" xr:uid="{4A12DB24-A6CE-4F69-9D05-C653039C794B}"/>
    <cellStyle name="Normal 4 6 2 7" xfId="7659" xr:uid="{E90C60F5-8ADD-4056-B5B6-9A88C48158DF}"/>
    <cellStyle name="Normal 4 6 3" xfId="7660" xr:uid="{D9423364-346F-48AF-8AF6-4981545FB234}"/>
    <cellStyle name="Normal 4 6 4" xfId="7661" xr:uid="{6239B9B6-3100-4F49-950D-5F45EB91FF21}"/>
    <cellStyle name="Normal 4 6 4 2" xfId="7662" xr:uid="{B1B4136F-3AC7-43AB-849B-57CAC91C61C3}"/>
    <cellStyle name="Normal 4 6 4 2 2" xfId="7663" xr:uid="{9D7F8C08-DD80-44B3-B804-BD84AA795EC1}"/>
    <cellStyle name="Normal 4 6 4 2 2 2" xfId="7664" xr:uid="{3EB432E5-7CBF-4E2D-A047-17A220FB61F1}"/>
    <cellStyle name="Normal 4 6 4 2 2 2 2" xfId="7665" xr:uid="{3B9C862B-BEE8-4E2B-9611-3AD835319044}"/>
    <cellStyle name="Normal 4 6 4 2 2 3" xfId="7666" xr:uid="{39ECDE17-B878-48D5-80E3-23D27A0EA924}"/>
    <cellStyle name="Normal 4 6 4 2 3" xfId="7667" xr:uid="{E58B6894-D32C-4525-A7A3-BE139CB1A967}"/>
    <cellStyle name="Normal 4 6 4 2 3 2" xfId="7668" xr:uid="{07DB5919-1906-439D-AB22-CBB66A8F0082}"/>
    <cellStyle name="Normal 4 6 4 2 3 2 2" xfId="7669" xr:uid="{429778B8-5502-4195-B9CF-FBBD825ADD01}"/>
    <cellStyle name="Normal 4 6 4 2 3 3" xfId="7670" xr:uid="{0455CF33-8406-446F-9FBE-41CCC9B1FE44}"/>
    <cellStyle name="Normal 4 6 4 2 4" xfId="7671" xr:uid="{CB0A9818-356C-4465-95C9-F4099C299332}"/>
    <cellStyle name="Normal 4 6 4 2 4 2" xfId="7672" xr:uid="{A57312D4-1ECC-40B4-9B1E-560C6EE10770}"/>
    <cellStyle name="Normal 4 6 4 2 5" xfId="7673" xr:uid="{99B5A15E-122D-4CC1-B118-0E9D0B9EEE18}"/>
    <cellStyle name="Normal 4 6 4 3" xfId="7674" xr:uid="{2734CE60-459A-46CF-8D5B-18FA943329BD}"/>
    <cellStyle name="Normal 4 6 4 3 2" xfId="7675" xr:uid="{F8DC5C05-E155-44AB-89EE-C030D738290F}"/>
    <cellStyle name="Normal 4 6 4 3 2 2" xfId="7676" xr:uid="{0A3FE5F3-16BA-490F-BE92-2290BF5108A6}"/>
    <cellStyle name="Normal 4 6 4 3 3" xfId="7677" xr:uid="{87D5BF18-F4DC-4099-8FFE-25849260BFB5}"/>
    <cellStyle name="Normal 4 6 4 4" xfId="7678" xr:uid="{BF026194-24AE-4142-B702-0F1E97A8BC15}"/>
    <cellStyle name="Normal 4 6 4 4 2" xfId="7679" xr:uid="{01BEFA65-3789-4630-B9CA-F86E650E81AC}"/>
    <cellStyle name="Normal 4 6 4 4 2 2" xfId="7680" xr:uid="{556A4198-03DC-4BDB-8CB8-4E47E5B1464F}"/>
    <cellStyle name="Normal 4 6 4 4 3" xfId="7681" xr:uid="{4BBDDF13-045B-4C35-AAC7-66C4492911D9}"/>
    <cellStyle name="Normal 4 6 4 5" xfId="7682" xr:uid="{B4848D13-BB39-4205-83E3-DF6200BBDB9F}"/>
    <cellStyle name="Normal 4 6 4 5 2" xfId="7683" xr:uid="{F500F695-9325-4E4B-9F22-A72A1744ADEE}"/>
    <cellStyle name="Normal 4 6 4 6" xfId="7684" xr:uid="{DDCF3C6B-A783-4C1F-A2B2-F24AC8F8DA63}"/>
    <cellStyle name="Normal 4 6 5" xfId="7685" xr:uid="{FF79ABBC-373C-4A18-91F0-2DB3327C7350}"/>
    <cellStyle name="Normal 4 6 5 2" xfId="7686" xr:uid="{32A70AEC-CBE9-4AC9-B846-BC6215F6BD97}"/>
    <cellStyle name="Normal 4 6 5 2 2" xfId="7687" xr:uid="{E66B8C05-EBD5-438D-A749-52357B6CEE65}"/>
    <cellStyle name="Normal 4 6 5 2 2 2" xfId="7688" xr:uid="{E2FB8D69-C75E-48CF-BEA4-3A8CCFF1961D}"/>
    <cellStyle name="Normal 4 6 5 2 2 2 2" xfId="7689" xr:uid="{973A17F9-519E-4436-A188-E4D8013217AC}"/>
    <cellStyle name="Normal 4 6 5 2 2 3" xfId="7690" xr:uid="{4100AA7D-4A16-4EC2-AF73-DD7535E3D238}"/>
    <cellStyle name="Normal 4 6 5 2 3" xfId="7691" xr:uid="{C1A5B02D-62B8-4AAE-A2AA-2BD44A9E997A}"/>
    <cellStyle name="Normal 4 6 5 2 3 2" xfId="7692" xr:uid="{32C7A7B0-19A5-4B47-96C2-C4D6B8DBB539}"/>
    <cellStyle name="Normal 4 6 5 2 3 2 2" xfId="7693" xr:uid="{10104734-73A2-4FC7-AC00-324DAE89F4B5}"/>
    <cellStyle name="Normal 4 6 5 2 3 3" xfId="7694" xr:uid="{2D11DC1F-BF52-44A7-9B58-E1A0F6C0FB4D}"/>
    <cellStyle name="Normal 4 6 5 2 4" xfId="7695" xr:uid="{3A218874-5115-4613-84EF-A6B51A7607D1}"/>
    <cellStyle name="Normal 4 6 5 2 4 2" xfId="7696" xr:uid="{189AEA8C-F831-4F12-8BC1-FA58B440BFF7}"/>
    <cellStyle name="Normal 4 6 5 2 5" xfId="7697" xr:uid="{56BBCCD3-A6ED-4083-8913-3156A53FABC8}"/>
    <cellStyle name="Normal 4 6 5 3" xfId="7698" xr:uid="{28E6EF24-A531-4954-A7A0-BA73919464C6}"/>
    <cellStyle name="Normal 4 6 5 3 2" xfId="7699" xr:uid="{613E6C47-91B4-47F1-B32F-ABF390712A84}"/>
    <cellStyle name="Normal 4 6 5 3 2 2" xfId="7700" xr:uid="{1062E90F-4FE5-432A-96CC-BF9BC43A1095}"/>
    <cellStyle name="Normal 4 6 5 3 3" xfId="7701" xr:uid="{78320182-B14B-40E4-B4D7-8F0365D74DB3}"/>
    <cellStyle name="Normal 4 6 5 4" xfId="7702" xr:uid="{6F63293A-555A-4FA2-B87D-AAE985DC54B7}"/>
    <cellStyle name="Normal 4 6 5 4 2" xfId="7703" xr:uid="{5EB2CCDF-EF88-4320-B8D9-5546E75BF493}"/>
    <cellStyle name="Normal 4 6 5 4 2 2" xfId="7704" xr:uid="{E9E35573-A801-4EC8-A431-D480C7DF4D1D}"/>
    <cellStyle name="Normal 4 6 5 4 3" xfId="7705" xr:uid="{BEBDA38E-822D-4099-A2E3-68DCF955C1AF}"/>
    <cellStyle name="Normal 4 6 5 5" xfId="7706" xr:uid="{022224D5-C9A7-4155-A4C1-B4CFF5D527CC}"/>
    <cellStyle name="Normal 4 6 5 5 2" xfId="7707" xr:uid="{1C690FDA-FE3A-45C2-9A89-9C6E6430D6A2}"/>
    <cellStyle name="Normal 4 6 5 6" xfId="7708" xr:uid="{6F185B15-ADE8-4359-B9A4-387735B54133}"/>
    <cellStyle name="Normal 4 6 6" xfId="7709" xr:uid="{130B0737-9663-4C66-BE07-D778C577EC9C}"/>
    <cellStyle name="Normal 4 6 6 2" xfId="7710" xr:uid="{00047C32-99A3-473F-94E7-C72C73897E41}"/>
    <cellStyle name="Normal 4 6 6 2 2" xfId="7711" xr:uid="{556BA5B5-8B7D-474C-B9A4-908290EBEEB5}"/>
    <cellStyle name="Normal 4 6 6 2 2 2" xfId="7712" xr:uid="{9496CFF8-4179-4565-9EB3-B399523E0F96}"/>
    <cellStyle name="Normal 4 6 6 2 3" xfId="7713" xr:uid="{7C179B64-6F9C-4128-AD08-198B75EDFFED}"/>
    <cellStyle name="Normal 4 6 6 3" xfId="7714" xr:uid="{C2583E88-FF66-4695-8AB9-111FD735C5B2}"/>
    <cellStyle name="Normal 4 6 6 3 2" xfId="7715" xr:uid="{D9E379B7-FF43-41FE-A44C-5957EE63EB5E}"/>
    <cellStyle name="Normal 4 6 6 3 2 2" xfId="7716" xr:uid="{ABFCD1F4-3F48-4CC4-AFA4-A4DF84BA6D37}"/>
    <cellStyle name="Normal 4 6 6 3 3" xfId="7717" xr:uid="{068BAB8D-964D-42E9-9F93-77530F361C31}"/>
    <cellStyle name="Normal 4 6 6 4" xfId="7718" xr:uid="{E7A8CD62-3093-4658-9298-26B4C65F6AA4}"/>
    <cellStyle name="Normal 4 6 6 4 2" xfId="7719" xr:uid="{9536C535-ED67-4BF4-8A48-F57165E6DBFF}"/>
    <cellStyle name="Normal 4 6 6 5" xfId="7720" xr:uid="{0996B54E-549F-410A-8FB1-BE5927513FAF}"/>
    <cellStyle name="Normal 4 6 7" xfId="7721" xr:uid="{8BFB9644-9981-4F51-8193-B334898F0F32}"/>
    <cellStyle name="Normal 4 6 7 2" xfId="7722" xr:uid="{E1393982-6E07-4649-A5C0-68B7521C245F}"/>
    <cellStyle name="Normal 4 6 7 2 2" xfId="7723" xr:uid="{137FA688-9162-4F19-85A7-597AD4B2EBDD}"/>
    <cellStyle name="Normal 4 6 7 2 2 2" xfId="7724" xr:uid="{84AC2BE9-C832-4A93-B94C-F8353AF08BB7}"/>
    <cellStyle name="Normal 4 6 7 2 3" xfId="7725" xr:uid="{BDC263E3-2E6B-43B1-81AD-A42F8A0C9BD2}"/>
    <cellStyle name="Normal 4 6 7 3" xfId="7726" xr:uid="{6D5D6E37-C369-40F4-9CF4-7CFC536C8096}"/>
    <cellStyle name="Normal 4 6 7 3 2" xfId="7727" xr:uid="{509F4042-DF9F-422C-8209-33C60FD6A1CF}"/>
    <cellStyle name="Normal 4 6 7 4" xfId="7728" xr:uid="{1D6C2901-8174-4922-BED6-BB1A6BB60418}"/>
    <cellStyle name="Normal 4 6 8" xfId="7729" xr:uid="{2FD2B7AE-B148-42E8-96E3-A66ABDA91C8C}"/>
    <cellStyle name="Normal 4 6 8 2" xfId="7730" xr:uid="{14FECF80-59C8-4220-9EBB-66DE6BBD1E3A}"/>
    <cellStyle name="Normal 4 7" xfId="7731" xr:uid="{9D27A9AC-4FD5-4A54-AFAF-A10490CF74BC}"/>
    <cellStyle name="Normal 4 7 2" xfId="7732" xr:uid="{54310EEB-77A2-4B47-850B-01B733A1FF3B}"/>
    <cellStyle name="Normal 4 7 2 2" xfId="7733" xr:uid="{0983DEF5-29F7-455E-92E9-5822F293751C}"/>
    <cellStyle name="Normal 4 7 2 2 2" xfId="7734" xr:uid="{BA2B5AD5-7116-41FA-BFEB-3F09575CE631}"/>
    <cellStyle name="Normal 4 7 2 2 2 2" xfId="7735" xr:uid="{63F33E81-81CD-4250-AEB4-07C27ADCFAAA}"/>
    <cellStyle name="Normal 4 7 2 2 2 2 2" xfId="7736" xr:uid="{5B928A8A-9A2C-4BB6-9A3B-F2860170EF62}"/>
    <cellStyle name="Normal 4 7 2 2 2 3" xfId="7737" xr:uid="{2F47D3D1-4BA0-4D72-ADDC-942701313D70}"/>
    <cellStyle name="Normal 4 7 2 2 3" xfId="7738" xr:uid="{DB236ADE-AE2B-4A49-ABA1-FFB2460E3160}"/>
    <cellStyle name="Normal 4 7 2 2 3 2" xfId="7739" xr:uid="{50717A31-9BA6-4A37-BF51-B55E98A90858}"/>
    <cellStyle name="Normal 4 7 2 2 3 2 2" xfId="7740" xr:uid="{D1CCDA28-5A49-49F1-B909-491A435C4703}"/>
    <cellStyle name="Normal 4 7 2 2 3 3" xfId="7741" xr:uid="{EBEDFC5B-37BB-457C-B5E9-D70E3287B33C}"/>
    <cellStyle name="Normal 4 7 2 2 4" xfId="7742" xr:uid="{079CF0CC-7895-4C3A-A531-8083B13A3D07}"/>
    <cellStyle name="Normal 4 7 2 2 4 2" xfId="7743" xr:uid="{4980199F-2663-409C-81CB-0B20261D2351}"/>
    <cellStyle name="Normal 4 7 2 2 5" xfId="7744" xr:uid="{82265FF5-25AF-4827-95F7-6BE22560437B}"/>
    <cellStyle name="Normal 4 7 2 3" xfId="7745" xr:uid="{08A87333-AC91-4B0C-9102-45C2E14506F8}"/>
    <cellStyle name="Normal 4 7 2 3 2" xfId="7746" xr:uid="{370AC5D0-2CB5-41CC-8C55-4BCC2D725C39}"/>
    <cellStyle name="Normal 4 7 2 3 2 2" xfId="7747" xr:uid="{2911E20D-597F-404C-8838-2EA761E51710}"/>
    <cellStyle name="Normal 4 7 2 3 3" xfId="7748" xr:uid="{1EE81532-695B-4E19-8A03-64B1F9D7684F}"/>
    <cellStyle name="Normal 4 7 2 4" xfId="7749" xr:uid="{380B8423-C814-4CA7-97C0-1330148E83EE}"/>
    <cellStyle name="Normal 4 7 2 4 2" xfId="7750" xr:uid="{617D5D5B-7F07-4302-91CA-F64BC00C2EDD}"/>
    <cellStyle name="Normal 4 7 2 4 2 2" xfId="7751" xr:uid="{1A297771-4448-4DA7-86AF-557BFBCBCE75}"/>
    <cellStyle name="Normal 4 7 2 4 3" xfId="7752" xr:uid="{8855F00F-220A-4ACB-9B4A-F681FEF7F833}"/>
    <cellStyle name="Normal 4 7 2 5" xfId="7753" xr:uid="{0B3B2C42-95D7-405F-BCE3-D61731DE816F}"/>
    <cellStyle name="Normal 4 7 2 5 2" xfId="7754" xr:uid="{E6C10D4B-5DAA-44C7-A680-D0B680328E91}"/>
    <cellStyle name="Normal 4 7 2 6" xfId="7755" xr:uid="{9D12731F-81E1-48C1-A331-DB3529B0DE49}"/>
    <cellStyle name="Normal 4 7 3" xfId="7756" xr:uid="{AB80AD13-D2E5-45E5-A945-696DB44CD272}"/>
    <cellStyle name="Normal 4 7 4" xfId="7757" xr:uid="{176645E1-03F7-4520-BCF1-0D17EFF1C597}"/>
    <cellStyle name="Normal 4 7 4 2" xfId="7758" xr:uid="{9148441D-B183-4AC4-A1ED-955A266FD294}"/>
    <cellStyle name="Normal 4 7 4 2 2" xfId="7759" xr:uid="{CD67D817-55DB-4F68-A922-1E9C4496B0E7}"/>
    <cellStyle name="Normal 4 7 4 2 2 2" xfId="7760" xr:uid="{DF2796A9-2E77-4919-AD3E-F62D2CC0D91B}"/>
    <cellStyle name="Normal 4 7 4 2 3" xfId="7761" xr:uid="{38267032-53D7-4E52-A8ED-AF62B4FD4651}"/>
    <cellStyle name="Normal 4 7 4 3" xfId="7762" xr:uid="{0F68CF1F-8D69-467B-9088-02C6C0056D6F}"/>
    <cellStyle name="Normal 4 7 4 3 2" xfId="7763" xr:uid="{1349E133-F6D1-46AE-A273-26A9F576E957}"/>
    <cellStyle name="Normal 4 7 4 3 2 2" xfId="7764" xr:uid="{45236FE0-D38B-41D5-8E98-41F158BF7E10}"/>
    <cellStyle name="Normal 4 7 4 3 3" xfId="7765" xr:uid="{3CDA8123-D9E0-4348-BBDF-66E1F1F2A256}"/>
    <cellStyle name="Normal 4 7 4 4" xfId="7766" xr:uid="{39DE5858-CF29-4AF6-B0B4-706D0738986B}"/>
    <cellStyle name="Normal 4 7 4 4 2" xfId="7767" xr:uid="{A8F305F2-7F91-4D25-8451-B18770BE1DAC}"/>
    <cellStyle name="Normal 4 7 4 5" xfId="7768" xr:uid="{BD400264-8DB0-4622-AF98-E152233A2492}"/>
    <cellStyle name="Normal 4 7 5" xfId="7769" xr:uid="{304065F0-B675-4022-BE0C-A8F0E1B8B5E3}"/>
    <cellStyle name="Normal 4 7 5 2" xfId="7770" xr:uid="{B1B217EF-AF3C-4243-AE5C-42811A6B9C31}"/>
    <cellStyle name="Normal 4 7 5 2 2" xfId="7771" xr:uid="{5FD775DF-DE09-462F-85A3-C82C4080BB53}"/>
    <cellStyle name="Normal 4 7 5 2 2 2" xfId="7772" xr:uid="{B746DB9F-387B-4681-A438-893255DAA10B}"/>
    <cellStyle name="Normal 4 7 5 2 3" xfId="7773" xr:uid="{E5D4FCDB-69CA-47D3-9AA6-12FF496E0A3E}"/>
    <cellStyle name="Normal 4 7 5 3" xfId="7774" xr:uid="{70441C93-9B86-4272-ACC1-3D6B95ACE3AC}"/>
    <cellStyle name="Normal 4 7 5 3 2" xfId="7775" xr:uid="{14292306-7180-46A3-B278-7653DC3A71EF}"/>
    <cellStyle name="Normal 4 7 5 4" xfId="7776" xr:uid="{595ACB76-6D7F-4F84-9911-0E220A41D045}"/>
    <cellStyle name="Normal 4 7 6" xfId="7777" xr:uid="{178AEED6-8B4A-4EA4-8B0E-2CFF16EBC2BB}"/>
    <cellStyle name="Normal 4 7 6 2" xfId="7778" xr:uid="{8936439D-AEBF-4EC4-9126-2E3604B134F4}"/>
    <cellStyle name="Normal 4 8" xfId="7779" xr:uid="{C1955132-92A0-4E88-B5FA-446F85326196}"/>
    <cellStyle name="Normal 4 8 2" xfId="7780" xr:uid="{9556BADB-E897-4C97-B343-3040AD880197}"/>
    <cellStyle name="Normal 4 8 3" xfId="7781" xr:uid="{7BD29068-20D3-4F3D-916A-FBC6005A06C2}"/>
    <cellStyle name="Normal 4 8 4" xfId="7782" xr:uid="{3260C8AD-8882-4B80-9272-04749D14D314}"/>
    <cellStyle name="Normal 4 8 4 2" xfId="7783" xr:uid="{DD7A9B24-1845-4BD8-97D3-2D56F16E6CE4}"/>
    <cellStyle name="Normal 4 8 4 2 2" xfId="7784" xr:uid="{DD557F44-07B3-4CA8-B8DA-1D1C2DB22B60}"/>
    <cellStyle name="Normal 4 8 4 2 2 2" xfId="7785" xr:uid="{6206E78F-DD0A-43DF-854A-E39BE4101427}"/>
    <cellStyle name="Normal 4 8 4 2 3" xfId="7786" xr:uid="{7871B044-8999-4FFF-86AD-AA468F4A35B7}"/>
    <cellStyle name="Normal 4 8 4 3" xfId="7787" xr:uid="{60B7CDE8-7480-42E3-9E94-59747BE68F1D}"/>
    <cellStyle name="Normal 4 8 4 3 2" xfId="7788" xr:uid="{28C09784-8ABD-4C80-88AE-0B9958156122}"/>
    <cellStyle name="Normal 4 8 4 3 2 2" xfId="7789" xr:uid="{B6380DD0-CEF2-41D6-B074-EB94CDD05A89}"/>
    <cellStyle name="Normal 4 8 4 3 3" xfId="7790" xr:uid="{78656A52-B320-47FB-80BF-43C72FF02040}"/>
    <cellStyle name="Normal 4 8 4 4" xfId="7791" xr:uid="{B081D89B-9704-4616-AD55-7D40B581E057}"/>
    <cellStyle name="Normal 4 8 4 4 2" xfId="7792" xr:uid="{ED4A7EB4-752D-42A1-9F8D-178138DE2E48}"/>
    <cellStyle name="Normal 4 8 4 5" xfId="7793" xr:uid="{6B760DB4-6E12-4FD9-9F2A-6199551D00A7}"/>
    <cellStyle name="Normal 4 8 5" xfId="7794" xr:uid="{1F0FE3E2-DAF7-4C62-82A5-588575B1EC14}"/>
    <cellStyle name="Normal 4 8 5 2" xfId="7795" xr:uid="{CD50C698-BAEF-4184-A6C6-05A79563CBDE}"/>
    <cellStyle name="Normal 4 8 5 2 2" xfId="7796" xr:uid="{BBDD42F5-3651-42FA-81DA-8A821072D5E4}"/>
    <cellStyle name="Normal 4 8 5 2 2 2" xfId="7797" xr:uid="{35F7EB9C-7416-459F-89C3-AD2245D17E15}"/>
    <cellStyle name="Normal 4 8 5 2 3" xfId="7798" xr:uid="{CAE40DCE-8109-41C7-9022-03FC94307E28}"/>
    <cellStyle name="Normal 4 8 5 3" xfId="7799" xr:uid="{412A2454-31E3-4A16-9C8B-ADEA5FA7DA7D}"/>
    <cellStyle name="Normal 4 8 5 3 2" xfId="7800" xr:uid="{07B3E7C0-3D60-4BBF-9DD3-24A723D367C8}"/>
    <cellStyle name="Normal 4 8 5 4" xfId="7801" xr:uid="{4E8D1BBF-4A06-44C7-B02C-26A1E643806F}"/>
    <cellStyle name="Normal 4 8 6" xfId="7802" xr:uid="{70494BE1-1CC6-4FDA-866A-775463A3F77A}"/>
    <cellStyle name="Normal 4 8 6 2" xfId="7803" xr:uid="{31B5F716-395D-49DF-9D05-290E2FCF2CF7}"/>
    <cellStyle name="Normal 4 9" xfId="7804" xr:uid="{5471ACCD-D140-4806-BD50-921C4C602BE3}"/>
    <cellStyle name="Normal 4 9 2" xfId="7805" xr:uid="{1E6B8193-E696-4DDA-8399-E84665930ABC}"/>
    <cellStyle name="Normal 4 9 3" xfId="7806" xr:uid="{54D65A72-101C-4029-9356-D6549F7AE553}"/>
    <cellStyle name="Normal 4_ELC" xfId="7807" xr:uid="{F8717910-8AF4-427D-BEDE-EBB2B985B820}"/>
    <cellStyle name="Normal 40" xfId="7808" xr:uid="{DE5DBCB6-4A1D-4746-829E-508263D1D0A3}"/>
    <cellStyle name="Normal 41" xfId="7809" xr:uid="{DC4C6F1B-2EE2-42EA-B731-B0A5B352AB82}"/>
    <cellStyle name="Normal 42" xfId="7810" xr:uid="{2B76B9FF-096F-49A3-8503-E8F1A7772EAB}"/>
    <cellStyle name="Normal 43" xfId="7811" xr:uid="{7AB97AC2-0689-4FA3-89DA-4A226D8C52A4}"/>
    <cellStyle name="Normal 44" xfId="7812" xr:uid="{6211880E-0FB1-4BA5-B41E-0ED7C1FFAE7D}"/>
    <cellStyle name="Normal 45" xfId="7813" xr:uid="{0FEE1B3E-081E-4BF5-AC72-B9FB76239F34}"/>
    <cellStyle name="Normal 46" xfId="7814" xr:uid="{C0028FFE-ADC8-4303-B0D5-203D20618340}"/>
    <cellStyle name="Normal 47" xfId="7815" xr:uid="{3D610677-AF0D-4D79-BAEC-945368A65B3C}"/>
    <cellStyle name="Normal 48" xfId="7816" xr:uid="{6B575D9D-3B94-4138-92CB-8D682C67AF23}"/>
    <cellStyle name="Normal 49" xfId="7817" xr:uid="{507BCEAC-E3E3-43FF-A32A-EC97B645AE38}"/>
    <cellStyle name="Normal 5" xfId="7818" xr:uid="{0756732B-6934-4368-8D85-8CE540293D3A}"/>
    <cellStyle name="Normal 5 10" xfId="7819" xr:uid="{A21D45C9-4327-442F-8036-811A3538D7D7}"/>
    <cellStyle name="Normal 5 10 2" xfId="7820" xr:uid="{3C9B357F-0FE2-4660-B0C1-9DBC2DE84EE6}"/>
    <cellStyle name="Normal 5 10 3" xfId="7821" xr:uid="{AF233C84-BB0D-4F2C-8A97-FC14377CAE7E}"/>
    <cellStyle name="Normal 5 11" xfId="7822" xr:uid="{DF256B25-CB8B-4A94-8802-134904B0D565}"/>
    <cellStyle name="Normal 5 11 2" xfId="7823" xr:uid="{24BC5E57-0712-41A4-89CB-CE23F141A3E2}"/>
    <cellStyle name="Normal 5 11 3" xfId="7824" xr:uid="{9B712E8D-06FF-43BE-8352-C47363A8F860}"/>
    <cellStyle name="Normal 5 12" xfId="7825" xr:uid="{F8118F6E-F11F-4A5E-A81B-A012913196A1}"/>
    <cellStyle name="Normal 5 12 2" xfId="7826" xr:uid="{38742DEF-D19E-4190-A211-BAB5B6C2DF1E}"/>
    <cellStyle name="Normal 5 12 3" xfId="7827" xr:uid="{8DF07DE2-9D2E-42E0-AA9A-D2431B61DCBF}"/>
    <cellStyle name="Normal 5 12 3 2" xfId="7828" xr:uid="{2C6BA73F-4BE6-4C55-83B6-1B5D9AF8EC26}"/>
    <cellStyle name="Normal 5 12 3 2 2" xfId="7829" xr:uid="{257A654E-3DA4-4DC2-8A9C-67A5CBFA1090}"/>
    <cellStyle name="Normal 5 12 3 2 2 2" xfId="7830" xr:uid="{CB4C1AD1-33C8-4FF3-89BF-7465E2861274}"/>
    <cellStyle name="Normal 5 12 3 2 3" xfId="7831" xr:uid="{C5D09F6C-5BF5-4B04-AC95-C48E04F994AD}"/>
    <cellStyle name="Normal 5 12 3 3" xfId="7832" xr:uid="{CA69961C-9ED9-49ED-A1B8-F82F450F28D2}"/>
    <cellStyle name="Normal 5 12 3 3 2" xfId="7833" xr:uid="{92E9E55A-6007-4F56-BA18-10D100EC268E}"/>
    <cellStyle name="Normal 5 12 3 3 2 2" xfId="7834" xr:uid="{02D97A51-72F9-4C90-B67D-8E641FBC76C1}"/>
    <cellStyle name="Normal 5 12 3 3 3" xfId="7835" xr:uid="{5C00A720-D643-41ED-9AA2-E8810C4E7F4E}"/>
    <cellStyle name="Normal 5 12 3 4" xfId="7836" xr:uid="{3817396D-E0A1-47D4-98AE-722216AD17D0}"/>
    <cellStyle name="Normal 5 12 3 4 2" xfId="7837" xr:uid="{2F68BF23-9031-478B-BB27-FF8A199F1059}"/>
    <cellStyle name="Normal 5 12 3 5" xfId="7838" xr:uid="{C87D81FA-28CB-41B4-8C98-D9526E94EF75}"/>
    <cellStyle name="Normal 5 12 4" xfId="7839" xr:uid="{5A1265D7-0E03-4DC5-A02F-5C213D7CB3ED}"/>
    <cellStyle name="Normal 5 12 4 2" xfId="7840" xr:uid="{1DDA39C0-96D1-40C7-9217-F1FED7F10CF2}"/>
    <cellStyle name="Normal 5 12 4 2 2" xfId="7841" xr:uid="{9CDC2F80-A761-4ACD-B1B3-F1FC4BDCE943}"/>
    <cellStyle name="Normal 5 12 4 2 2 2" xfId="7842" xr:uid="{8667828F-111A-4E35-B186-74EF5297DD86}"/>
    <cellStyle name="Normal 5 12 4 2 3" xfId="7843" xr:uid="{31EE69D8-1DB3-414F-A404-4773A67DBF4E}"/>
    <cellStyle name="Normal 5 12 4 3" xfId="7844" xr:uid="{FF05FDE5-C79D-481D-AA4F-F26525E6E9DD}"/>
    <cellStyle name="Normal 5 12 4 3 2" xfId="7845" xr:uid="{92E208FB-5720-40AB-8DA0-954352218CD1}"/>
    <cellStyle name="Normal 5 12 4 4" xfId="7846" xr:uid="{019FAC34-3734-4570-BD30-40F7F07D15E3}"/>
    <cellStyle name="Normal 5 12 5" xfId="7847" xr:uid="{CD5DA859-3713-4C21-AC67-BA0428D88EA1}"/>
    <cellStyle name="Normal 5 12 5 2" xfId="7848" xr:uid="{FC710B0B-8D16-4347-AD88-181410A74E2D}"/>
    <cellStyle name="Normal 5 13" xfId="7849" xr:uid="{3155AE74-4F65-4015-91FC-36A91CCD18E9}"/>
    <cellStyle name="Normal 5 13 2" xfId="7850" xr:uid="{73CF7C13-B8A5-4DD0-8D5C-9D5E1DDBDA30}"/>
    <cellStyle name="Normal 5 13 2 2" xfId="7851" xr:uid="{11F1FB2A-5BDC-423E-9F58-DCB587897627}"/>
    <cellStyle name="Normal 5 13 2 2 2" xfId="7852" xr:uid="{2096404E-5543-471B-B834-A1577ACACA48}"/>
    <cellStyle name="Normal 5 13 2 2 2 2" xfId="7853" xr:uid="{FE066C88-2DA0-4B42-8816-590C6B1E1D79}"/>
    <cellStyle name="Normal 5 13 2 2 3" xfId="7854" xr:uid="{B3439FA6-1791-413C-93DF-A2A4BFA405DE}"/>
    <cellStyle name="Normal 5 13 2 3" xfId="7855" xr:uid="{F759E7FA-B4CB-4E6F-9169-7EA84464C2AB}"/>
    <cellStyle name="Normal 5 13 2 3 2" xfId="7856" xr:uid="{20883A3E-11AA-4546-8F14-A47867CA0E3C}"/>
    <cellStyle name="Normal 5 13 2 3 2 2" xfId="7857" xr:uid="{0AFF2FC7-A027-421D-B1A3-7FEBA90B8B46}"/>
    <cellStyle name="Normal 5 13 2 3 3" xfId="7858" xr:uid="{49EC201D-8017-4717-9751-53F1A8C92EBD}"/>
    <cellStyle name="Normal 5 13 2 4" xfId="7859" xr:uid="{0CF4A32C-9628-42C4-BB25-DD109BEAB00E}"/>
    <cellStyle name="Normal 5 13 2 4 2" xfId="7860" xr:uid="{E190FA6D-EF20-42BF-B3F6-92198AFB72F8}"/>
    <cellStyle name="Normal 5 13 2 5" xfId="7861" xr:uid="{456B8B69-9568-467F-85AE-EB4C8AFE9CF1}"/>
    <cellStyle name="Normal 5 13 3" xfId="7862" xr:uid="{7A5CF8B3-5BD2-48C8-9A10-150D214F1778}"/>
    <cellStyle name="Normal 5 13 3 2" xfId="7863" xr:uid="{297C6A52-4A31-471F-A084-BB789B23E8CB}"/>
    <cellStyle name="Normal 5 13 3 2 2" xfId="7864" xr:uid="{A24B2B25-CDD4-46BD-B034-A5CF6F8B4A52}"/>
    <cellStyle name="Normal 5 13 3 3" xfId="7865" xr:uid="{24CCF2A5-5CC2-4E6F-9076-3DB957934D83}"/>
    <cellStyle name="Normal 5 13 3 4" xfId="7866" xr:uid="{09CFC7A1-729F-4686-9FE7-10FF1C1A4354}"/>
    <cellStyle name="Normal 5 13 4" xfId="7867" xr:uid="{4C8EEAE4-B8F0-44D5-80D0-6A1AE70B991D}"/>
    <cellStyle name="Normal 5 13 4 2" xfId="7868" xr:uid="{1864FCBB-A2FC-486E-871E-BA679AC6ABAE}"/>
    <cellStyle name="Normal 5 13 4 2 2" xfId="7869" xr:uid="{C54426C8-0572-4F73-9A43-21C166B8CBBA}"/>
    <cellStyle name="Normal 5 13 4 3" xfId="7870" xr:uid="{BE7CCF39-469A-4DA5-B5D7-F5D0A5FD8711}"/>
    <cellStyle name="Normal 5 13 5" xfId="7871" xr:uid="{D326AAF3-ADE3-4DEB-AFAA-90D3F4F443E8}"/>
    <cellStyle name="Normal 5 13 5 2" xfId="7872" xr:uid="{1CBD844B-F300-4036-A7FC-88F2A6A65001}"/>
    <cellStyle name="Normal 5 13 6" xfId="7873" xr:uid="{EF33B547-537E-4A01-92D4-E4EC7D7A25DE}"/>
    <cellStyle name="Normal 5 14" xfId="7874" xr:uid="{A9CD8C90-6FEB-4F32-B218-5B31F2AA92AC}"/>
    <cellStyle name="Normal 5 14 2" xfId="7875" xr:uid="{C08F8CFD-395E-474E-A463-50D380A892EA}"/>
    <cellStyle name="Normal 5 2" xfId="7876" xr:uid="{38B65AA0-E029-4B6C-9879-F03B932EE502}"/>
    <cellStyle name="Normal 5 2 10" xfId="7877" xr:uid="{F6C38A11-286C-4351-BD5A-B8EE1E9BCFE0}"/>
    <cellStyle name="Normal 5 2 2" xfId="7878" xr:uid="{B127E0C4-F564-4D9A-959E-54E175D317EE}"/>
    <cellStyle name="Normal 5 2 2 10" xfId="7879" xr:uid="{29B101DB-65CD-4195-9706-4F72E64CD521}"/>
    <cellStyle name="Normal 5 2 2 10 2" xfId="7880" xr:uid="{A9F2A9BB-DA8E-4F5F-97E7-E22764C50A05}"/>
    <cellStyle name="Normal 5 2 2 10 2 2" xfId="7881" xr:uid="{2CA9590F-F085-4AC4-9DBA-7D03E99AACF6}"/>
    <cellStyle name="Normal 5 2 2 10 2 2 2" xfId="7882" xr:uid="{03B16612-3342-4700-BF66-BA38A02EEFDE}"/>
    <cellStyle name="Normal 5 2 2 10 2 2 2 2" xfId="7883" xr:uid="{8EEFCA01-A941-450F-8F50-008A4C320FED}"/>
    <cellStyle name="Normal 5 2 2 10 2 2 3" xfId="7884" xr:uid="{24BC543C-E7C6-4C9C-947F-FF58EB2587CE}"/>
    <cellStyle name="Normal 5 2 2 10 2 3" xfId="7885" xr:uid="{B5231012-9049-4ACF-92F9-12A4DB6BB05B}"/>
    <cellStyle name="Normal 5 2 2 10 2 3 2" xfId="7886" xr:uid="{3E001493-5DB7-4CDC-A238-596581902295}"/>
    <cellStyle name="Normal 5 2 2 10 2 3 2 2" xfId="7887" xr:uid="{7FA680ED-F44C-43AF-9C4D-AAA52EBEA460}"/>
    <cellStyle name="Normal 5 2 2 10 2 3 3" xfId="7888" xr:uid="{2314FB83-4CDA-4739-BFD2-A981EE4FCE87}"/>
    <cellStyle name="Normal 5 2 2 10 2 4" xfId="7889" xr:uid="{2F6CA7F7-369C-465D-95D7-8A00A486376E}"/>
    <cellStyle name="Normal 5 2 2 10 2 4 2" xfId="7890" xr:uid="{2DF262CC-4189-4D46-817F-7FA80072D6F0}"/>
    <cellStyle name="Normal 5 2 2 10 2 5" xfId="7891" xr:uid="{4D50ED23-5D03-44F6-BB67-030AF70B2804}"/>
    <cellStyle name="Normal 5 2 2 10 3" xfId="7892" xr:uid="{E08AEC43-6877-440B-B396-DD2388FFEC26}"/>
    <cellStyle name="Normal 5 2 2 10 3 2" xfId="7893" xr:uid="{261A84AD-884D-4C16-8323-6CEF113A784D}"/>
    <cellStyle name="Normal 5 2 2 10 3 2 2" xfId="7894" xr:uid="{C1E845CD-966B-40B1-8FC2-8770CB57B9AE}"/>
    <cellStyle name="Normal 5 2 2 10 3 2 2 2" xfId="7895" xr:uid="{437E050A-5940-47DB-9C16-6C176561898C}"/>
    <cellStyle name="Normal 5 2 2 10 3 2 3" xfId="7896" xr:uid="{78AEA27F-1F19-4040-88EC-CDEB0F252935}"/>
    <cellStyle name="Normal 5 2 2 10 3 3" xfId="7897" xr:uid="{4E9EB9B1-406A-43FE-8C75-D2096ED5FA43}"/>
    <cellStyle name="Normal 5 2 2 10 3 3 2" xfId="7898" xr:uid="{7E012F6B-3B96-4B57-980D-640A0EE000D7}"/>
    <cellStyle name="Normal 5 2 2 10 3 4" xfId="7899" xr:uid="{6A24D981-B975-400B-9033-2E3FCBCFC36F}"/>
    <cellStyle name="Normal 5 2 2 10 4" xfId="7900" xr:uid="{5FBDDDF1-F9B1-4F7C-9AB0-DE93686BFC5B}"/>
    <cellStyle name="Normal 5 2 2 10 5" xfId="7901" xr:uid="{BB7085A5-6188-473E-8335-368700F7A48D}"/>
    <cellStyle name="Normal 5 2 2 10 5 2" xfId="7902" xr:uid="{136429AE-DEE4-4C62-A65E-9B89EE963482}"/>
    <cellStyle name="Normal 5 2 2 10 6" xfId="7903" xr:uid="{A46671A5-2E3A-4C40-9331-24520E5D2E4B}"/>
    <cellStyle name="Normal 5 2 2 11" xfId="7904" xr:uid="{125DF460-5DA0-4EB2-8022-4C407DEF7E1A}"/>
    <cellStyle name="Normal 5 2 2 11 2" xfId="7905" xr:uid="{901A00B0-BFD6-4374-913E-19AAF375DD7A}"/>
    <cellStyle name="Normal 5 2 2 11 2 2" xfId="7906" xr:uid="{0CE0BD7E-1FD1-443D-B954-4055236A4ACC}"/>
    <cellStyle name="Normal 5 2 2 11 2 2 2" xfId="7907" xr:uid="{CC91A49A-75AF-4187-A77F-D927F9165ADB}"/>
    <cellStyle name="Normal 5 2 2 11 2 2 2 2" xfId="7908" xr:uid="{6A4C71B8-A25D-4E79-91B8-34B2FE8F612D}"/>
    <cellStyle name="Normal 5 2 2 11 2 2 3" xfId="7909" xr:uid="{BA9C41B5-E2E5-4CB1-A33A-12A50A77440E}"/>
    <cellStyle name="Normal 5 2 2 11 2 3" xfId="7910" xr:uid="{F4160BAC-28D5-4AD0-93C0-F4C0D7A6C410}"/>
    <cellStyle name="Normal 5 2 2 11 2 3 2" xfId="7911" xr:uid="{B894A90C-F076-41A7-A68F-52DAD16A5BB6}"/>
    <cellStyle name="Normal 5 2 2 11 2 3 2 2" xfId="7912" xr:uid="{8508E1C2-4BD5-494C-BFE6-AABF7C190CF7}"/>
    <cellStyle name="Normal 5 2 2 11 2 3 3" xfId="7913" xr:uid="{C5810553-7727-45FC-A908-4A4A3832D38A}"/>
    <cellStyle name="Normal 5 2 2 11 2 4" xfId="7914" xr:uid="{E4DBE9B2-F892-4931-B160-DCDC4169FFF9}"/>
    <cellStyle name="Normal 5 2 2 11 2 4 2" xfId="7915" xr:uid="{4AA97E1D-8AA5-4D57-BC54-44CC6B8784E9}"/>
    <cellStyle name="Normal 5 2 2 11 2 5" xfId="7916" xr:uid="{E5C5640E-A431-4ACA-81FB-3A82E6630071}"/>
    <cellStyle name="Normal 5 2 2 11 3" xfId="7917" xr:uid="{3D27D63F-AF5E-48DA-84F2-EDDACE95E3F3}"/>
    <cellStyle name="Normal 5 2 2 11 3 2" xfId="7918" xr:uid="{2FCBF4EC-EB37-454D-A763-22B68CC71E56}"/>
    <cellStyle name="Normal 5 2 2 11 3 2 2" xfId="7919" xr:uid="{4529B90A-9455-4C5D-B4D4-11C2CCA7C61F}"/>
    <cellStyle name="Normal 5 2 2 11 3 2 2 2" xfId="7920" xr:uid="{A0D32CCE-1046-45A3-AB98-439817E46639}"/>
    <cellStyle name="Normal 5 2 2 11 3 2 3" xfId="7921" xr:uid="{6DEAFB54-4534-4BCD-84C5-6C551C8E702C}"/>
    <cellStyle name="Normal 5 2 2 11 3 3" xfId="7922" xr:uid="{465B2BDF-0441-43FB-A550-5C1E92090476}"/>
    <cellStyle name="Normal 5 2 2 11 3 3 2" xfId="7923" xr:uid="{2FC90609-5D77-4A6E-87E6-63F6C5303C87}"/>
    <cellStyle name="Normal 5 2 2 11 3 4" xfId="7924" xr:uid="{F1041B6D-AC36-4AAB-BE76-F1D9FBE8C1F4}"/>
    <cellStyle name="Normal 5 2 2 11 4" xfId="7925" xr:uid="{12EE718C-E15B-4E86-8BAB-72FC4EA1A1EE}"/>
    <cellStyle name="Normal 5 2 2 11 5" xfId="7926" xr:uid="{C3FC1223-9A56-417B-8A93-887BC45692B2}"/>
    <cellStyle name="Normal 5 2 2 11 5 2" xfId="7927" xr:uid="{978FDD34-614A-4E9B-B83D-61A469578781}"/>
    <cellStyle name="Normal 5 2 2 11 6" xfId="7928" xr:uid="{CA57611C-171D-47F2-B808-7EEE5860C866}"/>
    <cellStyle name="Normal 5 2 2 12" xfId="7929" xr:uid="{0CFEA817-DB40-4416-9598-71026B78934A}"/>
    <cellStyle name="Normal 5 2 2 12 2" xfId="7930" xr:uid="{773B0833-4CFC-4E6B-82C4-42964B8C3FF9}"/>
    <cellStyle name="Normal 5 2 2 12 2 2" xfId="7931" xr:uid="{C40A643A-C64F-4A6F-949A-D0D7821D6761}"/>
    <cellStyle name="Normal 5 2 2 12 2 2 2" xfId="7932" xr:uid="{059F129F-2659-493F-A365-FDD8DB6B7634}"/>
    <cellStyle name="Normal 5 2 2 12 2 2 2 2" xfId="7933" xr:uid="{8303E2E3-DAD6-47CE-9300-3044FDC9928D}"/>
    <cellStyle name="Normal 5 2 2 12 2 2 3" xfId="7934" xr:uid="{B5B49723-5B94-4DE2-B981-C4F1A0C369A6}"/>
    <cellStyle name="Normal 5 2 2 12 2 3" xfId="7935" xr:uid="{B8290A47-1B9A-467D-924C-F66F8CCEB8F0}"/>
    <cellStyle name="Normal 5 2 2 12 2 3 2" xfId="7936" xr:uid="{4455FD18-3B54-4DDA-A2F0-F319744B968C}"/>
    <cellStyle name="Normal 5 2 2 12 2 3 2 2" xfId="7937" xr:uid="{A165F537-7561-4106-94F5-8BC0D28D4655}"/>
    <cellStyle name="Normal 5 2 2 12 2 3 3" xfId="7938" xr:uid="{719DD765-932F-46DA-86ED-52C3BA895E1E}"/>
    <cellStyle name="Normal 5 2 2 12 2 4" xfId="7939" xr:uid="{C3DBA0BB-D626-4E55-AD59-A78AE82360D9}"/>
    <cellStyle name="Normal 5 2 2 12 2 4 2" xfId="7940" xr:uid="{D983E158-3196-402C-9DF5-3FCB14FBB0CB}"/>
    <cellStyle name="Normal 5 2 2 12 2 5" xfId="7941" xr:uid="{DAF70451-EC38-4D16-A843-2C78B210DD88}"/>
    <cellStyle name="Normal 5 2 2 12 3" xfId="7942" xr:uid="{AC0E7A48-FA26-4B6F-A4E6-93CA4265447D}"/>
    <cellStyle name="Normal 5 2 2 12 3 2" xfId="7943" xr:uid="{35C5213A-95C5-42C7-8E8C-758497E41BE2}"/>
    <cellStyle name="Normal 5 2 2 12 3 2 2" xfId="7944" xr:uid="{A4103623-26AB-4EAE-BE71-81584246CB1F}"/>
    <cellStyle name="Normal 5 2 2 12 3 2 2 2" xfId="7945" xr:uid="{D0D00242-10EF-478B-810E-A97A7988CC46}"/>
    <cellStyle name="Normal 5 2 2 12 3 2 3" xfId="7946" xr:uid="{3CF60C3E-202C-4A91-8E3D-A86341A46233}"/>
    <cellStyle name="Normal 5 2 2 12 3 3" xfId="7947" xr:uid="{A5726D8F-3461-4E60-B995-0E3934FC4F8B}"/>
    <cellStyle name="Normal 5 2 2 12 3 3 2" xfId="7948" xr:uid="{12997520-D401-4631-979C-438FB339146A}"/>
    <cellStyle name="Normal 5 2 2 12 3 4" xfId="7949" xr:uid="{A0EC1BAA-88F9-4ED4-B507-B32A46C65775}"/>
    <cellStyle name="Normal 5 2 2 12 4" xfId="7950" xr:uid="{260454AB-3BD3-4DEE-BBA8-9123439AC7E9}"/>
    <cellStyle name="Normal 5 2 2 12 5" xfId="7951" xr:uid="{EDDADA10-A8EB-40B7-B08D-771FA1DC9BE9}"/>
    <cellStyle name="Normal 5 2 2 12 5 2" xfId="7952" xr:uid="{E5E4C663-E2CD-4612-BA07-74FAD07F5A40}"/>
    <cellStyle name="Normal 5 2 2 12 6" xfId="7953" xr:uid="{A07AB12A-EF8D-4CB4-A094-141A5874A489}"/>
    <cellStyle name="Normal 5 2 2 13" xfId="7954" xr:uid="{9C23C557-D8DB-436D-9311-B8DC496A674B}"/>
    <cellStyle name="Normal 5 2 2 13 2" xfId="7955" xr:uid="{C72F77BD-8AEA-442E-A86F-020B6B3B4049}"/>
    <cellStyle name="Normal 5 2 2 13 2 2" xfId="7956" xr:uid="{7BE99714-EC20-4457-ADD1-B9E4A9843A32}"/>
    <cellStyle name="Normal 5 2 2 13 2 2 2" xfId="7957" xr:uid="{E78F1249-6E7C-48EE-B421-47FF5FD6A0BB}"/>
    <cellStyle name="Normal 5 2 2 13 2 2 2 2" xfId="7958" xr:uid="{AA7333E3-CD95-448E-97C3-E441FBFB77B6}"/>
    <cellStyle name="Normal 5 2 2 13 2 2 3" xfId="7959" xr:uid="{E8C5C136-A97D-4D91-AD61-55216CF6F185}"/>
    <cellStyle name="Normal 5 2 2 13 2 3" xfId="7960" xr:uid="{ABAB2406-BCD6-499F-A189-D4B963A8203F}"/>
    <cellStyle name="Normal 5 2 2 13 2 3 2" xfId="7961" xr:uid="{55644958-FCC2-42EB-874A-C77340C10CE1}"/>
    <cellStyle name="Normal 5 2 2 13 2 3 2 2" xfId="7962" xr:uid="{50273933-A1AB-47BC-BCF0-351C23E39A77}"/>
    <cellStyle name="Normal 5 2 2 13 2 3 3" xfId="7963" xr:uid="{B80AF719-4493-4C65-B8F3-1690C7EAF59E}"/>
    <cellStyle name="Normal 5 2 2 13 2 4" xfId="7964" xr:uid="{5C65C7CD-F640-4873-990F-80C88625B7C5}"/>
    <cellStyle name="Normal 5 2 2 13 2 4 2" xfId="7965" xr:uid="{B502B32F-01C5-4AFA-A55F-8358C73DF4C0}"/>
    <cellStyle name="Normal 5 2 2 13 2 5" xfId="7966" xr:uid="{A6AB5197-09C9-4352-ADF2-AA4E1CD93606}"/>
    <cellStyle name="Normal 5 2 2 13 3" xfId="7967" xr:uid="{75E268B3-BBEA-4F6F-9014-9964E4C5F9D7}"/>
    <cellStyle name="Normal 5 2 2 13 3 2" xfId="7968" xr:uid="{F7EF0CE7-825D-4345-8E1A-FD99BF1CC0CC}"/>
    <cellStyle name="Normal 5 2 2 13 3 2 2" xfId="7969" xr:uid="{2869304D-AD1E-4522-ABBA-DD04D8AAE83A}"/>
    <cellStyle name="Normal 5 2 2 13 3 2 2 2" xfId="7970" xr:uid="{22FC4558-8973-4353-AE77-07373967F016}"/>
    <cellStyle name="Normal 5 2 2 13 3 2 3" xfId="7971" xr:uid="{D7B9C146-C254-4D72-9E61-DD4366B9A143}"/>
    <cellStyle name="Normal 5 2 2 13 3 3" xfId="7972" xr:uid="{E6803E5A-759A-4957-AB7F-7619EA989E5B}"/>
    <cellStyle name="Normal 5 2 2 13 3 3 2" xfId="7973" xr:uid="{6B4FD8E4-7AA8-454B-B392-EC909347D049}"/>
    <cellStyle name="Normal 5 2 2 13 3 4" xfId="7974" xr:uid="{E0F8F6EB-B4A3-4B85-A11F-3AD29E60904A}"/>
    <cellStyle name="Normal 5 2 2 13 4" xfId="7975" xr:uid="{1D53415C-96BD-4ED0-8FC5-F73D31448DDF}"/>
    <cellStyle name="Normal 5 2 2 13 5" xfId="7976" xr:uid="{46939D19-D92C-4354-9BD2-934A3B23B4FC}"/>
    <cellStyle name="Normal 5 2 2 13 5 2" xfId="7977" xr:uid="{750824CD-511F-466A-99D1-F9E5DB52DAC0}"/>
    <cellStyle name="Normal 5 2 2 13 6" xfId="7978" xr:uid="{35E5D4CA-D313-4AEB-AB71-737EE9EE89ED}"/>
    <cellStyle name="Normal 5 2 2 14" xfId="7979" xr:uid="{10EB9EF4-2081-4AA3-B9A5-78559F3DBEF0}"/>
    <cellStyle name="Normal 5 2 2 15" xfId="7980" xr:uid="{112A8EA6-51BE-4DFA-A1B1-2FC271F02778}"/>
    <cellStyle name="Normal 5 2 2 2" xfId="7981" xr:uid="{E36C0B85-2CE3-44FF-8209-A6EC9FAB77AC}"/>
    <cellStyle name="Normal 5 2 2 2 10" xfId="7982" xr:uid="{5DD6A8B3-3550-4BDA-8DBE-EAE976BF3EEC}"/>
    <cellStyle name="Normal 5 2 2 2 11" xfId="7983" xr:uid="{199AB604-1979-45B2-9B3C-94D44949E45D}"/>
    <cellStyle name="Normal 5 2 2 2 12" xfId="7984" xr:uid="{37EC8680-686D-4EB5-9200-CF1884CCE74C}"/>
    <cellStyle name="Normal 5 2 2 2 13" xfId="7985" xr:uid="{FE68925B-90B2-4537-ABE4-368E243C84B3}"/>
    <cellStyle name="Normal 5 2 2 2 14" xfId="7986" xr:uid="{F1431A1A-5EF5-41FC-B50E-41427266BDD3}"/>
    <cellStyle name="Normal 5 2 2 2 14 2" xfId="7987" xr:uid="{46C702E2-A44A-491C-942E-82800D9147CE}"/>
    <cellStyle name="Normal 5 2 2 2 14 2 2" xfId="7988" xr:uid="{4AA6A5ED-BC57-46C6-A3D1-35D02088D52B}"/>
    <cellStyle name="Normal 5 2 2 2 14 2 2 2" xfId="7989" xr:uid="{4A6E8601-8A67-4266-94DA-28A08A3933B0}"/>
    <cellStyle name="Normal 5 2 2 2 14 2 2 2 2" xfId="7990" xr:uid="{E5FBC8F5-4340-4D9A-A1C7-130AA53BB79E}"/>
    <cellStyle name="Normal 5 2 2 2 14 2 2 3" xfId="7991" xr:uid="{830586B8-C7B0-46BB-8C6C-9A3E9E90656B}"/>
    <cellStyle name="Normal 5 2 2 2 14 2 3" xfId="7992" xr:uid="{0EAC2F7C-811B-4C30-A25F-BA29B22478AB}"/>
    <cellStyle name="Normal 5 2 2 2 14 2 3 2" xfId="7993" xr:uid="{C3DCEC49-383E-4C11-A38B-5F980ABAD431}"/>
    <cellStyle name="Normal 5 2 2 2 14 2 3 2 2" xfId="7994" xr:uid="{6C20B04B-B496-4650-B4A9-D65E8E9B87FF}"/>
    <cellStyle name="Normal 5 2 2 2 14 2 3 3" xfId="7995" xr:uid="{B516AE0B-6A16-4B40-8248-9F26249C6B00}"/>
    <cellStyle name="Normal 5 2 2 2 14 2 4" xfId="7996" xr:uid="{3715668B-9221-45E8-B593-38FE8B7446EA}"/>
    <cellStyle name="Normal 5 2 2 2 14 2 4 2" xfId="7997" xr:uid="{591A68BC-0EE2-4D2B-8A6C-14DC70E95C82}"/>
    <cellStyle name="Normal 5 2 2 2 14 2 5" xfId="7998" xr:uid="{B8C3156B-C96F-4688-BC3F-F716DAA958CD}"/>
    <cellStyle name="Normal 5 2 2 2 14 3" xfId="7999" xr:uid="{3E04B5AF-1236-4602-B943-416D8866D285}"/>
    <cellStyle name="Normal 5 2 2 2 14 3 2" xfId="8000" xr:uid="{2AEB206C-B827-4D51-A5FD-DF5CC16230D9}"/>
    <cellStyle name="Normal 5 2 2 2 14 3 2 2" xfId="8001" xr:uid="{726727FF-398F-4CCE-9B99-7305CB731DA9}"/>
    <cellStyle name="Normal 5 2 2 2 14 3 3" xfId="8002" xr:uid="{7561F633-D0C9-444C-AD9B-0792D68273EE}"/>
    <cellStyle name="Normal 5 2 2 2 14 4" xfId="8003" xr:uid="{CD6F4A23-8E01-4B83-AD07-643D4F8DD0A9}"/>
    <cellStyle name="Normal 5 2 2 2 14 4 2" xfId="8004" xr:uid="{69E6FDF9-6A3E-405A-A2C7-425AB01170A6}"/>
    <cellStyle name="Normal 5 2 2 2 14 4 2 2" xfId="8005" xr:uid="{65CED95B-0AB4-408C-9128-D7502E108295}"/>
    <cellStyle name="Normal 5 2 2 2 14 4 3" xfId="8006" xr:uid="{114708F7-4BD5-4376-9348-084D712D9F4D}"/>
    <cellStyle name="Normal 5 2 2 2 14 5" xfId="8007" xr:uid="{4998C7DC-1133-4409-8D1E-3DC4790C963A}"/>
    <cellStyle name="Normal 5 2 2 2 14 5 2" xfId="8008" xr:uid="{E4DE5867-8BFF-4B6B-80B0-E700E1A1756A}"/>
    <cellStyle name="Normal 5 2 2 2 14 6" xfId="8009" xr:uid="{DEDE96A7-8C53-402A-B56E-08A2D7A212A3}"/>
    <cellStyle name="Normal 5 2 2 2 15" xfId="8010" xr:uid="{430CC769-F186-489E-8849-7E8933686D8B}"/>
    <cellStyle name="Normal 5 2 2 2 16" xfId="8011" xr:uid="{FA801E91-5BEB-4FC7-9910-07CA7D54932B}"/>
    <cellStyle name="Normal 5 2 2 2 2" xfId="8012" xr:uid="{D27994D4-4E9F-4E03-B89D-2938F8BE439A}"/>
    <cellStyle name="Normal 5 2 2 2 3" xfId="8013" xr:uid="{B1A6CA64-E28C-4D5D-B0BD-2B7635F6443F}"/>
    <cellStyle name="Normal 5 2 2 2 4" xfId="8014" xr:uid="{503978F7-D1A0-437E-9CFC-8FCB3B2F91A9}"/>
    <cellStyle name="Normal 5 2 2 2 5" xfId="8015" xr:uid="{147A7291-91FE-4037-B9AC-C92346A179AE}"/>
    <cellStyle name="Normal 5 2 2 2 6" xfId="8016" xr:uid="{649F3B40-FF08-440B-9CC0-FFE9451C4780}"/>
    <cellStyle name="Normal 5 2 2 2 7" xfId="8017" xr:uid="{46A55707-354E-43A9-A89C-B2620B39C614}"/>
    <cellStyle name="Normal 5 2 2 2 8" xfId="8018" xr:uid="{C60A65AA-E125-4F18-8F55-9CF0C949292E}"/>
    <cellStyle name="Normal 5 2 2 2 9" xfId="8019" xr:uid="{3D3DD972-BB65-42CF-8634-05B26241FEA1}"/>
    <cellStyle name="Normal 5 2 2 3" xfId="8020" xr:uid="{01046A44-FC95-48DB-BBF0-8F9F139711B5}"/>
    <cellStyle name="Normal 5 2 2 3 2" xfId="8021" xr:uid="{29618674-7952-48FD-9984-E731A36D4422}"/>
    <cellStyle name="Normal 5 2 2 3 2 2" xfId="8022" xr:uid="{397F58F6-B5CB-4995-8348-2BA2FF18F006}"/>
    <cellStyle name="Normal 5 2 2 3 2 2 2" xfId="8023" xr:uid="{74561A1F-AD27-485E-9213-E8E2A509F664}"/>
    <cellStyle name="Normal 5 2 2 3 2 2 2 2" xfId="8024" xr:uid="{BDD6FE00-5FD8-4D8C-B964-E437A682AC5F}"/>
    <cellStyle name="Normal 5 2 2 3 2 2 2 2 2" xfId="8025" xr:uid="{FB2E7910-4433-4638-9D1C-5819FA0FBD2E}"/>
    <cellStyle name="Normal 5 2 2 3 2 2 2 3" xfId="8026" xr:uid="{C84E03EB-0995-422C-A9DF-6AA2EE776FD9}"/>
    <cellStyle name="Normal 5 2 2 3 2 2 3" xfId="8027" xr:uid="{71DBCCDA-15E6-4C7C-AF64-3DCA5A8C248B}"/>
    <cellStyle name="Normal 5 2 2 3 2 2 3 2" xfId="8028" xr:uid="{CBC1556C-BBC1-40EC-8840-55F88FAEFF13}"/>
    <cellStyle name="Normal 5 2 2 3 2 2 3 2 2" xfId="8029" xr:uid="{B73B90C9-5831-4932-952D-3A31E6304489}"/>
    <cellStyle name="Normal 5 2 2 3 2 2 3 3" xfId="8030" xr:uid="{C5EF7721-6EC3-40B7-B68A-2D4A6451E62A}"/>
    <cellStyle name="Normal 5 2 2 3 2 2 4" xfId="8031" xr:uid="{82FB5762-9F03-4BBC-BC14-38AA69F74EA8}"/>
    <cellStyle name="Normal 5 2 2 3 2 2 4 2" xfId="8032" xr:uid="{957D99BE-609B-4E81-8771-98B8EAC7FE51}"/>
    <cellStyle name="Normal 5 2 2 3 2 2 5" xfId="8033" xr:uid="{AEBB4224-BC06-4D3D-A46A-60A9F93B85B5}"/>
    <cellStyle name="Normal 5 2 2 3 2 3" xfId="8034" xr:uid="{7D159ECE-8679-4360-9E7D-C3FC627DDB64}"/>
    <cellStyle name="Normal 5 2 2 3 2 3 2" xfId="8035" xr:uid="{7BB1280F-9867-4E43-9BD4-867DC23A060E}"/>
    <cellStyle name="Normal 5 2 2 3 2 3 2 2" xfId="8036" xr:uid="{35377E5F-664C-4486-8F04-2D0858E74C1F}"/>
    <cellStyle name="Normal 5 2 2 3 2 3 3" xfId="8037" xr:uid="{9F46B9E2-B26C-454B-AE61-2283349F9C7F}"/>
    <cellStyle name="Normal 5 2 2 3 2 4" xfId="8038" xr:uid="{9F9728E2-D090-411D-8860-0B19BBECC89B}"/>
    <cellStyle name="Normal 5 2 2 3 2 4 2" xfId="8039" xr:uid="{C3B91335-EC97-47FB-BC4F-41ED88DB95B2}"/>
    <cellStyle name="Normal 5 2 2 3 2 4 2 2" xfId="8040" xr:uid="{769821B4-F386-4446-BA14-C177126FBB10}"/>
    <cellStyle name="Normal 5 2 2 3 2 4 3" xfId="8041" xr:uid="{A070AF9A-764C-49F0-8AB0-EA9AD9895EDF}"/>
    <cellStyle name="Normal 5 2 2 3 2 5" xfId="8042" xr:uid="{D9A3E343-365D-4AC0-96FF-235F3E2A8C87}"/>
    <cellStyle name="Normal 5 2 2 3 2 5 2" xfId="8043" xr:uid="{F009198A-CF49-4005-A3F3-E747E995C2B9}"/>
    <cellStyle name="Normal 5 2 2 3 2 6" xfId="8044" xr:uid="{E090043F-C286-4348-BB93-652669F52FAA}"/>
    <cellStyle name="Normal 5 2 2 3 3" xfId="8045" xr:uid="{1AB5A8C3-62EB-417A-97D4-58053B007DDC}"/>
    <cellStyle name="Normal 5 2 2 3 3 2" xfId="8046" xr:uid="{D585E29C-FFFC-4494-AAE9-7250D3E7A6AB}"/>
    <cellStyle name="Normal 5 2 2 3 3 2 2" xfId="8047" xr:uid="{6B668BC1-2BE3-4E5A-B20A-2ADF23FF3414}"/>
    <cellStyle name="Normal 5 2 2 3 3 2 2 2" xfId="8048" xr:uid="{684FE5A8-0ECE-4E2B-928F-FAFE6B364CF9}"/>
    <cellStyle name="Normal 5 2 2 3 3 2 3" xfId="8049" xr:uid="{82B60857-227A-4AC8-9103-4F57CFF0097D}"/>
    <cellStyle name="Normal 5 2 2 3 3 3" xfId="8050" xr:uid="{5E4270E9-06E6-4722-8B18-3D2095014A2C}"/>
    <cellStyle name="Normal 5 2 2 3 3 3 2" xfId="8051" xr:uid="{0398778A-0517-4D47-BAA9-1A745DC28428}"/>
    <cellStyle name="Normal 5 2 2 3 3 3 2 2" xfId="8052" xr:uid="{0197E3D6-FA59-4B72-96B7-14776B70ABE3}"/>
    <cellStyle name="Normal 5 2 2 3 3 3 3" xfId="8053" xr:uid="{837B0EBC-DAB7-45BB-8996-E5D0870D8B3E}"/>
    <cellStyle name="Normal 5 2 2 3 3 4" xfId="8054" xr:uid="{19611023-C76E-4258-B8F6-F99A0B1FB92A}"/>
    <cellStyle name="Normal 5 2 2 3 3 4 2" xfId="8055" xr:uid="{B2DC2C44-C1A3-476B-A36D-EB5B04B66678}"/>
    <cellStyle name="Normal 5 2 2 3 3 5" xfId="8056" xr:uid="{B2BFD3EC-A1BD-4301-B45E-4F9ECA3C55D6}"/>
    <cellStyle name="Normal 5 2 2 3 4" xfId="8057" xr:uid="{6DDE8BFB-DC24-4123-B7CD-4FBB0F7CBCA2}"/>
    <cellStyle name="Normal 5 2 2 3 4 2" xfId="8058" xr:uid="{2170549D-0C50-4289-8E40-4FF6CFE0C68E}"/>
    <cellStyle name="Normal 5 2 2 3 4 2 2" xfId="8059" xr:uid="{6D63F458-2F99-4700-B93E-D3EF9934DF8D}"/>
    <cellStyle name="Normal 5 2 2 3 4 2 2 2" xfId="8060" xr:uid="{23347C9E-343B-46D6-BF1A-03C30F13E2B5}"/>
    <cellStyle name="Normal 5 2 2 3 4 2 3" xfId="8061" xr:uid="{A3BA9C62-88EC-47DE-960C-06D1D4D6212B}"/>
    <cellStyle name="Normal 5 2 2 3 4 3" xfId="8062" xr:uid="{29189306-F368-4ED0-9C26-5AA0008319F9}"/>
    <cellStyle name="Normal 5 2 2 3 4 3 2" xfId="8063" xr:uid="{27A2ABF3-3F6D-4F63-A6E7-2C499D6E6CA3}"/>
    <cellStyle name="Normal 5 2 2 3 4 4" xfId="8064" xr:uid="{B6E8A511-91EB-44BC-B96C-1C98FA866D62}"/>
    <cellStyle name="Normal 5 2 2 3 5" xfId="8065" xr:uid="{47A23FF6-EFD2-4D6D-BA31-FEA3730C3D3F}"/>
    <cellStyle name="Normal 5 2 2 3 6" xfId="8066" xr:uid="{90AD77E9-B8D7-47FB-8ACA-8C9C507DCA7B}"/>
    <cellStyle name="Normal 5 2 2 3 6 2" xfId="8067" xr:uid="{9F7CE483-E322-429A-9BDF-0A27773BA908}"/>
    <cellStyle name="Normal 5 2 2 3 7" xfId="8068" xr:uid="{A4B9B5DE-C30E-43A0-8800-082DD31EB18E}"/>
    <cellStyle name="Normal 5 2 2 4" xfId="8069" xr:uid="{AC316A2A-2FC2-4E40-97C3-77D0F8D69CC3}"/>
    <cellStyle name="Normal 5 2 2 4 2" xfId="8070" xr:uid="{DBFCC291-8706-4EA1-90BC-EDA3A86A1A64}"/>
    <cellStyle name="Normal 5 2 2 4 2 2" xfId="8071" xr:uid="{49B9AE49-7EBF-46BE-BC32-B04B747BE8E2}"/>
    <cellStyle name="Normal 5 2 2 4 2 2 2" xfId="8072" xr:uid="{CAE4732A-DC28-4332-B509-5C013AF76298}"/>
    <cellStyle name="Normal 5 2 2 4 2 2 2 2" xfId="8073" xr:uid="{CF1D8BAC-9C91-48A0-AB3F-CD8D1E49B6E0}"/>
    <cellStyle name="Normal 5 2 2 4 2 2 3" xfId="8074" xr:uid="{E15EEC0D-E1EC-47E0-BE8F-CFAC32C5E717}"/>
    <cellStyle name="Normal 5 2 2 4 2 3" xfId="8075" xr:uid="{FC55D228-8CC1-4D97-A000-6F606A584701}"/>
    <cellStyle name="Normal 5 2 2 4 2 3 2" xfId="8076" xr:uid="{02E3E0B4-7A65-44EC-903B-6F86C210F2E7}"/>
    <cellStyle name="Normal 5 2 2 4 2 3 2 2" xfId="8077" xr:uid="{8B846524-446F-4CEB-A9D7-1DBE6B461668}"/>
    <cellStyle name="Normal 5 2 2 4 2 3 3" xfId="8078" xr:uid="{936A466D-20B2-4DCB-BFB6-9D96A1BBFA86}"/>
    <cellStyle name="Normal 5 2 2 4 2 4" xfId="8079" xr:uid="{20DF6DF1-068E-4663-A328-C9B71980AD28}"/>
    <cellStyle name="Normal 5 2 2 4 2 4 2" xfId="8080" xr:uid="{A983D1C5-B91F-4535-A710-29462F555F0D}"/>
    <cellStyle name="Normal 5 2 2 4 2 5" xfId="8081" xr:uid="{06BEB84F-AB73-4124-A308-A1A656035E14}"/>
    <cellStyle name="Normal 5 2 2 4 3" xfId="8082" xr:uid="{B68439A5-972D-4779-8272-CDEADAE2BDD5}"/>
    <cellStyle name="Normal 5 2 2 4 3 2" xfId="8083" xr:uid="{EB03F9A2-9AA6-44E0-BDD0-6473F12238E1}"/>
    <cellStyle name="Normal 5 2 2 4 3 2 2" xfId="8084" xr:uid="{BB43FDD0-FD1E-49E4-AB6C-F918112AD8AB}"/>
    <cellStyle name="Normal 5 2 2 4 3 2 2 2" xfId="8085" xr:uid="{595FF981-453A-474A-93D4-4501EA510E59}"/>
    <cellStyle name="Normal 5 2 2 4 3 2 3" xfId="8086" xr:uid="{96228975-5D99-4DCB-BF60-6805C49591D6}"/>
    <cellStyle name="Normal 5 2 2 4 3 3" xfId="8087" xr:uid="{2BCFED02-539E-4815-AE6C-2F9E3966A3C0}"/>
    <cellStyle name="Normal 5 2 2 4 3 3 2" xfId="8088" xr:uid="{D92AC995-3EBB-4690-A15A-34C434EB57C0}"/>
    <cellStyle name="Normal 5 2 2 4 3 4" xfId="8089" xr:uid="{BAD901DB-49FE-4851-84EE-FDF177245EC1}"/>
    <cellStyle name="Normal 5 2 2 4 4" xfId="8090" xr:uid="{02106296-CB47-4881-86A0-EE6B637794EC}"/>
    <cellStyle name="Normal 5 2 2 4 5" xfId="8091" xr:uid="{135C4375-3947-43DC-B94C-7FE9ACCBA73C}"/>
    <cellStyle name="Normal 5 2 2 4 5 2" xfId="8092" xr:uid="{D2EDC2EE-CBF0-42B8-BDEB-BE390C1CB1BB}"/>
    <cellStyle name="Normal 5 2 2 4 6" xfId="8093" xr:uid="{64C96413-A3B7-4073-9270-B384BE829441}"/>
    <cellStyle name="Normal 5 2 2 5" xfId="8094" xr:uid="{815AEA6D-86DD-4DB4-89E2-EB42110B307B}"/>
    <cellStyle name="Normal 5 2 2 5 2" xfId="8095" xr:uid="{5444722D-40BC-403F-BD64-07E2CAB5777C}"/>
    <cellStyle name="Normal 5 2 2 5 2 2" xfId="8096" xr:uid="{5DBCD035-FFE6-49E5-9829-ABEE88FB9D42}"/>
    <cellStyle name="Normal 5 2 2 5 2 2 2" xfId="8097" xr:uid="{62F70264-F898-482B-9EC1-F31DF348AF4F}"/>
    <cellStyle name="Normal 5 2 2 5 2 2 2 2" xfId="8098" xr:uid="{C42277AF-9866-4184-A127-83E4F925C9A0}"/>
    <cellStyle name="Normal 5 2 2 5 2 2 3" xfId="8099" xr:uid="{905348AD-6C5A-49B0-A02C-00E8C894B507}"/>
    <cellStyle name="Normal 5 2 2 5 2 3" xfId="8100" xr:uid="{DFF855D8-810B-4A89-BBAE-C77D49CE1956}"/>
    <cellStyle name="Normal 5 2 2 5 2 3 2" xfId="8101" xr:uid="{9D106FBD-17D0-4545-91C9-4B9FC335EC1B}"/>
    <cellStyle name="Normal 5 2 2 5 2 3 2 2" xfId="8102" xr:uid="{93FB66B6-2E82-441C-B43F-3F3C063881E6}"/>
    <cellStyle name="Normal 5 2 2 5 2 3 3" xfId="8103" xr:uid="{7866398C-A7DB-4B01-B222-5AF3AEDB68BA}"/>
    <cellStyle name="Normal 5 2 2 5 2 4" xfId="8104" xr:uid="{469A5C7C-B686-4214-8AA4-7FE2271A44EE}"/>
    <cellStyle name="Normal 5 2 2 5 2 4 2" xfId="8105" xr:uid="{BE6E3908-83FC-4CEC-B253-482669F82B35}"/>
    <cellStyle name="Normal 5 2 2 5 2 5" xfId="8106" xr:uid="{7C0328C2-05B1-452D-82D1-90EDF1C4226F}"/>
    <cellStyle name="Normal 5 2 2 5 3" xfId="8107" xr:uid="{8E223DFB-E8D0-4A78-808C-39433649BC0E}"/>
    <cellStyle name="Normal 5 2 2 5 3 2" xfId="8108" xr:uid="{BF6462FF-AF11-4BFC-A9F3-0D1EFE877DA6}"/>
    <cellStyle name="Normal 5 2 2 5 3 2 2" xfId="8109" xr:uid="{1712B858-5612-4DF7-AD90-5360655FEFDB}"/>
    <cellStyle name="Normal 5 2 2 5 3 2 2 2" xfId="8110" xr:uid="{1A649818-E09A-498F-B333-ECD6E15AE3A0}"/>
    <cellStyle name="Normal 5 2 2 5 3 2 3" xfId="8111" xr:uid="{D192504E-22ED-407C-85A2-74B8E138B1EE}"/>
    <cellStyle name="Normal 5 2 2 5 3 3" xfId="8112" xr:uid="{B5E9C8A2-8FD5-40C8-8BF5-6AD87E118DEB}"/>
    <cellStyle name="Normal 5 2 2 5 3 3 2" xfId="8113" xr:uid="{1665048A-0922-4F61-A3D9-FD0069664868}"/>
    <cellStyle name="Normal 5 2 2 5 3 4" xfId="8114" xr:uid="{15894C4F-5877-4685-A558-62BB7E493788}"/>
    <cellStyle name="Normal 5 2 2 5 4" xfId="8115" xr:uid="{BF362851-6353-414B-8982-C40907E62DB8}"/>
    <cellStyle name="Normal 5 2 2 5 5" xfId="8116" xr:uid="{3C8AD6A8-3A6A-4F0C-94AA-E6BCFC98FC45}"/>
    <cellStyle name="Normal 5 2 2 5 5 2" xfId="8117" xr:uid="{E4D41221-CE4F-4FF5-A84F-FEFD65A7257F}"/>
    <cellStyle name="Normal 5 2 2 5 6" xfId="8118" xr:uid="{F8601974-C8B0-44B9-998B-7E76745AD5BA}"/>
    <cellStyle name="Normal 5 2 2 6" xfId="8119" xr:uid="{9A9CFE92-DA4F-4241-8843-38A43A8A4575}"/>
    <cellStyle name="Normal 5 2 2 6 2" xfId="8120" xr:uid="{906BA60F-44C5-446F-8B6B-F7E00FD23F74}"/>
    <cellStyle name="Normal 5 2 2 6 2 2" xfId="8121" xr:uid="{427DFB40-6292-42AD-882C-2EC07C15D70F}"/>
    <cellStyle name="Normal 5 2 2 6 2 2 2" xfId="8122" xr:uid="{C5268C0C-C94B-4D9B-AC40-A58A03349FC3}"/>
    <cellStyle name="Normal 5 2 2 6 2 2 2 2" xfId="8123" xr:uid="{D3D4D6F3-911D-4CE3-AFEB-2CDD93DCB89C}"/>
    <cellStyle name="Normal 5 2 2 6 2 2 3" xfId="8124" xr:uid="{D2547265-915E-4DC3-B82A-4DE826788CFB}"/>
    <cellStyle name="Normal 5 2 2 6 2 3" xfId="8125" xr:uid="{D402C7D4-7DED-4582-8ADC-E3E3E1F4BAC9}"/>
    <cellStyle name="Normal 5 2 2 6 2 3 2" xfId="8126" xr:uid="{CA09D398-888B-4320-967C-E7B17500D887}"/>
    <cellStyle name="Normal 5 2 2 6 2 3 2 2" xfId="8127" xr:uid="{36195188-8894-4675-BA68-D95365446F9F}"/>
    <cellStyle name="Normal 5 2 2 6 2 3 3" xfId="8128" xr:uid="{D3F32314-73FD-4E30-9204-AA907B75B0E4}"/>
    <cellStyle name="Normal 5 2 2 6 2 4" xfId="8129" xr:uid="{E22D08BC-0F56-4B0D-A85D-2D16D759495F}"/>
    <cellStyle name="Normal 5 2 2 6 2 4 2" xfId="8130" xr:uid="{D5A95EB6-12DB-4E28-9A83-D1BD227B9E75}"/>
    <cellStyle name="Normal 5 2 2 6 2 5" xfId="8131" xr:uid="{C0F84EF9-ECA2-4467-AFEB-7A9420FECA07}"/>
    <cellStyle name="Normal 5 2 2 6 3" xfId="8132" xr:uid="{6AC5C758-42EF-48D9-B901-1D3585AC265E}"/>
    <cellStyle name="Normal 5 2 2 6 3 2" xfId="8133" xr:uid="{F4764210-E88B-4341-BFF3-C18E989A51DC}"/>
    <cellStyle name="Normal 5 2 2 6 3 2 2" xfId="8134" xr:uid="{2BA429AB-9740-472F-9762-0F5FCDF2729E}"/>
    <cellStyle name="Normal 5 2 2 6 3 2 2 2" xfId="8135" xr:uid="{1511DFF5-8056-43CA-B8B0-29DCDF9C15D9}"/>
    <cellStyle name="Normal 5 2 2 6 3 2 3" xfId="8136" xr:uid="{FCB8A365-2C31-40A5-B07B-F0E7F8F42478}"/>
    <cellStyle name="Normal 5 2 2 6 3 3" xfId="8137" xr:uid="{C592A32D-48F9-4944-B12E-596DF23141D3}"/>
    <cellStyle name="Normal 5 2 2 6 3 3 2" xfId="8138" xr:uid="{B6D47664-F193-45C6-903E-9D4980C4759A}"/>
    <cellStyle name="Normal 5 2 2 6 3 4" xfId="8139" xr:uid="{83171B70-8DB3-4B68-B98D-AF4F2CAC824A}"/>
    <cellStyle name="Normal 5 2 2 6 4" xfId="8140" xr:uid="{F0FD8B90-797A-4295-A786-E30CFDE0E470}"/>
    <cellStyle name="Normal 5 2 2 6 5" xfId="8141" xr:uid="{0DE3890E-E5FE-4845-A7A9-6955469EB4AF}"/>
    <cellStyle name="Normal 5 2 2 6 5 2" xfId="8142" xr:uid="{B4E3C405-F706-43B1-B1FD-A8ED9CECB2B8}"/>
    <cellStyle name="Normal 5 2 2 6 6" xfId="8143" xr:uid="{A49A6A76-94A0-42C7-A2E5-6F511DB39273}"/>
    <cellStyle name="Normal 5 2 2 7" xfId="8144" xr:uid="{1A057498-CD27-460C-93B7-9CB6E984D8C2}"/>
    <cellStyle name="Normal 5 2 2 7 2" xfId="8145" xr:uid="{83376C3F-B644-442F-A839-737C845DB0F1}"/>
    <cellStyle name="Normal 5 2 2 7 2 2" xfId="8146" xr:uid="{E6CF023F-9E17-4597-AF03-49BB976E1A1B}"/>
    <cellStyle name="Normal 5 2 2 7 2 2 2" xfId="8147" xr:uid="{83282E47-BBAC-4ADE-8CAF-0D306C0C168C}"/>
    <cellStyle name="Normal 5 2 2 7 2 2 2 2" xfId="8148" xr:uid="{C45147E5-2948-4061-B44D-DF150920396E}"/>
    <cellStyle name="Normal 5 2 2 7 2 2 3" xfId="8149" xr:uid="{AF8F3AFB-8301-4A66-9818-E0FF6EF69631}"/>
    <cellStyle name="Normal 5 2 2 7 2 3" xfId="8150" xr:uid="{D19B7236-493B-463C-B3DD-7EB967B73D03}"/>
    <cellStyle name="Normal 5 2 2 7 2 3 2" xfId="8151" xr:uid="{D52F34C0-35F4-4F04-840B-15F2A9EFDAE1}"/>
    <cellStyle name="Normal 5 2 2 7 2 3 2 2" xfId="8152" xr:uid="{CE8D3BD6-8745-4CD6-A8AE-E9F5ACE83C66}"/>
    <cellStyle name="Normal 5 2 2 7 2 3 3" xfId="8153" xr:uid="{9BC7E4AF-3F70-4687-BB30-DB3A36F20B36}"/>
    <cellStyle name="Normal 5 2 2 7 2 4" xfId="8154" xr:uid="{D145E0EC-07C3-4054-842A-B5F3D309597E}"/>
    <cellStyle name="Normal 5 2 2 7 2 4 2" xfId="8155" xr:uid="{9FDD92C5-5CA6-4BEF-86DD-0E8C1243CF84}"/>
    <cellStyle name="Normal 5 2 2 7 2 5" xfId="8156" xr:uid="{89F6E26B-A107-460B-8721-D37D2C8492F1}"/>
    <cellStyle name="Normal 5 2 2 7 3" xfId="8157" xr:uid="{B248A878-5787-4C77-984A-09C79BA2BA53}"/>
    <cellStyle name="Normal 5 2 2 7 3 2" xfId="8158" xr:uid="{7DE0E564-381A-42B1-9758-FD087161A23B}"/>
    <cellStyle name="Normal 5 2 2 7 3 2 2" xfId="8159" xr:uid="{ED28BAA5-0100-41C1-9C9A-A0E411EF3761}"/>
    <cellStyle name="Normal 5 2 2 7 3 2 2 2" xfId="8160" xr:uid="{3B59248E-D3AD-45B6-A659-16CFB753AB9B}"/>
    <cellStyle name="Normal 5 2 2 7 3 2 3" xfId="8161" xr:uid="{C4C6AD8E-25E1-4F7D-8733-F5769062A197}"/>
    <cellStyle name="Normal 5 2 2 7 3 3" xfId="8162" xr:uid="{4CCFB54D-8999-4C3D-83FE-073C24219CBF}"/>
    <cellStyle name="Normal 5 2 2 7 3 3 2" xfId="8163" xr:uid="{02F01BC6-BA67-46D9-9F35-BA2E7A304815}"/>
    <cellStyle name="Normal 5 2 2 7 3 4" xfId="8164" xr:uid="{FA79AAA1-E04E-43F9-9BE6-21F6C7CD52FC}"/>
    <cellStyle name="Normal 5 2 2 7 4" xfId="8165" xr:uid="{93351328-FF2C-45F2-82A9-18D1BF895FB8}"/>
    <cellStyle name="Normal 5 2 2 7 5" xfId="8166" xr:uid="{49BEB649-A929-4E0F-BA34-85EA2DB0BB33}"/>
    <cellStyle name="Normal 5 2 2 7 5 2" xfId="8167" xr:uid="{B9473274-8523-498D-A27E-F73DA0C28645}"/>
    <cellStyle name="Normal 5 2 2 7 6" xfId="8168" xr:uid="{5FF71259-E9F5-4950-B09A-8214FFA90EE7}"/>
    <cellStyle name="Normal 5 2 2 8" xfId="8169" xr:uid="{C54DADFC-FB52-4895-9B22-1EF80F0E4DE0}"/>
    <cellStyle name="Normal 5 2 2 8 2" xfId="8170" xr:uid="{AD7ADE9A-C6EE-4709-8992-4618F51DB57B}"/>
    <cellStyle name="Normal 5 2 2 8 2 2" xfId="8171" xr:uid="{FF2FD9AB-998C-49D2-9A4E-8F4078646C7B}"/>
    <cellStyle name="Normal 5 2 2 8 2 2 2" xfId="8172" xr:uid="{B43B6541-6737-48B3-B775-250EADB5F70E}"/>
    <cellStyle name="Normal 5 2 2 8 2 2 2 2" xfId="8173" xr:uid="{D2797AF9-3CE1-4465-A9A2-866475520294}"/>
    <cellStyle name="Normal 5 2 2 8 2 2 3" xfId="8174" xr:uid="{D563D77B-A1EA-4A71-86F8-5B48D8FAFAD4}"/>
    <cellStyle name="Normal 5 2 2 8 2 3" xfId="8175" xr:uid="{2F058803-BB60-49C0-9AB4-C44A34A38F6E}"/>
    <cellStyle name="Normal 5 2 2 8 2 3 2" xfId="8176" xr:uid="{575DE36B-B827-4409-AC0D-B1CF42FB7BD3}"/>
    <cellStyle name="Normal 5 2 2 8 2 3 2 2" xfId="8177" xr:uid="{3CE9E062-4606-4430-A8D4-76269E7DD329}"/>
    <cellStyle name="Normal 5 2 2 8 2 3 3" xfId="8178" xr:uid="{EC53EA05-A974-402E-B987-C9A68375485B}"/>
    <cellStyle name="Normal 5 2 2 8 2 4" xfId="8179" xr:uid="{661D2489-8D16-4B85-B40E-F08876AB1DF5}"/>
    <cellStyle name="Normal 5 2 2 8 2 4 2" xfId="8180" xr:uid="{D8E4AB60-E7C3-49D3-96FD-61D9775E0E8C}"/>
    <cellStyle name="Normal 5 2 2 8 2 5" xfId="8181" xr:uid="{97A8081F-D576-4F63-BE58-AD0028D1124B}"/>
    <cellStyle name="Normal 5 2 2 8 3" xfId="8182" xr:uid="{99ADABF7-7E9A-4421-9ABA-B878E68FE00C}"/>
    <cellStyle name="Normal 5 2 2 8 3 2" xfId="8183" xr:uid="{E5F11A04-BB77-48BA-B481-50FACA2766B2}"/>
    <cellStyle name="Normal 5 2 2 8 3 2 2" xfId="8184" xr:uid="{9EC7FBE5-E55B-40C3-B255-A07010960002}"/>
    <cellStyle name="Normal 5 2 2 8 3 2 2 2" xfId="8185" xr:uid="{A79EAB9C-CBFC-4597-A9EC-194F57EAA7D5}"/>
    <cellStyle name="Normal 5 2 2 8 3 2 3" xfId="8186" xr:uid="{836952BF-8C50-4EBF-B872-1CF274500905}"/>
    <cellStyle name="Normal 5 2 2 8 3 3" xfId="8187" xr:uid="{728F02FA-0992-49C1-B73F-497EA0D00453}"/>
    <cellStyle name="Normal 5 2 2 8 3 3 2" xfId="8188" xr:uid="{8B5E0221-B24E-4B3A-B879-9138C87AFC55}"/>
    <cellStyle name="Normal 5 2 2 8 3 4" xfId="8189" xr:uid="{37E1669B-5C26-4089-833F-24A5739C3F48}"/>
    <cellStyle name="Normal 5 2 2 8 4" xfId="8190" xr:uid="{5144BB7B-35A6-4B09-A459-0A44FEA3343A}"/>
    <cellStyle name="Normal 5 2 2 8 5" xfId="8191" xr:uid="{9CC62B9C-EF92-4548-9AA4-9C5CB9CDCB7F}"/>
    <cellStyle name="Normal 5 2 2 8 5 2" xfId="8192" xr:uid="{91510780-07DF-43EC-B52C-ABF8DEDD2129}"/>
    <cellStyle name="Normal 5 2 2 8 6" xfId="8193" xr:uid="{71851648-F956-4D05-8690-B2F534FADDFD}"/>
    <cellStyle name="Normal 5 2 2 9" xfId="8194" xr:uid="{CE69D058-820D-49D0-9876-8CAEF8D095CE}"/>
    <cellStyle name="Normal 5 2 2 9 2" xfId="8195" xr:uid="{3F7D8A9D-9BDA-4CFF-94E2-5228271FDCA0}"/>
    <cellStyle name="Normal 5 2 2 9 2 2" xfId="8196" xr:uid="{56142698-D729-4C51-AEB2-71E79438B61B}"/>
    <cellStyle name="Normal 5 2 2 9 2 2 2" xfId="8197" xr:uid="{821B8705-6204-4FB1-A664-CD853AEC1AFD}"/>
    <cellStyle name="Normal 5 2 2 9 2 2 2 2" xfId="8198" xr:uid="{6D5C503F-04F3-4C98-9AA2-C0B791647473}"/>
    <cellStyle name="Normal 5 2 2 9 2 2 3" xfId="8199" xr:uid="{87D4A22B-3E6E-49CA-81FB-A625805B679C}"/>
    <cellStyle name="Normal 5 2 2 9 2 3" xfId="8200" xr:uid="{88F7D59B-9E30-402E-80D7-D0BC21A102EC}"/>
    <cellStyle name="Normal 5 2 2 9 2 3 2" xfId="8201" xr:uid="{815C9BC2-0AC4-483D-9216-E1599167484A}"/>
    <cellStyle name="Normal 5 2 2 9 2 3 2 2" xfId="8202" xr:uid="{0612981E-086F-46FC-92D8-6FC12F12B1A3}"/>
    <cellStyle name="Normal 5 2 2 9 2 3 3" xfId="8203" xr:uid="{E02749E0-A66E-4DA8-A060-B460E7E04ABA}"/>
    <cellStyle name="Normal 5 2 2 9 2 4" xfId="8204" xr:uid="{B5D30F10-752E-47BB-809E-F18E1B4700D9}"/>
    <cellStyle name="Normal 5 2 2 9 2 4 2" xfId="8205" xr:uid="{265D6A8F-5C6A-4E3F-9BDC-FEAD9D6A68C4}"/>
    <cellStyle name="Normal 5 2 2 9 2 5" xfId="8206" xr:uid="{56156613-812F-4857-8D32-E2B6D1D7F96D}"/>
    <cellStyle name="Normal 5 2 2 9 3" xfId="8207" xr:uid="{62233FCE-AF71-4F95-AF57-DF5A0B4D0493}"/>
    <cellStyle name="Normal 5 2 2 9 3 2" xfId="8208" xr:uid="{B8B28CD3-92F1-4874-9028-E2244A39BD8D}"/>
    <cellStyle name="Normal 5 2 2 9 3 2 2" xfId="8209" xr:uid="{1DE1B524-DF71-4644-A495-6BED29260598}"/>
    <cellStyle name="Normal 5 2 2 9 3 2 2 2" xfId="8210" xr:uid="{297AD138-F828-4B78-978F-DD84BFC52CFE}"/>
    <cellStyle name="Normal 5 2 2 9 3 2 3" xfId="8211" xr:uid="{31673A12-AB5F-4A2A-B014-3BFB86444C44}"/>
    <cellStyle name="Normal 5 2 2 9 3 3" xfId="8212" xr:uid="{E9862F92-BD79-4517-9702-8195CC0C14E7}"/>
    <cellStyle name="Normal 5 2 2 9 3 3 2" xfId="8213" xr:uid="{E239009C-0935-40E1-9BE7-EADD39B346F2}"/>
    <cellStyle name="Normal 5 2 2 9 3 4" xfId="8214" xr:uid="{1E7F5309-AE57-466B-B5F2-E148A0159B62}"/>
    <cellStyle name="Normal 5 2 2 9 4" xfId="8215" xr:uid="{85B49AB7-80AA-42DF-B8DA-15FEA6CCDD1A}"/>
    <cellStyle name="Normal 5 2 2 9 5" xfId="8216" xr:uid="{292BC03D-BC30-4E70-AC32-9C66A4ED613F}"/>
    <cellStyle name="Normal 5 2 2 9 5 2" xfId="8217" xr:uid="{0FE4C3D2-566F-4A2C-84F5-0CDDEE9289BF}"/>
    <cellStyle name="Normal 5 2 2 9 6" xfId="8218" xr:uid="{5C5FE2E0-FF92-4777-BFB9-DD4CBE10B25D}"/>
    <cellStyle name="Normal 5 2 3" xfId="8219" xr:uid="{2E81F212-BAD9-4874-8344-8C20ED9A4CD4}"/>
    <cellStyle name="Normal 5 2 3 2" xfId="8220" xr:uid="{7426A3FB-0538-484F-9AB5-084870A904D9}"/>
    <cellStyle name="Normal 5 2 3 3" xfId="8221" xr:uid="{8A965B93-1072-4504-8E4C-56E38067FA8E}"/>
    <cellStyle name="Normal 5 2 3 3 2" xfId="8222" xr:uid="{0902A476-5975-4FF1-87C4-4808F434D2A1}"/>
    <cellStyle name="Normal 5 2 3 3 2 2" xfId="8223" xr:uid="{8AA6361D-54E0-4CC9-9BE3-841B989E32E8}"/>
    <cellStyle name="Normal 5 2 3 3 2 2 2" xfId="8224" xr:uid="{6BD2813B-B511-4666-9AE2-E3BE86A000BA}"/>
    <cellStyle name="Normal 5 2 3 3 2 3" xfId="8225" xr:uid="{1F82357A-ABE9-49E0-A84B-6EBE36AA56E3}"/>
    <cellStyle name="Normal 5 2 3 3 3" xfId="8226" xr:uid="{A4DBC9D1-B48A-4A59-8FA1-3FD125F42EBD}"/>
    <cellStyle name="Normal 5 2 3 3 3 2" xfId="8227" xr:uid="{D8B45744-188D-4619-834F-42FCAD2E8A10}"/>
    <cellStyle name="Normal 5 2 3 3 3 2 2" xfId="8228" xr:uid="{455C8CC5-1CF9-41A4-B8FC-1E53E1E72C1F}"/>
    <cellStyle name="Normal 5 2 3 3 3 3" xfId="8229" xr:uid="{A74A4131-BAEA-4629-8B51-EDCD6B9610FF}"/>
    <cellStyle name="Normal 5 2 3 3 4" xfId="8230" xr:uid="{EB886A8D-8611-4BCE-9683-089BE217D2E9}"/>
    <cellStyle name="Normal 5 2 3 3 4 2" xfId="8231" xr:uid="{F92D2946-691B-498D-B3A2-2808CA10E31B}"/>
    <cellStyle name="Normal 5 2 3 3 5" xfId="8232" xr:uid="{D409DA6E-CB94-49F1-A51D-23AC7288EC15}"/>
    <cellStyle name="Normal 5 2 3 4" xfId="8233" xr:uid="{603305A3-0397-48E4-8AC3-17713BEB916F}"/>
    <cellStyle name="Normal 5 2 3 4 2" xfId="8234" xr:uid="{85929058-6AA4-4048-87FD-29445CB99388}"/>
    <cellStyle name="Normal 5 2 3 4 2 2" xfId="8235" xr:uid="{9A748475-87F5-4F86-AD5D-618F4D20273F}"/>
    <cellStyle name="Normal 5 2 3 4 2 2 2" xfId="8236" xr:uid="{7AE81A58-4D1D-4909-A2C2-0D1BA243ECDA}"/>
    <cellStyle name="Normal 5 2 3 4 2 3" xfId="8237" xr:uid="{AA54634D-7989-49EC-A2F9-E84D358FCA5E}"/>
    <cellStyle name="Normal 5 2 3 4 3" xfId="8238" xr:uid="{85407E5C-1850-4F7B-BEF8-AAA3E14CFDB2}"/>
    <cellStyle name="Normal 5 2 3 4 3 2" xfId="8239" xr:uid="{4E2CD312-77E5-4512-90D2-7E3047631D18}"/>
    <cellStyle name="Normal 5 2 3 4 4" xfId="8240" xr:uid="{ED4F6402-9408-469D-90CB-029BC3BB93A2}"/>
    <cellStyle name="Normal 5 2 3 5" xfId="8241" xr:uid="{102D7AEC-DFE4-4E50-B766-6BF366B6304C}"/>
    <cellStyle name="Normal 5 2 3 5 2" xfId="8242" xr:uid="{8835468D-D8D1-40AA-B618-4D858C1A379A}"/>
    <cellStyle name="Normal 5 2 4" xfId="8243" xr:uid="{7D52D47C-D2DF-409C-A3E5-CA06B1BC557E}"/>
    <cellStyle name="Normal 5 2 5" xfId="8244" xr:uid="{B6D61A63-27A6-4F8B-AD27-0CDEC665A716}"/>
    <cellStyle name="Normal 5 2 6" xfId="8245" xr:uid="{8F8480E3-E38E-4AE9-BC97-3092191C30FA}"/>
    <cellStyle name="Normal 5 2 7" xfId="8246" xr:uid="{9078E9A0-D139-4FC3-9239-C41D7036DECE}"/>
    <cellStyle name="Normal 5 2 8" xfId="8247" xr:uid="{70943824-A2EF-48BF-8505-466D901F45DA}"/>
    <cellStyle name="Normal 5 2 9" xfId="8248" xr:uid="{7B1557DE-7575-4573-AB0E-25218B701BCA}"/>
    <cellStyle name="Normal 5 3" xfId="8249" xr:uid="{08597400-AB6C-4B27-A790-EE9C59FE6F0D}"/>
    <cellStyle name="Normal 5 3 10" xfId="8250" xr:uid="{3FE32845-3F62-4243-A66F-C9C127B098AA}"/>
    <cellStyle name="Normal 5 3 10 2" xfId="8251" xr:uid="{F7E21F95-5611-43C9-803B-DF5E71453C2D}"/>
    <cellStyle name="Normal 5 3 2" xfId="8252" xr:uid="{8B4A98D6-311B-4B89-8C43-C438B6B1850A}"/>
    <cellStyle name="Normal 5 3 2 2" xfId="8253" xr:uid="{19B08474-6CE9-4784-A248-6D29DBB49DE1}"/>
    <cellStyle name="Normal 5 3 2 3" xfId="8254" xr:uid="{9831AF26-BA02-4076-A056-EADE961F21EE}"/>
    <cellStyle name="Normal 5 3 3" xfId="8255" xr:uid="{F34D5A2F-A25A-47E4-865D-2E46C5EDD6A3}"/>
    <cellStyle name="Normal 5 3 3 2" xfId="8256" xr:uid="{293BB3A7-D5AC-41B7-A1EF-83B23EBDF2E6}"/>
    <cellStyle name="Normal 5 3 3 3" xfId="8257" xr:uid="{21F34869-0EA6-48A4-A798-CD66B6109CC2}"/>
    <cellStyle name="Normal 5 3 3 3 2" xfId="8258" xr:uid="{9D6C59B9-89BD-4647-9E36-8DBDE580302B}"/>
    <cellStyle name="Normal 5 3 3 3 2 2" xfId="8259" xr:uid="{E208F025-510C-4359-8068-3E00C9718C28}"/>
    <cellStyle name="Normal 5 3 3 3 2 2 2" xfId="8260" xr:uid="{73E70CC1-EF94-4C51-895F-959FBAD46332}"/>
    <cellStyle name="Normal 5 3 3 3 2 3" xfId="8261" xr:uid="{49EBBC9D-765C-41FC-91DB-1E545F812DF5}"/>
    <cellStyle name="Normal 5 3 3 3 3" xfId="8262" xr:uid="{C68EDE4B-62CA-4645-8349-F1D9D1D75B4A}"/>
    <cellStyle name="Normal 5 3 3 3 3 2" xfId="8263" xr:uid="{036335D2-B116-4AEB-9792-E57E5A9A7917}"/>
    <cellStyle name="Normal 5 3 3 3 3 2 2" xfId="8264" xr:uid="{1FA53392-47CA-4748-B5C6-1D6D113C11E0}"/>
    <cellStyle name="Normal 5 3 3 3 3 3" xfId="8265" xr:uid="{2D0B3D15-DE8D-4231-B5F9-F99856A97601}"/>
    <cellStyle name="Normal 5 3 3 3 4" xfId="8266" xr:uid="{E5526C02-C75D-4B59-B947-FF6AF5B54975}"/>
    <cellStyle name="Normal 5 3 3 3 4 2" xfId="8267" xr:uid="{4E1DE5E0-736E-4AAF-B73B-E525BBCC5206}"/>
    <cellStyle name="Normal 5 3 3 3 5" xfId="8268" xr:uid="{690EC788-BF48-463E-8BC2-0887D0DBDBAA}"/>
    <cellStyle name="Normal 5 3 3 4" xfId="8269" xr:uid="{A99E865A-AEA5-4BED-98DD-3352CA96EDFD}"/>
    <cellStyle name="Normal 5 3 3 4 2" xfId="8270" xr:uid="{BBBB4E77-869D-4575-B946-C2E5F3FD54B9}"/>
    <cellStyle name="Normal 5 3 3 4 2 2" xfId="8271" xr:uid="{3B1D4FA3-BF53-4EAF-9615-3D27F12FF35A}"/>
    <cellStyle name="Normal 5 3 3 4 2 2 2" xfId="8272" xr:uid="{98A00D08-9E76-460C-AE04-743D81EC57D7}"/>
    <cellStyle name="Normal 5 3 3 4 2 3" xfId="8273" xr:uid="{C84DC345-E11F-49F6-A1F1-71A6B5982A07}"/>
    <cellStyle name="Normal 5 3 3 4 3" xfId="8274" xr:uid="{11D5FAD3-8F71-4EC9-ABF3-21C29ADAC056}"/>
    <cellStyle name="Normal 5 3 3 4 3 2" xfId="8275" xr:uid="{4750B9EC-BDBA-4DA5-B033-1AA90B5C60E8}"/>
    <cellStyle name="Normal 5 3 3 4 4" xfId="8276" xr:uid="{BB787784-1850-4883-BDE0-1E30F1177712}"/>
    <cellStyle name="Normal 5 3 3 5" xfId="8277" xr:uid="{E9CB23E5-23E1-4A9D-B583-2D6D15D43134}"/>
    <cellStyle name="Normal 5 3 3 5 2" xfId="8278" xr:uid="{20B00C22-254E-4582-8353-CE874D60ACCC}"/>
    <cellStyle name="Normal 5 3 4" xfId="8279" xr:uid="{7383713F-377A-4FA8-91A2-0E42BD573003}"/>
    <cellStyle name="Normal 5 3 5" xfId="8280" xr:uid="{0F40D23D-9390-4B27-80BB-AA35ED149919}"/>
    <cellStyle name="Normal 5 3 6" xfId="8281" xr:uid="{8EF11BCD-30C6-4617-A9CE-955FEA855FB7}"/>
    <cellStyle name="Normal 5 3 7" xfId="8282" xr:uid="{31713A61-5515-4435-9F57-EC77BCF98DEE}"/>
    <cellStyle name="Normal 5 3 8" xfId="8283" xr:uid="{BDBC6D65-7BD0-429F-BA22-A3226FD09617}"/>
    <cellStyle name="Normal 5 3 9" xfId="8284" xr:uid="{9F5F9405-724A-4D68-91D2-3701D016CB43}"/>
    <cellStyle name="Normal 5 4" xfId="8285" xr:uid="{BFC6235C-9BF8-48F5-B45E-43A37A769B4F}"/>
    <cellStyle name="Normal 5 4 2" xfId="8286" xr:uid="{F0BD71F2-0A38-4CBA-8219-AC3E02C0A7B9}"/>
    <cellStyle name="Normal 5 4 3" xfId="8287" xr:uid="{3F88A36A-7414-4385-B8F8-CE40829FBE4E}"/>
    <cellStyle name="Normal 5 4 4" xfId="8288" xr:uid="{57FF7D57-9071-440D-B8E3-2FA082319961}"/>
    <cellStyle name="Normal 5 4 5" xfId="8289" xr:uid="{729C4308-DD87-4A76-BBB7-EB6EB5EDEC0D}"/>
    <cellStyle name="Normal 5 4 6" xfId="8290" xr:uid="{E0D2C648-5941-49E7-834D-B091510A0B5F}"/>
    <cellStyle name="Normal 5 4 7" xfId="8291" xr:uid="{372CCE40-7ECE-464E-8CFF-44574769F3E0}"/>
    <cellStyle name="Normal 5 4 8" xfId="8292" xr:uid="{DD6B260D-AAC5-4036-9E47-9CEC72CEE69C}"/>
    <cellStyle name="Normal 5 5" xfId="8293" xr:uid="{3E430E7C-C4ED-4EC0-9ADD-49767DD56567}"/>
    <cellStyle name="Normal 5 5 10" xfId="8294" xr:uid="{BB96492E-4393-49C8-817D-1D4763B90FE2}"/>
    <cellStyle name="Normal 5 5 10 2" xfId="8295" xr:uid="{F830E7EF-34D7-430C-98C3-B07BD362091A}"/>
    <cellStyle name="Normal 5 5 10 2 2" xfId="8296" xr:uid="{E79897C4-BAFA-4CB3-9076-409C97BEB7D4}"/>
    <cellStyle name="Normal 5 5 10 2 2 2" xfId="8297" xr:uid="{D37FF8EF-12B8-42F5-823E-1B7B7EB6189F}"/>
    <cellStyle name="Normal 5 5 10 2 3" xfId="8298" xr:uid="{1EC544EA-FF51-4205-AA18-3BA2E5BC3DAE}"/>
    <cellStyle name="Normal 5 5 10 3" xfId="8299" xr:uid="{DB43C550-BDC4-4703-97B4-15931314AD61}"/>
    <cellStyle name="Normal 5 5 10 3 2" xfId="8300" xr:uid="{46A2FE04-58A4-4944-A427-55D2491CB055}"/>
    <cellStyle name="Normal 5 5 10 3 2 2" xfId="8301" xr:uid="{24414B2C-2D2C-46F0-9478-3196C2D28CF8}"/>
    <cellStyle name="Normal 5 5 10 3 3" xfId="8302" xr:uid="{B4651DB8-73A3-4D28-8472-33D0FC903A85}"/>
    <cellStyle name="Normal 5 5 10 4" xfId="8303" xr:uid="{EC7D86A7-8927-4CBE-9A34-E057B47D8A51}"/>
    <cellStyle name="Normal 5 5 10 4 2" xfId="8304" xr:uid="{773CCB4E-62B2-4A7E-BFD6-038B5AB487C6}"/>
    <cellStyle name="Normal 5 5 10 5" xfId="8305" xr:uid="{CDE96373-8FA1-472A-991F-1F0889788C5D}"/>
    <cellStyle name="Normal 5 5 11" xfId="8306" xr:uid="{29A4E45F-41DF-4439-9E52-5CB1AD598887}"/>
    <cellStyle name="Normal 5 5 11 2" xfId="8307" xr:uid="{776A6562-BC90-48CD-A2CC-F680FD13A7B6}"/>
    <cellStyle name="Normal 5 5 11 2 2" xfId="8308" xr:uid="{FA881FE0-4E1B-4956-B926-F18202B7A901}"/>
    <cellStyle name="Normal 5 5 11 2 2 2" xfId="8309" xr:uid="{22B9C043-66DE-452B-8FC7-8E1D96B6FAEB}"/>
    <cellStyle name="Normal 5 5 11 2 3" xfId="8310" xr:uid="{0B25C9AB-8DCF-43F1-A029-9B5A930BDD2B}"/>
    <cellStyle name="Normal 5 5 11 3" xfId="8311" xr:uid="{C120E7BC-26E6-4455-AF85-F1B560F9197C}"/>
    <cellStyle name="Normal 5 5 11 3 2" xfId="8312" xr:uid="{A0BB8963-4D3F-4F11-AF63-56580BB18447}"/>
    <cellStyle name="Normal 5 5 11 4" xfId="8313" xr:uid="{0864E4CA-3D21-4907-852E-7D13E9D87CCD}"/>
    <cellStyle name="Normal 5 5 12" xfId="8314" xr:uid="{5054AE46-C877-433D-8EF8-A4B5C306FEA0}"/>
    <cellStyle name="Normal 5 5 12 2" xfId="8315" xr:uid="{9C833923-1D17-4620-A52A-B86A1330EF08}"/>
    <cellStyle name="Normal 5 5 2" xfId="8316" xr:uid="{87AEF86F-0D09-47B2-BD14-4B2AEB611B63}"/>
    <cellStyle name="Normal 5 5 2 2" xfId="8317" xr:uid="{21365738-E693-46B2-AB81-ECDC6403E18F}"/>
    <cellStyle name="Normal 5 5 2 2 2" xfId="8318" xr:uid="{9632D209-7FD7-4935-9DF0-2841A3F57969}"/>
    <cellStyle name="Normal 5 5 2 2 2 2" xfId="8319" xr:uid="{E015BB76-0FE5-437E-A5C1-F5F6DF545564}"/>
    <cellStyle name="Normal 5 5 2 2 2 2 2" xfId="8320" xr:uid="{BC01FD0E-B7B5-4299-B924-83C16AF1534A}"/>
    <cellStyle name="Normal 5 5 2 2 2 2 2 2" xfId="8321" xr:uid="{335A27F2-2BDA-4A29-89F6-F54AE79ADDF0}"/>
    <cellStyle name="Normal 5 5 2 2 2 2 3" xfId="8322" xr:uid="{B067BC8F-30A4-48B3-B924-E72A4B67091B}"/>
    <cellStyle name="Normal 5 5 2 2 2 3" xfId="8323" xr:uid="{70C13B87-62C3-4167-A20C-6828D516033F}"/>
    <cellStyle name="Normal 5 5 2 2 2 3 2" xfId="8324" xr:uid="{4D1F26F9-97B2-4795-86A6-700372CC443A}"/>
    <cellStyle name="Normal 5 5 2 2 2 3 2 2" xfId="8325" xr:uid="{BD3D93BF-A312-4189-BD6A-89FFC5BF5060}"/>
    <cellStyle name="Normal 5 5 2 2 2 3 3" xfId="8326" xr:uid="{B00539D1-0997-4E50-B427-0C46DB4E422D}"/>
    <cellStyle name="Normal 5 5 2 2 2 4" xfId="8327" xr:uid="{3F33086C-6A06-4C2E-A96C-D8EF873CCAC7}"/>
    <cellStyle name="Normal 5 5 2 2 2 4 2" xfId="8328" xr:uid="{9BF891A7-B6F2-4621-88ED-98DBB48F5565}"/>
    <cellStyle name="Normal 5 5 2 2 2 5" xfId="8329" xr:uid="{5CB04CA3-537A-4BE9-ADB4-5CF2AB90CBF6}"/>
    <cellStyle name="Normal 5 5 2 2 3" xfId="8330" xr:uid="{5C129C12-6E5C-48F9-827F-6F045EBEF88F}"/>
    <cellStyle name="Normal 5 5 2 2 3 2" xfId="8331" xr:uid="{2CCC1BA9-33B1-40CA-A044-A0BCC540B641}"/>
    <cellStyle name="Normal 5 5 2 2 3 2 2" xfId="8332" xr:uid="{5C616756-B77C-462E-B59F-910606BA277F}"/>
    <cellStyle name="Normal 5 5 2 2 3 3" xfId="8333" xr:uid="{004B022F-18A5-4E54-9DA6-F1E4FCF4DAF2}"/>
    <cellStyle name="Normal 5 5 2 2 4" xfId="8334" xr:uid="{378933D1-2D6B-4E61-BFA4-DF1FAEA5489C}"/>
    <cellStyle name="Normal 5 5 2 2 4 2" xfId="8335" xr:uid="{3E98C815-91BF-40D1-900C-B952A83FDB69}"/>
    <cellStyle name="Normal 5 5 2 2 4 2 2" xfId="8336" xr:uid="{EDD40DCD-D5CA-4A78-8ABA-C99543684781}"/>
    <cellStyle name="Normal 5 5 2 2 4 3" xfId="8337" xr:uid="{04683004-2FCD-4547-BB7E-0BC235ED3A9B}"/>
    <cellStyle name="Normal 5 5 2 2 5" xfId="8338" xr:uid="{2B36B349-CCA6-4BE0-8D1C-49AE88A5AA28}"/>
    <cellStyle name="Normal 5 5 2 2 5 2" xfId="8339" xr:uid="{9EE3C6FB-7DD2-4F7B-801B-2774276F365B}"/>
    <cellStyle name="Normal 5 5 2 2 6" xfId="8340" xr:uid="{C7C68A18-AD73-4505-9EEB-61B0BB477836}"/>
    <cellStyle name="Normal 5 5 2 3" xfId="8341" xr:uid="{A054B4B2-4BD2-4474-9531-DBD217EA5DB6}"/>
    <cellStyle name="Normal 5 5 2 4" xfId="8342" xr:uid="{3D25498B-C27A-4375-8AB3-BE99367955D6}"/>
    <cellStyle name="Normal 5 5 2 4 2" xfId="8343" xr:uid="{7D2F324D-2B3D-4082-8B19-1C373ADA441D}"/>
    <cellStyle name="Normal 5 5 2 4 2 2" xfId="8344" xr:uid="{058927F3-B199-454E-90BC-51D23CFD1372}"/>
    <cellStyle name="Normal 5 5 2 4 2 2 2" xfId="8345" xr:uid="{93E4BAD1-A55E-4FC1-AB8A-4076E4251766}"/>
    <cellStyle name="Normal 5 5 2 4 2 3" xfId="8346" xr:uid="{253F8D89-AD43-4A2C-B50B-084B537D0688}"/>
    <cellStyle name="Normal 5 5 2 4 3" xfId="8347" xr:uid="{40B469EC-56B9-4471-A39A-FE84B575A606}"/>
    <cellStyle name="Normal 5 5 2 4 3 2" xfId="8348" xr:uid="{F7D2D11F-47F5-4AAD-A411-9694974D3D98}"/>
    <cellStyle name="Normal 5 5 2 4 3 2 2" xfId="8349" xr:uid="{181102D3-A198-4EBF-B243-9ED54DECFECF}"/>
    <cellStyle name="Normal 5 5 2 4 3 3" xfId="8350" xr:uid="{34BA80D3-9A8E-466F-A07D-5CA1F1A5CABF}"/>
    <cellStyle name="Normal 5 5 2 4 4" xfId="8351" xr:uid="{4BE7CE2A-ED9C-4334-8A1A-D9389C6D3EE8}"/>
    <cellStyle name="Normal 5 5 2 4 4 2" xfId="8352" xr:uid="{3951D2CF-66EC-4B2C-A673-138022619A9D}"/>
    <cellStyle name="Normal 5 5 2 4 5" xfId="8353" xr:uid="{7DB9911A-F9F9-476C-B55F-E0FD57659796}"/>
    <cellStyle name="Normal 5 5 2 5" xfId="8354" xr:uid="{823B042F-E97F-4306-8AFB-227C71D0298F}"/>
    <cellStyle name="Normal 5 5 2 5 2" xfId="8355" xr:uid="{72E800EB-E58E-4065-A679-F517BB49C2ED}"/>
    <cellStyle name="Normal 5 5 2 5 2 2" xfId="8356" xr:uid="{2BD1FF18-7883-4001-B54B-7DECAC607F02}"/>
    <cellStyle name="Normal 5 5 2 5 2 2 2" xfId="8357" xr:uid="{5A64C72C-C937-40F6-81C1-AA1743B5F2B9}"/>
    <cellStyle name="Normal 5 5 2 5 2 3" xfId="8358" xr:uid="{5067C003-CE92-4196-8753-6822803870A5}"/>
    <cellStyle name="Normal 5 5 2 5 3" xfId="8359" xr:uid="{3EDDF942-3872-4FA5-AA72-6FC876698141}"/>
    <cellStyle name="Normal 5 5 2 5 3 2" xfId="8360" xr:uid="{5F68AD54-767E-4210-8A37-2BADE67E416B}"/>
    <cellStyle name="Normal 5 5 2 5 4" xfId="8361" xr:uid="{D7B6C1A8-9770-4563-8BDB-F27D39CFB325}"/>
    <cellStyle name="Normal 5 5 2 6" xfId="8362" xr:uid="{5E8A925C-17AC-4F61-8ECA-FD57ECC84129}"/>
    <cellStyle name="Normal 5 5 2 6 2" xfId="8363" xr:uid="{AA46CEFA-0B03-4CB4-B481-AF3A9D8637A6}"/>
    <cellStyle name="Normal 5 5 3" xfId="8364" xr:uid="{34C87698-117D-44F9-B70C-F738E429C6E0}"/>
    <cellStyle name="Normal 5 5 3 2" xfId="8365" xr:uid="{893960F8-EA9F-48F0-97BA-9F2423C83FD8}"/>
    <cellStyle name="Normal 5 5 3 3" xfId="8366" xr:uid="{F4234489-1B8C-4351-8F39-49B4E28D2804}"/>
    <cellStyle name="Normal 5 5 3 3 2" xfId="8367" xr:uid="{3BCF321D-F524-4A27-A46F-C4EB0A7E0048}"/>
    <cellStyle name="Normal 5 5 3 3 2 2" xfId="8368" xr:uid="{E89F6B5E-0A86-4715-B875-E1640F0BB9F9}"/>
    <cellStyle name="Normal 5 5 3 3 2 2 2" xfId="8369" xr:uid="{AEF1E55F-1A76-49AB-BCCD-4C502E07C34E}"/>
    <cellStyle name="Normal 5 5 3 3 2 3" xfId="8370" xr:uid="{77ECAB1C-5232-4D2B-85AE-96ACB6B10902}"/>
    <cellStyle name="Normal 5 5 3 3 3" xfId="8371" xr:uid="{BE748D72-140A-420C-9414-C758740A0222}"/>
    <cellStyle name="Normal 5 5 3 3 3 2" xfId="8372" xr:uid="{D51EAE32-052D-4D7C-A1D7-EE3E3106CD89}"/>
    <cellStyle name="Normal 5 5 3 3 3 2 2" xfId="8373" xr:uid="{A2A5FDF5-284C-4C00-B5F2-3D9A8FA3AA43}"/>
    <cellStyle name="Normal 5 5 3 3 3 3" xfId="8374" xr:uid="{FBF642B2-8434-4166-9AE2-951BA2BAAC72}"/>
    <cellStyle name="Normal 5 5 3 3 4" xfId="8375" xr:uid="{7149E96D-2CBC-4499-B443-AC02FA8B633F}"/>
    <cellStyle name="Normal 5 5 3 3 4 2" xfId="8376" xr:uid="{F3451C0E-9A85-40B7-9FE8-88D497F30502}"/>
    <cellStyle name="Normal 5 5 3 3 5" xfId="8377" xr:uid="{35EBDB7B-4199-41AE-965D-9822CD7A0030}"/>
    <cellStyle name="Normal 5 5 3 4" xfId="8378" xr:uid="{9252E0A8-B5D9-40C9-8132-6F74DA496814}"/>
    <cellStyle name="Normal 5 5 3 4 2" xfId="8379" xr:uid="{0055D71E-DBBE-44D8-8F5E-E790A6AE512E}"/>
    <cellStyle name="Normal 5 5 3 4 2 2" xfId="8380" xr:uid="{E0CF9193-69F9-499E-A91B-C9015CA1D212}"/>
    <cellStyle name="Normal 5 5 3 4 2 2 2" xfId="8381" xr:uid="{6A9AFADD-5797-42ED-8E83-4B4226D674B9}"/>
    <cellStyle name="Normal 5 5 3 4 2 3" xfId="8382" xr:uid="{9F1D6266-98CA-4175-876D-0EAE5EE546C6}"/>
    <cellStyle name="Normal 5 5 3 4 3" xfId="8383" xr:uid="{25B4B7AB-CFAF-43C4-9D90-4B1850A222A1}"/>
    <cellStyle name="Normal 5 5 3 4 3 2" xfId="8384" xr:uid="{91FD4C32-21C8-4499-A93D-469F5241D783}"/>
    <cellStyle name="Normal 5 5 3 4 4" xfId="8385" xr:uid="{E1C5F2C7-3D17-4A0C-9A1A-BE5289CA12D4}"/>
    <cellStyle name="Normal 5 5 3 5" xfId="8386" xr:uid="{EF600884-A103-4853-9B70-01AB098D542F}"/>
    <cellStyle name="Normal 5 5 3 5 2" xfId="8387" xr:uid="{7CA661C6-388D-4D72-BEB5-E30F343DEC69}"/>
    <cellStyle name="Normal 5 5 4" xfId="8388" xr:uid="{82E5B55F-17C0-4AA8-B154-7E5FBA6BD3FE}"/>
    <cellStyle name="Normal 5 5 4 2" xfId="8389" xr:uid="{2629CE67-2433-4C0F-965F-8B1F388817B9}"/>
    <cellStyle name="Normal 5 5 4 3" xfId="8390" xr:uid="{00C30EE4-A59D-4901-B642-D2C2BC4A3702}"/>
    <cellStyle name="Normal 5 5 4 3 2" xfId="8391" xr:uid="{5306C0CB-ADAF-4E23-AAF5-8942BE952944}"/>
    <cellStyle name="Normal 5 5 4 3 2 2" xfId="8392" xr:uid="{D6FAEF38-72B8-41DF-9A59-8DA8734247DA}"/>
    <cellStyle name="Normal 5 5 4 3 2 2 2" xfId="8393" xr:uid="{F2F2A2B7-987F-40C0-A2D6-C22A201CBC4C}"/>
    <cellStyle name="Normal 5 5 4 3 2 3" xfId="8394" xr:uid="{5D95A383-779D-4A76-9B40-419B5256477F}"/>
    <cellStyle name="Normal 5 5 4 3 3" xfId="8395" xr:uid="{285AB1CC-8223-411F-A90E-2809B906CF88}"/>
    <cellStyle name="Normal 5 5 4 3 3 2" xfId="8396" xr:uid="{EBE4F559-7938-43E3-9E7B-CF2C64266B71}"/>
    <cellStyle name="Normal 5 5 4 3 3 2 2" xfId="8397" xr:uid="{5A1C3C3E-B4C3-4EC7-8197-9C3B026511D4}"/>
    <cellStyle name="Normal 5 5 4 3 3 3" xfId="8398" xr:uid="{0F9431E9-914D-46F3-B9E6-469DD4A50197}"/>
    <cellStyle name="Normal 5 5 4 3 4" xfId="8399" xr:uid="{C182B99D-3B99-417F-A79E-855F16642473}"/>
    <cellStyle name="Normal 5 5 4 3 4 2" xfId="8400" xr:uid="{D753052E-3F6A-4E97-A9CF-08EB400C31E1}"/>
    <cellStyle name="Normal 5 5 4 3 5" xfId="8401" xr:uid="{8F6E3570-F8BA-48AE-84E0-870A909B5209}"/>
    <cellStyle name="Normal 5 5 4 4" xfId="8402" xr:uid="{7A547444-BE33-43A3-8E51-A888537C7EE8}"/>
    <cellStyle name="Normal 5 5 4 4 2" xfId="8403" xr:uid="{9112F659-A9DE-472B-B8D7-11E457EE5903}"/>
    <cellStyle name="Normal 5 5 4 4 2 2" xfId="8404" xr:uid="{BF0B4E32-982F-47B0-A612-6BEB2D5A6718}"/>
    <cellStyle name="Normal 5 5 4 4 2 2 2" xfId="8405" xr:uid="{522D8E21-B54E-480B-A351-269C5A940B58}"/>
    <cellStyle name="Normal 5 5 4 4 2 3" xfId="8406" xr:uid="{D4D4C523-9C40-4944-8C0D-7E21EA0440A1}"/>
    <cellStyle name="Normal 5 5 4 4 3" xfId="8407" xr:uid="{F763695B-6750-426C-8F98-D6D69E14382B}"/>
    <cellStyle name="Normal 5 5 4 4 3 2" xfId="8408" xr:uid="{5A521DC3-646B-4C98-B517-62B1FBB61393}"/>
    <cellStyle name="Normal 5 5 4 4 4" xfId="8409" xr:uid="{BF67B139-50D7-4A55-92B9-3076667C8664}"/>
    <cellStyle name="Normal 5 5 4 5" xfId="8410" xr:uid="{AE16837F-B29B-4C4E-B67D-852094E82741}"/>
    <cellStyle name="Normal 5 5 4 5 2" xfId="8411" xr:uid="{AC107BA2-B4BB-4976-9282-8A5E3A5B69CB}"/>
    <cellStyle name="Normal 5 5 5" xfId="8412" xr:uid="{9618B007-549E-4AAC-9132-97D025C04796}"/>
    <cellStyle name="Normal 5 5 6" xfId="8413" xr:uid="{9245F63B-19C8-4F8D-A81E-9368760AB7ED}"/>
    <cellStyle name="Normal 5 5 7" xfId="8414" xr:uid="{0158D512-E46B-4440-A819-8C26D7F4AA63}"/>
    <cellStyle name="Normal 5 5 8" xfId="8415" xr:uid="{CA1530BC-6C79-414F-8D58-6D0E79EA80D9}"/>
    <cellStyle name="Normal 5 5 9" xfId="8416" xr:uid="{FE77A989-3567-430B-9056-2FB2D371AE91}"/>
    <cellStyle name="Normal 5 5 9 2" xfId="8417" xr:uid="{5D65C695-3BE7-49D2-B10B-565B09957E9F}"/>
    <cellStyle name="Normal 5 5 9 2 2" xfId="8418" xr:uid="{90097365-7C5B-4CD3-84EF-FD3D7317AF17}"/>
    <cellStyle name="Normal 5 5 9 2 2 2" xfId="8419" xr:uid="{A6D40BE0-7FFF-4218-967D-C45940D84B70}"/>
    <cellStyle name="Normal 5 5 9 2 2 2 2" xfId="8420" xr:uid="{B3530CB2-429A-4C8E-903B-A49D564B6D64}"/>
    <cellStyle name="Normal 5 5 9 2 2 3" xfId="8421" xr:uid="{7B363B76-6617-4FCA-B288-7E4AAEA3EFA8}"/>
    <cellStyle name="Normal 5 5 9 2 3" xfId="8422" xr:uid="{AC56D9AE-CBC1-40B0-9F08-C9812CF4F551}"/>
    <cellStyle name="Normal 5 5 9 2 3 2" xfId="8423" xr:uid="{96891992-11E4-43B2-B32F-0F9778F9F0B7}"/>
    <cellStyle name="Normal 5 5 9 2 3 2 2" xfId="8424" xr:uid="{04D59333-79BA-445A-A0EA-45DD42967C71}"/>
    <cellStyle name="Normal 5 5 9 2 3 3" xfId="8425" xr:uid="{1E18CDEC-9266-46F8-A453-B2FA07E93066}"/>
    <cellStyle name="Normal 5 5 9 2 4" xfId="8426" xr:uid="{034EC3F4-8416-4791-89BB-E42915AE4F5E}"/>
    <cellStyle name="Normal 5 5 9 2 4 2" xfId="8427" xr:uid="{A7B2D479-2BDC-489C-875D-357915ACE351}"/>
    <cellStyle name="Normal 5 5 9 2 5" xfId="8428" xr:uid="{8F892C9B-5384-413B-8EF8-6B091B3B73B8}"/>
    <cellStyle name="Normal 5 5 9 3" xfId="8429" xr:uid="{32704585-7EEA-40CA-983A-6D5891E92E5C}"/>
    <cellStyle name="Normal 5 5 9 3 2" xfId="8430" xr:uid="{B43BFB1E-954F-4276-B61F-5BF194FD11BB}"/>
    <cellStyle name="Normal 5 5 9 3 2 2" xfId="8431" xr:uid="{3A70D6BD-D6FC-48AD-98DD-45EB3ED274F8}"/>
    <cellStyle name="Normal 5 5 9 3 3" xfId="8432" xr:uid="{CD72C9CD-7FB9-4922-B0C8-BFF3483255CC}"/>
    <cellStyle name="Normal 5 5 9 4" xfId="8433" xr:uid="{01FDA416-D083-41B0-B6CD-350D78CFD478}"/>
    <cellStyle name="Normal 5 5 9 4 2" xfId="8434" xr:uid="{1C77E2A2-EA93-48BE-93A1-EA3D531F4F84}"/>
    <cellStyle name="Normal 5 5 9 4 2 2" xfId="8435" xr:uid="{FEC32FFB-DE8A-440D-81ED-1971C9BD85DC}"/>
    <cellStyle name="Normal 5 5 9 4 3" xfId="8436" xr:uid="{94C14BC5-6098-40F2-82F7-7ACA7F0A8905}"/>
    <cellStyle name="Normal 5 5 9 5" xfId="8437" xr:uid="{53F61E69-5E2E-48B8-9060-6B9FFD21B282}"/>
    <cellStyle name="Normal 5 5 9 5 2" xfId="8438" xr:uid="{34920917-6F2E-4D27-940E-C60C5C1EDDF3}"/>
    <cellStyle name="Normal 5 5 9 6" xfId="8439" xr:uid="{7F58C85C-4DDC-455E-98AB-592D575BBF70}"/>
    <cellStyle name="Normal 5 6" xfId="8440" xr:uid="{CF679DC9-A063-4810-866F-EA8DCE8EB76E}"/>
    <cellStyle name="Normal 5 6 2" xfId="8441" xr:uid="{F3BCA338-AA60-4E44-86B1-6265B2F1404E}"/>
    <cellStyle name="Normal 5 6 3" xfId="8442" xr:uid="{79DB1C9C-A127-4882-8293-97EF54B13CA6}"/>
    <cellStyle name="Normal 5 7" xfId="8443" xr:uid="{FFBEEE5F-317B-4885-9014-2371E5C12C0A}"/>
    <cellStyle name="Normal 5 8" xfId="8444" xr:uid="{E230995E-8AF9-4E40-B022-328B8B13AA77}"/>
    <cellStyle name="Normal 5 9" xfId="8445" xr:uid="{BF8E22DA-105C-46FC-BCB1-909A3DB9CE2F}"/>
    <cellStyle name="Normal 5_ELC" xfId="8446" xr:uid="{FADC890D-DF16-4821-A538-6EFBB908153A}"/>
    <cellStyle name="Normal 50" xfId="8447" xr:uid="{9672DAE1-E331-4702-B0CE-A1A5E90C10D8}"/>
    <cellStyle name="Normal 51" xfId="8448" xr:uid="{B420758D-39C0-4D92-8977-692B4955042B}"/>
    <cellStyle name="Normal 52" xfId="8449" xr:uid="{CDA88A30-F5B9-412F-82BA-54054AC10399}"/>
    <cellStyle name="Normal 53" xfId="8450" xr:uid="{62973883-7855-424E-98A6-DD87CFDF26FB}"/>
    <cellStyle name="Normal 54" xfId="8451" xr:uid="{54C969A2-D9C5-4919-83ED-BCDF91A836AF}"/>
    <cellStyle name="Normal 55" xfId="8452" xr:uid="{5428D120-CDE9-4417-A954-21ECDC83FFFD}"/>
    <cellStyle name="Normal 56" xfId="8453" xr:uid="{B4E60B3D-2817-48EC-BCBF-082BE0BD19CE}"/>
    <cellStyle name="Normal 57" xfId="8454" xr:uid="{0C23CD59-5562-4070-BF76-DE3830F65041}"/>
    <cellStyle name="Normal 58" xfId="8455" xr:uid="{6EB94075-24DF-4CEF-9643-33323AF7C4D4}"/>
    <cellStyle name="Normal 59" xfId="8456" xr:uid="{68F93AC0-07E5-475D-AC91-2702B1478714}"/>
    <cellStyle name="Normal 6" xfId="8457" xr:uid="{8BE07F69-3D77-4105-8A5F-A079974E79EC}"/>
    <cellStyle name="Normal 6 10" xfId="8458" xr:uid="{2E918827-704D-4E55-8ABF-32A977303D8A}"/>
    <cellStyle name="Normal 6 10 2" xfId="8459" xr:uid="{BFB7E56E-0C6A-418D-A06B-C50BF18D1541}"/>
    <cellStyle name="Normal 6 10 3" xfId="8460" xr:uid="{871077F2-1EF5-4FF8-A313-28884A87F841}"/>
    <cellStyle name="Normal 6 11" xfId="8461" xr:uid="{57021A77-38E0-436B-A516-6E5D57F03299}"/>
    <cellStyle name="Normal 6 12" xfId="8462" xr:uid="{F60354EB-CF19-43D8-A4BD-EE12C73AB03F}"/>
    <cellStyle name="Normal 6 12 2" xfId="8463" xr:uid="{BB50729A-D9F1-49C4-8A38-6FCF74C2CDDF}"/>
    <cellStyle name="Normal 6 12 3" xfId="8464" xr:uid="{C39E4D23-B1AF-4992-9044-2A1C74DBB5E0}"/>
    <cellStyle name="Normal 6 2" xfId="8465" xr:uid="{2E5D440F-476A-49B1-8F96-9A74538458A9}"/>
    <cellStyle name="Normal 6 2 10" xfId="8466" xr:uid="{85B4451E-BD02-49C0-B963-284587FF9CB2}"/>
    <cellStyle name="Normal 6 2 11" xfId="8467" xr:uid="{35E22222-A334-4F0B-87F1-2C5A129E3D74}"/>
    <cellStyle name="Normal 6 2 12" xfId="8468" xr:uid="{7FAFA2A9-713A-46EF-92A5-FD8F4460B368}"/>
    <cellStyle name="Normal 6 2 13" xfId="8469" xr:uid="{52D6D763-F87F-4EA9-A7B0-A9C4A78D8267}"/>
    <cellStyle name="Normal 6 2 14" xfId="8470" xr:uid="{52A33122-9722-4901-8435-CE44E535DE34}"/>
    <cellStyle name="Normal 6 2 2" xfId="8471" xr:uid="{A70725A0-B633-47DC-A968-D7787E73922F}"/>
    <cellStyle name="Normal 6 2 2 10" xfId="8472" xr:uid="{43A5B60A-95E4-4F8C-9BA9-804E58C76C5C}"/>
    <cellStyle name="Normal 6 2 2 10 2" xfId="8473" xr:uid="{EE7A370B-E1D5-4C63-B0C3-1B9813A4FF56}"/>
    <cellStyle name="Normal 6 2 2 10 2 2" xfId="8474" xr:uid="{868DECD8-979A-45AD-81E6-3A58055BCF76}"/>
    <cellStyle name="Normal 6 2 2 10 2 2 2" xfId="8475" xr:uid="{1FED876D-0F90-4BCC-9977-FCADEF0D202B}"/>
    <cellStyle name="Normal 6 2 2 10 2 2 2 2" xfId="8476" xr:uid="{88924C18-35A3-4890-AC67-E238F3CAF590}"/>
    <cellStyle name="Normal 6 2 2 10 2 2 3" xfId="8477" xr:uid="{7C89B0F2-69FD-4D09-9890-7A195A4E7D22}"/>
    <cellStyle name="Normal 6 2 2 10 2 3" xfId="8478" xr:uid="{81D66649-A66E-4B06-A1C0-465EE7E2CCA9}"/>
    <cellStyle name="Normal 6 2 2 10 2 3 2" xfId="8479" xr:uid="{A77CEC0F-B6BA-4D9D-BA27-70BED60354C6}"/>
    <cellStyle name="Normal 6 2 2 10 2 3 2 2" xfId="8480" xr:uid="{798FFE96-0613-40E5-B657-66AFD1591FDC}"/>
    <cellStyle name="Normal 6 2 2 10 2 3 3" xfId="8481" xr:uid="{F7B71EED-E608-47BF-8059-08A546360BB8}"/>
    <cellStyle name="Normal 6 2 2 10 2 4" xfId="8482" xr:uid="{2C8DF62E-991F-4D61-A0C4-B93350E53D63}"/>
    <cellStyle name="Normal 6 2 2 10 2 4 2" xfId="8483" xr:uid="{A349F8AD-D691-4D1E-8FC9-C9B3401289A8}"/>
    <cellStyle name="Normal 6 2 2 10 2 5" xfId="8484" xr:uid="{3684DB8B-C4DC-475B-82D8-E95F647814A1}"/>
    <cellStyle name="Normal 6 2 2 10 3" xfId="8485" xr:uid="{24CA04A8-11DF-48CD-B6CC-7694BB23AD6C}"/>
    <cellStyle name="Normal 6 2 2 10 3 2" xfId="8486" xr:uid="{6292D4DA-1D21-4E89-A4E9-C8BC46BB67FD}"/>
    <cellStyle name="Normal 6 2 2 10 3 2 2" xfId="8487" xr:uid="{64DD17C0-65EB-46BB-B6E0-7C9E09E8D0C2}"/>
    <cellStyle name="Normal 6 2 2 10 3 2 2 2" xfId="8488" xr:uid="{C9CB62D1-66BB-463D-8E53-F0203BEC106A}"/>
    <cellStyle name="Normal 6 2 2 10 3 2 3" xfId="8489" xr:uid="{9DF9169E-6005-4F9B-997C-3A6E89E46235}"/>
    <cellStyle name="Normal 6 2 2 10 3 3" xfId="8490" xr:uid="{61CC1091-9531-4AB8-882C-79A839AF81F5}"/>
    <cellStyle name="Normal 6 2 2 10 3 3 2" xfId="8491" xr:uid="{3377B881-424C-47AB-8845-ABE551F2F85A}"/>
    <cellStyle name="Normal 6 2 2 10 3 4" xfId="8492" xr:uid="{CBCCAD51-0142-4E0A-94C0-7F1877179138}"/>
    <cellStyle name="Normal 6 2 2 10 4" xfId="8493" xr:uid="{97266717-01F1-4036-AD55-63C1048EB84B}"/>
    <cellStyle name="Normal 6 2 2 10 5" xfId="8494" xr:uid="{948B6150-F6A1-40B5-A8E6-39D4B94355A3}"/>
    <cellStyle name="Normal 6 2 2 10 5 2" xfId="8495" xr:uid="{774B2910-9E61-4A09-B338-110BCCFAA7D7}"/>
    <cellStyle name="Normal 6 2 2 10 6" xfId="8496" xr:uid="{1DA047C6-4BB7-408A-83D5-87EC0C50A740}"/>
    <cellStyle name="Normal 6 2 2 11" xfId="8497" xr:uid="{84D27A4D-86D3-4B21-A197-7FCF9F45C04C}"/>
    <cellStyle name="Normal 6 2 2 11 2" xfId="8498" xr:uid="{1AC5D0BF-9976-4B01-926F-F14C79017216}"/>
    <cellStyle name="Normal 6 2 2 11 2 2" xfId="8499" xr:uid="{4BF1EE36-B8B3-4DCC-9BA7-7795995D87DA}"/>
    <cellStyle name="Normal 6 2 2 11 2 2 2" xfId="8500" xr:uid="{40D4043E-58D8-4141-91C7-56496A2231FE}"/>
    <cellStyle name="Normal 6 2 2 11 2 2 2 2" xfId="8501" xr:uid="{56B69350-EDB8-4C89-9A9D-FE0C21897179}"/>
    <cellStyle name="Normal 6 2 2 11 2 2 3" xfId="8502" xr:uid="{7AA5FC68-C443-4DA4-82FA-4922A977DA88}"/>
    <cellStyle name="Normal 6 2 2 11 2 3" xfId="8503" xr:uid="{C90D0239-1E76-4D15-AD50-E5FB44B8EFF7}"/>
    <cellStyle name="Normal 6 2 2 11 2 3 2" xfId="8504" xr:uid="{D143BE1A-2DFA-4D62-BA51-474B18F66AE3}"/>
    <cellStyle name="Normal 6 2 2 11 2 3 2 2" xfId="8505" xr:uid="{BFE80976-21AA-40C6-8FE9-132276FA8EC5}"/>
    <cellStyle name="Normal 6 2 2 11 2 3 3" xfId="8506" xr:uid="{9F6B5709-7DB8-4D53-95B6-FFB3D09AA8A0}"/>
    <cellStyle name="Normal 6 2 2 11 2 4" xfId="8507" xr:uid="{79FDE8E0-5719-49F4-A25E-2BD8FEA4AAA0}"/>
    <cellStyle name="Normal 6 2 2 11 2 4 2" xfId="8508" xr:uid="{1B3D834E-5612-473B-8EED-84E3C55C350B}"/>
    <cellStyle name="Normal 6 2 2 11 2 5" xfId="8509" xr:uid="{B2ABEFBB-3786-495D-A5C1-FAC595ED3D15}"/>
    <cellStyle name="Normal 6 2 2 11 3" xfId="8510" xr:uid="{639356CC-1C4E-42AC-B084-9F01651EEB8F}"/>
    <cellStyle name="Normal 6 2 2 11 3 2" xfId="8511" xr:uid="{360A1B81-7479-49DD-83F3-5031A0774215}"/>
    <cellStyle name="Normal 6 2 2 11 3 2 2" xfId="8512" xr:uid="{01BAEAD7-F96A-4909-A44A-0FF7334BB259}"/>
    <cellStyle name="Normal 6 2 2 11 3 2 2 2" xfId="8513" xr:uid="{FA116647-6FCA-477A-8C7B-C777A7CB74A5}"/>
    <cellStyle name="Normal 6 2 2 11 3 2 3" xfId="8514" xr:uid="{4ACF8797-601C-4C8C-ACE3-769FF9169F44}"/>
    <cellStyle name="Normal 6 2 2 11 3 3" xfId="8515" xr:uid="{281BDB36-8C71-4F17-94CF-6E08F4EC77A0}"/>
    <cellStyle name="Normal 6 2 2 11 3 3 2" xfId="8516" xr:uid="{DEBEBE01-CD6C-469B-8121-3B257F481109}"/>
    <cellStyle name="Normal 6 2 2 11 3 4" xfId="8517" xr:uid="{D4B68D0C-7533-4E6A-A4A2-3DEC38FF859B}"/>
    <cellStyle name="Normal 6 2 2 11 4" xfId="8518" xr:uid="{6B7E4790-06C4-48A9-97CC-4A9E0C4FC6D0}"/>
    <cellStyle name="Normal 6 2 2 11 5" xfId="8519" xr:uid="{EE2EEFEA-63B0-42B1-BE3A-499F692406DF}"/>
    <cellStyle name="Normal 6 2 2 11 5 2" xfId="8520" xr:uid="{07DBFF04-484A-40AA-BB72-A4A33F81CE07}"/>
    <cellStyle name="Normal 6 2 2 11 6" xfId="8521" xr:uid="{5BC948DE-9F05-467E-B6AF-2B5BF08D5662}"/>
    <cellStyle name="Normal 6 2 2 12" xfId="8522" xr:uid="{1E4933CB-173C-47C1-98DC-E1AD470FA0C1}"/>
    <cellStyle name="Normal 6 2 2 12 2" xfId="8523" xr:uid="{C8AEB797-0082-4258-B3F1-DCCBED1D105C}"/>
    <cellStyle name="Normal 6 2 2 12 2 2" xfId="8524" xr:uid="{947879F6-3CBD-44AA-9910-DC88F033911F}"/>
    <cellStyle name="Normal 6 2 2 12 2 2 2" xfId="8525" xr:uid="{1884FA94-08BF-4873-957E-144076CF94D9}"/>
    <cellStyle name="Normal 6 2 2 12 2 2 2 2" xfId="8526" xr:uid="{EE1F9B19-D14D-4030-A946-97B2E37D357C}"/>
    <cellStyle name="Normal 6 2 2 12 2 2 3" xfId="8527" xr:uid="{88F79D14-B201-4DC7-BB5A-F02571EF7101}"/>
    <cellStyle name="Normal 6 2 2 12 2 3" xfId="8528" xr:uid="{0F657A8E-3B2B-4015-B674-B596C0186BE9}"/>
    <cellStyle name="Normal 6 2 2 12 2 3 2" xfId="8529" xr:uid="{F4DD38B4-E1D4-48A2-A3E5-2C9F79FF3A10}"/>
    <cellStyle name="Normal 6 2 2 12 2 3 2 2" xfId="8530" xr:uid="{00638051-AA2B-4069-A528-162851A40592}"/>
    <cellStyle name="Normal 6 2 2 12 2 3 3" xfId="8531" xr:uid="{BE6BCA37-A8A8-4E84-B751-F43FFA9110D8}"/>
    <cellStyle name="Normal 6 2 2 12 2 4" xfId="8532" xr:uid="{15C26008-91B8-412F-A675-A41DC7F67801}"/>
    <cellStyle name="Normal 6 2 2 12 2 4 2" xfId="8533" xr:uid="{E6A7BF21-6AA5-466B-ABA6-C3E4FA81153C}"/>
    <cellStyle name="Normal 6 2 2 12 2 5" xfId="8534" xr:uid="{36ACA8F0-346A-4EF9-A5C2-712E89604D63}"/>
    <cellStyle name="Normal 6 2 2 12 3" xfId="8535" xr:uid="{F4D87AAA-5EBC-4D1D-98B9-767E17D5AE40}"/>
    <cellStyle name="Normal 6 2 2 12 3 2" xfId="8536" xr:uid="{23C6F6EE-BA8A-4EF4-A64D-E0899E65DACD}"/>
    <cellStyle name="Normal 6 2 2 12 3 2 2" xfId="8537" xr:uid="{8A25E6E8-345B-4BCF-BCC2-F09525E2BDAD}"/>
    <cellStyle name="Normal 6 2 2 12 3 2 2 2" xfId="8538" xr:uid="{7E36ED50-1524-4DF9-83E3-EB981F9E0BF1}"/>
    <cellStyle name="Normal 6 2 2 12 3 2 3" xfId="8539" xr:uid="{30F88D76-D12F-44BD-BAA3-3101361D6B89}"/>
    <cellStyle name="Normal 6 2 2 12 3 3" xfId="8540" xr:uid="{6759371C-E5F4-417A-9EE9-1A0DED758805}"/>
    <cellStyle name="Normal 6 2 2 12 3 3 2" xfId="8541" xr:uid="{0832F667-1128-47EF-B96A-A2938BDD4356}"/>
    <cellStyle name="Normal 6 2 2 12 3 4" xfId="8542" xr:uid="{C93F7D24-F913-495B-8C34-A9E5988F62D5}"/>
    <cellStyle name="Normal 6 2 2 12 4" xfId="8543" xr:uid="{4F022C95-1EA7-45DA-BA46-1150ADFDE60B}"/>
    <cellStyle name="Normal 6 2 2 12 5" xfId="8544" xr:uid="{B698AD60-3E6F-4A5C-82DB-A4E7281417E0}"/>
    <cellStyle name="Normal 6 2 2 12 5 2" xfId="8545" xr:uid="{6158517F-0743-466E-8A00-7DC8200862D2}"/>
    <cellStyle name="Normal 6 2 2 12 6" xfId="8546" xr:uid="{C6006478-001E-4209-94FC-00D8FC166D94}"/>
    <cellStyle name="Normal 6 2 2 13" xfId="8547" xr:uid="{DE4BCBF7-47F6-4DB1-957C-031CA65C174C}"/>
    <cellStyle name="Normal 6 2 2 13 2" xfId="8548" xr:uid="{4290C485-6F9B-4D67-8670-CF7C627DE078}"/>
    <cellStyle name="Normal 6 2 2 13 2 2" xfId="8549" xr:uid="{048C53B6-35B4-4BE0-A73B-629BBE07BA84}"/>
    <cellStyle name="Normal 6 2 2 13 2 2 2" xfId="8550" xr:uid="{B0D8DB6C-13FE-45BF-9CE6-DA8B202B1EB4}"/>
    <cellStyle name="Normal 6 2 2 13 2 2 2 2" xfId="8551" xr:uid="{54730301-CFC3-4033-8C5F-EDCD88A0F03D}"/>
    <cellStyle name="Normal 6 2 2 13 2 2 3" xfId="8552" xr:uid="{199DC9DE-61F5-434D-8959-CF11558A86B6}"/>
    <cellStyle name="Normal 6 2 2 13 2 3" xfId="8553" xr:uid="{B09F04DC-5863-4EF7-9FF1-228D77658F90}"/>
    <cellStyle name="Normal 6 2 2 13 2 3 2" xfId="8554" xr:uid="{646FB020-7AFA-461E-B937-B59B81B5F14D}"/>
    <cellStyle name="Normal 6 2 2 13 2 3 2 2" xfId="8555" xr:uid="{CC699492-7A51-402E-82E3-C3C22EBA67B0}"/>
    <cellStyle name="Normal 6 2 2 13 2 3 3" xfId="8556" xr:uid="{F9F74970-3FAF-4783-B92F-A6B7463D8842}"/>
    <cellStyle name="Normal 6 2 2 13 2 4" xfId="8557" xr:uid="{3DE6C876-96CD-456A-8C99-41F3EBFA51F8}"/>
    <cellStyle name="Normal 6 2 2 13 2 4 2" xfId="8558" xr:uid="{B79593F9-BDD4-48EE-89E3-E5651B28C916}"/>
    <cellStyle name="Normal 6 2 2 13 2 5" xfId="8559" xr:uid="{82656E83-4262-4B55-84A3-C7284A4022CE}"/>
    <cellStyle name="Normal 6 2 2 13 3" xfId="8560" xr:uid="{693FC2B4-82C0-4536-9257-3813BE22A95A}"/>
    <cellStyle name="Normal 6 2 2 13 3 2" xfId="8561" xr:uid="{3263388D-7AA5-43C1-9395-4BE3E96F6E0F}"/>
    <cellStyle name="Normal 6 2 2 13 3 2 2" xfId="8562" xr:uid="{9E6E2C68-1E99-4D42-8BA7-856A1A3BFB1D}"/>
    <cellStyle name="Normal 6 2 2 13 3 2 2 2" xfId="8563" xr:uid="{AFA3F004-0E9B-42DE-8EE1-2078FC9A6B1C}"/>
    <cellStyle name="Normal 6 2 2 13 3 2 3" xfId="8564" xr:uid="{C4E89155-CFC8-46AB-A985-C084B03D876E}"/>
    <cellStyle name="Normal 6 2 2 13 3 3" xfId="8565" xr:uid="{31189DF1-5E43-43CC-BCBF-6E7A45C8224B}"/>
    <cellStyle name="Normal 6 2 2 13 3 3 2" xfId="8566" xr:uid="{E3753F39-D64D-4BD0-9564-28FED17255F6}"/>
    <cellStyle name="Normal 6 2 2 13 3 4" xfId="8567" xr:uid="{76C55EEB-01EC-48C8-B4A2-42153E0934ED}"/>
    <cellStyle name="Normal 6 2 2 13 4" xfId="8568" xr:uid="{DB05A6F2-9D80-4332-836B-EBFC7E4E1036}"/>
    <cellStyle name="Normal 6 2 2 13 5" xfId="8569" xr:uid="{DD6B0333-D33D-4A00-8E28-2A13EC4613AA}"/>
    <cellStyle name="Normal 6 2 2 13 5 2" xfId="8570" xr:uid="{13D08AF9-2A87-42C4-AACA-912CE536D756}"/>
    <cellStyle name="Normal 6 2 2 13 6" xfId="8571" xr:uid="{FE359499-C83B-48F3-9A68-DFBE58D44F36}"/>
    <cellStyle name="Normal 6 2 2 2" xfId="8572" xr:uid="{4DEE3E99-4B2D-4DEF-8320-26B25E940B7F}"/>
    <cellStyle name="Normal 6 2 2 2 2" xfId="8573" xr:uid="{F0BB90F5-D7D8-40DA-BBA1-7C5207D39C6C}"/>
    <cellStyle name="Normal 6 2 2 2 2 2" xfId="8574" xr:uid="{C01B9C62-1463-4166-9DD1-76CF73C38AED}"/>
    <cellStyle name="Normal 6 2 2 2 2 2 2" xfId="8575" xr:uid="{D268285A-5D98-41E0-AFD4-6F24F3E79D1C}"/>
    <cellStyle name="Normal 6 2 2 2 2 2 2 2" xfId="8576" xr:uid="{994B0210-03FE-40C7-8157-2B64916EFD4D}"/>
    <cellStyle name="Normal 6 2 2 2 2 2 3" xfId="8577" xr:uid="{46EAA96A-A1DC-4F98-A3CB-33D2CBB832C2}"/>
    <cellStyle name="Normal 6 2 2 2 2 3" xfId="8578" xr:uid="{468D4026-5023-4AD5-A950-0344BAF48396}"/>
    <cellStyle name="Normal 6 2 2 2 2 3 2" xfId="8579" xr:uid="{492EBC3B-9CF4-4CBB-8753-CE960E4B4434}"/>
    <cellStyle name="Normal 6 2 2 2 2 3 2 2" xfId="8580" xr:uid="{057304F3-7CB2-4305-9C34-344663B8EC70}"/>
    <cellStyle name="Normal 6 2 2 2 2 3 3" xfId="8581" xr:uid="{F75854A9-6A86-465E-9935-BDE9CBA6947F}"/>
    <cellStyle name="Normal 6 2 2 2 2 4" xfId="8582" xr:uid="{1239299C-2F1B-4338-AFB0-FE4F2BED4833}"/>
    <cellStyle name="Normal 6 2 2 2 2 4 2" xfId="8583" xr:uid="{82891E20-F4B9-4C13-9FF2-AD327D5D1994}"/>
    <cellStyle name="Normal 6 2 2 2 2 5" xfId="8584" xr:uid="{E13DA666-8894-46E7-9518-392CA990CDB6}"/>
    <cellStyle name="Normal 6 2 2 2 3" xfId="8585" xr:uid="{38C8FFD7-0E91-410C-A0E4-3D779C94E7B1}"/>
    <cellStyle name="Normal 6 2 2 2 3 2" xfId="8586" xr:uid="{9FA7DADC-CC91-413C-B913-F8A791E3BDC8}"/>
    <cellStyle name="Normal 6 2 2 2 3 2 2" xfId="8587" xr:uid="{A6321258-60EF-4EA4-93F9-E4341D7E59CF}"/>
    <cellStyle name="Normal 6 2 2 2 3 2 2 2" xfId="8588" xr:uid="{8381391B-5EAE-46DE-9B1B-485043AD20EC}"/>
    <cellStyle name="Normal 6 2 2 2 3 2 3" xfId="8589" xr:uid="{534D6208-6285-4951-8999-31540AF58F29}"/>
    <cellStyle name="Normal 6 2 2 2 3 3" xfId="8590" xr:uid="{13D3075B-6E28-4A55-A8C5-6ADBF3D8C9B9}"/>
    <cellStyle name="Normal 6 2 2 2 3 3 2" xfId="8591" xr:uid="{885C6A10-0947-40ED-82DD-D1A0B6EF93D5}"/>
    <cellStyle name="Normal 6 2 2 2 3 4" xfId="8592" xr:uid="{FB173734-039E-4F0B-8640-0F88D9EA2D2F}"/>
    <cellStyle name="Normal 6 2 2 2 4" xfId="8593" xr:uid="{9A6246F5-0132-401D-9220-CE25C61A382F}"/>
    <cellStyle name="Normal 6 2 2 2 5" xfId="8594" xr:uid="{5B2E173D-81E5-4ED8-8B03-ED4D07446DB3}"/>
    <cellStyle name="Normal 6 2 2 2 5 2" xfId="8595" xr:uid="{13D9D823-F95E-4671-9DB9-BD688558F2FB}"/>
    <cellStyle name="Normal 6 2 2 2 6" xfId="8596" xr:uid="{2D296914-2A95-47EA-8A81-FE05346D831E}"/>
    <cellStyle name="Normal 6 2 2 3" xfId="8597" xr:uid="{93707C35-BA1E-4683-9C2A-3AF62A9A55DA}"/>
    <cellStyle name="Normal 6 2 2 3 2" xfId="8598" xr:uid="{C5680F1A-749E-4547-AE60-BB49CA168967}"/>
    <cellStyle name="Normal 6 2 2 3 2 2" xfId="8599" xr:uid="{A2562D5A-3100-4A44-88B9-A1129269168E}"/>
    <cellStyle name="Normal 6 2 2 3 2 2 2" xfId="8600" xr:uid="{3EDE6F83-7B0D-4279-B779-FEB781A95C28}"/>
    <cellStyle name="Normal 6 2 2 3 2 2 2 2" xfId="8601" xr:uid="{ACA34870-D905-4403-B154-11B269768D28}"/>
    <cellStyle name="Normal 6 2 2 3 2 2 3" xfId="8602" xr:uid="{18CF6C1B-E8A5-4851-BA95-9F9227775AF5}"/>
    <cellStyle name="Normal 6 2 2 3 2 3" xfId="8603" xr:uid="{B44DD7A0-4646-4BE5-9A08-CBDB736361ED}"/>
    <cellStyle name="Normal 6 2 2 3 2 3 2" xfId="8604" xr:uid="{CF4AFB4A-95DF-406E-9F84-5BBB8108C8FA}"/>
    <cellStyle name="Normal 6 2 2 3 2 3 2 2" xfId="8605" xr:uid="{50A5D450-FB70-4163-81C2-91C1105E9012}"/>
    <cellStyle name="Normal 6 2 2 3 2 3 3" xfId="8606" xr:uid="{6943532E-83F0-4F57-A4EB-BE31E6C213E4}"/>
    <cellStyle name="Normal 6 2 2 3 2 4" xfId="8607" xr:uid="{B854BDA3-E406-4DC9-8C1D-D8B614E5A0BE}"/>
    <cellStyle name="Normal 6 2 2 3 2 4 2" xfId="8608" xr:uid="{3B2B30A4-D475-4CE1-9634-998C315E6756}"/>
    <cellStyle name="Normal 6 2 2 3 2 5" xfId="8609" xr:uid="{17C8336D-94DF-477F-88E2-C678D44EB718}"/>
    <cellStyle name="Normal 6 2 2 3 3" xfId="8610" xr:uid="{042B05A9-49A2-4D2E-946C-D59FFAE334FB}"/>
    <cellStyle name="Normal 6 2 2 3 3 2" xfId="8611" xr:uid="{82743DAA-AF82-43B8-AF54-094258803B67}"/>
    <cellStyle name="Normal 6 2 2 3 3 2 2" xfId="8612" xr:uid="{08225302-621C-42A1-ADED-AB0C4E5E830D}"/>
    <cellStyle name="Normal 6 2 2 3 3 2 2 2" xfId="8613" xr:uid="{A7CFC279-CBE9-40BE-B89A-154FC4624BBE}"/>
    <cellStyle name="Normal 6 2 2 3 3 2 3" xfId="8614" xr:uid="{31890CE3-B871-4F65-9363-7BB52D6312D8}"/>
    <cellStyle name="Normal 6 2 2 3 3 3" xfId="8615" xr:uid="{222306DC-E1BE-4503-9554-F95823C92856}"/>
    <cellStyle name="Normal 6 2 2 3 3 3 2" xfId="8616" xr:uid="{778D19F0-6F06-439C-ADA0-73DB7D22A3C2}"/>
    <cellStyle name="Normal 6 2 2 3 3 4" xfId="8617" xr:uid="{3C8BC275-F3EC-4A91-8425-2417A06200CE}"/>
    <cellStyle name="Normal 6 2 2 3 4" xfId="8618" xr:uid="{85414EE3-6A94-4961-AAD5-EBA8900FF93C}"/>
    <cellStyle name="Normal 6 2 2 3 5" xfId="8619" xr:uid="{479C0FFB-5B24-45BC-94BF-2DD6910C008B}"/>
    <cellStyle name="Normal 6 2 2 3 5 2" xfId="8620" xr:uid="{E8769716-21D1-49BB-A6AB-3E4B4A8D3B0A}"/>
    <cellStyle name="Normal 6 2 2 3 6" xfId="8621" xr:uid="{C3EED6E7-812C-482F-A69F-0FD6439677E4}"/>
    <cellStyle name="Normal 6 2 2 4" xfId="8622" xr:uid="{EA928B4D-5A90-4DAD-A859-A35E181C3DF8}"/>
    <cellStyle name="Normal 6 2 2 4 2" xfId="8623" xr:uid="{C9787AC0-486C-45D7-9382-4E759A270930}"/>
    <cellStyle name="Normal 6 2 2 4 2 2" xfId="8624" xr:uid="{BA45918F-54E1-4F84-8E48-81A2B36B2D8E}"/>
    <cellStyle name="Normal 6 2 2 4 2 2 2" xfId="8625" xr:uid="{D129FBDE-84BD-4A68-AF8F-0B8A38472451}"/>
    <cellStyle name="Normal 6 2 2 4 2 2 2 2" xfId="8626" xr:uid="{BDDD39BB-1D65-48F4-977D-D944A87F044C}"/>
    <cellStyle name="Normal 6 2 2 4 2 2 3" xfId="8627" xr:uid="{24B9288C-27FC-4FDF-BDF0-889221AFE1FB}"/>
    <cellStyle name="Normal 6 2 2 4 2 3" xfId="8628" xr:uid="{2C4C100D-C747-47B9-BE58-773A3BFC45A2}"/>
    <cellStyle name="Normal 6 2 2 4 2 3 2" xfId="8629" xr:uid="{A242FFBA-1C26-4C9C-9727-2BDEE69326F3}"/>
    <cellStyle name="Normal 6 2 2 4 2 3 2 2" xfId="8630" xr:uid="{ADC3DB70-E063-40B3-9431-8BA90B2B0DA6}"/>
    <cellStyle name="Normal 6 2 2 4 2 3 3" xfId="8631" xr:uid="{B631A49C-0FBF-4B4A-B3B9-A08E1FD63E9C}"/>
    <cellStyle name="Normal 6 2 2 4 2 4" xfId="8632" xr:uid="{8DF46EA9-04BA-4299-82B8-AB95D2BAB494}"/>
    <cellStyle name="Normal 6 2 2 4 2 4 2" xfId="8633" xr:uid="{E229F394-CACA-4D8A-92C6-B30267F849EA}"/>
    <cellStyle name="Normal 6 2 2 4 2 5" xfId="8634" xr:uid="{6CA4F7C8-CD52-4082-8B93-B8BEE392FB40}"/>
    <cellStyle name="Normal 6 2 2 4 3" xfId="8635" xr:uid="{FCC46CA6-8160-4C49-9252-A5D561EA02B7}"/>
    <cellStyle name="Normal 6 2 2 4 3 2" xfId="8636" xr:uid="{8FF27E8F-BF66-4190-9958-82D6238BB541}"/>
    <cellStyle name="Normal 6 2 2 4 3 2 2" xfId="8637" xr:uid="{4CD23871-57AF-4BFF-BA41-2E277AE2075F}"/>
    <cellStyle name="Normal 6 2 2 4 3 2 2 2" xfId="8638" xr:uid="{73CC2AED-5A3D-4E92-8ED8-6315F4FBC48A}"/>
    <cellStyle name="Normal 6 2 2 4 3 2 3" xfId="8639" xr:uid="{739B763E-13E1-4CFD-A04D-F91E2DCFBD36}"/>
    <cellStyle name="Normal 6 2 2 4 3 3" xfId="8640" xr:uid="{D1F36D68-5F39-4BB8-BAC1-CD43BB25D1D8}"/>
    <cellStyle name="Normal 6 2 2 4 3 3 2" xfId="8641" xr:uid="{49FBBC59-2D46-4ABB-9F21-D5EC921580E1}"/>
    <cellStyle name="Normal 6 2 2 4 3 4" xfId="8642" xr:uid="{2E776180-17BD-463D-8286-3022C6E812EE}"/>
    <cellStyle name="Normal 6 2 2 4 4" xfId="8643" xr:uid="{EEE12953-2C42-4CEE-8C51-BCF1FB1CE3F0}"/>
    <cellStyle name="Normal 6 2 2 4 5" xfId="8644" xr:uid="{376E8F3E-55D6-4C10-9FF7-3A11F823D22C}"/>
    <cellStyle name="Normal 6 2 2 4 5 2" xfId="8645" xr:uid="{5BBE23A6-1EA4-4E3F-85CB-78A3BBC30E17}"/>
    <cellStyle name="Normal 6 2 2 4 6" xfId="8646" xr:uid="{1D78FA51-B368-410F-A540-B5AB4A069FA6}"/>
    <cellStyle name="Normal 6 2 2 5" xfId="8647" xr:uid="{9C447FF7-0DE7-46E4-A9A4-BAA9DB0B48D6}"/>
    <cellStyle name="Normal 6 2 2 5 2" xfId="8648" xr:uid="{B1BBEB2A-91EC-45BC-8157-AD2A049E31DA}"/>
    <cellStyle name="Normal 6 2 2 5 2 2" xfId="8649" xr:uid="{44FA320D-6E03-46AE-B7A8-5938528AC8B6}"/>
    <cellStyle name="Normal 6 2 2 5 2 2 2" xfId="8650" xr:uid="{C6BF8BF7-9FFA-474F-82E4-0731C0289BB0}"/>
    <cellStyle name="Normal 6 2 2 5 2 2 2 2" xfId="8651" xr:uid="{54E0FD26-EB2A-45F0-A1A4-0002AC574431}"/>
    <cellStyle name="Normal 6 2 2 5 2 2 3" xfId="8652" xr:uid="{0A2D2AD2-A32D-444F-AED3-F4BDFCD8462D}"/>
    <cellStyle name="Normal 6 2 2 5 2 3" xfId="8653" xr:uid="{F9CB4E55-57FF-45C4-95DE-1C4EB815CB76}"/>
    <cellStyle name="Normal 6 2 2 5 2 3 2" xfId="8654" xr:uid="{66A2D705-C8AF-408D-A925-B321D4665CC2}"/>
    <cellStyle name="Normal 6 2 2 5 2 3 2 2" xfId="8655" xr:uid="{4F04E270-792B-420C-B9BC-42D0353477E5}"/>
    <cellStyle name="Normal 6 2 2 5 2 3 3" xfId="8656" xr:uid="{91287CF0-9EE1-42CB-9456-74440F99DB56}"/>
    <cellStyle name="Normal 6 2 2 5 2 4" xfId="8657" xr:uid="{F34BF942-ABD6-4D8D-9FC3-6D9DFE11A7E4}"/>
    <cellStyle name="Normal 6 2 2 5 2 4 2" xfId="8658" xr:uid="{18F1908C-1B84-4707-9642-4F284A79730B}"/>
    <cellStyle name="Normal 6 2 2 5 2 5" xfId="8659" xr:uid="{B6438E06-455C-4A3D-A1C0-354B012CB387}"/>
    <cellStyle name="Normal 6 2 2 5 3" xfId="8660" xr:uid="{28B87525-63D3-4BDD-A662-78DDABA1931E}"/>
    <cellStyle name="Normal 6 2 2 5 3 2" xfId="8661" xr:uid="{501A51E5-C2E3-4F77-BFEB-366712D0D35F}"/>
    <cellStyle name="Normal 6 2 2 5 3 2 2" xfId="8662" xr:uid="{B6F92B80-F1C6-4269-879A-C51927AA70AC}"/>
    <cellStyle name="Normal 6 2 2 5 3 2 2 2" xfId="8663" xr:uid="{87621E57-F410-4A4E-9CDD-AC37C15FFC39}"/>
    <cellStyle name="Normal 6 2 2 5 3 2 3" xfId="8664" xr:uid="{E7488CCE-714A-4C4E-BEF5-75C30543DD47}"/>
    <cellStyle name="Normal 6 2 2 5 3 3" xfId="8665" xr:uid="{88645F95-EE0B-4CDA-8C63-002FC0F8E795}"/>
    <cellStyle name="Normal 6 2 2 5 3 3 2" xfId="8666" xr:uid="{484F5DA5-D3D0-45FD-A12C-87A100A950FA}"/>
    <cellStyle name="Normal 6 2 2 5 3 4" xfId="8667" xr:uid="{EB3EF7BA-52BF-4853-BC7B-989135847179}"/>
    <cellStyle name="Normal 6 2 2 5 4" xfId="8668" xr:uid="{D15DC3BE-87EA-4976-8742-31E08465B7B4}"/>
    <cellStyle name="Normal 6 2 2 5 5" xfId="8669" xr:uid="{B8E7BDDF-273E-4A66-94E6-E021A6108579}"/>
    <cellStyle name="Normal 6 2 2 5 5 2" xfId="8670" xr:uid="{12A689A3-8F8C-47A3-96B6-D5B27C47A06B}"/>
    <cellStyle name="Normal 6 2 2 5 6" xfId="8671" xr:uid="{CB5183B8-7262-4890-B290-1762507AA79C}"/>
    <cellStyle name="Normal 6 2 2 6" xfId="8672" xr:uid="{56D7F71C-90DD-4E60-8AD7-E34735FFF690}"/>
    <cellStyle name="Normal 6 2 2 6 2" xfId="8673" xr:uid="{ACA78747-890F-4B2F-812A-C558265B0FB2}"/>
    <cellStyle name="Normal 6 2 2 6 2 2" xfId="8674" xr:uid="{83E71093-C1A7-4CE7-B612-238C03B7F5A0}"/>
    <cellStyle name="Normal 6 2 2 6 2 2 2" xfId="8675" xr:uid="{0AC42DAA-01C5-4F8D-A1A1-AA732EF953DA}"/>
    <cellStyle name="Normal 6 2 2 6 2 2 2 2" xfId="8676" xr:uid="{B247D226-ED95-492F-8D50-C18EA3A5453E}"/>
    <cellStyle name="Normal 6 2 2 6 2 2 3" xfId="8677" xr:uid="{42794973-5ED4-475F-850C-83905572D6CE}"/>
    <cellStyle name="Normal 6 2 2 6 2 3" xfId="8678" xr:uid="{C9618D1A-C62F-493C-AD2A-EEBF30C6D21F}"/>
    <cellStyle name="Normal 6 2 2 6 2 3 2" xfId="8679" xr:uid="{C32385BE-3184-49ED-AB05-FAD657C81002}"/>
    <cellStyle name="Normal 6 2 2 6 2 3 2 2" xfId="8680" xr:uid="{7711CB91-16B2-4E85-A33B-655E605BDFEE}"/>
    <cellStyle name="Normal 6 2 2 6 2 3 3" xfId="8681" xr:uid="{B33D009A-FF60-4776-9D09-16CDEBCE5F24}"/>
    <cellStyle name="Normal 6 2 2 6 2 4" xfId="8682" xr:uid="{2CA2CB26-B94A-45CC-83C8-BEB8A1714DD8}"/>
    <cellStyle name="Normal 6 2 2 6 2 4 2" xfId="8683" xr:uid="{71B6D356-5985-495C-89A5-64E7BCC855BD}"/>
    <cellStyle name="Normal 6 2 2 6 2 5" xfId="8684" xr:uid="{E4EC38D4-C6CA-4E74-AAF2-18ECFC17D6AB}"/>
    <cellStyle name="Normal 6 2 2 6 3" xfId="8685" xr:uid="{897E0E44-0370-4CB1-8C82-044C84ADC75B}"/>
    <cellStyle name="Normal 6 2 2 6 3 2" xfId="8686" xr:uid="{EC8109FE-28CD-41F8-8D00-20503C9992AF}"/>
    <cellStyle name="Normal 6 2 2 6 3 2 2" xfId="8687" xr:uid="{9E48713C-DDD2-4452-B290-0D006F6B7B91}"/>
    <cellStyle name="Normal 6 2 2 6 3 2 2 2" xfId="8688" xr:uid="{6471A6B0-BD02-4F18-B5A7-7FC8BE2D210E}"/>
    <cellStyle name="Normal 6 2 2 6 3 2 3" xfId="8689" xr:uid="{6E5D4EC1-5437-4417-83B2-269434373E65}"/>
    <cellStyle name="Normal 6 2 2 6 3 3" xfId="8690" xr:uid="{F49703EA-927B-428F-8A84-CE9C95B48975}"/>
    <cellStyle name="Normal 6 2 2 6 3 3 2" xfId="8691" xr:uid="{A4902656-3EC3-4C63-B519-96DB65582D52}"/>
    <cellStyle name="Normal 6 2 2 6 3 4" xfId="8692" xr:uid="{5D124237-5C74-4B62-974F-3C31B52C88DB}"/>
    <cellStyle name="Normal 6 2 2 6 4" xfId="8693" xr:uid="{D532ABC5-B54C-43DA-9807-991DBA0AADD9}"/>
    <cellStyle name="Normal 6 2 2 6 5" xfId="8694" xr:uid="{71E0A08F-9B88-4F73-9FA0-DE3AB6C6A39B}"/>
    <cellStyle name="Normal 6 2 2 6 5 2" xfId="8695" xr:uid="{6CBE6FEB-3907-4117-93AF-23A288B6FC87}"/>
    <cellStyle name="Normal 6 2 2 6 6" xfId="8696" xr:uid="{D29AA6DB-E43D-4FCB-B6EE-9A61F6C05043}"/>
    <cellStyle name="Normal 6 2 2 7" xfId="8697" xr:uid="{CA39E46B-B198-4BF2-93F4-2750D4E9265C}"/>
    <cellStyle name="Normal 6 2 2 7 2" xfId="8698" xr:uid="{83B5BC70-392F-4A7E-89EF-94F5D517EACF}"/>
    <cellStyle name="Normal 6 2 2 7 2 2" xfId="8699" xr:uid="{20062C93-035A-443F-B712-6CEF6AE321D9}"/>
    <cellStyle name="Normal 6 2 2 7 2 2 2" xfId="8700" xr:uid="{36B846C7-77FD-45F2-B4EA-DAFE5FFFCF10}"/>
    <cellStyle name="Normal 6 2 2 7 2 2 2 2" xfId="8701" xr:uid="{AA2BDDBA-A694-4243-876B-24AB1702A5A5}"/>
    <cellStyle name="Normal 6 2 2 7 2 2 3" xfId="8702" xr:uid="{BE6A631E-6322-42F0-B75D-D1618177FF55}"/>
    <cellStyle name="Normal 6 2 2 7 2 3" xfId="8703" xr:uid="{FBF0488C-100F-41C4-8F57-DF2BC2400B85}"/>
    <cellStyle name="Normal 6 2 2 7 2 3 2" xfId="8704" xr:uid="{4790EE19-CDCA-4F30-97FC-FE39ABC1F5F9}"/>
    <cellStyle name="Normal 6 2 2 7 2 3 2 2" xfId="8705" xr:uid="{A7008D82-369C-4C76-A257-73578211210B}"/>
    <cellStyle name="Normal 6 2 2 7 2 3 3" xfId="8706" xr:uid="{F42C9212-5DD6-41F4-A358-51FE2E172DB6}"/>
    <cellStyle name="Normal 6 2 2 7 2 4" xfId="8707" xr:uid="{B63C57C3-354F-4D69-A537-B071438A5ED2}"/>
    <cellStyle name="Normal 6 2 2 7 2 4 2" xfId="8708" xr:uid="{0BF242F9-9C6D-4790-9CA5-184C9347C10B}"/>
    <cellStyle name="Normal 6 2 2 7 2 5" xfId="8709" xr:uid="{8712C93A-9C71-401F-8A06-12710D2CC4C8}"/>
    <cellStyle name="Normal 6 2 2 7 3" xfId="8710" xr:uid="{35B1B5C0-4946-4484-98CD-E5B07BB46C5E}"/>
    <cellStyle name="Normal 6 2 2 7 3 2" xfId="8711" xr:uid="{954B8154-F26D-4EAD-884A-4121603BD8AF}"/>
    <cellStyle name="Normal 6 2 2 7 3 2 2" xfId="8712" xr:uid="{20B388B5-E24A-41C6-A1AC-FEE952E24E64}"/>
    <cellStyle name="Normal 6 2 2 7 3 2 2 2" xfId="8713" xr:uid="{361850E8-243A-4668-A650-8DE1101B442B}"/>
    <cellStyle name="Normal 6 2 2 7 3 2 3" xfId="8714" xr:uid="{AAC72A14-27F2-4A2E-AB33-5F17136EC4C6}"/>
    <cellStyle name="Normal 6 2 2 7 3 3" xfId="8715" xr:uid="{C44FDF56-CC0F-41F0-AB3E-46DD82CD6249}"/>
    <cellStyle name="Normal 6 2 2 7 3 3 2" xfId="8716" xr:uid="{2133E1FE-4710-4B4F-B42B-DF4FD1136BA0}"/>
    <cellStyle name="Normal 6 2 2 7 3 4" xfId="8717" xr:uid="{AF346528-DCB5-4137-B980-D3D9D7190392}"/>
    <cellStyle name="Normal 6 2 2 7 4" xfId="8718" xr:uid="{A202A584-92D3-4AC4-A0AB-F8F08935E8B8}"/>
    <cellStyle name="Normal 6 2 2 7 5" xfId="8719" xr:uid="{CB3AC4ED-377B-459A-9F92-934B47C290B1}"/>
    <cellStyle name="Normal 6 2 2 7 5 2" xfId="8720" xr:uid="{D5B271E9-EC04-4051-B1BA-4E415AE6C197}"/>
    <cellStyle name="Normal 6 2 2 7 6" xfId="8721" xr:uid="{0298B3D4-3B6E-48D7-AD5A-1000DBD074ED}"/>
    <cellStyle name="Normal 6 2 2 8" xfId="8722" xr:uid="{78F249B9-C27F-474D-BDB9-C7F8A894E18D}"/>
    <cellStyle name="Normal 6 2 2 8 2" xfId="8723" xr:uid="{53B271F9-C761-45FC-9446-F3349B574A3A}"/>
    <cellStyle name="Normal 6 2 2 8 2 2" xfId="8724" xr:uid="{7997F1B4-DCFD-46A7-A822-31900C333252}"/>
    <cellStyle name="Normal 6 2 2 8 2 2 2" xfId="8725" xr:uid="{D62F3E4E-6878-403B-9082-DC28834BF2FD}"/>
    <cellStyle name="Normal 6 2 2 8 2 2 2 2" xfId="8726" xr:uid="{91CF3B62-E2B8-47AF-91DB-C9336FF2EA82}"/>
    <cellStyle name="Normal 6 2 2 8 2 2 3" xfId="8727" xr:uid="{54FB633E-7A0A-4972-AF9F-AD859D628A16}"/>
    <cellStyle name="Normal 6 2 2 8 2 3" xfId="8728" xr:uid="{0A62C68B-2B93-488C-AEC7-443BF5434207}"/>
    <cellStyle name="Normal 6 2 2 8 2 3 2" xfId="8729" xr:uid="{6BE1DED5-C409-46ED-99F5-F0AA59E5F12A}"/>
    <cellStyle name="Normal 6 2 2 8 2 3 2 2" xfId="8730" xr:uid="{1514DB26-CA1D-48DA-A368-FAA1068B2AF7}"/>
    <cellStyle name="Normal 6 2 2 8 2 3 3" xfId="8731" xr:uid="{7328E9DB-3443-454A-8883-ABF7835ED181}"/>
    <cellStyle name="Normal 6 2 2 8 2 4" xfId="8732" xr:uid="{646E406A-65BB-4BF1-A761-1637D4AB7236}"/>
    <cellStyle name="Normal 6 2 2 8 2 4 2" xfId="8733" xr:uid="{9523B8F9-FF7F-4208-B2B9-7BA94D3EFA31}"/>
    <cellStyle name="Normal 6 2 2 8 2 5" xfId="8734" xr:uid="{EB3AC355-19E8-4203-8495-DF10083B8208}"/>
    <cellStyle name="Normal 6 2 2 8 3" xfId="8735" xr:uid="{D1477733-EA26-4968-BB9B-8EC016812746}"/>
    <cellStyle name="Normal 6 2 2 8 3 2" xfId="8736" xr:uid="{30A2239B-5443-40A6-AE71-6BA2263902E2}"/>
    <cellStyle name="Normal 6 2 2 8 3 2 2" xfId="8737" xr:uid="{AB827EBB-36DC-4551-9DD1-063A0FA181DD}"/>
    <cellStyle name="Normal 6 2 2 8 3 2 2 2" xfId="8738" xr:uid="{77CC7C79-E516-4500-B1C2-0B782A72588A}"/>
    <cellStyle name="Normal 6 2 2 8 3 2 3" xfId="8739" xr:uid="{47F32DFD-8D39-4EEE-8C65-B6219C28A02A}"/>
    <cellStyle name="Normal 6 2 2 8 3 3" xfId="8740" xr:uid="{7C8DA97C-F520-457A-8A9F-2D5DB8C6CDB3}"/>
    <cellStyle name="Normal 6 2 2 8 3 3 2" xfId="8741" xr:uid="{0268B700-541E-41CA-AC03-D09192CAAC32}"/>
    <cellStyle name="Normal 6 2 2 8 3 4" xfId="8742" xr:uid="{10C9649D-0A0B-41E2-9AFE-F5C7FA963E08}"/>
    <cellStyle name="Normal 6 2 2 8 4" xfId="8743" xr:uid="{E3B56CB7-F942-4146-8A0E-A48ED128AC9D}"/>
    <cellStyle name="Normal 6 2 2 8 5" xfId="8744" xr:uid="{1ABC9EDF-7937-4CDF-B0EA-12FC032F1B4E}"/>
    <cellStyle name="Normal 6 2 2 8 5 2" xfId="8745" xr:uid="{DFFA2141-4DB9-447B-B31B-C1E61F1C66CB}"/>
    <cellStyle name="Normal 6 2 2 8 6" xfId="8746" xr:uid="{B3142651-0DEF-4BFB-AAE0-FD0F659064AF}"/>
    <cellStyle name="Normal 6 2 2 9" xfId="8747" xr:uid="{4AD2E90F-DD18-4AF9-BED1-1E8964AFB556}"/>
    <cellStyle name="Normal 6 2 2 9 2" xfId="8748" xr:uid="{724C5CFE-7B4E-4C8A-A443-3438C1FF21DB}"/>
    <cellStyle name="Normal 6 2 2 9 2 2" xfId="8749" xr:uid="{7EB0FCB2-1426-43B7-97B3-A1763D19280D}"/>
    <cellStyle name="Normal 6 2 2 9 2 2 2" xfId="8750" xr:uid="{EF82413B-E5FA-425A-A2C5-6A9B0BC6F514}"/>
    <cellStyle name="Normal 6 2 2 9 2 2 2 2" xfId="8751" xr:uid="{5D7B96CA-25A3-4648-AD2F-D814F4E61B54}"/>
    <cellStyle name="Normal 6 2 2 9 2 2 3" xfId="8752" xr:uid="{D38E282F-35BB-4621-A291-12725D89A6FD}"/>
    <cellStyle name="Normal 6 2 2 9 2 3" xfId="8753" xr:uid="{9D078892-5E00-44AD-B657-9DE379680FFD}"/>
    <cellStyle name="Normal 6 2 2 9 2 3 2" xfId="8754" xr:uid="{0BE824CF-8436-4ACF-A5E4-1A551C80A97C}"/>
    <cellStyle name="Normal 6 2 2 9 2 3 2 2" xfId="8755" xr:uid="{C0AD3607-0279-4D33-8BC3-6D5822C43901}"/>
    <cellStyle name="Normal 6 2 2 9 2 3 3" xfId="8756" xr:uid="{844028EA-BF39-43A6-B2F9-FD0C7344512E}"/>
    <cellStyle name="Normal 6 2 2 9 2 4" xfId="8757" xr:uid="{2689AAEF-BB39-44C2-BE81-D568DCF0E26C}"/>
    <cellStyle name="Normal 6 2 2 9 2 4 2" xfId="8758" xr:uid="{2A8ABEEA-E6AE-4027-94D0-CEEFD07E6065}"/>
    <cellStyle name="Normal 6 2 2 9 2 5" xfId="8759" xr:uid="{BEC697D0-6BD4-4778-829C-F6F26B03F586}"/>
    <cellStyle name="Normal 6 2 2 9 3" xfId="8760" xr:uid="{0A82565D-121E-4834-B898-C3956C100881}"/>
    <cellStyle name="Normal 6 2 2 9 3 2" xfId="8761" xr:uid="{C81F44A7-3957-45C7-BF9C-0EDC51D49262}"/>
    <cellStyle name="Normal 6 2 2 9 3 2 2" xfId="8762" xr:uid="{13E87872-7C93-4A67-BE99-33BCB1C41DAA}"/>
    <cellStyle name="Normal 6 2 2 9 3 2 2 2" xfId="8763" xr:uid="{6A554E42-EB77-42D2-B01B-8D4A5E4DE49D}"/>
    <cellStyle name="Normal 6 2 2 9 3 2 3" xfId="8764" xr:uid="{AE551555-9681-43F0-8C81-DA09FC89E877}"/>
    <cellStyle name="Normal 6 2 2 9 3 3" xfId="8765" xr:uid="{8AEF6957-4DDB-44F5-8A1E-4CC55DA6CF7A}"/>
    <cellStyle name="Normal 6 2 2 9 3 3 2" xfId="8766" xr:uid="{7B55DBF4-842F-4E0B-B720-3B0B7A2E2C7F}"/>
    <cellStyle name="Normal 6 2 2 9 3 4" xfId="8767" xr:uid="{3E23AA0B-D0A0-4652-AE22-59F84C918799}"/>
    <cellStyle name="Normal 6 2 2 9 4" xfId="8768" xr:uid="{2AA2B963-D3C5-42FA-9BDA-BC61CAF41EAF}"/>
    <cellStyle name="Normal 6 2 2 9 5" xfId="8769" xr:uid="{1E662B86-2D19-43F6-BF7C-7E9360971046}"/>
    <cellStyle name="Normal 6 2 2 9 5 2" xfId="8770" xr:uid="{149FC972-C6F8-4DF4-9C41-65C7EBC0A8C3}"/>
    <cellStyle name="Normal 6 2 2 9 6" xfId="8771" xr:uid="{5758CFAD-7C3E-44C9-BE51-5F9EB5FA0D17}"/>
    <cellStyle name="Normal 6 2 3" xfId="8772" xr:uid="{0E2A18B5-6A3B-442E-805A-4AFAAE15324C}"/>
    <cellStyle name="Normal 6 2 4" xfId="8773" xr:uid="{33942D12-15D1-4343-9E85-6D93046D7B68}"/>
    <cellStyle name="Normal 6 2 4 2" xfId="8774" xr:uid="{3E53803D-B905-41E6-A0DD-096D5E0B9C24}"/>
    <cellStyle name="Normal 6 2 5" xfId="8775" xr:uid="{0BD527F0-2ABE-4A09-855D-4D1F3A153C25}"/>
    <cellStyle name="Normal 6 2 6" xfId="8776" xr:uid="{E3BDF73E-E865-44A7-920C-966371518AFB}"/>
    <cellStyle name="Normal 6 2 7" xfId="8777" xr:uid="{8A633042-B3E7-49B3-B372-4345ED673DFA}"/>
    <cellStyle name="Normal 6 2 8" xfId="8778" xr:uid="{92DCAE7D-091D-45B8-A95A-9CADE072B198}"/>
    <cellStyle name="Normal 6 2 9" xfId="8779" xr:uid="{6D104D59-02DA-4EAD-9EF6-0947B46E44C3}"/>
    <cellStyle name="Normal 6 3" xfId="8780" xr:uid="{0A412CBA-A8A3-43FA-A282-A4796D9E9074}"/>
    <cellStyle name="Normal 6 3 10" xfId="8781" xr:uid="{AAE0BBE8-875C-46FE-B0BE-A2B3B6B67D88}"/>
    <cellStyle name="Normal 6 3 11" xfId="8782" xr:uid="{9F670B58-48D0-48C3-BB31-792C6CDF2B27}"/>
    <cellStyle name="Normal 6 3 12" xfId="8783" xr:uid="{94BB2AFA-C6AF-4D4D-9AB1-3296DDD6C47E}"/>
    <cellStyle name="Normal 6 3 13" xfId="8784" xr:uid="{D3AC1C10-D525-406B-9220-4F72D95425E9}"/>
    <cellStyle name="Normal 6 3 14" xfId="8785" xr:uid="{53EFC7A2-1746-4A7F-979F-7820DF9640A6}"/>
    <cellStyle name="Normal 6 3 15" xfId="8786" xr:uid="{C4D7E469-34D6-49EA-95AF-53DDB8549811}"/>
    <cellStyle name="Normal 6 3 16" xfId="8787" xr:uid="{AAAF091D-EE1D-4E19-8560-54E0DD9D35AC}"/>
    <cellStyle name="Normal 6 3 17" xfId="8788" xr:uid="{0BAB1C19-4B55-4C8E-86B9-6CBA7D6F3BC8}"/>
    <cellStyle name="Normal 6 3 17 2" xfId="8789" xr:uid="{0C281C82-5CA6-43B3-9A3E-C90521950785}"/>
    <cellStyle name="Normal 6 3 17 2 2" xfId="8790" xr:uid="{E5253556-DE01-4A30-83B4-DE132768784C}"/>
    <cellStyle name="Normal 6 3 17 2 2 2" xfId="8791" xr:uid="{B01AD27D-B722-4B53-98B3-2D38A63A0791}"/>
    <cellStyle name="Normal 6 3 17 2 2 2 2" xfId="8792" xr:uid="{11780357-B415-4692-BD82-3598EC24A2F9}"/>
    <cellStyle name="Normal 6 3 17 2 2 3" xfId="8793" xr:uid="{EA0A0978-4C39-41B1-A5D2-A8B94AC80EBC}"/>
    <cellStyle name="Normal 6 3 17 2 3" xfId="8794" xr:uid="{448B3B0B-D51B-4349-BAE1-76B7DC8C2DA5}"/>
    <cellStyle name="Normal 6 3 17 2 3 2" xfId="8795" xr:uid="{EAD9FCBE-1A32-4B6C-A7E1-BAE2F1A5BDBC}"/>
    <cellStyle name="Normal 6 3 17 2 3 2 2" xfId="8796" xr:uid="{646D09CF-16B8-4C5F-AEB9-F11F217B2B1C}"/>
    <cellStyle name="Normal 6 3 17 2 3 3" xfId="8797" xr:uid="{80F2BA40-BC2E-4C20-92A1-84D98C21868B}"/>
    <cellStyle name="Normal 6 3 17 2 4" xfId="8798" xr:uid="{788BF3EE-297C-44C9-998A-A7F6B4B7280D}"/>
    <cellStyle name="Normal 6 3 17 2 4 2" xfId="8799" xr:uid="{469B4A07-5882-4A34-9B8D-F78F9C4BF706}"/>
    <cellStyle name="Normal 6 3 17 2 5" xfId="8800" xr:uid="{EC17D5A3-4B33-4EB1-9E6C-A2ED0F9B4297}"/>
    <cellStyle name="Normal 6 3 17 3" xfId="8801" xr:uid="{90FCE06C-6D62-4A35-BC84-D8C93F5419DF}"/>
    <cellStyle name="Normal 6 3 17 3 2" xfId="8802" xr:uid="{D113C8B8-7E11-4DA6-A844-BEE05BBF4B9D}"/>
    <cellStyle name="Normal 6 3 17 3 2 2" xfId="8803" xr:uid="{B64E47C7-27B2-4C9C-8AA4-6BC79E4CAF46}"/>
    <cellStyle name="Normal 6 3 17 3 3" xfId="8804" xr:uid="{0F3A8125-5BC5-4D80-9E04-3FBB36582614}"/>
    <cellStyle name="Normal 6 3 17 4" xfId="8805" xr:uid="{36696FD9-F2D0-4AD5-81A5-8A12B4D38F3A}"/>
    <cellStyle name="Normal 6 3 17 4 2" xfId="8806" xr:uid="{D91426B9-68E1-46D5-89CA-9660466620F8}"/>
    <cellStyle name="Normal 6 3 17 4 2 2" xfId="8807" xr:uid="{DE97F2E4-DFAA-44E8-AF70-19C3BB601ADB}"/>
    <cellStyle name="Normal 6 3 17 4 3" xfId="8808" xr:uid="{1BAA74DF-776E-4E72-B9B7-405ABDF86C35}"/>
    <cellStyle name="Normal 6 3 17 5" xfId="8809" xr:uid="{D64BA740-EA6E-4644-8EA7-BAF5021E06C9}"/>
    <cellStyle name="Normal 6 3 17 5 2" xfId="8810" xr:uid="{C48861ED-1A68-40EB-A3E8-CD141DD167ED}"/>
    <cellStyle name="Normal 6 3 17 6" xfId="8811" xr:uid="{91E1C87D-91F4-427E-8BED-16968ABC9999}"/>
    <cellStyle name="Normal 6 3 18" xfId="8812" xr:uid="{8568F407-6DFD-4602-8D70-C8FF573A1BBE}"/>
    <cellStyle name="Normal 6 3 2" xfId="8813" xr:uid="{A6E5282A-A334-4BB9-AD6B-559522CB116E}"/>
    <cellStyle name="Normal 6 3 3" xfId="8814" xr:uid="{9D473AD8-1FBC-40B1-A295-A7C2EFF932D7}"/>
    <cellStyle name="Normal 6 3 4" xfId="8815" xr:uid="{646F2EB0-9972-431F-B754-CE7729E474CC}"/>
    <cellStyle name="Normal 6 3 5" xfId="8816" xr:uid="{A2241A9F-15D1-492D-A9E0-517FC1A89062}"/>
    <cellStyle name="Normal 6 3 6" xfId="8817" xr:uid="{25BCBA7A-8F85-4F1E-80E9-4778AABA7EFC}"/>
    <cellStyle name="Normal 6 3 7" xfId="8818" xr:uid="{4EE8B24A-AAED-4EE3-9972-B9BBBDDFE348}"/>
    <cellStyle name="Normal 6 3 8" xfId="8819" xr:uid="{BDFA8C13-69C2-4542-9C44-C608F73A83B8}"/>
    <cellStyle name="Normal 6 3 9" xfId="8820" xr:uid="{38D06808-4C16-4C83-8AE3-221ACBF359F1}"/>
    <cellStyle name="Normal 6 4" xfId="8821" xr:uid="{B1C5020B-47E9-4583-9706-EA6416C74835}"/>
    <cellStyle name="Normal 6 4 2" xfId="8822" xr:uid="{47DD671B-B238-45EE-B36D-1EB030FAF0F0}"/>
    <cellStyle name="Normal 6 4 3" xfId="8823" xr:uid="{56538C60-0124-4CEE-877B-E1CDCF592FDA}"/>
    <cellStyle name="Normal 6 4 4" xfId="8824" xr:uid="{68985B64-44DD-4BD6-B2A4-3962E3C306C1}"/>
    <cellStyle name="Normal 6 4 5" xfId="8825" xr:uid="{0A8E1B9E-2652-4556-BFF4-4CBD21BAE840}"/>
    <cellStyle name="Normal 6 4 6" xfId="8826" xr:uid="{B1AF5C73-8219-4DFC-A0C4-217C34EFDBB4}"/>
    <cellStyle name="Normal 6 4 7" xfId="8827" xr:uid="{1F8870F3-2401-4449-96BA-EF5177217B41}"/>
    <cellStyle name="Normal 6 4 8" xfId="8828" xr:uid="{53732126-F47C-4F50-A65B-66CBE26AF954}"/>
    <cellStyle name="Normal 6 5" xfId="8829" xr:uid="{F136A684-CB98-4FBD-ABAA-A54E1D4CFF77}"/>
    <cellStyle name="Normal 6 5 2" xfId="8830" xr:uid="{44EC10A4-B436-4B2E-AAF0-3E433985F74A}"/>
    <cellStyle name="Normal 6 5 3" xfId="8831" xr:uid="{FC3BB8C6-41DD-48E0-974B-482C1618E16E}"/>
    <cellStyle name="Normal 6 5 4" xfId="8832" xr:uid="{2D2619D5-BA55-43A9-8F49-87395CEAB674}"/>
    <cellStyle name="Normal 6 5 5" xfId="8833" xr:uid="{8FE83DC4-49E8-41C4-8766-D20EBF11EEA2}"/>
    <cellStyle name="Normal 6 5 6" xfId="8834" xr:uid="{70F72A46-CB91-4463-8375-81FE41BA3731}"/>
    <cellStyle name="Normal 6 5 7" xfId="8835" xr:uid="{89CD1545-0DD7-4B66-AED2-04AE153B477A}"/>
    <cellStyle name="Normal 6 5 8" xfId="8836" xr:uid="{78BA9398-BAB9-49C7-9EEC-5FDE6EA03CFD}"/>
    <cellStyle name="Normal 6 6" xfId="8837" xr:uid="{B46D604B-347D-4728-ABA1-7F4B6BCEED67}"/>
    <cellStyle name="Normal 6 7" xfId="8838" xr:uid="{784BE26B-349B-4290-9605-35475D992619}"/>
    <cellStyle name="Normal 6 8" xfId="8839" xr:uid="{B13C32CA-7BD1-41A2-AA17-916F95D61ED6}"/>
    <cellStyle name="Normal 6 9" xfId="8840" xr:uid="{37DCC6E4-BD64-471F-95DB-FEF9555D5658}"/>
    <cellStyle name="Normal 6_ELC" xfId="8841" xr:uid="{FF67C183-D0FB-4CD1-99E9-F1E555DE43FF}"/>
    <cellStyle name="Normal 60" xfId="8842" xr:uid="{AE93B60B-D983-454C-8997-6E34E651CE60}"/>
    <cellStyle name="Normal 61" xfId="8843" xr:uid="{9E5DD6E0-727C-4071-B870-867578309FCC}"/>
    <cellStyle name="Normal 62" xfId="33" xr:uid="{4F6F9E3C-CCA6-4337-9936-B421DEBEFA50}"/>
    <cellStyle name="Normal 7" xfId="8844" xr:uid="{89D62698-6F96-49C5-8598-9FE7D3339D7B}"/>
    <cellStyle name="Normal 7 10" xfId="8845" xr:uid="{E96113BD-6A88-4AB1-9A7D-254956153ED5}"/>
    <cellStyle name="Normal 7 11" xfId="8846" xr:uid="{BB076DF1-51DC-4284-9691-B9003FE4A64E}"/>
    <cellStyle name="Normal 7 12" xfId="8847" xr:uid="{AE25E27A-8206-4CA7-9F62-E168503ADAF6}"/>
    <cellStyle name="Normal 7 13" xfId="8848" xr:uid="{5D679FB7-F21C-4798-98BF-203C03FA2B62}"/>
    <cellStyle name="Normal 7 2" xfId="8849" xr:uid="{EF6FFECD-B564-4382-A8C4-987539E2FB7D}"/>
    <cellStyle name="Normal 7 2 2" xfId="8850" xr:uid="{6C577D99-6EE6-4C90-833B-7E87B8876333}"/>
    <cellStyle name="Normal 7 2 3" xfId="8851" xr:uid="{F861B6C2-4F3A-418C-9707-C9DD40EFB77A}"/>
    <cellStyle name="Normal 7 2 3 2" xfId="8852" xr:uid="{48C70B2D-154B-4A76-85BD-4BF61E50108F}"/>
    <cellStyle name="Normal 7 2 3 3" xfId="8853" xr:uid="{F3D14FD3-97CA-4015-899A-87EE91B0D159}"/>
    <cellStyle name="Normal 7 2 4" xfId="8854" xr:uid="{A961A17F-5DCE-4278-911C-D1AD39534297}"/>
    <cellStyle name="Normal 7 2 5" xfId="8855" xr:uid="{1C0FE0A3-5C78-42DC-8AD6-430B691F663C}"/>
    <cellStyle name="Normal 7 2 6" xfId="8856" xr:uid="{62732124-D50A-4D36-8BBF-1D4FC3026A5A}"/>
    <cellStyle name="Normal 7 2 7" xfId="8857" xr:uid="{5B78AD4B-2B2E-4CBA-BD77-866CD08FD22F}"/>
    <cellStyle name="Normal 7 2 8" xfId="8858" xr:uid="{B2A713A1-DEE0-46E6-9C64-6567BCB886FB}"/>
    <cellStyle name="Normal 7 2 9" xfId="8859" xr:uid="{0511A4B2-CA9A-4275-83C8-C1668835FB74}"/>
    <cellStyle name="Normal 7 2_Scen_XBase" xfId="8860" xr:uid="{F14C38FB-C6D2-411C-BCEF-F78A38B7D803}"/>
    <cellStyle name="Normal 7 3" xfId="8861" xr:uid="{704A948F-E928-45E3-9878-3A67456C0627}"/>
    <cellStyle name="Normal 7 3 10" xfId="8862" xr:uid="{B01E8EBD-2EFC-4ABB-86EA-1F0A959098E4}"/>
    <cellStyle name="Normal 7 3 10 2" xfId="8863" xr:uid="{9D58768D-7020-4A09-A267-175305FDFDC5}"/>
    <cellStyle name="Normal 7 3 10 2 2" xfId="8864" xr:uid="{4CA70A89-D0A1-4AC1-AA93-A0562B301FB6}"/>
    <cellStyle name="Normal 7 3 10 2 2 2" xfId="8865" xr:uid="{119C5CE4-7865-4BA2-88C9-B4A59ADA3B00}"/>
    <cellStyle name="Normal 7 3 10 2 3" xfId="8866" xr:uid="{E0232BC3-E29B-4A3D-9897-A9549CB158CB}"/>
    <cellStyle name="Normal 7 3 10 3" xfId="8867" xr:uid="{23088A32-C5C8-4F6B-B987-03A7AFD1A29B}"/>
    <cellStyle name="Normal 7 3 10 3 2" xfId="8868" xr:uid="{2336B772-1830-428B-953F-2A87CAB92212}"/>
    <cellStyle name="Normal 7 3 10 3 2 2" xfId="8869" xr:uid="{B5E13634-7CAB-4C3C-9C8E-45CFBF811E82}"/>
    <cellStyle name="Normal 7 3 10 3 3" xfId="8870" xr:uid="{7D6AC901-2014-4B99-BDAF-8F8A804499BE}"/>
    <cellStyle name="Normal 7 3 10 4" xfId="8871" xr:uid="{DAAC2E42-4B5A-4FB1-B1A9-C5D93BCB2253}"/>
    <cellStyle name="Normal 7 3 10 4 2" xfId="8872" xr:uid="{8A77EA41-F913-4500-92B2-E3421C661A68}"/>
    <cellStyle name="Normal 7 3 10 5" xfId="8873" xr:uid="{DB0F98D0-AC2C-4CB8-9520-2B435B335107}"/>
    <cellStyle name="Normal 7 3 11" xfId="8874" xr:uid="{FC2475AB-A17F-4B77-A6DC-667D841BD8C0}"/>
    <cellStyle name="Normal 7 3 11 2" xfId="8875" xr:uid="{EA7CE129-3043-4D6F-A2B1-9758986EFDD2}"/>
    <cellStyle name="Normal 7 3 11 2 2" xfId="8876" xr:uid="{D1A9313A-9849-4F29-9C2D-8AAEAB0900B7}"/>
    <cellStyle name="Normal 7 3 11 2 2 2" xfId="8877" xr:uid="{F4E8CA45-08F9-4D7D-A5BA-11C6A8F9EE17}"/>
    <cellStyle name="Normal 7 3 11 2 3" xfId="8878" xr:uid="{5B8E6396-4E15-4C09-B407-C6FC82259E98}"/>
    <cellStyle name="Normal 7 3 11 3" xfId="8879" xr:uid="{BE30EB5E-4548-4E7D-8A94-7DEB985FAE72}"/>
    <cellStyle name="Normal 7 3 11 3 2" xfId="8880" xr:uid="{3F3A22E4-1397-44DE-946F-7E96C9D2B23F}"/>
    <cellStyle name="Normal 7 3 11 4" xfId="8881" xr:uid="{2FC00335-79CB-4E36-B7C5-8FDC9615DC9C}"/>
    <cellStyle name="Normal 7 3 12" xfId="8882" xr:uid="{3693535F-BDA1-4596-9DDA-FB8F107E847E}"/>
    <cellStyle name="Normal 7 3 12 2" xfId="8883" xr:uid="{0D8C5A02-83D4-41A9-9E0A-2442FB01FD0E}"/>
    <cellStyle name="Normal 7 3 2" xfId="8884" xr:uid="{FFB727B7-4FF5-4612-B15A-E55EC9CD55C1}"/>
    <cellStyle name="Normal 7 3 3" xfId="8885" xr:uid="{0134F8DC-403D-463A-893B-ACF74C02D766}"/>
    <cellStyle name="Normal 7 3 4" xfId="8886" xr:uid="{DE9954EE-7102-4185-A7F1-07FFD4CDD110}"/>
    <cellStyle name="Normal 7 3 5" xfId="8887" xr:uid="{532B8DD0-5DBD-4C89-8510-6F5C11A251EA}"/>
    <cellStyle name="Normal 7 3 6" xfId="8888" xr:uid="{0678D42F-50CD-4981-8EFD-9F7FD92A0CA3}"/>
    <cellStyle name="Normal 7 3 7" xfId="8889" xr:uid="{FD61AED8-0604-4E31-9DEE-59DD7870E3D5}"/>
    <cellStyle name="Normal 7 3 8" xfId="8890" xr:uid="{3E99DF50-64CF-479C-A749-5898F3BA3C04}"/>
    <cellStyle name="Normal 7 3 9" xfId="8891" xr:uid="{C51A222E-4928-4CC3-8D56-6917E55466DC}"/>
    <cellStyle name="Normal 7 4" xfId="8892" xr:uid="{8450AF54-9FCB-43CE-854D-5B0E46565E2A}"/>
    <cellStyle name="Normal 7 4 2" xfId="8893" xr:uid="{ABCB0A83-7459-41BF-BFA1-4B27D4446945}"/>
    <cellStyle name="Normal 7 4 3" xfId="8894" xr:uid="{8DF81D16-5D7C-4535-AC2A-6B53E112D0A7}"/>
    <cellStyle name="Normal 7 4 4" xfId="8895" xr:uid="{9B8EE8EF-3BE6-450F-A922-04676AD2D97D}"/>
    <cellStyle name="Normal 7 4 5" xfId="8896" xr:uid="{E58DE800-B407-41C6-924D-C7C073540BC1}"/>
    <cellStyle name="Normal 7 4 6" xfId="8897" xr:uid="{F173B0B6-A258-4A39-8BEF-82F44952BC97}"/>
    <cellStyle name="Normal 7 4 7" xfId="8898" xr:uid="{38793C23-10EE-41AE-8A74-63A0F4BBC6A6}"/>
    <cellStyle name="Normal 7 4 8" xfId="8899" xr:uid="{FEF69D32-5B5C-4FEB-9238-2ADFB0D4B757}"/>
    <cellStyle name="Normal 7 5" xfId="8900" xr:uid="{3F4A5A5E-B283-4688-B5B6-553834110411}"/>
    <cellStyle name="Normal 7 5 2" xfId="8901" xr:uid="{24CD28C8-6AE3-4E49-944E-92A2C8A4001A}"/>
    <cellStyle name="Normal 7 5 3" xfId="8902" xr:uid="{24B27754-AF81-4E1D-9CEC-168EEC7A62BE}"/>
    <cellStyle name="Normal 7 5 4" xfId="8903" xr:uid="{C2722306-31F0-4468-A89F-3945189CF0D5}"/>
    <cellStyle name="Normal 7 5 5" xfId="8904" xr:uid="{61C4D9A4-B4F4-4844-A8A8-047359DB4C75}"/>
    <cellStyle name="Normal 7 5 6" xfId="8905" xr:uid="{0FEF266E-D96B-400F-97C3-8821A7E8F4E0}"/>
    <cellStyle name="Normal 7 5 7" xfId="8906" xr:uid="{183FFD04-799A-4EFA-A63D-A3D2BDCEE79E}"/>
    <cellStyle name="Normal 7 5 8" xfId="8907" xr:uid="{C227D563-A0AC-4D8C-B91F-57A8913F8216}"/>
    <cellStyle name="Normal 7 6" xfId="8908" xr:uid="{4091D105-08E0-453B-B257-ED409F8C4038}"/>
    <cellStyle name="Normal 7 7" xfId="8909" xr:uid="{E046249D-3966-4594-817B-08DB7356AE67}"/>
    <cellStyle name="Normal 7 8" xfId="8910" xr:uid="{4BBC5EFB-843A-486F-ADAB-DED7690EC57F}"/>
    <cellStyle name="Normal 7 9" xfId="8911" xr:uid="{D709ACEC-58C2-4014-A243-73D7C688237B}"/>
    <cellStyle name="Normal 8" xfId="8912" xr:uid="{638B566D-C21B-4808-A8A1-88894965D1DA}"/>
    <cellStyle name="Normal 8 10" xfId="8913" xr:uid="{02C3A182-66F1-4653-A12E-9058804DCD20}"/>
    <cellStyle name="Normal 8 10 2" xfId="8914" xr:uid="{8739533E-8BCC-4F99-B6EC-54E8FE93F382}"/>
    <cellStyle name="Normal 8 10 3" xfId="8915" xr:uid="{883B6B59-09E1-412E-941E-F7635EF00742}"/>
    <cellStyle name="Normal 8 11" xfId="8916" xr:uid="{873C7767-7A88-4601-B8C1-5F5C3C665535}"/>
    <cellStyle name="Normal 8 11 2" xfId="8917" xr:uid="{52E81D98-0EFD-4D94-8DEB-2D0785AF299A}"/>
    <cellStyle name="Normal 8 11 3" xfId="8918" xr:uid="{17D7968C-2ABD-4C1E-AC0A-5860A73304A4}"/>
    <cellStyle name="Normal 8 11 3 2" xfId="8919" xr:uid="{305E0D74-A753-46B0-9CF8-554F61D4982A}"/>
    <cellStyle name="Normal 8 11 3 2 2" xfId="8920" xr:uid="{6D9F84AD-2CDF-4F99-93F3-28DEB59E8932}"/>
    <cellStyle name="Normal 8 11 3 2 2 2" xfId="8921" xr:uid="{4A91E4DF-A849-4000-9B7F-7A8486F09B65}"/>
    <cellStyle name="Normal 8 11 3 2 3" xfId="8922" xr:uid="{A285E293-C507-4F0C-A771-7DF932D398DA}"/>
    <cellStyle name="Normal 8 11 3 3" xfId="8923" xr:uid="{79F66947-3F56-4BEB-B6DD-EDADC264072C}"/>
    <cellStyle name="Normal 8 11 3 3 2" xfId="8924" xr:uid="{FC7B0A75-9ECF-4979-B337-97202113CEDA}"/>
    <cellStyle name="Normal 8 11 3 3 2 2" xfId="8925" xr:uid="{6A1AE0E5-98C5-45B0-9CFD-B386A8E0F7C0}"/>
    <cellStyle name="Normal 8 11 3 3 3" xfId="8926" xr:uid="{D61B3B38-1190-4454-B8F2-87E1847E1778}"/>
    <cellStyle name="Normal 8 11 3 4" xfId="8927" xr:uid="{E5ED7E49-99B2-43BA-AED4-6275A9A79EF4}"/>
    <cellStyle name="Normal 8 11 3 4 2" xfId="8928" xr:uid="{E6AF3217-FD9D-4256-814E-1E8EF7793D7B}"/>
    <cellStyle name="Normal 8 11 3 5" xfId="8929" xr:uid="{2AF1B09D-098A-4E50-BE83-246583899498}"/>
    <cellStyle name="Normal 8 11 4" xfId="8930" xr:uid="{24BE9A26-807A-45FD-953E-40824583752C}"/>
    <cellStyle name="Normal 8 11 4 2" xfId="8931" xr:uid="{0F38FCB0-898C-432E-B916-C47568256A57}"/>
    <cellStyle name="Normal 8 11 4 2 2" xfId="8932" xr:uid="{5D7CA2E8-1DB2-4E4E-8718-8F3CA5B3A569}"/>
    <cellStyle name="Normal 8 11 4 2 2 2" xfId="8933" xr:uid="{E1E250E3-C4AE-4823-BDEF-235F84F28F7B}"/>
    <cellStyle name="Normal 8 11 4 2 3" xfId="8934" xr:uid="{615C1971-E3FF-451D-B5DE-1F6EC843CD37}"/>
    <cellStyle name="Normal 8 11 4 3" xfId="8935" xr:uid="{46AEC8D7-E774-471B-A4A2-E207B49171D6}"/>
    <cellStyle name="Normal 8 11 4 3 2" xfId="8936" xr:uid="{F09D9E31-E4C3-45C4-83C5-B089D89A1BD7}"/>
    <cellStyle name="Normal 8 11 4 4" xfId="8937" xr:uid="{83D6D387-A211-4BC7-99E4-45712502FA0C}"/>
    <cellStyle name="Normal 8 11 5" xfId="8938" xr:uid="{BC87DFD4-AE27-44A7-8DFD-D2CEE3CCA7B5}"/>
    <cellStyle name="Normal 8 11 5 2" xfId="8939" xr:uid="{B21771C3-C247-4088-B830-F9A03039F790}"/>
    <cellStyle name="Normal 8 12" xfId="8940" xr:uid="{D2F0A85B-9416-468A-99EE-536A2F925625}"/>
    <cellStyle name="Normal 8 13" xfId="8941" xr:uid="{8298248A-416C-4AB3-A1FD-983C8440AE35}"/>
    <cellStyle name="Normal 8 2" xfId="8942" xr:uid="{BB4B9A51-4963-45C5-B0F0-486CF3CD5290}"/>
    <cellStyle name="Normal 8 2 2" xfId="8943" xr:uid="{555B71C8-6E37-4082-BBE0-2A6553E416F5}"/>
    <cellStyle name="Normal 8 2 3" xfId="8944" xr:uid="{BCB5DE59-A016-4CAD-9A37-71B00599F489}"/>
    <cellStyle name="Normal 8 2 4" xfId="8945" xr:uid="{123F394C-E417-4DB2-A205-5AA66E8DDDE5}"/>
    <cellStyle name="Normal 8 2 5" xfId="8946" xr:uid="{139E00C2-6FC3-443C-863A-F3B2903A23A0}"/>
    <cellStyle name="Normal 8 2 6" xfId="8947" xr:uid="{C1B44CCD-3161-41C1-AAFA-3EC5E4FF0FA1}"/>
    <cellStyle name="Normal 8 2 7" xfId="8948" xr:uid="{C994BED1-6F52-4384-A509-39215449C9DA}"/>
    <cellStyle name="Normal 8 2 8" xfId="8949" xr:uid="{9C34519C-3148-42F3-9EBA-CD35B5454A6F}"/>
    <cellStyle name="Normal 8 2 9" xfId="8950" xr:uid="{4D3B4291-6ADA-4343-B253-AE16F10A8800}"/>
    <cellStyle name="Normal 8 3" xfId="8951" xr:uid="{9A9B7772-0960-43FA-9845-714E323B3230}"/>
    <cellStyle name="Normal 8 3 2" xfId="8952" xr:uid="{E07547CE-08BD-4B15-87DD-3FB460D8CA57}"/>
    <cellStyle name="Normal 8 3 3" xfId="8953" xr:uid="{02A05797-8464-4EAF-8A5C-CD604D92ACB2}"/>
    <cellStyle name="Normal 8 3 4" xfId="8954" xr:uid="{2B72E584-2D3E-4C83-990D-36B041B69817}"/>
    <cellStyle name="Normal 8 3 5" xfId="8955" xr:uid="{C0861447-CC0E-45C2-95EA-D4D274FDA9C0}"/>
    <cellStyle name="Normal 8 3 6" xfId="8956" xr:uid="{37973E15-B63F-4D18-837B-1792B0845D08}"/>
    <cellStyle name="Normal 8 3 7" xfId="8957" xr:uid="{0F8710BB-0C85-4698-AE26-4055102C5EA6}"/>
    <cellStyle name="Normal 8 3 8" xfId="8958" xr:uid="{C6C87309-4B43-4CE3-9E78-8ED5533AA415}"/>
    <cellStyle name="Normal 8 4" xfId="8959" xr:uid="{80A56C02-8D47-42DD-8291-ECF0E116F15F}"/>
    <cellStyle name="Normal 8 4 2" xfId="8960" xr:uid="{A19AD24B-16FA-4B54-A5D2-71E0E5B4EF21}"/>
    <cellStyle name="Normal 8 4 3" xfId="8961" xr:uid="{8E9E0747-0E7D-4019-99F0-2D1F0E2D1D3C}"/>
    <cellStyle name="Normal 8 4 4" xfId="8962" xr:uid="{11818B46-EAD9-48D5-A224-600496167007}"/>
    <cellStyle name="Normal 8 4 5" xfId="8963" xr:uid="{F6FE8B37-6676-4BC5-BAA8-0FC2E7DF35B2}"/>
    <cellStyle name="Normal 8 4 6" xfId="8964" xr:uid="{26396A01-09C7-4664-A79B-00E2886C6F36}"/>
    <cellStyle name="Normal 8 4 7" xfId="8965" xr:uid="{B56B0ADA-CFFD-47FE-9C9D-DCDBED1E1250}"/>
    <cellStyle name="Normal 8 4 8" xfId="8966" xr:uid="{B8120798-A3FD-4EC1-8C4B-FF9C6D119A18}"/>
    <cellStyle name="Normal 8 5" xfId="8967" xr:uid="{5CF7D78E-CA27-4123-8138-52B8771026C3}"/>
    <cellStyle name="Normal 8 5 2" xfId="8968" xr:uid="{546F2978-9FA9-4BD2-A1A0-D673FD923557}"/>
    <cellStyle name="Normal 8 5 3" xfId="8969" xr:uid="{CB9300C9-633E-4C55-8710-2E0E63820B44}"/>
    <cellStyle name="Normal 8 5 4" xfId="8970" xr:uid="{C0A2154A-3741-4A6D-843B-DB559CDEAB93}"/>
    <cellStyle name="Normal 8 5 5" xfId="8971" xr:uid="{D5BA8BD8-2D4E-4E6B-9C72-CEBA762D59F2}"/>
    <cellStyle name="Normal 8 5 6" xfId="8972" xr:uid="{318CB485-BC27-4379-AF67-88950CB405D7}"/>
    <cellStyle name="Normal 8 5 7" xfId="8973" xr:uid="{CC7996DC-8757-4B44-A809-6CA85271AA26}"/>
    <cellStyle name="Normal 8 5 8" xfId="8974" xr:uid="{1A631609-74D2-44E6-99AB-E12C7318B3AE}"/>
    <cellStyle name="Normal 8 6" xfId="8975" xr:uid="{ADA3EA26-3B0D-4681-8C48-C59584D3417B}"/>
    <cellStyle name="Normal 8 7" xfId="8976" xr:uid="{3AFE084B-7CFD-4BB7-883D-BD27F135AD28}"/>
    <cellStyle name="Normal 8 8" xfId="8977" xr:uid="{CA2D04B8-F0F2-4151-8BAB-721277D6C855}"/>
    <cellStyle name="Normal 8 9" xfId="8978" xr:uid="{1FB59094-E044-4561-BA06-769277FF7AC8}"/>
    <cellStyle name="Normal 9" xfId="8979" xr:uid="{E7947817-9B32-4F3E-81E5-887F76F851AE}"/>
    <cellStyle name="Normal 9 10" xfId="8980" xr:uid="{BB611A37-1AAD-4603-BA5C-9EEE2FFFEFBE}"/>
    <cellStyle name="Normal 9 10 2" xfId="8981" xr:uid="{D40BDC24-A37B-4314-B11C-FAC0E9A7075B}"/>
    <cellStyle name="Normal 9 10 2 2" xfId="8982" xr:uid="{C9110AA0-DA34-47B4-A276-CD8992DF64E0}"/>
    <cellStyle name="Normal 9 10 2 2 2" xfId="8983" xr:uid="{1F1D25D2-A010-441C-A63E-931DD67A0C07}"/>
    <cellStyle name="Normal 9 10 2 2 2 2" xfId="8984" xr:uid="{A4F5C8C0-978A-4119-AE94-B17B0E31BC8F}"/>
    <cellStyle name="Normal 9 10 2 2 3" xfId="8985" xr:uid="{5F03C6C8-2689-4EB3-B0BA-2058E4DBFFDB}"/>
    <cellStyle name="Normal 9 10 2 3" xfId="8986" xr:uid="{87E3E561-9A79-4697-A017-B63BE964D71A}"/>
    <cellStyle name="Normal 9 10 2 3 2" xfId="8987" xr:uid="{81C45688-2BEE-4172-A7F9-30E61931DF9E}"/>
    <cellStyle name="Normal 9 10 2 3 2 2" xfId="8988" xr:uid="{974A92F5-3239-44DA-92A1-5E51A467F83A}"/>
    <cellStyle name="Normal 9 10 2 3 3" xfId="8989" xr:uid="{136C4759-81AD-4001-B982-B4F69EAF38B7}"/>
    <cellStyle name="Normal 9 10 2 4" xfId="8990" xr:uid="{65DFEC61-0E7E-4BE4-BB40-BF03DDF458D7}"/>
    <cellStyle name="Normal 9 10 2 4 2" xfId="8991" xr:uid="{69A1314F-A5A5-4799-AF04-D9BA0457E474}"/>
    <cellStyle name="Normal 9 10 2 5" xfId="8992" xr:uid="{8791E1C3-E142-4A39-8BF6-D601DBF2889F}"/>
    <cellStyle name="Normal 9 10 3" xfId="8993" xr:uid="{8E6292E1-F627-474F-86EB-FB845F4975AB}"/>
    <cellStyle name="Normal 9 10 3 2" xfId="8994" xr:uid="{32FBFB63-CA41-484F-8ABC-28E86F3A5A82}"/>
    <cellStyle name="Normal 9 10 3 2 2" xfId="8995" xr:uid="{9F0460F3-5D7B-4047-9410-9091F42BED98}"/>
    <cellStyle name="Normal 9 10 3 3" xfId="8996" xr:uid="{84C64969-7069-4E22-ABF7-3A3C01C307A1}"/>
    <cellStyle name="Normal 9 10 4" xfId="8997" xr:uid="{14008831-DD19-455A-BAC5-A02BEC5F0997}"/>
    <cellStyle name="Normal 9 10 4 2" xfId="8998" xr:uid="{09D0D0DE-0DED-43CC-8139-8311C9ECC7CE}"/>
    <cellStyle name="Normal 9 10 4 2 2" xfId="8999" xr:uid="{BCCDA0AF-36BF-4531-AEF4-34E245A59E0D}"/>
    <cellStyle name="Normal 9 10 4 3" xfId="9000" xr:uid="{85AD4B56-89F6-48C4-A233-56B9B824B327}"/>
    <cellStyle name="Normal 9 10 5" xfId="9001" xr:uid="{920A6835-F741-42D9-A119-72C50B0E03E5}"/>
    <cellStyle name="Normal 9 10 5 2" xfId="9002" xr:uid="{37F08F87-A5BF-4922-A51D-69356215DE4E}"/>
    <cellStyle name="Normal 9 10 6" xfId="9003" xr:uid="{1592A319-8557-4B44-AA45-F51D3290B842}"/>
    <cellStyle name="Normal 9 11" xfId="9004" xr:uid="{13D3C934-6411-44C3-B9D6-E244E8356324}"/>
    <cellStyle name="Normal 9 11 2" xfId="9005" xr:uid="{8D919664-DAEE-49EF-900F-83A0CB545E71}"/>
    <cellStyle name="Normal 9 11 2 2" xfId="9006" xr:uid="{7964C6B3-ED1A-4BDF-8930-E285D46CADF6}"/>
    <cellStyle name="Normal 9 11 2 2 2" xfId="9007" xr:uid="{8A67356F-CF3D-4AF3-8B03-3646C7A1F337}"/>
    <cellStyle name="Normal 9 11 2 2 2 2" xfId="9008" xr:uid="{5BE073C8-F91F-47DC-9EA5-E4C872E48CD5}"/>
    <cellStyle name="Normal 9 11 2 2 3" xfId="9009" xr:uid="{DF8AF389-CDF1-47A0-945B-716CA2238403}"/>
    <cellStyle name="Normal 9 11 2 3" xfId="9010" xr:uid="{1A43AB92-8B99-44BF-834B-8BA2F2C6BBBF}"/>
    <cellStyle name="Normal 9 11 2 3 2" xfId="9011" xr:uid="{55037649-AA80-42C1-B457-121D798E1822}"/>
    <cellStyle name="Normal 9 11 2 3 2 2" xfId="9012" xr:uid="{E3BC30D8-DCE2-46CB-9614-D0D17DA2C4BB}"/>
    <cellStyle name="Normal 9 11 2 3 3" xfId="9013" xr:uid="{0D6E19E7-1AA8-4EA3-BA04-8F8A70AB1710}"/>
    <cellStyle name="Normal 9 11 2 4" xfId="9014" xr:uid="{3BA40443-59EC-4B15-ABC2-0F0BC4AD3AB9}"/>
    <cellStyle name="Normal 9 11 2 4 2" xfId="9015" xr:uid="{AB030043-1EEE-4526-A2D9-650CA06D60FB}"/>
    <cellStyle name="Normal 9 11 2 5" xfId="9016" xr:uid="{C9A25E17-48D4-499A-9EF6-552A681784DD}"/>
    <cellStyle name="Normal 9 11 3" xfId="9017" xr:uid="{D84DD2C7-2D6E-4EE2-BCA1-4B9893FBB4E8}"/>
    <cellStyle name="Normal 9 11 3 2" xfId="9018" xr:uid="{B2933B2B-E69A-4074-8975-5C75E9DA4B4C}"/>
    <cellStyle name="Normal 9 11 3 2 2" xfId="9019" xr:uid="{3104866F-1514-4AF2-9E37-FC9A580E1C09}"/>
    <cellStyle name="Normal 9 11 3 3" xfId="9020" xr:uid="{20407DE3-D012-454F-B277-CC3D8100E11E}"/>
    <cellStyle name="Normal 9 11 4" xfId="9021" xr:uid="{0B2E97AD-ADA7-4B92-89F5-43A8C6265AD1}"/>
    <cellStyle name="Normal 9 11 4 2" xfId="9022" xr:uid="{4186D940-1655-4F64-98AE-40D1CBB54C39}"/>
    <cellStyle name="Normal 9 11 4 2 2" xfId="9023" xr:uid="{E688F1B3-4875-45D9-B90C-13940E7B5284}"/>
    <cellStyle name="Normal 9 11 4 3" xfId="9024" xr:uid="{2A280F39-5030-4A7B-9795-B383EF11063F}"/>
    <cellStyle name="Normal 9 11 5" xfId="9025" xr:uid="{6DBFC85D-0E34-4116-AFCA-B34F09495511}"/>
    <cellStyle name="Normal 9 11 5 2" xfId="9026" xr:uid="{E489580F-127F-4698-A252-1EA61CAA2553}"/>
    <cellStyle name="Normal 9 11 6" xfId="9027" xr:uid="{580323AD-3932-457B-AB30-F5ECB298FA9D}"/>
    <cellStyle name="Normal 9 12" xfId="9028" xr:uid="{0B1DCD46-75B8-4E04-8854-63F34B637E55}"/>
    <cellStyle name="Normal 9 12 2" xfId="9029" xr:uid="{67BED865-2FFB-4F1C-B53A-AA2E909FC848}"/>
    <cellStyle name="Normal 9 12 2 2" xfId="9030" xr:uid="{DEE1E55A-6851-48DD-8F4C-BFEE37783DEF}"/>
    <cellStyle name="Normal 9 12 2 2 2" xfId="9031" xr:uid="{14F31C9A-8C63-4A8D-AD9F-71D897E3A012}"/>
    <cellStyle name="Normal 9 12 2 3" xfId="9032" xr:uid="{C3A1C8BC-1E27-4A2A-B30F-41C23F1D8462}"/>
    <cellStyle name="Normal 9 12 3" xfId="9033" xr:uid="{D542A21E-2832-45C1-AF68-D5B2796E29E2}"/>
    <cellStyle name="Normal 9 12 3 2" xfId="9034" xr:uid="{FAC1B533-75EC-4FDE-9BAB-5A4F18726631}"/>
    <cellStyle name="Normal 9 12 3 2 2" xfId="9035" xr:uid="{03C6C055-D7B2-46AE-BD48-AEA69FC75106}"/>
    <cellStyle name="Normal 9 12 3 3" xfId="9036" xr:uid="{920C1A1D-CCBA-44F6-AF97-F17345F16D20}"/>
    <cellStyle name="Normal 9 12 4" xfId="9037" xr:uid="{59ADE829-F3A6-4545-B3EC-D0AF9E786C38}"/>
    <cellStyle name="Normal 9 12 4 2" xfId="9038" xr:uid="{09C5A920-B6B0-422D-A5C1-DC7ED535C9C2}"/>
    <cellStyle name="Normal 9 12 5" xfId="9039" xr:uid="{B522285B-DB2E-4DBE-A7A0-0691351C4873}"/>
    <cellStyle name="Normal 9 13" xfId="9040" xr:uid="{80B8B40C-9491-4AA2-AF2C-549CC9EFB1DB}"/>
    <cellStyle name="Normal 9 13 2" xfId="9041" xr:uid="{99C35BD9-7439-410F-AB9C-7F1032684116}"/>
    <cellStyle name="Normal 9 13 2 2" xfId="9042" xr:uid="{BC8EE507-7B9B-4016-B23B-A54A9CDBC86C}"/>
    <cellStyle name="Normal 9 13 2 2 2" xfId="9043" xr:uid="{BF3B0ABB-AF0D-425A-BAC7-47AA0FA3D547}"/>
    <cellStyle name="Normal 9 13 2 3" xfId="9044" xr:uid="{84F12544-EA09-45D1-84B9-4E756883369F}"/>
    <cellStyle name="Normal 9 13 3" xfId="9045" xr:uid="{4CA5D669-5C56-43BA-9A8E-0A31B4139ADD}"/>
    <cellStyle name="Normal 9 13 3 2" xfId="9046" xr:uid="{107D2D90-9D10-4FD7-8F6F-61DCA549076B}"/>
    <cellStyle name="Normal 9 13 4" xfId="9047" xr:uid="{A5F0DADE-7DBF-450C-A39C-FDBBC16243EA}"/>
    <cellStyle name="Normal 9 14" xfId="9048" xr:uid="{32976E91-D1CB-4417-811A-CE95F8B2A23A}"/>
    <cellStyle name="Normal 9 14 2" xfId="9049" xr:uid="{601F832A-67E7-4FBA-BB9D-2321E59E3780}"/>
    <cellStyle name="Normal 9 2" xfId="9050" xr:uid="{47F4C06E-0DD1-49F0-9F02-5DC8715585A3}"/>
    <cellStyle name="Normal 9 2 2" xfId="9051" xr:uid="{6445696B-0BA0-4846-B9AE-71E218B3DAF6}"/>
    <cellStyle name="Normal 9 2 2 2" xfId="9052" xr:uid="{79691D15-6F09-40A6-BCEA-B8263CDDA5AD}"/>
    <cellStyle name="Normal 9 2 2 3" xfId="9053" xr:uid="{2498FC50-64C6-45D1-BEC1-EDF5211ADFF8}"/>
    <cellStyle name="Normal 9 2 2 3 2" xfId="9054" xr:uid="{0710A7A2-CEFC-422F-8C17-B2B3FE33E669}"/>
    <cellStyle name="Normal 9 2 2 3 2 2" xfId="9055" xr:uid="{3FE90F0E-770C-4617-87BB-7B15751C2DF6}"/>
    <cellStyle name="Normal 9 2 2 3 2 2 2" xfId="9056" xr:uid="{AB5D34AE-623A-4E70-8B5E-50AC06052DC6}"/>
    <cellStyle name="Normal 9 2 2 3 2 3" xfId="9057" xr:uid="{9BC0F852-5032-448B-8BDC-F2536A08DE43}"/>
    <cellStyle name="Normal 9 2 2 3 3" xfId="9058" xr:uid="{5BE41789-119D-4465-A4F2-141C45696B78}"/>
    <cellStyle name="Normal 9 2 2 3 3 2" xfId="9059" xr:uid="{5FEE3664-D111-4169-9215-E13047F15C86}"/>
    <cellStyle name="Normal 9 2 2 3 3 2 2" xfId="9060" xr:uid="{732B2FD4-C566-40D7-BF1B-8E55FD97A76A}"/>
    <cellStyle name="Normal 9 2 2 3 3 3" xfId="9061" xr:uid="{3D9FDA8A-8A84-467E-B05A-96E8A58DCE9F}"/>
    <cellStyle name="Normal 9 2 2 3 4" xfId="9062" xr:uid="{9FB30E69-04EA-4C08-B228-E8AE0B81876E}"/>
    <cellStyle name="Normal 9 2 2 3 4 2" xfId="9063" xr:uid="{6452E8F4-36E1-47E3-98CC-34C2C6B203D2}"/>
    <cellStyle name="Normal 9 2 2 3 5" xfId="9064" xr:uid="{648507E7-9DC3-4D12-A732-6272E22EFA84}"/>
    <cellStyle name="Normal 9 2 2 4" xfId="9065" xr:uid="{83BCEBF8-0B90-49A4-9D3C-C480D88DF652}"/>
    <cellStyle name="Normal 9 2 2 4 2" xfId="9066" xr:uid="{0CC84EAD-8334-42CA-81C8-D86F650DE141}"/>
    <cellStyle name="Normal 9 2 2 4 2 2" xfId="9067" xr:uid="{24B1CB1E-567C-4280-85F4-698A1A482EFE}"/>
    <cellStyle name="Normal 9 2 2 4 3" xfId="9068" xr:uid="{113342FE-BA24-45B8-ACB4-1B4A924AC1D1}"/>
    <cellStyle name="Normal 9 2 2 5" xfId="9069" xr:uid="{0807ED24-832B-4DBB-A506-AF6CD0E23986}"/>
    <cellStyle name="Normal 9 2 2 5 2" xfId="9070" xr:uid="{5F7BA1DD-9560-4791-A052-2B011A20FEBD}"/>
    <cellStyle name="Normal 9 2 2 5 2 2" xfId="9071" xr:uid="{A4B7B4C4-9099-4D16-B9B0-D4CEB5ADFDF7}"/>
    <cellStyle name="Normal 9 2 2 5 3" xfId="9072" xr:uid="{DDA36383-2A68-44CF-A1BA-3DCB4A2ABCAE}"/>
    <cellStyle name="Normal 9 2 2 6" xfId="9073" xr:uid="{062768D2-E349-4C94-9CD2-70759477DDD2}"/>
    <cellStyle name="Normal 9 2 2 6 2" xfId="9074" xr:uid="{F4BDC9B8-10C9-42E4-AC78-21F323F2C2DE}"/>
    <cellStyle name="Normal 9 2 2 7" xfId="9075" xr:uid="{5D5D166F-4527-4881-80E9-9D2D748926A6}"/>
    <cellStyle name="Normal 9 2 3" xfId="9076" xr:uid="{A37490D7-4B35-4927-891A-62044425383C}"/>
    <cellStyle name="Normal 9 2 3 2" xfId="9077" xr:uid="{5B6152B7-646F-46C6-91D6-2286BA07933F}"/>
    <cellStyle name="Normal 9 2 3 2 2" xfId="9078" xr:uid="{D1524720-CDAC-4C94-BDE2-6B926446C39B}"/>
    <cellStyle name="Normal 9 2 3 2 2 2" xfId="9079" xr:uid="{FEB9DA3E-7651-47B2-A263-5090D465861D}"/>
    <cellStyle name="Normal 9 2 3 2 2 2 2" xfId="9080" xr:uid="{433393F1-2040-4E7D-9A87-47BEE0247E4A}"/>
    <cellStyle name="Normal 9 2 3 2 2 3" xfId="9081" xr:uid="{FF5BD9B8-193F-4C49-9973-69C9AF678A9F}"/>
    <cellStyle name="Normal 9 2 3 2 3" xfId="9082" xr:uid="{52A4094F-FAB9-4E09-B418-DCF938BEBDAA}"/>
    <cellStyle name="Normal 9 2 3 2 3 2" xfId="9083" xr:uid="{DBDC1D79-901F-442C-B0E7-6ECA0A3C1EB8}"/>
    <cellStyle name="Normal 9 2 3 2 3 2 2" xfId="9084" xr:uid="{444A3824-9350-4411-903D-E02A1BB9A466}"/>
    <cellStyle name="Normal 9 2 3 2 3 3" xfId="9085" xr:uid="{E50E871B-EC7F-4EAC-9BA4-E0E018F11004}"/>
    <cellStyle name="Normal 9 2 3 2 4" xfId="9086" xr:uid="{563C6C7A-4BBE-4A14-80F8-2273657884F0}"/>
    <cellStyle name="Normal 9 2 3 2 4 2" xfId="9087" xr:uid="{1D6876D7-8A8E-4401-B429-5B30E3A19428}"/>
    <cellStyle name="Normal 9 2 3 2 5" xfId="9088" xr:uid="{95B1A624-25B4-4F8D-B525-244A4686F157}"/>
    <cellStyle name="Normal 9 2 3 3" xfId="9089" xr:uid="{3470314F-0696-4C13-AA54-E4910A0A2B9E}"/>
    <cellStyle name="Normal 9 2 3 3 2" xfId="9090" xr:uid="{8A85B7B4-A83E-4B0C-B141-66166D9C4A72}"/>
    <cellStyle name="Normal 9 2 3 3 2 2" xfId="9091" xr:uid="{98C44F96-DA61-4659-BDAF-8AC673B70B80}"/>
    <cellStyle name="Normal 9 2 3 3 3" xfId="9092" xr:uid="{50EC5D44-F077-4561-BF0C-175D8F8F7932}"/>
    <cellStyle name="Normal 9 2 3 4" xfId="9093" xr:uid="{FB1B573E-4DEC-4714-A522-4CE4111E7992}"/>
    <cellStyle name="Normal 9 2 3 4 2" xfId="9094" xr:uid="{D0C4E27A-BFD0-463B-BB14-40E374E4FDCA}"/>
    <cellStyle name="Normal 9 2 3 4 2 2" xfId="9095" xr:uid="{8565788F-9E23-42DD-9F05-4B155CF626E1}"/>
    <cellStyle name="Normal 9 2 3 4 3" xfId="9096" xr:uid="{391C9622-678D-4DAF-8F96-53059F7696DB}"/>
    <cellStyle name="Normal 9 2 3 5" xfId="9097" xr:uid="{9F6ABFC2-1E28-432E-A354-4D8547340A43}"/>
    <cellStyle name="Normal 9 2 3 5 2" xfId="9098" xr:uid="{3483EEC7-1D0B-468D-BCA7-19124F2E51C1}"/>
    <cellStyle name="Normal 9 2 3 6" xfId="9099" xr:uid="{21C2139D-841A-4A27-BFFF-3DACE1CC46D5}"/>
    <cellStyle name="Normal 9 2 4" xfId="9100" xr:uid="{CB11E55A-C037-4120-9167-26659553EB46}"/>
    <cellStyle name="Normal 9 2 4 2" xfId="9101" xr:uid="{EFA50434-343D-4836-BF80-3B7A02275D95}"/>
    <cellStyle name="Normal 9 2 4 2 2" xfId="9102" xr:uid="{E94DCF99-CFBE-4E47-9D80-B340A5CE8E55}"/>
    <cellStyle name="Normal 9 2 4 2 2 2" xfId="9103" xr:uid="{E39ABE64-BDD1-4547-9A66-8F05B6316CDB}"/>
    <cellStyle name="Normal 9 2 4 2 2 2 2" xfId="9104" xr:uid="{814A4FCA-1119-4567-A402-4C6B763AA35D}"/>
    <cellStyle name="Normal 9 2 4 2 2 3" xfId="9105" xr:uid="{5776B051-6A88-4E72-9039-00EBFABB58BA}"/>
    <cellStyle name="Normal 9 2 4 2 3" xfId="9106" xr:uid="{094F7E9A-B72F-4B2D-A217-F396DBFCDAD1}"/>
    <cellStyle name="Normal 9 2 4 2 3 2" xfId="9107" xr:uid="{E353713A-E6F2-44BD-A042-92C2D1C3B9FD}"/>
    <cellStyle name="Normal 9 2 4 2 3 2 2" xfId="9108" xr:uid="{676662E6-415D-4579-9F41-A55CDA8B7345}"/>
    <cellStyle name="Normal 9 2 4 2 3 3" xfId="9109" xr:uid="{10A79F4D-8B41-44DB-AAA7-CBB80E8F3DF4}"/>
    <cellStyle name="Normal 9 2 4 2 4" xfId="9110" xr:uid="{F0483E57-C52F-4818-914D-C47C9F27F704}"/>
    <cellStyle name="Normal 9 2 4 2 4 2" xfId="9111" xr:uid="{7543EDBB-7329-4C04-B3C6-C57014A0FA0F}"/>
    <cellStyle name="Normal 9 2 4 2 5" xfId="9112" xr:uid="{A3300241-9EE1-4A48-977F-21A498A7EC60}"/>
    <cellStyle name="Normal 9 2 4 3" xfId="9113" xr:uid="{1F01E9B4-D4A4-4C12-BFBE-305DF16B83EA}"/>
    <cellStyle name="Normal 9 2 4 3 2" xfId="9114" xr:uid="{3E1344DC-8A84-4BF3-9765-CE37EB19DC9F}"/>
    <cellStyle name="Normal 9 2 4 3 2 2" xfId="9115" xr:uid="{1A9A9553-4B1D-46A0-9BF1-D190D9B9A80A}"/>
    <cellStyle name="Normal 9 2 4 3 3" xfId="9116" xr:uid="{1EA751BF-F597-48EB-AE88-15202380018C}"/>
    <cellStyle name="Normal 9 2 4 4" xfId="9117" xr:uid="{6DBBE972-9D88-410B-BF73-821690526C25}"/>
    <cellStyle name="Normal 9 2 4 4 2" xfId="9118" xr:uid="{CA115D4E-1EEA-4B58-9E2B-4B5D5D8AEFFC}"/>
    <cellStyle name="Normal 9 2 4 4 2 2" xfId="9119" xr:uid="{CF772538-5A84-4A92-BDCE-5DFE37EAECF7}"/>
    <cellStyle name="Normal 9 2 4 4 3" xfId="9120" xr:uid="{501CC5F1-DA88-4DC2-B6A4-B219B2EBC954}"/>
    <cellStyle name="Normal 9 2 4 5" xfId="9121" xr:uid="{73C9C4BB-088B-451D-93DF-D7454F3E694E}"/>
    <cellStyle name="Normal 9 2 4 5 2" xfId="9122" xr:uid="{9DB718CB-7BCD-47A1-97FC-B00E54D7636C}"/>
    <cellStyle name="Normal 9 2 4 6" xfId="9123" xr:uid="{750FAFB4-DC4F-4CA9-B33D-057DFF214EBA}"/>
    <cellStyle name="Normal 9 2 5" xfId="9124" xr:uid="{A7590659-36F8-47C4-9C05-A00BDC693E68}"/>
    <cellStyle name="Normal 9 2 5 2" xfId="9125" xr:uid="{2DCE25CE-4352-4054-AD31-871A7C0AC799}"/>
    <cellStyle name="Normal 9 2 5 2 2" xfId="9126" xr:uid="{8AEE1922-5D8A-4F1B-8C5A-457C5F179B2A}"/>
    <cellStyle name="Normal 9 2 5 2 2 2" xfId="9127" xr:uid="{BD27D46D-E93B-44D0-B74A-8AA64CC4ADCB}"/>
    <cellStyle name="Normal 9 2 5 2 3" xfId="9128" xr:uid="{802295B6-4F61-4706-B27E-9147CCF26531}"/>
    <cellStyle name="Normal 9 2 5 3" xfId="9129" xr:uid="{1D49B9B2-9B5C-432F-A902-E94C60022E05}"/>
    <cellStyle name="Normal 9 2 5 3 2" xfId="9130" xr:uid="{6566D5F9-F7F3-4DBC-A7E2-C495CAD64844}"/>
    <cellStyle name="Normal 9 2 5 3 2 2" xfId="9131" xr:uid="{3EDA513E-BE23-4B42-BD01-1D15FD91C835}"/>
    <cellStyle name="Normal 9 2 5 3 3" xfId="9132" xr:uid="{D7830719-5233-4EFE-B92E-4F9BF943785F}"/>
    <cellStyle name="Normal 9 2 5 4" xfId="9133" xr:uid="{0B188985-613F-4876-B17A-4A1D1BB1D4FE}"/>
    <cellStyle name="Normal 9 2 5 4 2" xfId="9134" xr:uid="{1A64049F-F69A-4012-AA33-58B10465F0CD}"/>
    <cellStyle name="Normal 9 2 5 5" xfId="9135" xr:uid="{5F0955FC-0088-4E48-86A0-08854AB9D1EA}"/>
    <cellStyle name="Normal 9 2 6" xfId="9136" xr:uid="{895AAED7-9934-4387-9AE5-A3AB850AD9BD}"/>
    <cellStyle name="Normal 9 2 6 2" xfId="9137" xr:uid="{B88CF83E-219D-4921-A25B-1F1096909BA7}"/>
    <cellStyle name="Normal 9 2 6 2 2" xfId="9138" xr:uid="{D8B063E7-9ED8-4F93-8D86-EB4779B4A96C}"/>
    <cellStyle name="Normal 9 2 6 2 2 2" xfId="9139" xr:uid="{DB4F366D-5EDF-4DE2-9C64-59702A80A190}"/>
    <cellStyle name="Normal 9 2 6 2 3" xfId="9140" xr:uid="{F88E1383-3997-4AF1-9158-5FF52F3B39B6}"/>
    <cellStyle name="Normal 9 2 6 3" xfId="9141" xr:uid="{62408EDE-B17E-4BE5-A78C-38A802609AD3}"/>
    <cellStyle name="Normal 9 2 6 3 2" xfId="9142" xr:uid="{FDC17D6D-1B24-488E-8F45-113965EA524D}"/>
    <cellStyle name="Normal 9 2 6 4" xfId="9143" xr:uid="{2E886AAA-5FDB-4418-99BE-E1F6D692228E}"/>
    <cellStyle name="Normal 9 2 7" xfId="9144" xr:uid="{D530C3CD-A38A-4D58-AC5E-A6C084D5408F}"/>
    <cellStyle name="Normal 9 2 7 2" xfId="9145" xr:uid="{67DC1412-A91F-42FE-BD41-3A787922A17A}"/>
    <cellStyle name="Normal 9 3" xfId="9146" xr:uid="{29C66482-4945-431A-AB63-D68A8AA4D858}"/>
    <cellStyle name="Normal 9 3 2" xfId="9147" xr:uid="{1F71C177-8351-4D00-B96E-88ADB1F96F70}"/>
    <cellStyle name="Normal 9 3 3" xfId="9148" xr:uid="{5E8BDBF2-9180-418B-BE07-FB52F3F00094}"/>
    <cellStyle name="Normal 9 3 3 2" xfId="9149" xr:uid="{68F52A78-F40D-4443-B65B-506B2E0C4603}"/>
    <cellStyle name="Normal 9 3 3 2 2" xfId="9150" xr:uid="{95A2E1F6-C247-4B1C-8860-B0403E9EB26D}"/>
    <cellStyle name="Normal 9 3 3 2 2 2" xfId="9151" xr:uid="{36A5FE40-01F0-4433-8DCD-5FED601CE2F8}"/>
    <cellStyle name="Normal 9 3 3 2 3" xfId="9152" xr:uid="{01EE808F-F5BF-4E12-AE50-9DE693002C2E}"/>
    <cellStyle name="Normal 9 3 3 3" xfId="9153" xr:uid="{BBD4B67E-B8AA-4B64-B533-6BCD0277CB2F}"/>
    <cellStyle name="Normal 9 3 3 3 2" xfId="9154" xr:uid="{3A1EC5CB-5413-46B1-87E2-0A050B972F53}"/>
    <cellStyle name="Normal 9 3 3 3 2 2" xfId="9155" xr:uid="{92E8F723-504A-4386-A41D-1F661042E979}"/>
    <cellStyle name="Normal 9 3 3 3 3" xfId="9156" xr:uid="{49E099D4-7FEC-44CD-873A-28A93D238858}"/>
    <cellStyle name="Normal 9 3 3 4" xfId="9157" xr:uid="{F1EB3671-8CB3-4AE8-AC73-72E07A524A44}"/>
    <cellStyle name="Normal 9 3 3 4 2" xfId="9158" xr:uid="{A1F5CAA7-91F2-4AF4-90B5-245C70AC37DA}"/>
    <cellStyle name="Normal 9 3 3 5" xfId="9159" xr:uid="{37493D51-AE93-4DBC-8E4D-06BF213E9250}"/>
    <cellStyle name="Normal 9 3 4" xfId="9160" xr:uid="{8FF18B96-1567-4AEB-897A-4598091E6E54}"/>
    <cellStyle name="Normal 9 3 4 2" xfId="9161" xr:uid="{F6514C14-60D6-4DDD-A282-B1EE0A269A7C}"/>
    <cellStyle name="Normal 9 3 4 2 2" xfId="9162" xr:uid="{8788D30B-6FFF-4645-A604-F3DA7E0D1C40}"/>
    <cellStyle name="Normal 9 3 4 2 2 2" xfId="9163" xr:uid="{0D91A783-341D-4306-9C40-D38DD2B34BA9}"/>
    <cellStyle name="Normal 9 3 4 2 3" xfId="9164" xr:uid="{3ADCD2E3-2016-4AF9-B750-2F8691EC48CE}"/>
    <cellStyle name="Normal 9 3 4 3" xfId="9165" xr:uid="{868364C4-E792-4169-9097-4493625B2DA3}"/>
    <cellStyle name="Normal 9 3 4 3 2" xfId="9166" xr:uid="{F17502B1-FD68-4009-8134-14B92EFF05EE}"/>
    <cellStyle name="Normal 9 3 4 4" xfId="9167" xr:uid="{1FA54080-0D95-42B8-B86B-607E22B580C8}"/>
    <cellStyle name="Normal 9 3 5" xfId="9168" xr:uid="{36A3BA3A-93E7-4D64-A16D-B17AE4BB45BD}"/>
    <cellStyle name="Normal 9 3 5 2" xfId="9169" xr:uid="{56CE262B-A3A2-41F9-9864-425421FE4B96}"/>
    <cellStyle name="Normal 9 4" xfId="9170" xr:uid="{103C18C8-9EBE-4471-A095-EDAE07791FEE}"/>
    <cellStyle name="Normal 9 5" xfId="9171" xr:uid="{684D5EBF-C38A-45C8-8725-28F31CEE71E1}"/>
    <cellStyle name="Normal 9 6" xfId="9172" xr:uid="{912C2C97-5EDE-4704-84BA-A490667F0EE5}"/>
    <cellStyle name="Normal 9 7" xfId="9173" xr:uid="{0393D190-F9F9-4752-A45F-60366E7E4505}"/>
    <cellStyle name="Normal 9 8" xfId="9174" xr:uid="{45D475A1-BC43-4129-AD25-7BA8FA10AA5A}"/>
    <cellStyle name="Normal 9 9" xfId="9175" xr:uid="{54B6BC9E-79B1-487E-865D-C065B8D8E133}"/>
    <cellStyle name="Normal GHG Numbers (0.00)" xfId="9176" xr:uid="{75453416-07F0-4D0A-8F5E-8C14111A8D27}"/>
    <cellStyle name="Normal GHG Textfiels Bold" xfId="9177" xr:uid="{61DDD3C2-FF67-4D51-B9DF-9C1429647F02}"/>
    <cellStyle name="Normal GHG whole table" xfId="9178" xr:uid="{473D6DA6-6CCF-4D4F-8B85-AC41BE597AD1}"/>
    <cellStyle name="Normal GHG-Shade" xfId="9179" xr:uid="{0345E2BF-0766-4EC1-A946-A35273ED8D14}"/>
    <cellStyle name="Normal_ovrcst" xfId="27" xr:uid="{00000000-0005-0000-0000-000014000000}"/>
    <cellStyle name="Normal_Sheet1" xfId="26" xr:uid="{00000000-0005-0000-0000-000015000000}"/>
    <cellStyle name="Normal_Sheet2" xfId="28" xr:uid="{00000000-0005-0000-0000-000016000000}"/>
    <cellStyle name="Normale_B2020" xfId="9180" xr:uid="{C56F9EB2-3DDB-4249-B1C6-41BDADF73849}"/>
    <cellStyle name="Note 10" xfId="9181" xr:uid="{BF1CCC86-36B3-4246-AEE6-3AA1A4525098}"/>
    <cellStyle name="Note 10 2" xfId="9182" xr:uid="{32BBA04A-240D-4C48-BF6A-166CE43B0699}"/>
    <cellStyle name="Note 10 3" xfId="9183" xr:uid="{0E5D3638-632E-4FA8-BF8E-FE983F31A2F8}"/>
    <cellStyle name="Note 10 3 2" xfId="9184" xr:uid="{CBA5F570-F58F-4DA3-94EB-D205D6EB9360}"/>
    <cellStyle name="Note 10 3_ELC_final" xfId="9185" xr:uid="{C0F3512B-4CA8-4F91-85CC-8AC3B7082ED3}"/>
    <cellStyle name="Note 10_ELC_final" xfId="9186" xr:uid="{B59BCF8A-36EA-4C37-BC91-C6A74925CE49}"/>
    <cellStyle name="Note 11" xfId="9187" xr:uid="{A1580078-AFCF-4FC3-BC55-5F92787457F9}"/>
    <cellStyle name="Note 11 2" xfId="9188" xr:uid="{7ED28066-0D23-41A7-A218-E844BCDD015D}"/>
    <cellStyle name="Note 11_ELC_final" xfId="9189" xr:uid="{0DA89507-097D-4101-A91F-EA5D02C446B4}"/>
    <cellStyle name="Note 12" xfId="9190" xr:uid="{3CBA5C33-7068-47AA-AB33-5554A187A3AE}"/>
    <cellStyle name="Note 12 2" xfId="9191" xr:uid="{D632386D-BE01-4D0A-9A49-5F672F948923}"/>
    <cellStyle name="Note 12_ELC_final" xfId="9192" xr:uid="{1943CD54-E52D-4B76-9FFF-6D1B3A464145}"/>
    <cellStyle name="Note 13" xfId="9193" xr:uid="{853B4B04-7BAE-4828-889E-6020F8929F44}"/>
    <cellStyle name="Note 13 2" xfId="9194" xr:uid="{DF72E30B-3A7F-4838-877B-6BEF941B4A60}"/>
    <cellStyle name="Note 13_ELC_final" xfId="9195" xr:uid="{8E92A3BD-D2C1-4002-9EBC-C2D71C81E036}"/>
    <cellStyle name="Note 14" xfId="9196" xr:uid="{66009111-0FDC-421D-A161-4D062141295B}"/>
    <cellStyle name="Note 14 2" xfId="9197" xr:uid="{43927E6E-A778-4D5F-9381-D117EA5CA7AE}"/>
    <cellStyle name="Note 14_ELC_final" xfId="9198" xr:uid="{1B4876A5-67DB-42DB-8D51-C49DDF4542C4}"/>
    <cellStyle name="Note 15" xfId="9199" xr:uid="{762080C4-92A3-4127-BB72-8373F3DE4DBE}"/>
    <cellStyle name="Note 15 2" xfId="9200" xr:uid="{0D777593-0FFE-4EFC-BAEF-C14A2B6446D6}"/>
    <cellStyle name="Note 15_ELC_final" xfId="9201" xr:uid="{8A4586F7-10EA-4B87-B925-1BA9BEEAFFE2}"/>
    <cellStyle name="Note 16" xfId="9202" xr:uid="{88F63CE0-D987-404A-8D63-15C490D0F9AB}"/>
    <cellStyle name="Note 16 2" xfId="9203" xr:uid="{D32038EF-245D-48FF-9CF5-F99863F40AC4}"/>
    <cellStyle name="Note 16_ELC_final" xfId="9204" xr:uid="{26BEDDEA-858C-4EC7-BBF1-CF7DDDDC23E5}"/>
    <cellStyle name="Note 17" xfId="9205" xr:uid="{E734E652-7C6A-43FF-B53E-C577D7EB0D90}"/>
    <cellStyle name="Note 17 2" xfId="9206" xr:uid="{32A0940D-9D25-4A6D-B7BA-38E9406CC356}"/>
    <cellStyle name="Note 17_ELC_final" xfId="9207" xr:uid="{55B1B8BD-C81B-4958-BF6A-EBE167E1FA4E}"/>
    <cellStyle name="Note 18" xfId="9208" xr:uid="{A37414B4-526A-4FF9-8D72-DB28C3F97793}"/>
    <cellStyle name="Note 18 2" xfId="9209" xr:uid="{8BE262DC-5F62-43F9-A9B8-5B63B9EC6156}"/>
    <cellStyle name="Note 18_ELC_final" xfId="9210" xr:uid="{575102E5-39B6-4FC9-B4AB-AD05B4268FB2}"/>
    <cellStyle name="Note 19" xfId="9211" xr:uid="{C9CCD58A-B448-4BEF-9EAA-F20F66C8A124}"/>
    <cellStyle name="Note 2" xfId="9212" xr:uid="{C0465B7A-86DE-401A-9006-4B487FC69B7B}"/>
    <cellStyle name="Note 2 10" xfId="9213" xr:uid="{E53CBF1B-EF92-48F6-8EC4-1DB99BC6B33D}"/>
    <cellStyle name="Note 2 11" xfId="9214" xr:uid="{1CCA8D6D-1829-4AD3-857C-74C98D43410B}"/>
    <cellStyle name="Note 2 12" xfId="9215" xr:uid="{26B8A270-25F7-4151-B9FC-A9ECD24DAB04}"/>
    <cellStyle name="Note 2 13" xfId="9216" xr:uid="{C63AC098-11EF-4EA7-8486-02BDA01EE53A}"/>
    <cellStyle name="Note 2 14" xfId="9217" xr:uid="{EA033554-9ABA-4479-BAE9-A3C71DB1D68E}"/>
    <cellStyle name="Note 2 15" xfId="9218" xr:uid="{1B973180-10EB-41C2-8AD1-A642C013EF59}"/>
    <cellStyle name="Note 2 16" xfId="9219" xr:uid="{883736DF-DFF0-4CA1-AB80-ACE9F7B2E8E0}"/>
    <cellStyle name="Note 2 2" xfId="9220" xr:uid="{E5C9E8DE-1469-4809-A0AB-F14358BB960D}"/>
    <cellStyle name="Note 2 2 2" xfId="9221" xr:uid="{659E24F0-4EE2-4769-BF30-3DAB7CA01C98}"/>
    <cellStyle name="Note 2 2 2 2" xfId="9222" xr:uid="{794A1D1F-8DD2-448A-8AC7-06B3C796F30B}"/>
    <cellStyle name="Note 2 3" xfId="9223" xr:uid="{4D028167-E820-46B1-B64B-725B1D5F3FE7}"/>
    <cellStyle name="Note 2 4" xfId="9224" xr:uid="{A4B0FD78-F496-4203-A420-6F60CA4DCC7F}"/>
    <cellStyle name="Note 2 5" xfId="9225" xr:uid="{9F0F5F94-141C-4A30-ACED-8B788ACFA203}"/>
    <cellStyle name="Note 2 6" xfId="9226" xr:uid="{1F18EEB8-E01D-4956-9393-CC0A78F22559}"/>
    <cellStyle name="Note 2 7" xfId="9227" xr:uid="{1BDB8903-66A5-4261-8DFE-C0B372EAB881}"/>
    <cellStyle name="Note 2 8" xfId="9228" xr:uid="{C3FB367C-6C07-4A86-A9EA-AF8E2277D66C}"/>
    <cellStyle name="Note 2 9" xfId="9229" xr:uid="{DD0E4363-C751-41D6-AF17-C29DA57982A1}"/>
    <cellStyle name="Note 2_PrimaryEnergyPrices_TIMES" xfId="9230" xr:uid="{A270B0DC-0868-499B-A5EC-5C490C3E62C5}"/>
    <cellStyle name="Note 20" xfId="9231" xr:uid="{54D6EF39-2BF6-41DA-BA17-10FF0E15D2B8}"/>
    <cellStyle name="Note 21" xfId="9232" xr:uid="{CEB5E44C-7D63-49BB-A3BD-97B8FDBAC852}"/>
    <cellStyle name="Note 22" xfId="9233" xr:uid="{FC0FB1C3-3EC5-483B-A18B-DB7A0481BFD7}"/>
    <cellStyle name="Note 23" xfId="9234" xr:uid="{A444D44E-DD8A-4AD0-BA59-C9A03E884774}"/>
    <cellStyle name="Note 24" xfId="9235" xr:uid="{AA37D843-6543-42EC-AD93-9A834151DAA2}"/>
    <cellStyle name="Note 25" xfId="9236" xr:uid="{B5FD6DEA-1116-4DD0-BE0E-DC53294F86F2}"/>
    <cellStyle name="Note 26" xfId="9237" xr:uid="{27D56246-FE94-4FEA-8644-EC13EFA43541}"/>
    <cellStyle name="Note 27" xfId="9238" xr:uid="{4E6F5959-051E-46DF-A218-92764EBF5819}"/>
    <cellStyle name="Note 28" xfId="9239" xr:uid="{C4667DCC-2F51-4C4C-BACA-D5CC480BAD65}"/>
    <cellStyle name="Note 29" xfId="9240" xr:uid="{D46347E9-5011-49BB-B7BF-94957D34BE98}"/>
    <cellStyle name="Note 3" xfId="9241" xr:uid="{83BBE4C6-42F8-4228-A7CA-E3E3F2AAECDF}"/>
    <cellStyle name="Note 3 2" xfId="9242" xr:uid="{DA4FD382-9AAF-49F9-9E47-89C1403F7665}"/>
    <cellStyle name="Note 3 2 2" xfId="9243" xr:uid="{A84960A0-B471-4E1C-8156-13B8F18FF935}"/>
    <cellStyle name="Note 3 3" xfId="9244" xr:uid="{CD33E251-229B-44DB-B19D-1F1C1E4E8F64}"/>
    <cellStyle name="Note 3 4" xfId="9245" xr:uid="{DA44C389-09F1-453D-9BD4-C2F1FE9DAAD6}"/>
    <cellStyle name="Note 3 4 2" xfId="9246" xr:uid="{8E93DD78-0FBB-456F-BCE2-9FE832466EEB}"/>
    <cellStyle name="Note 3 4 3" xfId="9247" xr:uid="{8D66FA0D-2BD5-4B03-BF08-F1A510B4E32D}"/>
    <cellStyle name="Note 3 5" xfId="9248" xr:uid="{E44085AC-36AC-4768-87C5-3FE43DE5C546}"/>
    <cellStyle name="Note 3 6" xfId="9249" xr:uid="{BABB8E9B-F62B-49F1-A035-25500FB60FAC}"/>
    <cellStyle name="Note 3 7" xfId="9250" xr:uid="{83969159-C799-4AA5-BC2A-782A9E09A189}"/>
    <cellStyle name="Note 3_PrimaryEnergyPrices_TIMES" xfId="9251" xr:uid="{0B07995A-20C7-4DDA-8319-0D87362D1D11}"/>
    <cellStyle name="Note 30" xfId="9252" xr:uid="{6D32FD18-9740-4F62-BCBF-5305F95DED52}"/>
    <cellStyle name="Note 31" xfId="9253" xr:uid="{80B3A5A0-F603-4E06-8758-89B713DA291A}"/>
    <cellStyle name="Note 32" xfId="9254" xr:uid="{EEBA2152-462F-4FE9-831E-29B7193838E6}"/>
    <cellStyle name="Note 33" xfId="9255" xr:uid="{18BFEE56-A49B-4356-85F1-45E79E3707D4}"/>
    <cellStyle name="Note 34" xfId="9256" xr:uid="{837A7504-9373-4408-BFA5-2C4A777C183D}"/>
    <cellStyle name="Note 35" xfId="9257" xr:uid="{785411C7-9807-4F24-A764-CF3892ABAF0E}"/>
    <cellStyle name="Note 36" xfId="9258" xr:uid="{063FD0F6-E069-4EF5-BA20-BF232FDC6EF3}"/>
    <cellStyle name="Note 37" xfId="9259" xr:uid="{002D2482-0C90-47B5-9217-9A306343C7EF}"/>
    <cellStyle name="Note 38" xfId="9260" xr:uid="{B4EE134A-C072-4AC2-B2FC-17BAC18E0582}"/>
    <cellStyle name="Note 39" xfId="9261" xr:uid="{E6B68075-B7E8-4577-85DC-983755C9D59B}"/>
    <cellStyle name="Note 4" xfId="9262" xr:uid="{DE7B8321-D006-4931-A4A7-DFB6B3C65532}"/>
    <cellStyle name="Note 4 2" xfId="9263" xr:uid="{8090A524-D1A0-4B22-9337-DD8E9B7A0E51}"/>
    <cellStyle name="Note 4 3" xfId="9264" xr:uid="{BFD49C00-CE54-4014-9D92-54DC042D8BE6}"/>
    <cellStyle name="Note 4 3 2" xfId="9265" xr:uid="{466B0E4F-7BCF-4789-871F-255362B22E2A}"/>
    <cellStyle name="Note 4 3_ELC_final" xfId="9266" xr:uid="{BD2E1CC0-EEF1-4654-BC20-790F926E3262}"/>
    <cellStyle name="Note 4 4" xfId="9267" xr:uid="{B1EA1C8B-9F7C-4D69-971B-E49287C802C8}"/>
    <cellStyle name="Note 4_ELC_final" xfId="9268" xr:uid="{FFD62125-8026-4E5E-A7C1-A6E775BF50B4}"/>
    <cellStyle name="Note 40" xfId="9269" xr:uid="{185C8FC0-F79A-4CEA-87E2-28ADD9C1F4BB}"/>
    <cellStyle name="Note 41" xfId="9270" xr:uid="{E8B773F3-1C34-4FC0-BA0E-3B1C7C779200}"/>
    <cellStyle name="Note 5" xfId="9271" xr:uid="{91D05FC9-4863-4DB5-AF2D-9E20C0D0C2CE}"/>
    <cellStyle name="Note 5 2" xfId="9272" xr:uid="{7650969E-B7C1-4205-BF95-E7DB3F4C36F1}"/>
    <cellStyle name="Note 5 3" xfId="9273" xr:uid="{8B90BED1-FCD4-4395-9F23-D98CB4BA801E}"/>
    <cellStyle name="Note 5 3 2" xfId="9274" xr:uid="{6980CBAD-ABFD-43FE-920A-A0712C3ACF04}"/>
    <cellStyle name="Note 5 3_ELC_final" xfId="9275" xr:uid="{BB26B3F9-C246-4B46-8003-61306B9D7185}"/>
    <cellStyle name="Note 5 4" xfId="9276" xr:uid="{ED2835B7-7148-4227-9ED3-20047E3F141A}"/>
    <cellStyle name="Note 5_ELC_final" xfId="9277" xr:uid="{7AB6937B-8078-45A8-97B1-106C4E2ECDC7}"/>
    <cellStyle name="Note 6" xfId="9278" xr:uid="{F9B94FBC-0256-4C22-837E-6E1F05B880B3}"/>
    <cellStyle name="Note 6 2" xfId="9279" xr:uid="{98F48B91-9BE9-426A-9411-C816D465120C}"/>
    <cellStyle name="Note 6 3" xfId="9280" xr:uid="{5475F18F-8BE5-4FAB-AC94-7B842C76E99A}"/>
    <cellStyle name="Note 6 3 2" xfId="9281" xr:uid="{BD2DA75B-BEE7-4B32-87A7-33EE5545D17D}"/>
    <cellStyle name="Note 6 3_ELC_final" xfId="9282" xr:uid="{AC003B77-CF42-42EA-89F6-2F2AFB37003F}"/>
    <cellStyle name="Note 6 4" xfId="9283" xr:uid="{DF250F3A-3756-4F85-86EA-E21519ACE851}"/>
    <cellStyle name="Note 6_ELC_final" xfId="9284" xr:uid="{F3046AA2-549A-4F40-8967-4C0FEF8DA7BF}"/>
    <cellStyle name="Note 7" xfId="9285" xr:uid="{5F4E0302-8263-4C74-828F-4AB8898B8BDA}"/>
    <cellStyle name="Note 7 2" xfId="9286" xr:uid="{EC7E44B2-B85F-4D8A-B9A0-407E24E54511}"/>
    <cellStyle name="Note 7 3" xfId="9287" xr:uid="{6568F2C9-E1DE-4B51-A233-C015E1E74B0E}"/>
    <cellStyle name="Note 7 3 2" xfId="9288" xr:uid="{610D7381-86EB-478E-AE5D-44C729FD4B57}"/>
    <cellStyle name="Note 7 3_ELC_final" xfId="9289" xr:uid="{7205C230-3E66-4EA2-BC34-658F0AF68AB5}"/>
    <cellStyle name="Note 7 4" xfId="9290" xr:uid="{B4F71905-A98A-478F-BF1B-372B7BAAE326}"/>
    <cellStyle name="Note 7_ELC_final" xfId="9291" xr:uid="{E5746060-FFEB-4700-8037-FD31B59F5261}"/>
    <cellStyle name="Note 8" xfId="9292" xr:uid="{3695B885-A2AD-46CD-8F0B-3DB25D078D9E}"/>
    <cellStyle name="Note 8 2" xfId="9293" xr:uid="{13347898-CC1D-4C7B-B6CD-2D4388CC2BB8}"/>
    <cellStyle name="Note 8 3" xfId="9294" xr:uid="{98392A6A-E87F-485B-8E70-A4A6E8B68630}"/>
    <cellStyle name="Note 8 3 2" xfId="9295" xr:uid="{7E344BDC-F36C-4DD7-A465-E084856F141B}"/>
    <cellStyle name="Note 8 3_ELC_final" xfId="9296" xr:uid="{9135CD7F-4795-49B5-B2A4-9FDDEE3F9A54}"/>
    <cellStyle name="Note 8 4" xfId="9297" xr:uid="{C3C75A0B-FA4F-4461-B8A9-F004EA62BE09}"/>
    <cellStyle name="Note 8_ELC_final" xfId="9298" xr:uid="{042A1AF5-FA9E-4D3F-A025-F00EB8EAE3E7}"/>
    <cellStyle name="Note 9" xfId="9299" xr:uid="{B407D924-26F2-42AA-899F-A531499D0760}"/>
    <cellStyle name="Note 9 2" xfId="9300" xr:uid="{2AF704ED-565E-4F6F-803B-4BC220260973}"/>
    <cellStyle name="Note 9 3" xfId="9301" xr:uid="{310194D7-EAA5-4586-95E2-A4645D86766B}"/>
    <cellStyle name="Note 9 3 2" xfId="9302" xr:uid="{4E34015A-83DB-416D-A31A-7AF4335BB027}"/>
    <cellStyle name="Note 9 3_ELC_final" xfId="9303" xr:uid="{861B6267-341C-4321-8C2D-1A4D5626273A}"/>
    <cellStyle name="Note 9 4" xfId="9304" xr:uid="{21960637-1AD0-4942-AA5F-10ACCB24FDAF}"/>
    <cellStyle name="Note 9_ELC_final" xfId="9305" xr:uid="{CED88DAF-BB70-4C51-ABC8-9FB9CFBBE645}"/>
    <cellStyle name="Notiz" xfId="9306" xr:uid="{1A669E31-4176-4826-8139-B73F09B6E551}"/>
    <cellStyle name="Notiz 2" xfId="9307" xr:uid="{B5E53DB1-5CCF-48B6-B9D7-CBCF28AB1E89}"/>
    <cellStyle name="Notiz 3" xfId="9308" xr:uid="{3433BB24-95B5-48B5-B1A8-C992146298BC}"/>
    <cellStyle name="num_note" xfId="9309" xr:uid="{0CA92DCB-C633-4130-82EC-7D4F9B44917C}"/>
    <cellStyle name="Nuovo" xfId="9310" xr:uid="{67649C3C-DD55-4FA4-88DE-11D932B110D2}"/>
    <cellStyle name="Nuovo 10" xfId="9311" xr:uid="{2AFA7A60-6756-48E0-9657-72C3BF5CFFCA}"/>
    <cellStyle name="Nuovo 11" xfId="9312" xr:uid="{B57DD936-A52F-4D7A-893F-37AD340BF8D3}"/>
    <cellStyle name="Nuovo 12" xfId="9313" xr:uid="{DA928AE9-B741-406F-A0CE-9BBA536F52BF}"/>
    <cellStyle name="Nuovo 13" xfId="9314" xr:uid="{74C8E2C8-4A1F-4408-8144-74F4ADD62DDE}"/>
    <cellStyle name="Nuovo 14" xfId="9315" xr:uid="{AC8DD44E-59F9-4779-ACE9-E60E38592BE7}"/>
    <cellStyle name="Nuovo 15" xfId="9316" xr:uid="{A5B8C120-4D21-48D7-A048-3C5125687D6E}"/>
    <cellStyle name="Nuovo 16" xfId="9317" xr:uid="{8752F652-FA60-4194-BB1B-D07638FBC21D}"/>
    <cellStyle name="Nuovo 17" xfId="9318" xr:uid="{9A5DA25D-5A6D-4991-B969-A74CB452E326}"/>
    <cellStyle name="Nuovo 18" xfId="9319" xr:uid="{17A6BB2C-EFF2-4977-BD6E-44625AB6474C}"/>
    <cellStyle name="Nuovo 19" xfId="9320" xr:uid="{4F73A489-034B-437F-B841-E7BF7642CC16}"/>
    <cellStyle name="Nuovo 2" xfId="9321" xr:uid="{E92307FD-AE65-4737-8ED5-02C224064E1F}"/>
    <cellStyle name="Nuovo 2 2" xfId="9322" xr:uid="{73C62962-780D-4CA1-9F68-245B3CF53F79}"/>
    <cellStyle name="Nuovo 20" xfId="9323" xr:uid="{826F95BB-F4C2-402D-B28E-FE0765AFEDC7}"/>
    <cellStyle name="Nuovo 21" xfId="9324" xr:uid="{ED042CA5-ACC3-4CA8-A942-7F2C50E14C13}"/>
    <cellStyle name="Nuovo 22" xfId="9325" xr:uid="{0766D848-1621-44B3-A35C-832D004B5A07}"/>
    <cellStyle name="Nuovo 23" xfId="9326" xr:uid="{6AD14F2D-73B6-42CE-9F18-E47D386C8432}"/>
    <cellStyle name="Nuovo 24" xfId="9327" xr:uid="{52F54CBA-D952-4601-8F08-89A48BB3D4DF}"/>
    <cellStyle name="Nuovo 25" xfId="9328" xr:uid="{12FE5E0A-E70C-492F-9542-A19295F2F12F}"/>
    <cellStyle name="Nuovo 26" xfId="9329" xr:uid="{03F9ACA2-F4A7-465B-A972-4C984DD33D5F}"/>
    <cellStyle name="Nuovo 27" xfId="9330" xr:uid="{F92AB8EF-6053-4C28-9574-A6631F105DC7}"/>
    <cellStyle name="Nuovo 28" xfId="9331" xr:uid="{921A2F2F-2AF7-4529-9C74-7FD656EF4A84}"/>
    <cellStyle name="Nuovo 29" xfId="9332" xr:uid="{E22CC93D-1902-4AB9-894C-3C81253EF53B}"/>
    <cellStyle name="Nuovo 3" xfId="9333" xr:uid="{77ABAC97-0AC6-45E9-BD0F-D104D708382B}"/>
    <cellStyle name="Nuovo 30" xfId="9334" xr:uid="{1E7F0153-82B9-4E84-9CB7-C79240323898}"/>
    <cellStyle name="Nuovo 31" xfId="9335" xr:uid="{FE94B46F-0D66-4E1B-9C0E-D83D7468DAAB}"/>
    <cellStyle name="Nuovo 32" xfId="9336" xr:uid="{AD877874-F82D-435D-82E5-817992EE7E5E}"/>
    <cellStyle name="Nuovo 33" xfId="9337" xr:uid="{0988C1AF-34C7-4FE9-8472-79D924F9B957}"/>
    <cellStyle name="Nuovo 34" xfId="9338" xr:uid="{A492E182-2FEF-4D58-A177-B724393E94D5}"/>
    <cellStyle name="Nuovo 35" xfId="9339" xr:uid="{18BF8D5E-5496-4CEC-A37A-BFA74356756D}"/>
    <cellStyle name="Nuovo 36" xfId="9340" xr:uid="{F0D643AE-C0C9-4909-9004-ABF9DB4100DF}"/>
    <cellStyle name="Nuovo 37" xfId="9341" xr:uid="{2B228D51-35D7-4162-A0DD-82D5D74F1F77}"/>
    <cellStyle name="Nuovo 38" xfId="9342" xr:uid="{1554C93B-49E8-49A9-B6FD-18930527717C}"/>
    <cellStyle name="Nuovo 38 2" xfId="9343" xr:uid="{975CE066-9E1E-4110-AE62-A100296EC187}"/>
    <cellStyle name="Nuovo 38 3" xfId="9344" xr:uid="{AB254B55-EA69-4A68-8036-29B80856306F}"/>
    <cellStyle name="Nuovo 38 4" xfId="9345" xr:uid="{8AC97606-8734-442E-99C1-8AFD9632787E}"/>
    <cellStyle name="Nuovo 39" xfId="9346" xr:uid="{BA04B108-E259-4FE5-805A-14C6F06B5428}"/>
    <cellStyle name="Nuovo 39 2" xfId="9347" xr:uid="{F670B261-F70C-48AE-A021-66C14C669C33}"/>
    <cellStyle name="Nuovo 4" xfId="9348" xr:uid="{7970FBB4-5A23-4AD2-BFB3-1DE1E0E133AC}"/>
    <cellStyle name="Nuovo 4 2" xfId="9349" xr:uid="{E7D06020-D590-48C4-B35F-8455CE38BEF7}"/>
    <cellStyle name="Nuovo 40" xfId="9350" xr:uid="{685E8B04-C7ED-4282-BDF8-479D2567A3A7}"/>
    <cellStyle name="Nuovo 40 2" xfId="9351" xr:uid="{225AD768-5280-4268-9B1D-8699B9653325}"/>
    <cellStyle name="Nuovo 5" xfId="9352" xr:uid="{217F0928-A45C-43D6-ABA9-0CE0BFE42AE0}"/>
    <cellStyle name="Nuovo 6" xfId="9353" xr:uid="{47A06569-F7DB-4E7B-A73F-5AFE92A46825}"/>
    <cellStyle name="Nuovo 7" xfId="9354" xr:uid="{848520E6-F5D1-48D3-9F32-6B32C33C1571}"/>
    <cellStyle name="Nuovo 8" xfId="9355" xr:uid="{CC5F4D77-67C8-4090-968A-DA0C28E125A6}"/>
    <cellStyle name="Nuovo 9" xfId="9356" xr:uid="{C322CB75-3D3A-4D67-8D35-B72419EE6242}"/>
    <cellStyle name="Output 10" xfId="9357" xr:uid="{6E9A82F8-E707-4AFF-9DDE-6789025A5E64}"/>
    <cellStyle name="Output 11" xfId="9358" xr:uid="{F5FD2D39-A243-420B-AC43-95D35320D024}"/>
    <cellStyle name="Output 12" xfId="9359" xr:uid="{A245B234-8F1E-47B7-9DF6-0EBFD06F0E65}"/>
    <cellStyle name="Output 13" xfId="9360" xr:uid="{8538B22F-C729-4104-ADEC-B0AE9C987991}"/>
    <cellStyle name="Output 14" xfId="9361" xr:uid="{22E7881F-6C23-4A90-9BD7-6D3FC6A0D4EF}"/>
    <cellStyle name="Output 15" xfId="9362" xr:uid="{4CCDF3A0-ACE2-441C-B12A-5F112D1CA819}"/>
    <cellStyle name="Output 16" xfId="9363" xr:uid="{50E7DBA6-6E94-488E-A0CD-4ABF00FC20C6}"/>
    <cellStyle name="Output 17" xfId="9364" xr:uid="{CEDF4F0B-2F0B-4336-A9B1-3E0F5D60FB9B}"/>
    <cellStyle name="Output 18" xfId="9365" xr:uid="{84B1232D-DF42-4E99-B9C3-CBACF86B3521}"/>
    <cellStyle name="Output 19" xfId="9366" xr:uid="{745F468E-881A-4300-BBEA-4B6504DEA3A6}"/>
    <cellStyle name="Output 2" xfId="9367" xr:uid="{B8B37C15-666C-43A2-BA46-5462FB5C9E78}"/>
    <cellStyle name="Output 2 10" xfId="9368" xr:uid="{3A87EF7C-3841-41D1-A982-908C83318391}"/>
    <cellStyle name="Output 2 11" xfId="9369" xr:uid="{42249750-FE39-4DC8-B97B-87780AE53741}"/>
    <cellStyle name="Output 2 2" xfId="9370" xr:uid="{1A6B3E7C-6E3B-4D3C-8E53-AF3F019EDFC1}"/>
    <cellStyle name="Output 2 3" xfId="9371" xr:uid="{3F7E1262-613D-4BFB-BD5F-AB13B1049B48}"/>
    <cellStyle name="Output 2 4" xfId="9372" xr:uid="{2AB23EBF-0C8C-47DA-B5E5-5E5CFE0BC75D}"/>
    <cellStyle name="Output 2 5" xfId="9373" xr:uid="{038CE073-AA46-48F0-8464-5308F9E0A19A}"/>
    <cellStyle name="Output 2 6" xfId="9374" xr:uid="{A591D9F7-CBBB-4358-8D40-C7D1AA41FA04}"/>
    <cellStyle name="Output 2 7" xfId="9375" xr:uid="{99D7DA1C-2EF5-4823-AE45-64B9DC67D4FF}"/>
    <cellStyle name="Output 2 8" xfId="9376" xr:uid="{55BDFF29-3D0C-45B8-BCEF-EBA18B3A3B2F}"/>
    <cellStyle name="Output 2 9" xfId="9377" xr:uid="{D9998675-98CC-4EC6-ADA2-B3E17A58E849}"/>
    <cellStyle name="Output 20" xfId="9378" xr:uid="{2FAF08EE-F4A8-4590-88A2-35799E3C261F}"/>
    <cellStyle name="Output 21" xfId="9379" xr:uid="{8FADFED9-0458-4D45-83FE-A45428F0C4CC}"/>
    <cellStyle name="Output 22" xfId="9380" xr:uid="{1D92716C-CA9D-4757-BD82-1C1A86650616}"/>
    <cellStyle name="Output 23" xfId="9381" xr:uid="{CB628E4D-AA8A-4DD0-ACE2-E4F5B1B01C16}"/>
    <cellStyle name="Output 24" xfId="9382" xr:uid="{8444188D-31EF-420F-A098-758A01FF690E}"/>
    <cellStyle name="Output 25" xfId="9383" xr:uid="{D54AE4BE-BFD8-4F1C-9124-242776E4CC7E}"/>
    <cellStyle name="Output 26" xfId="9384" xr:uid="{51D647AD-4A0F-4628-91F7-2E1338BA8AC0}"/>
    <cellStyle name="Output 27" xfId="9385" xr:uid="{D9354387-0761-47EC-83F1-50289D8F5C66}"/>
    <cellStyle name="Output 28" xfId="9386" xr:uid="{D036D96F-B523-4A8C-80C7-802220F881B5}"/>
    <cellStyle name="Output 29" xfId="9387" xr:uid="{78DDD98E-A8F7-4543-BC87-D8EC6E7DCFF2}"/>
    <cellStyle name="Output 3" xfId="9388" xr:uid="{DCB7B64B-48DD-4A1E-BF24-16988C0DC640}"/>
    <cellStyle name="Output 3 2" xfId="9389" xr:uid="{CF30F845-0D6F-4085-8281-5159DCFDC51E}"/>
    <cellStyle name="Output 3 2 2" xfId="9390" xr:uid="{1B2A8A66-C69C-4CEA-9C29-98B9E10173A8}"/>
    <cellStyle name="Output 3 3" xfId="9391" xr:uid="{563E9842-5181-4924-9B4E-B1D39D70E8B6}"/>
    <cellStyle name="Output 3 4" xfId="9392" xr:uid="{8E1CA588-0FB9-4040-B132-34C1957B3051}"/>
    <cellStyle name="Output 30" xfId="9393" xr:uid="{25C85953-3F45-4C6D-AD43-A2A6D9D88053}"/>
    <cellStyle name="Output 31" xfId="9394" xr:uid="{25864B12-04EB-4E1A-924D-28DE514F164A}"/>
    <cellStyle name="Output 32" xfId="9395" xr:uid="{C4E10555-0D51-4D62-8606-4A52326E8FA4}"/>
    <cellStyle name="Output 33" xfId="9396" xr:uid="{C45379E0-955A-408A-9D98-077C91396167}"/>
    <cellStyle name="Output 34" xfId="9397" xr:uid="{E1E90370-A490-485F-91DA-DC7125671752}"/>
    <cellStyle name="Output 35" xfId="9398" xr:uid="{172EE3E7-CDFA-41ED-B971-45B9037B9807}"/>
    <cellStyle name="Output 36" xfId="9399" xr:uid="{2D138FFB-834F-4165-99B4-3BDBEE7616B9}"/>
    <cellStyle name="Output 37" xfId="9400" xr:uid="{B340C59C-45B7-42A3-A8A2-0D03EE291247}"/>
    <cellStyle name="Output 38" xfId="9401" xr:uid="{23662592-8638-46A2-B206-DFD1855D1679}"/>
    <cellStyle name="Output 39" xfId="9402" xr:uid="{6CD16703-1ADA-4215-A52A-683BD6782F44}"/>
    <cellStyle name="Output 4" xfId="9403" xr:uid="{C23C81F4-086C-4C5F-9135-36884A632F49}"/>
    <cellStyle name="Output 4 2" xfId="9404" xr:uid="{6F968795-CFF1-4ED2-94A8-6607A5B08173}"/>
    <cellStyle name="Output 40" xfId="9405" xr:uid="{9B3CDFEE-E7E5-45F2-8BE4-15B26FC1AB66}"/>
    <cellStyle name="Output 41" xfId="9406" xr:uid="{27A7D738-6C2E-41A0-87E4-6E2D34B5A6AE}"/>
    <cellStyle name="Output 42" xfId="9407" xr:uid="{81A16A4D-8C0E-4F64-98C2-EF8A7CD89D5E}"/>
    <cellStyle name="Output 43" xfId="9408" xr:uid="{A05C244D-36E3-4DE2-B3C9-EE02E29DFF89}"/>
    <cellStyle name="Output 5" xfId="9409" xr:uid="{BE22AA57-6FC4-4D65-988C-4AEB10F1C954}"/>
    <cellStyle name="Output 5 2" xfId="9410" xr:uid="{00930F29-2314-44E8-A326-38B8F51223BE}"/>
    <cellStyle name="Output 6" xfId="9411" xr:uid="{C8EE29B1-4D83-4978-9617-AF76ECA7A6D1}"/>
    <cellStyle name="Output 6 2" xfId="9412" xr:uid="{EC37CA3F-A712-4D32-8BCB-F9A0A3882DE0}"/>
    <cellStyle name="Output 7" xfId="9413" xr:uid="{25FDADD7-A507-45E6-9F9D-46F4DA158AD2}"/>
    <cellStyle name="Output 8" xfId="9414" xr:uid="{D71B4241-0BB6-463B-A2A9-AA52F9A29028}"/>
    <cellStyle name="Output 9" xfId="9415" xr:uid="{00C20C7F-EE99-4090-8A94-3A7540BBB288}"/>
    <cellStyle name="Parent row" xfId="19" xr:uid="{00000000-0005-0000-0000-000017000000}"/>
    <cellStyle name="Pattern" xfId="9416" xr:uid="{CE8B019D-417F-4C78-9178-6DEB6F4CD76E}"/>
    <cellStyle name="Percent" xfId="20" builtinId="5"/>
    <cellStyle name="Percent 10" xfId="9417" xr:uid="{9C2B1370-4CA8-4FE9-A9B0-065F3FC1EB1D}"/>
    <cellStyle name="Percent 10 10" xfId="9418" xr:uid="{BEFA562D-6790-470A-9531-E2B9FC332BF2}"/>
    <cellStyle name="Percent 10 11" xfId="9419" xr:uid="{1CCE7B96-FAE7-411B-BDB8-153A2A0F0EE8}"/>
    <cellStyle name="Percent 10 11 2" xfId="9420" xr:uid="{E9B54EAE-DB84-47DC-AD7D-30D6F8D43EB5}"/>
    <cellStyle name="Percent 10 11 3" xfId="9421" xr:uid="{F911AEAC-7D79-4AF8-95F6-B9ABDDCFDC67}"/>
    <cellStyle name="Percent 10 11 4" xfId="9422" xr:uid="{74CB4E63-F5E6-4022-AC3B-EE1CB608E079}"/>
    <cellStyle name="Percent 10 12" xfId="9423" xr:uid="{446D4E18-0C01-4D2F-9E39-C39717230637}"/>
    <cellStyle name="Percent 10 12 2" xfId="9424" xr:uid="{9F7E7561-450E-4CFE-BC1F-DF32FED4906F}"/>
    <cellStyle name="Percent 10 12 3" xfId="9425" xr:uid="{8046F9E7-C8B6-4DAD-BE0B-8C36CA946676}"/>
    <cellStyle name="Percent 10 12 4" xfId="9426" xr:uid="{8499D088-9DEE-4FAB-B70E-5D4DDE907F36}"/>
    <cellStyle name="Percent 10 13" xfId="9427" xr:uid="{ECACE2D2-ED71-429F-99EA-DC0035688F5B}"/>
    <cellStyle name="Percent 10 13 2" xfId="9428" xr:uid="{08E066F5-F678-47AD-BFF4-4C73BE08D01B}"/>
    <cellStyle name="Percent 10 13 3" xfId="9429" xr:uid="{316DB4D6-DDDF-43A6-8E3E-C57D351CFC38}"/>
    <cellStyle name="Percent 10 13 4" xfId="9430" xr:uid="{754145E5-14B7-4A1C-9222-94F5D5F633B5}"/>
    <cellStyle name="Percent 10 14" xfId="9431" xr:uid="{8B91D5DC-2179-4952-9460-7090B63C0F24}"/>
    <cellStyle name="Percent 10 14 2" xfId="9432" xr:uid="{C0636D62-35A9-4166-BB09-22C64B6F010B}"/>
    <cellStyle name="Percent 10 14 3" xfId="9433" xr:uid="{63632677-ADD6-4444-9455-694BB8337FCA}"/>
    <cellStyle name="Percent 10 14 4" xfId="9434" xr:uid="{F445E593-BC7A-448E-93C4-B7AB91FF928F}"/>
    <cellStyle name="Percent 10 14 5" xfId="9435" xr:uid="{9D8C4D73-A09D-499F-90BF-7626B945DE80}"/>
    <cellStyle name="Percent 10 15" xfId="9436" xr:uid="{081FC1EF-87BC-4B24-A032-947FF1FB4DB2}"/>
    <cellStyle name="Percent 10 15 2" xfId="9437" xr:uid="{B06EE251-AF48-46E6-9D69-9BB9509C93A6}"/>
    <cellStyle name="Percent 10 15 3" xfId="9438" xr:uid="{ADF2BD6C-F840-406F-97E5-586AA6E9D5A3}"/>
    <cellStyle name="Percent 10 15 4" xfId="9439" xr:uid="{2FD115B1-7818-4984-9E95-DB82EC65EF09}"/>
    <cellStyle name="Percent 10 15 5" xfId="9440" xr:uid="{37B636E2-B5FB-4EE8-8288-1D71533FC892}"/>
    <cellStyle name="Percent 10 16" xfId="9441" xr:uid="{21FA584D-B2A9-4ECB-B21F-078A2BB6B0C7}"/>
    <cellStyle name="Percent 10 16 2" xfId="9442" xr:uid="{82B2CE9C-5F03-4143-954B-27C654138E35}"/>
    <cellStyle name="Percent 10 16 3" xfId="9443" xr:uid="{E165341D-FEE1-47D5-88D8-BC91004EF165}"/>
    <cellStyle name="Percent 10 16 4" xfId="9444" xr:uid="{ABA9AF7F-A9B1-4374-BD91-8806538C208B}"/>
    <cellStyle name="Percent 10 16 5" xfId="9445" xr:uid="{7A8FECBC-92D3-497D-BD23-44AAF4F69183}"/>
    <cellStyle name="Percent 10 17" xfId="9446" xr:uid="{931B9B62-8FE4-4089-BBFC-F18619A6DF34}"/>
    <cellStyle name="Percent 10 17 2" xfId="9447" xr:uid="{7D74D897-C8CF-43FE-B506-F5C63B2B11D5}"/>
    <cellStyle name="Percent 10 17 3" xfId="9448" xr:uid="{DF35F0BE-AA07-476F-AEDB-A568EBC5B2BA}"/>
    <cellStyle name="Percent 10 17 4" xfId="9449" xr:uid="{585F30F6-7B1C-484F-9A73-6E5DD6E09DD6}"/>
    <cellStyle name="Percent 10 17 5" xfId="9450" xr:uid="{11E46923-51AB-4635-879F-4CE6415BA13F}"/>
    <cellStyle name="Percent 10 18" xfId="9451" xr:uid="{9C98FEE3-5DA8-4523-BBD4-98A3FAB8F8F6}"/>
    <cellStyle name="Percent 10 18 2" xfId="9452" xr:uid="{490A21C5-D4F8-4B76-9548-79997F98FE55}"/>
    <cellStyle name="Percent 10 18 3" xfId="9453" xr:uid="{C8BB95F5-4102-48F8-8A85-682B845DB22C}"/>
    <cellStyle name="Percent 10 18 4" xfId="9454" xr:uid="{766DEF91-7E99-4149-9BBA-9B6ABF1860AF}"/>
    <cellStyle name="Percent 10 18 5" xfId="9455" xr:uid="{57B3A3C8-5408-4338-94F2-9FF7BB4ADEC6}"/>
    <cellStyle name="Percent 10 19" xfId="9456" xr:uid="{60B8D3FC-D374-4C21-878D-3A861A894914}"/>
    <cellStyle name="Percent 10 19 2" xfId="9457" xr:uid="{046B32D4-826B-4D13-893B-3CB7F9FA987A}"/>
    <cellStyle name="Percent 10 19 3" xfId="9458" xr:uid="{B71DB764-73D0-4526-A7F2-D09E54BD3E32}"/>
    <cellStyle name="Percent 10 19 4" xfId="9459" xr:uid="{86A327D6-B9FA-4FDB-B5A8-48DBDD2B6451}"/>
    <cellStyle name="Percent 10 19 5" xfId="9460" xr:uid="{516B9221-6AC0-462A-9165-96FEE37F348E}"/>
    <cellStyle name="Percent 10 2" xfId="9461" xr:uid="{E0084738-3F98-4544-A563-A9010BF78F5B}"/>
    <cellStyle name="Percent 10 2 2" xfId="9462" xr:uid="{769EB492-0A92-43A9-8A04-A1F2372DCE51}"/>
    <cellStyle name="Percent 10 2 2 2" xfId="9463" xr:uid="{40C7F205-E68C-4F7E-A0B4-3EA9F1B2B243}"/>
    <cellStyle name="Percent 10 2 2 3" xfId="9464" xr:uid="{794CE132-9B64-49D8-81CF-202736B94DA6}"/>
    <cellStyle name="Percent 10 2 2 4" xfId="9465" xr:uid="{8001E9DD-5B09-4967-81E8-943EA43A0126}"/>
    <cellStyle name="Percent 10 2 2 5" xfId="9466" xr:uid="{C0D49C98-3F97-47B1-873A-43DD1F6038FA}"/>
    <cellStyle name="Percent 10 2 3" xfId="9467" xr:uid="{019C43EF-47AD-46D6-8B70-136BC0918D4F}"/>
    <cellStyle name="Percent 10 2 3 2" xfId="9468" xr:uid="{2DACD1A1-723D-4BF9-BB9A-223FF04F7461}"/>
    <cellStyle name="Percent 10 2 3 3" xfId="9469" xr:uid="{03D65234-FCD3-44C2-9A16-43BCF00D9E6C}"/>
    <cellStyle name="Percent 10 2 3 4" xfId="9470" xr:uid="{B4599431-DC61-418B-ACFF-688070286736}"/>
    <cellStyle name="Percent 10 2 3 5" xfId="9471" xr:uid="{96E5D642-E775-4B8B-A57E-ECB207902032}"/>
    <cellStyle name="Percent 10 2 4" xfId="9472" xr:uid="{061AECE5-ADB8-44B9-BE4F-139CB026FC8A}"/>
    <cellStyle name="Percent 10 2 5" xfId="9473" xr:uid="{247D3CC8-87BE-4844-AAA3-4C8C23281649}"/>
    <cellStyle name="Percent 10 2 6" xfId="9474" xr:uid="{4D808284-2EF6-4160-88C4-C90E3D64CE64}"/>
    <cellStyle name="Percent 10 2 7" xfId="9475" xr:uid="{C7697E8A-5AF1-45A8-8619-77B6BB5F4281}"/>
    <cellStyle name="Percent 10 20" xfId="9476" xr:uid="{35733687-E8E0-47B3-B458-B8BB8C8F9D90}"/>
    <cellStyle name="Percent 10 20 2" xfId="9477" xr:uid="{FF797CF1-1435-4470-90DD-957953D8DA3A}"/>
    <cellStyle name="Percent 10 20 3" xfId="9478" xr:uid="{AF4C5F84-EE64-4845-8CC9-5878AA8BF2A3}"/>
    <cellStyle name="Percent 10 20 4" xfId="9479" xr:uid="{C03998BA-FD12-44D6-B344-C3E5B00CD4FE}"/>
    <cellStyle name="Percent 10 20 5" xfId="9480" xr:uid="{F8440144-1671-40E0-BFEB-C89BE86D5E63}"/>
    <cellStyle name="Percent 10 3" xfId="9481" xr:uid="{2BA734AB-9210-4D27-9416-32AB1EE91EAD}"/>
    <cellStyle name="Percent 10 3 2" xfId="9482" xr:uid="{6EEC5DA0-DEC1-4209-8576-528EF4BDE38D}"/>
    <cellStyle name="Percent 10 3 2 2" xfId="9483" xr:uid="{05D967E5-FF41-4882-BE9C-84C03F5EB05E}"/>
    <cellStyle name="Percent 10 3 2 3" xfId="9484" xr:uid="{68D0C437-DDCF-4235-9723-F293121E49C2}"/>
    <cellStyle name="Percent 10 3 2 4" xfId="9485" xr:uid="{FDA3D737-8469-4805-9186-29B7607EAAFF}"/>
    <cellStyle name="Percent 10 3 2 5" xfId="9486" xr:uid="{5BE9293F-DE5A-4AE5-903A-EE1951296046}"/>
    <cellStyle name="Percent 10 3 3" xfId="9487" xr:uid="{7887357A-923E-418D-BAF5-1E79AC98D79F}"/>
    <cellStyle name="Percent 10 3 3 2" xfId="9488" xr:uid="{884D2535-0ABE-493C-9A02-857E0301DEE9}"/>
    <cellStyle name="Percent 10 3 3 3" xfId="9489" xr:uid="{9E374F3E-BF4C-444A-9114-2FCF680EFE46}"/>
    <cellStyle name="Percent 10 3 3 4" xfId="9490" xr:uid="{47C3D527-D3EF-45C8-885F-3390CBD4A0D2}"/>
    <cellStyle name="Percent 10 3 3 5" xfId="9491" xr:uid="{B7A490F0-FC84-4E69-88CA-F58B739DF428}"/>
    <cellStyle name="Percent 10 3 4" xfId="9492" xr:uid="{691CEFFE-E3CB-4ABB-B388-C61969699438}"/>
    <cellStyle name="Percent 10 3 5" xfId="9493" xr:uid="{20E1BEA9-29B6-4407-9905-ED39E9EABAB6}"/>
    <cellStyle name="Percent 10 3 6" xfId="9494" xr:uid="{C2A5AA8F-20CE-4AA1-A269-06F9FEAD0C9A}"/>
    <cellStyle name="Percent 10 3 7" xfId="9495" xr:uid="{89B17E04-8879-4A8E-A8F7-5A157CAAB558}"/>
    <cellStyle name="Percent 10 4" xfId="9496" xr:uid="{5CB8CFF2-BA2B-47BE-B764-07F9702057BC}"/>
    <cellStyle name="Percent 10 4 2" xfId="9497" xr:uid="{D5E81D0F-5A40-4013-866F-A561B7350BC0}"/>
    <cellStyle name="Percent 10 4 2 2" xfId="9498" xr:uid="{716B3A28-A4A9-40BD-A62F-24ED8D30ECD4}"/>
    <cellStyle name="Percent 10 4 2 3" xfId="9499" xr:uid="{EAECECB9-AE77-49A3-A45B-51D753DE085A}"/>
    <cellStyle name="Percent 10 4 2 4" xfId="9500" xr:uid="{44AB695C-1DF5-4289-BCFB-8625F0953988}"/>
    <cellStyle name="Percent 10 4 2 5" xfId="9501" xr:uid="{8A09D497-7C72-433C-97A9-79EEC5D9C4D8}"/>
    <cellStyle name="Percent 10 4 3" xfId="9502" xr:uid="{68A482A1-A6A0-4585-8220-58D8B455FFD2}"/>
    <cellStyle name="Percent 10 4 3 2" xfId="9503" xr:uid="{F58F6971-61AA-4AAD-877C-3966FB5A74D8}"/>
    <cellStyle name="Percent 10 4 3 3" xfId="9504" xr:uid="{6D61E329-3871-4CDE-82FE-F04F1F9F7FC8}"/>
    <cellStyle name="Percent 10 4 3 4" xfId="9505" xr:uid="{D34ECA6A-3B46-4D03-B140-57703980071C}"/>
    <cellStyle name="Percent 10 4 3 5" xfId="9506" xr:uid="{D236CEBB-ABC7-47B1-9E53-2A624A44653B}"/>
    <cellStyle name="Percent 10 4 4" xfId="9507" xr:uid="{797373B1-BCD5-400D-B97A-2B359DE69ED1}"/>
    <cellStyle name="Percent 10 4 5" xfId="9508" xr:uid="{BDC39939-2DDB-4481-881A-9626315ED6C5}"/>
    <cellStyle name="Percent 10 4 6" xfId="9509" xr:uid="{D37BEE9A-FD6F-496B-8FEA-686A5CE48C77}"/>
    <cellStyle name="Percent 10 4 7" xfId="9510" xr:uid="{576627A5-C8FA-440E-AF93-CDD9045EC5DC}"/>
    <cellStyle name="Percent 10 5" xfId="9511" xr:uid="{B0BB28CD-6F4A-4A05-A740-CF3A00D5D550}"/>
    <cellStyle name="Percent 10 5 2" xfId="9512" xr:uid="{923A61BB-A306-442B-A1E8-A1370D6CAEB3}"/>
    <cellStyle name="Percent 10 5 2 2" xfId="9513" xr:uid="{6F59138A-C086-470E-8BC1-DCA27C6712A0}"/>
    <cellStyle name="Percent 10 5 2 3" xfId="9514" xr:uid="{B97DA733-81B2-4F93-9F49-1666BD213347}"/>
    <cellStyle name="Percent 10 5 2 4" xfId="9515" xr:uid="{DC26EA68-D3AA-46A4-BD18-9A23274DD291}"/>
    <cellStyle name="Percent 10 5 2 5" xfId="9516" xr:uid="{375469E5-E929-4DAE-A718-F5A9246E42C5}"/>
    <cellStyle name="Percent 10 5 3" xfId="9517" xr:uid="{94C3EFAC-9090-4010-98E5-9348090EA2FF}"/>
    <cellStyle name="Percent 10 5 3 2" xfId="9518" xr:uid="{457E15BF-D534-451C-93A3-3539E8982B80}"/>
    <cellStyle name="Percent 10 5 3 3" xfId="9519" xr:uid="{B91E46B8-C7FC-4053-9556-65102DA1F197}"/>
    <cellStyle name="Percent 10 5 3 4" xfId="9520" xr:uid="{B286F46F-A2AB-41B3-A4D3-6A2C9DC3CFB8}"/>
    <cellStyle name="Percent 10 5 3 5" xfId="9521" xr:uid="{94A55736-C6CD-45B3-85D0-8C016AFE20D5}"/>
    <cellStyle name="Percent 10 5 4" xfId="9522" xr:uid="{63733133-4108-4F2A-AE7E-19162D8DBB2F}"/>
    <cellStyle name="Percent 10 5 5" xfId="9523" xr:uid="{3D384869-3035-497F-AA37-EB9197EC878C}"/>
    <cellStyle name="Percent 10 5 6" xfId="9524" xr:uid="{3F34418A-0CAD-4BF7-B475-724707E9BD43}"/>
    <cellStyle name="Percent 10 5 7" xfId="9525" xr:uid="{3C2E06A4-18C7-4E8C-8F1B-A98BAD4EA4F3}"/>
    <cellStyle name="Percent 10 6" xfId="9526" xr:uid="{387393D0-373C-4620-91BD-B8875BDA0432}"/>
    <cellStyle name="Percent 10 6 2" xfId="9527" xr:uid="{3842E2D0-AD5D-495B-8BE3-1844595A8E9C}"/>
    <cellStyle name="Percent 10 6 2 2" xfId="9528" xr:uid="{3ECD2144-5127-4A85-9C57-5C2BBEB46A7F}"/>
    <cellStyle name="Percent 10 6 2 3" xfId="9529" xr:uid="{E5E431FE-CA12-43E6-AED3-B8C661BE33B7}"/>
    <cellStyle name="Percent 10 6 2 4" xfId="9530" xr:uid="{DFE91A6C-C507-4A5C-AF9F-38A01219C9E3}"/>
    <cellStyle name="Percent 10 6 2 5" xfId="9531" xr:uid="{D082C165-B933-43C1-AC4A-0AABBD8C48F1}"/>
    <cellStyle name="Percent 10 6 3" xfId="9532" xr:uid="{25C564B1-CB47-484E-ABFE-061C9410A7B4}"/>
    <cellStyle name="Percent 10 6 3 2" xfId="9533" xr:uid="{31E8F054-551F-4E68-9841-0FB677B3AC82}"/>
    <cellStyle name="Percent 10 6 3 3" xfId="9534" xr:uid="{1AE125A4-5D25-4C70-BDC4-35C20BE3DC49}"/>
    <cellStyle name="Percent 10 6 3 4" xfId="9535" xr:uid="{361C8F57-FEB5-4A93-B73A-87450916986C}"/>
    <cellStyle name="Percent 10 6 3 5" xfId="9536" xr:uid="{5F0F0661-ED36-46CC-BA57-9BFAE1A49401}"/>
    <cellStyle name="Percent 10 6 4" xfId="9537" xr:uid="{000C7E01-C1BF-49E3-A257-FFAD54F2360D}"/>
    <cellStyle name="Percent 10 6 5" xfId="9538" xr:uid="{B57723C4-5EBD-4AE6-BCBE-715367A1D217}"/>
    <cellStyle name="Percent 10 6 6" xfId="9539" xr:uid="{1972D6C8-E40D-4741-BC16-2C0F0F61554A}"/>
    <cellStyle name="Percent 10 6 7" xfId="9540" xr:uid="{57FC7187-613A-4F84-8966-FCCE930AFF18}"/>
    <cellStyle name="Percent 10 7" xfId="9541" xr:uid="{5A6163EB-3737-4F6A-AA31-3F6E4B980ADF}"/>
    <cellStyle name="Percent 10 7 2" xfId="9542" xr:uid="{538BD6B7-2DF8-49B3-9B88-835929191D4D}"/>
    <cellStyle name="Percent 10 7 2 2" xfId="9543" xr:uid="{0A1D9829-3AA0-43B2-9543-DCA98D799501}"/>
    <cellStyle name="Percent 10 7 2 3" xfId="9544" xr:uid="{5863356D-A633-4BAA-8E92-E503330633EB}"/>
    <cellStyle name="Percent 10 7 2 4" xfId="9545" xr:uid="{0D98CF41-0960-4B4B-B12A-0AB9C8573217}"/>
    <cellStyle name="Percent 10 7 2 5" xfId="9546" xr:uid="{5AE5D652-DFA8-453C-81EF-0B34EA08840C}"/>
    <cellStyle name="Percent 10 7 3" xfId="9547" xr:uid="{43368ED7-8232-4CC8-A780-9A9747A05CC5}"/>
    <cellStyle name="Percent 10 7 3 2" xfId="9548" xr:uid="{2AA5E47D-3C74-4303-94DE-3C2E46C27F77}"/>
    <cellStyle name="Percent 10 7 3 3" xfId="9549" xr:uid="{DE81A0E2-4D35-485B-95A7-521634091E6C}"/>
    <cellStyle name="Percent 10 7 3 4" xfId="9550" xr:uid="{0D9DA983-E7AD-4A2C-BB18-661EC162235F}"/>
    <cellStyle name="Percent 10 7 3 5" xfId="9551" xr:uid="{5ACE6DD1-01AF-4248-A823-1B6D626A0B54}"/>
    <cellStyle name="Percent 10 7 4" xfId="9552" xr:uid="{93755277-7F8C-4716-9C47-BD4C72A9FD3F}"/>
    <cellStyle name="Percent 10 7 4 2" xfId="9553" xr:uid="{C31FE736-F764-495F-B90B-87F18778AA30}"/>
    <cellStyle name="Percent 10 7 4 3" xfId="9554" xr:uid="{BF04FD70-6B5E-496B-87DB-321C177524E2}"/>
    <cellStyle name="Percent 10 7 4 4" xfId="9555" xr:uid="{E17183F6-D2CA-45BE-8723-737F7325BBA6}"/>
    <cellStyle name="Percent 10 7 4 5" xfId="9556" xr:uid="{E4CC1FE7-03BA-43F6-8105-C9DCD5AC9AF1}"/>
    <cellStyle name="Percent 10 7 5" xfId="9557" xr:uid="{6EF3C1C6-6D49-4A4D-9F7C-DA7C30CF7076}"/>
    <cellStyle name="Percent 10 7 5 2" xfId="9558" xr:uid="{54F9CD24-56BB-4845-8FCD-009CF39EC47D}"/>
    <cellStyle name="Percent 10 7 5 3" xfId="9559" xr:uid="{A5B92894-E773-4693-AE06-6A36B3ABEB1E}"/>
    <cellStyle name="Percent 10 7 5 4" xfId="9560" xr:uid="{8DFE80EF-5FF7-4F97-AFE2-EC70C73186C2}"/>
    <cellStyle name="Percent 10 7 5 5" xfId="9561" xr:uid="{EB5711B8-8E0A-4037-9AAC-830FA9E5BA3C}"/>
    <cellStyle name="Percent 10 7 6" xfId="9562" xr:uid="{B517A31A-855D-4185-B5D1-1F9C358EB00C}"/>
    <cellStyle name="Percent 10 7 7" xfId="9563" xr:uid="{D4202BFB-7A9E-4C28-963B-15C5B1446709}"/>
    <cellStyle name="Percent 10 7 8" xfId="9564" xr:uid="{A97D827D-E64D-45D9-9D9F-3F211671EFD6}"/>
    <cellStyle name="Percent 10 7 9" xfId="9565" xr:uid="{A86ED062-8A60-4067-8989-437F813482B5}"/>
    <cellStyle name="Percent 10 8" xfId="9566" xr:uid="{003415D4-89A8-4895-AFA0-B3D2A78D6B5B}"/>
    <cellStyle name="Percent 10 8 2" xfId="9567" xr:uid="{C2F239A1-CC1E-45B1-A8B7-4923E7852FF1}"/>
    <cellStyle name="Percent 10 8 2 2" xfId="9568" xr:uid="{E5C019EA-BD6A-40AA-A165-022765F3547A}"/>
    <cellStyle name="Percent 10 8 2 3" xfId="9569" xr:uid="{602B0820-E8E3-48C0-8E0B-AFE9852E5F12}"/>
    <cellStyle name="Percent 10 8 2 4" xfId="9570" xr:uid="{CCA6966A-5AA0-4E18-A821-82D58D48B3FB}"/>
    <cellStyle name="Percent 10 8 2 5" xfId="9571" xr:uid="{ADCA9286-DE13-4260-AAAA-425DF99F954B}"/>
    <cellStyle name="Percent 10 8 3" xfId="9572" xr:uid="{48217EC0-CAC4-4D65-A3CF-8C7ADDFFE4F4}"/>
    <cellStyle name="Percent 10 8 3 2" xfId="9573" xr:uid="{D3778AC3-7AFF-4234-BD3D-179A6DB5A3F9}"/>
    <cellStyle name="Percent 10 8 3 3" xfId="9574" xr:uid="{737AEDCA-2A9C-45ED-BE21-1EE08044B99C}"/>
    <cellStyle name="Percent 10 8 3 4" xfId="9575" xr:uid="{4A77274F-68BC-4414-815D-075CB8202CA9}"/>
    <cellStyle name="Percent 10 8 3 5" xfId="9576" xr:uid="{ABF44257-D7C4-4A38-A8DC-01EEDE2223F5}"/>
    <cellStyle name="Percent 10 8 4" xfId="9577" xr:uid="{04280C09-631C-461E-905D-F7C222354667}"/>
    <cellStyle name="Percent 10 8 5" xfId="9578" xr:uid="{34602A25-C728-4EBB-9EA9-05B0CA8C4689}"/>
    <cellStyle name="Percent 10 8 6" xfId="9579" xr:uid="{F04F3ABA-5649-4BFF-A22F-FD3FFF366266}"/>
    <cellStyle name="Percent 10 8 7" xfId="9580" xr:uid="{420C7249-97B3-40B6-9CDE-DE835EF62FAC}"/>
    <cellStyle name="Percent 10 9" xfId="9581" xr:uid="{6F01DF60-5076-4F76-A257-80B4029AFC7C}"/>
    <cellStyle name="Percent 10 9 2" xfId="9582" xr:uid="{3B8EC443-150D-4168-9136-AB1954ECE55C}"/>
    <cellStyle name="Percent 10 9 3" xfId="9583" xr:uid="{1A89FA42-5C75-4A97-A58E-EB55D47B35B3}"/>
    <cellStyle name="Percent 10 9 4" xfId="9584" xr:uid="{201053CD-9D1E-42ED-8887-0898A479383E}"/>
    <cellStyle name="Percent 10 9 5" xfId="9585" xr:uid="{935B835B-FAE0-4F05-8FB1-8F9F33C6C60E}"/>
    <cellStyle name="Percent 11" xfId="9586" xr:uid="{34556D4E-33F2-4CFE-8707-60733CC6F323}"/>
    <cellStyle name="Percent 11 10" xfId="9587" xr:uid="{D975F84C-6458-4953-BAEC-64A3A1A41563}"/>
    <cellStyle name="Percent 11 10 2" xfId="9588" xr:uid="{993724A9-9A1C-4508-85AA-E0498C80EA03}"/>
    <cellStyle name="Percent 11 10 3" xfId="9589" xr:uid="{B0873395-3FC1-482B-8D1C-0349D77F0474}"/>
    <cellStyle name="Percent 11 10 4" xfId="9590" xr:uid="{3CA063DE-C50E-4651-93C4-663673E23B59}"/>
    <cellStyle name="Percent 11 10 5" xfId="9591" xr:uid="{DACE5A1C-5794-40D6-87D3-6976428E9551}"/>
    <cellStyle name="Percent 11 11" xfId="9592" xr:uid="{963FD742-4D8F-453C-A2BF-915EB6FEE334}"/>
    <cellStyle name="Percent 11 12" xfId="9593" xr:uid="{BAB6F80B-8C87-4A13-B329-69086F61D530}"/>
    <cellStyle name="Percent 11 13" xfId="9594" xr:uid="{BDA909A3-FBEA-415D-8C84-B8E59C475E4E}"/>
    <cellStyle name="Percent 11 14" xfId="9595" xr:uid="{AF2AE0A5-748F-4BB4-8FC5-EF4C1B751819}"/>
    <cellStyle name="Percent 11 2" xfId="9596" xr:uid="{069F3D33-3012-4760-B27D-E043D4CEADC8}"/>
    <cellStyle name="Percent 11 2 2" xfId="9597" xr:uid="{E7569729-8A53-462A-A433-0CE29E3265B8}"/>
    <cellStyle name="Percent 11 2 2 2" xfId="9598" xr:uid="{63E16A12-B82A-4230-96BA-849193600913}"/>
    <cellStyle name="Percent 11 2 2 3" xfId="9599" xr:uid="{98D205BB-365A-44C1-A363-52DA0A7E2131}"/>
    <cellStyle name="Percent 11 2 2 4" xfId="9600" xr:uid="{F230809E-911F-4508-A186-9DF44ADAE6B0}"/>
    <cellStyle name="Percent 11 2 2 5" xfId="9601" xr:uid="{4FA3D2D1-ED4E-411B-B145-B8DF98A0AE55}"/>
    <cellStyle name="Percent 11 2 3" xfId="9602" xr:uid="{DC89BA32-13D5-4B3F-9E05-678CC9B8D8A7}"/>
    <cellStyle name="Percent 11 2 3 2" xfId="9603" xr:uid="{3E6BC214-3FE7-47D1-BD20-0553A61DEE99}"/>
    <cellStyle name="Percent 11 2 3 3" xfId="9604" xr:uid="{902843FB-ACCF-412D-B7FB-957A362459DD}"/>
    <cellStyle name="Percent 11 2 3 4" xfId="9605" xr:uid="{F8488C50-DA16-46D2-83B6-F284FE944C52}"/>
    <cellStyle name="Percent 11 2 3 5" xfId="9606" xr:uid="{D56050A4-7C02-43C4-A2EB-7179A29109CF}"/>
    <cellStyle name="Percent 11 2 4" xfId="9607" xr:uid="{779F70D6-B25D-4822-A3F6-E9F859D9A75E}"/>
    <cellStyle name="Percent 11 2 5" xfId="9608" xr:uid="{E8C8A609-8815-4986-A8A1-291137588A4C}"/>
    <cellStyle name="Percent 11 2 6" xfId="9609" xr:uid="{A65D9D6F-9929-4660-9DDF-232F10E80251}"/>
    <cellStyle name="Percent 11 2 7" xfId="9610" xr:uid="{2189FC51-28FD-48F3-8D5B-8B462F173E79}"/>
    <cellStyle name="Percent 11 3" xfId="9611" xr:uid="{E2E5F248-2591-4738-8211-54EE8DAF1F55}"/>
    <cellStyle name="Percent 11 3 2" xfId="9612" xr:uid="{FEB1F3E4-CA61-4610-AAD8-C3EA5EEECE84}"/>
    <cellStyle name="Percent 11 3 2 2" xfId="9613" xr:uid="{F1D7EB64-F83C-4D12-8024-54FAAB09E84A}"/>
    <cellStyle name="Percent 11 3 2 3" xfId="9614" xr:uid="{438275C1-2319-4232-AF9E-DB0D9224623E}"/>
    <cellStyle name="Percent 11 3 2 4" xfId="9615" xr:uid="{FB605E7E-96F3-4BB8-97E5-F4D94B8F3E42}"/>
    <cellStyle name="Percent 11 3 2 5" xfId="9616" xr:uid="{E3827440-34EE-47D0-8279-7F7EC8706127}"/>
    <cellStyle name="Percent 11 3 3" xfId="9617" xr:uid="{66F11291-5769-4E4A-AAED-8B5A8A1C0393}"/>
    <cellStyle name="Percent 11 3 3 2" xfId="9618" xr:uid="{97484001-8187-4C58-9F4F-C59CA6338488}"/>
    <cellStyle name="Percent 11 3 3 3" xfId="9619" xr:uid="{D50F6268-F865-41BD-B724-D51DA5D62650}"/>
    <cellStyle name="Percent 11 3 3 4" xfId="9620" xr:uid="{4F7C4D49-CEF2-497B-BACE-05B4B58ABC00}"/>
    <cellStyle name="Percent 11 3 3 5" xfId="9621" xr:uid="{1B32CF1E-9E1B-4A79-98DA-583F9A50739E}"/>
    <cellStyle name="Percent 11 3 4" xfId="9622" xr:uid="{094843B6-1D06-41F3-AE28-8172B5A6510E}"/>
    <cellStyle name="Percent 11 3 5" xfId="9623" xr:uid="{AE5CDF7B-ECD3-4A9C-A39A-10B2938503B1}"/>
    <cellStyle name="Percent 11 3 6" xfId="9624" xr:uid="{67D7C3B1-51D8-46C0-8DEA-2ED7EF039776}"/>
    <cellStyle name="Percent 11 3 7" xfId="9625" xr:uid="{308C288F-D9C1-4421-99DF-A9FF5B1E2903}"/>
    <cellStyle name="Percent 11 4" xfId="9626" xr:uid="{633735AD-1B60-4981-BC15-CDB69B3FCEF9}"/>
    <cellStyle name="Percent 11 4 2" xfId="9627" xr:uid="{9FDBB801-5DF6-497C-BF33-624621B06FE5}"/>
    <cellStyle name="Percent 11 4 2 2" xfId="9628" xr:uid="{3458FBE3-349E-4BA8-A2C4-94BBAC03997B}"/>
    <cellStyle name="Percent 11 4 2 3" xfId="9629" xr:uid="{6810984D-287F-4431-A51E-FA72E8D8BD14}"/>
    <cellStyle name="Percent 11 4 2 4" xfId="9630" xr:uid="{794EEAC9-1473-49B4-9907-B5543D012A31}"/>
    <cellStyle name="Percent 11 4 2 5" xfId="9631" xr:uid="{C415FC8A-EDC1-49D9-A9F6-352CA2B5A098}"/>
    <cellStyle name="Percent 11 4 3" xfId="9632" xr:uid="{8EAB409E-70D0-45D6-B9CC-7AEC75D1F3CB}"/>
    <cellStyle name="Percent 11 4 3 2" xfId="9633" xr:uid="{2094CE80-9945-4517-821C-22154D248356}"/>
    <cellStyle name="Percent 11 4 3 3" xfId="9634" xr:uid="{C87D55A0-DD33-415C-8609-6E34020D2C50}"/>
    <cellStyle name="Percent 11 4 3 4" xfId="9635" xr:uid="{D703A785-A03B-4A78-B830-8EE2AC5A0700}"/>
    <cellStyle name="Percent 11 4 3 5" xfId="9636" xr:uid="{7329AAFE-27A4-497D-BAEB-E5A2B8DBF023}"/>
    <cellStyle name="Percent 11 4 4" xfId="9637" xr:uid="{ACC7E05C-4385-42B0-AD19-E8086754FC2F}"/>
    <cellStyle name="Percent 11 4 5" xfId="9638" xr:uid="{9D66010A-A8CE-40D7-9F74-1E2F17937E55}"/>
    <cellStyle name="Percent 11 4 6" xfId="9639" xr:uid="{D5CC0A72-4692-434B-91BC-F787395137F4}"/>
    <cellStyle name="Percent 11 4 7" xfId="9640" xr:uid="{3B6C58E9-1F23-447C-9096-8D7F143340A5}"/>
    <cellStyle name="Percent 11 5" xfId="9641" xr:uid="{4DC362E4-EA64-4D01-B128-F5825C541E3C}"/>
    <cellStyle name="Percent 11 5 2" xfId="9642" xr:uid="{A88CEED2-D581-4F04-8750-B56A6D552D6F}"/>
    <cellStyle name="Percent 11 5 2 2" xfId="9643" xr:uid="{5F346656-4E26-45DD-B9AC-0242EFA85993}"/>
    <cellStyle name="Percent 11 5 2 3" xfId="9644" xr:uid="{72A9811F-A077-4E92-9141-73564598EBEF}"/>
    <cellStyle name="Percent 11 5 2 4" xfId="9645" xr:uid="{1519ECBF-601D-4C92-8CD0-EE9A47A3F811}"/>
    <cellStyle name="Percent 11 5 2 5" xfId="9646" xr:uid="{86AD353E-DE74-464F-B9C3-DA0CC3263910}"/>
    <cellStyle name="Percent 11 5 3" xfId="9647" xr:uid="{32738E2F-ADD8-41BD-A739-5890056CC524}"/>
    <cellStyle name="Percent 11 5 3 2" xfId="9648" xr:uid="{C23F5FE4-CF8E-474C-BCB7-2AF58B5911CC}"/>
    <cellStyle name="Percent 11 5 3 3" xfId="9649" xr:uid="{3FC8BA30-9400-4858-AE36-0990412A60B7}"/>
    <cellStyle name="Percent 11 5 3 4" xfId="9650" xr:uid="{F096D23E-88E3-412B-AA26-55E4222E6FB3}"/>
    <cellStyle name="Percent 11 5 3 5" xfId="9651" xr:uid="{9818AE93-4BE4-4F6C-9698-6460AFDC2ECB}"/>
    <cellStyle name="Percent 11 5 4" xfId="9652" xr:uid="{C589DC31-4522-4E45-972B-827EBE56C384}"/>
    <cellStyle name="Percent 11 5 5" xfId="9653" xr:uid="{1A136587-F3C1-412A-AD74-59E39C48836D}"/>
    <cellStyle name="Percent 11 5 6" xfId="9654" xr:uid="{A50148D5-9E2D-454B-862C-6E7444C68448}"/>
    <cellStyle name="Percent 11 5 7" xfId="9655" xr:uid="{64C9DFE3-AFAF-42F0-A434-F40821F1EC3F}"/>
    <cellStyle name="Percent 11 6" xfId="9656" xr:uid="{7D6B4FFB-2542-452A-98C0-7C82BFCBA2AA}"/>
    <cellStyle name="Percent 11 6 2" xfId="9657" xr:uid="{B8EF0E21-27E7-4A40-BA9E-F6A30DEA7DE6}"/>
    <cellStyle name="Percent 11 6 2 2" xfId="9658" xr:uid="{FCC5992B-A1F8-407F-A017-F1C7C0BBD98E}"/>
    <cellStyle name="Percent 11 6 2 3" xfId="9659" xr:uid="{0A7D3B13-C463-464B-95A7-E9E013DD317E}"/>
    <cellStyle name="Percent 11 6 2 4" xfId="9660" xr:uid="{32246DB2-DF45-45EC-A938-1B15D515F59E}"/>
    <cellStyle name="Percent 11 6 2 5" xfId="9661" xr:uid="{924BE6E0-9535-47CC-A285-58A308968491}"/>
    <cellStyle name="Percent 11 6 3" xfId="9662" xr:uid="{9E7B8932-F741-45E8-BF86-6F117FFE3B25}"/>
    <cellStyle name="Percent 11 6 3 2" xfId="9663" xr:uid="{D17C3A61-E6B4-4C97-BF9D-E10199F123F5}"/>
    <cellStyle name="Percent 11 6 3 3" xfId="9664" xr:uid="{1BC90D30-1DEA-42D4-96CC-B8F4EB6864ED}"/>
    <cellStyle name="Percent 11 6 3 4" xfId="9665" xr:uid="{320F5D53-535D-4E8F-B886-A594ACD0A557}"/>
    <cellStyle name="Percent 11 6 3 5" xfId="9666" xr:uid="{E1E5CEE2-7D10-4934-A92B-56C79E08E2A0}"/>
    <cellStyle name="Percent 11 6 4" xfId="9667" xr:uid="{BE873F33-8686-42AF-B913-E9E200CF5C53}"/>
    <cellStyle name="Percent 11 6 5" xfId="9668" xr:uid="{08B9CAA2-70A7-46C1-BBB9-9ACEF9EE51A4}"/>
    <cellStyle name="Percent 11 6 6" xfId="9669" xr:uid="{203F028F-0D1D-4887-AF72-DBCABB8C78A2}"/>
    <cellStyle name="Percent 11 6 7" xfId="9670" xr:uid="{A55FC3CF-E743-4449-B641-272E0EEC4C9D}"/>
    <cellStyle name="Percent 11 7" xfId="9671" xr:uid="{CD54B179-7CE1-479A-8711-060B71111CBB}"/>
    <cellStyle name="Percent 11 7 2" xfId="9672" xr:uid="{3B5DDA23-C23D-4C22-91A2-3DBA673A4491}"/>
    <cellStyle name="Percent 11 7 2 2" xfId="9673" xr:uid="{88C5A342-AC9E-4911-AE68-6ECEA7B34CE1}"/>
    <cellStyle name="Percent 11 7 2 3" xfId="9674" xr:uid="{CC546D43-24F3-4077-BC4F-926CF07EE787}"/>
    <cellStyle name="Percent 11 7 2 4" xfId="9675" xr:uid="{4A771B00-74E1-497F-B219-9106CE7C4A26}"/>
    <cellStyle name="Percent 11 7 2 5" xfId="9676" xr:uid="{5C12D7EA-A143-4CDB-A95B-2C779320627F}"/>
    <cellStyle name="Percent 11 7 3" xfId="9677" xr:uid="{07B0764F-B616-40A9-8F64-CE2299749357}"/>
    <cellStyle name="Percent 11 7 3 2" xfId="9678" xr:uid="{49AADC03-9548-4F2C-8C0B-9226213EDAE2}"/>
    <cellStyle name="Percent 11 7 3 3" xfId="9679" xr:uid="{D17CEE7B-0429-4493-B4B8-1A6FA7D5A139}"/>
    <cellStyle name="Percent 11 7 3 4" xfId="9680" xr:uid="{6FEF675B-F51F-46A0-9FDB-641906D64282}"/>
    <cellStyle name="Percent 11 7 3 5" xfId="9681" xr:uid="{96CD9CB5-35DB-4AC4-BF49-87443714D7D9}"/>
    <cellStyle name="Percent 11 7 4" xfId="9682" xr:uid="{1C8C1EF7-C897-411E-BEFB-4CADAF43FA1E}"/>
    <cellStyle name="Percent 11 7 4 2" xfId="9683" xr:uid="{C84FA363-8A66-4AED-A1F4-ECF61372A5EC}"/>
    <cellStyle name="Percent 11 7 4 3" xfId="9684" xr:uid="{DD8EEAB0-0DFC-4519-A338-E80C52EFEE8E}"/>
    <cellStyle name="Percent 11 7 4 4" xfId="9685" xr:uid="{98B07604-DB3C-45EA-AA3C-4FE52DEBE138}"/>
    <cellStyle name="Percent 11 7 4 5" xfId="9686" xr:uid="{42E1D8BE-5D42-4317-AE25-6341DB6B8D60}"/>
    <cellStyle name="Percent 11 7 5" xfId="9687" xr:uid="{4E5C8D50-E50D-4171-99FE-EC1FD12DDBE6}"/>
    <cellStyle name="Percent 11 7 5 2" xfId="9688" xr:uid="{D1AE0ACE-D79C-421E-BD3C-AB3C2F8D0DBA}"/>
    <cellStyle name="Percent 11 7 5 3" xfId="9689" xr:uid="{771E60C6-A566-4672-86EE-6D76870B3447}"/>
    <cellStyle name="Percent 11 7 5 4" xfId="9690" xr:uid="{18A3DF0F-D576-4BB2-BDAC-EE1EE6871C86}"/>
    <cellStyle name="Percent 11 7 5 5" xfId="9691" xr:uid="{3A13626C-C8CF-4FDC-A212-8B9ADA14994B}"/>
    <cellStyle name="Percent 11 7 6" xfId="9692" xr:uid="{EE22AF73-67C2-4E03-9CDF-0FE650C29E51}"/>
    <cellStyle name="Percent 11 7 7" xfId="9693" xr:uid="{458BF709-9BF9-4DBB-AA54-5359FFA846D0}"/>
    <cellStyle name="Percent 11 7 8" xfId="9694" xr:uid="{6EB33F8E-B546-40FC-AA8C-6F558433A7F6}"/>
    <cellStyle name="Percent 11 7 9" xfId="9695" xr:uid="{46F7BDBD-6700-4ED4-BA5A-322B3E1286B4}"/>
    <cellStyle name="Percent 11 8" xfId="9696" xr:uid="{FC66F4E7-BF1C-406A-9D87-2DDBE2184F29}"/>
    <cellStyle name="Percent 11 8 2" xfId="9697" xr:uid="{B9025A93-7C99-44C7-AC0C-DF0E0620427E}"/>
    <cellStyle name="Percent 11 8 2 2" xfId="9698" xr:uid="{3182390D-50DA-4AF1-A77F-9648A0B819C7}"/>
    <cellStyle name="Percent 11 8 2 3" xfId="9699" xr:uid="{1FEA9931-048A-45E5-A129-9C168ED745DA}"/>
    <cellStyle name="Percent 11 8 2 4" xfId="9700" xr:uid="{1456890F-CC96-4150-9BC6-17C32CDDF343}"/>
    <cellStyle name="Percent 11 8 2 5" xfId="9701" xr:uid="{5FE65203-78FE-460A-91B1-FC1F2A0C9816}"/>
    <cellStyle name="Percent 11 8 3" xfId="9702" xr:uid="{461B7297-5E01-48FC-9ABC-4F4BCFEB15BA}"/>
    <cellStyle name="Percent 11 8 3 2" xfId="9703" xr:uid="{185430EE-FDC1-4553-B511-EA73151E47B5}"/>
    <cellStyle name="Percent 11 8 3 3" xfId="9704" xr:uid="{503FA936-27E0-4EB4-9503-4D92EC8B63F5}"/>
    <cellStyle name="Percent 11 8 3 4" xfId="9705" xr:uid="{FB1A9363-E939-43E8-9E73-F52504F68986}"/>
    <cellStyle name="Percent 11 8 3 5" xfId="9706" xr:uid="{4107FCDC-3A27-4D3E-891E-5C543056E8FF}"/>
    <cellStyle name="Percent 11 8 4" xfId="9707" xr:uid="{4206253A-1279-42B7-9E50-A67C03DF5175}"/>
    <cellStyle name="Percent 11 8 5" xfId="9708" xr:uid="{123205C2-4B1E-4473-9386-8727CC483694}"/>
    <cellStyle name="Percent 11 8 6" xfId="9709" xr:uid="{4835C3C3-57C5-4BA8-B86F-62B1741CC2EC}"/>
    <cellStyle name="Percent 11 8 7" xfId="9710" xr:uid="{D214AAC5-E6E7-491B-9AFB-545BB0B1A582}"/>
    <cellStyle name="Percent 11 9" xfId="9711" xr:uid="{70720B57-1D41-495C-90BC-C5ED380165CD}"/>
    <cellStyle name="Percent 11 9 2" xfId="9712" xr:uid="{C04CCCDB-B3A5-4DE3-B7BC-5EE3501479B4}"/>
    <cellStyle name="Percent 11 9 3" xfId="9713" xr:uid="{EB1CBD84-526E-45B3-86F7-83406286200E}"/>
    <cellStyle name="Percent 11 9 4" xfId="9714" xr:uid="{FCB99218-B94B-47DF-A115-BD724BE16231}"/>
    <cellStyle name="Percent 11 9 5" xfId="9715" xr:uid="{F7119A0B-CCC8-4CA6-B0F2-8911554030D2}"/>
    <cellStyle name="Percent 12" xfId="9716" xr:uid="{E29B93B1-F42B-4917-9BBD-9AEA392DFCC1}"/>
    <cellStyle name="Percent 12 10" xfId="9717" xr:uid="{CA1F826B-3726-40FA-966C-3DCE46AE8DF0}"/>
    <cellStyle name="Percent 12 10 2" xfId="9718" xr:uid="{4DFEF84E-3274-4F1B-AB1D-32C7A7D2B967}"/>
    <cellStyle name="Percent 12 10 3" xfId="9719" xr:uid="{8392EFFC-BB40-47EF-ACE9-84FAC9570949}"/>
    <cellStyle name="Percent 12 10 4" xfId="9720" xr:uid="{F47C3B98-852A-4258-804A-C0E421BAB008}"/>
    <cellStyle name="Percent 12 10 5" xfId="9721" xr:uid="{8385CAB6-CF0D-446A-8BF6-A7B055C57712}"/>
    <cellStyle name="Percent 12 11" xfId="9722" xr:uid="{5AFB4E91-C2B9-4792-839D-608B1B22EC4E}"/>
    <cellStyle name="Percent 12 12" xfId="9723" xr:uid="{02D5149F-C422-491C-9AC5-BE4F8274E148}"/>
    <cellStyle name="Percent 12 13" xfId="9724" xr:uid="{70FCD208-3611-4682-B365-823C88E1629C}"/>
    <cellStyle name="Percent 12 14" xfId="9725" xr:uid="{24272E13-9267-4B5F-ACF9-24A78DBB0B30}"/>
    <cellStyle name="Percent 12 2" xfId="9726" xr:uid="{8683FA15-6FAD-440B-BC3C-FDDEF046D5C4}"/>
    <cellStyle name="Percent 12 2 2" xfId="9727" xr:uid="{BE919A8A-D783-40F6-A613-CA9C587BDBA7}"/>
    <cellStyle name="Percent 12 2 2 2" xfId="9728" xr:uid="{BC1F81EB-7F73-4352-B70E-61205B66CB7A}"/>
    <cellStyle name="Percent 12 2 2 3" xfId="9729" xr:uid="{F4010A6E-6F34-4398-AA7F-C8BA3E6B021D}"/>
    <cellStyle name="Percent 12 2 2 4" xfId="9730" xr:uid="{B11CBF87-83C2-4591-9B7F-9581773D0715}"/>
    <cellStyle name="Percent 12 2 2 5" xfId="9731" xr:uid="{7A231252-7F50-4DBC-8164-991817CB4D01}"/>
    <cellStyle name="Percent 12 2 3" xfId="9732" xr:uid="{A0B8C96D-D656-4B85-B522-417FA37FD978}"/>
    <cellStyle name="Percent 12 2 3 2" xfId="9733" xr:uid="{8705DC74-0E75-4217-9535-463B47460C5B}"/>
    <cellStyle name="Percent 12 2 3 3" xfId="9734" xr:uid="{27427F36-A9B8-4916-96BE-987C645A1D64}"/>
    <cellStyle name="Percent 12 2 3 4" xfId="9735" xr:uid="{3933FE8B-E19A-4AFD-B762-A890812A850F}"/>
    <cellStyle name="Percent 12 2 3 5" xfId="9736" xr:uid="{50F551F4-CEE0-4DF9-AA45-4E73569CF5A4}"/>
    <cellStyle name="Percent 12 2 4" xfId="9737" xr:uid="{1F2CA246-3156-4922-BF6C-19E2FF521EC5}"/>
    <cellStyle name="Percent 12 2 5" xfId="9738" xr:uid="{2ABF61FC-48E9-4B35-9820-54B8F729F2E6}"/>
    <cellStyle name="Percent 12 2 6" xfId="9739" xr:uid="{6DDB5421-0595-4197-91B7-8AFC2D638065}"/>
    <cellStyle name="Percent 12 2 7" xfId="9740" xr:uid="{BED7D058-7DD3-4AED-ACDB-444A236074BC}"/>
    <cellStyle name="Percent 12 3" xfId="9741" xr:uid="{FA7167B4-A1E8-4445-9106-30FE4C77A9DD}"/>
    <cellStyle name="Percent 12 3 2" xfId="9742" xr:uid="{DAB65D62-2F3C-4BAE-A5E0-AD56520572DF}"/>
    <cellStyle name="Percent 12 3 2 2" xfId="9743" xr:uid="{694A7492-BE12-43A3-A97F-97D37EB2053B}"/>
    <cellStyle name="Percent 12 3 2 3" xfId="9744" xr:uid="{650D0147-9F9C-4F9A-8156-D26627A3B208}"/>
    <cellStyle name="Percent 12 3 2 4" xfId="9745" xr:uid="{64766224-7E3C-4A9E-A5E5-99EB76913D28}"/>
    <cellStyle name="Percent 12 3 2 5" xfId="9746" xr:uid="{C702E2F4-2B72-484F-AE2F-15053DFBC579}"/>
    <cellStyle name="Percent 12 3 3" xfId="9747" xr:uid="{660FF124-5AEC-4BD2-BEF4-C80B7C24A016}"/>
    <cellStyle name="Percent 12 3 3 2" xfId="9748" xr:uid="{63743635-1CFF-4C44-8884-8F8963FEFB00}"/>
    <cellStyle name="Percent 12 3 3 3" xfId="9749" xr:uid="{5B4CDF63-59F9-4000-A95B-6D2A41D2FDC1}"/>
    <cellStyle name="Percent 12 3 3 4" xfId="9750" xr:uid="{E7DBEA60-A901-4573-A687-44A20152C650}"/>
    <cellStyle name="Percent 12 3 3 5" xfId="9751" xr:uid="{AD7C1816-9C2F-4518-B7AD-1547A8DF454A}"/>
    <cellStyle name="Percent 12 3 4" xfId="9752" xr:uid="{A001374F-187C-4767-BB0B-FC766527168D}"/>
    <cellStyle name="Percent 12 3 5" xfId="9753" xr:uid="{23C54736-EF98-4066-8002-18859BF99527}"/>
    <cellStyle name="Percent 12 3 6" xfId="9754" xr:uid="{A4AB0392-1A85-4B95-87D7-2CD4439AA682}"/>
    <cellStyle name="Percent 12 3 7" xfId="9755" xr:uid="{9EB501A8-FF5C-487D-9B6F-4722FAADDA62}"/>
    <cellStyle name="Percent 12 4" xfId="9756" xr:uid="{6C74451D-72C9-407F-B6AA-24986D44B1B8}"/>
    <cellStyle name="Percent 12 4 2" xfId="9757" xr:uid="{6EEF4AE2-655C-4EC5-9A94-85A15824727C}"/>
    <cellStyle name="Percent 12 4 2 2" xfId="9758" xr:uid="{859EE7B4-ADA8-4E0F-A239-EA3439E124DE}"/>
    <cellStyle name="Percent 12 4 2 3" xfId="9759" xr:uid="{B83655EE-4C95-47F8-B6A2-D175AA968841}"/>
    <cellStyle name="Percent 12 4 2 4" xfId="9760" xr:uid="{BE5C5937-1F06-4838-84DB-1D05E358B96D}"/>
    <cellStyle name="Percent 12 4 2 5" xfId="9761" xr:uid="{4B2E9B4B-A456-4909-856F-62296773ED7D}"/>
    <cellStyle name="Percent 12 4 3" xfId="9762" xr:uid="{C9614AC1-9324-4496-BFE7-9D24E95EA218}"/>
    <cellStyle name="Percent 12 4 3 2" xfId="9763" xr:uid="{C1A1E380-5C2D-4DAE-92B6-F51BB7168209}"/>
    <cellStyle name="Percent 12 4 3 3" xfId="9764" xr:uid="{D10C6EFF-666E-4B7F-AEBC-326A2E3B8DD7}"/>
    <cellStyle name="Percent 12 4 3 4" xfId="9765" xr:uid="{0B5E28F2-3ED2-4EF4-9052-3E2903980280}"/>
    <cellStyle name="Percent 12 4 3 5" xfId="9766" xr:uid="{FE39306D-D4BF-4237-B4A6-57C768EDAA9C}"/>
    <cellStyle name="Percent 12 4 4" xfId="9767" xr:uid="{16F58726-1C07-4D8E-8AAB-50CC9C896C3F}"/>
    <cellStyle name="Percent 12 4 5" xfId="9768" xr:uid="{88945B9D-7E29-427D-8F76-35F51DB588B0}"/>
    <cellStyle name="Percent 12 4 6" xfId="9769" xr:uid="{30D307AE-28A6-449E-B808-FB08593542C0}"/>
    <cellStyle name="Percent 12 4 7" xfId="9770" xr:uid="{6570D4C9-9529-4EF6-A967-BEC3800A9227}"/>
    <cellStyle name="Percent 12 5" xfId="9771" xr:uid="{767B0728-1F75-4475-B714-FC2D5DB42DBB}"/>
    <cellStyle name="Percent 12 5 2" xfId="9772" xr:uid="{A8D7D891-B5C0-4BB2-A936-00BE2570AC66}"/>
    <cellStyle name="Percent 12 5 2 2" xfId="9773" xr:uid="{376DD0C7-BB36-48D3-AF5F-EE2BE836045F}"/>
    <cellStyle name="Percent 12 5 2 3" xfId="9774" xr:uid="{D2CFF6A6-E84B-4E8A-B620-B124F52351F7}"/>
    <cellStyle name="Percent 12 5 2 4" xfId="9775" xr:uid="{0845DCBE-E94B-4201-A74D-F1494A42FE78}"/>
    <cellStyle name="Percent 12 5 2 5" xfId="9776" xr:uid="{5932E426-F4C4-4D05-BFA8-A7D6C0363410}"/>
    <cellStyle name="Percent 12 5 3" xfId="9777" xr:uid="{934234B0-2967-4226-9C3E-DE7EC54354CA}"/>
    <cellStyle name="Percent 12 5 3 2" xfId="9778" xr:uid="{0FE3810F-5880-4E59-BFB9-27A82BC73484}"/>
    <cellStyle name="Percent 12 5 3 3" xfId="9779" xr:uid="{050E2346-AC7D-4D84-95D7-F496F73D04BC}"/>
    <cellStyle name="Percent 12 5 3 4" xfId="9780" xr:uid="{BD68AA98-6F69-4DDC-8099-6BFE0A367D93}"/>
    <cellStyle name="Percent 12 5 3 5" xfId="9781" xr:uid="{9CC4E463-C4B5-4484-B6BD-BA3A1372DE07}"/>
    <cellStyle name="Percent 12 5 4" xfId="9782" xr:uid="{ADE6808B-81A4-4CDD-A26A-6A96BF7441C1}"/>
    <cellStyle name="Percent 12 5 5" xfId="9783" xr:uid="{E9F580C9-042E-4158-AF7C-653ED65B8F6F}"/>
    <cellStyle name="Percent 12 5 6" xfId="9784" xr:uid="{239F86EC-C9B9-44DA-9C62-628F704F3482}"/>
    <cellStyle name="Percent 12 5 7" xfId="9785" xr:uid="{3BB9B622-12B7-491E-8962-6D7508DF38E8}"/>
    <cellStyle name="Percent 12 6" xfId="9786" xr:uid="{3ACB8280-906A-4DB1-B231-59F26607B949}"/>
    <cellStyle name="Percent 12 6 2" xfId="9787" xr:uid="{771188D5-042F-4685-BE36-4B9311F77B54}"/>
    <cellStyle name="Percent 12 6 2 2" xfId="9788" xr:uid="{48347C47-E336-4946-937E-D82501141B00}"/>
    <cellStyle name="Percent 12 6 2 3" xfId="9789" xr:uid="{55A6E275-DE11-46B3-B66A-1E3FF5BB2A40}"/>
    <cellStyle name="Percent 12 6 2 4" xfId="9790" xr:uid="{402019FF-6E2B-413B-B05D-C573B65A6434}"/>
    <cellStyle name="Percent 12 6 2 5" xfId="9791" xr:uid="{DD7B7A03-9ADE-4F6E-9AC0-6E3F98D85542}"/>
    <cellStyle name="Percent 12 6 3" xfId="9792" xr:uid="{0D41EFC2-8BA5-456C-9A1B-07728750085D}"/>
    <cellStyle name="Percent 12 6 3 2" xfId="9793" xr:uid="{76484E7C-1390-4FDE-B0E1-0987ED33F57D}"/>
    <cellStyle name="Percent 12 6 3 3" xfId="9794" xr:uid="{9D7B4D35-E7EB-4763-9148-334B30F0C28C}"/>
    <cellStyle name="Percent 12 6 3 4" xfId="9795" xr:uid="{A94F74F1-21AD-4875-8B37-77414F33E273}"/>
    <cellStyle name="Percent 12 6 3 5" xfId="9796" xr:uid="{80ECD2F2-55C2-4E89-8214-BB379BF705F0}"/>
    <cellStyle name="Percent 12 6 4" xfId="9797" xr:uid="{011C41FB-D134-436F-9D0F-AA1D1797AC08}"/>
    <cellStyle name="Percent 12 6 5" xfId="9798" xr:uid="{A9C9C150-18E9-4FF4-8AE7-A80ACC8AB242}"/>
    <cellStyle name="Percent 12 6 6" xfId="9799" xr:uid="{C543DA69-79D0-4853-94CB-DE972BFE7EA6}"/>
    <cellStyle name="Percent 12 6 7" xfId="9800" xr:uid="{B6915799-0218-4D66-A399-13B431F45096}"/>
    <cellStyle name="Percent 12 7" xfId="9801" xr:uid="{6C1D9186-87B5-4C49-86FE-5C01FC856462}"/>
    <cellStyle name="Percent 12 7 2" xfId="9802" xr:uid="{75C2E737-1CF8-4C7F-A3A4-437587C6ACA3}"/>
    <cellStyle name="Percent 12 7 2 2" xfId="9803" xr:uid="{CC483072-0813-4E0F-B92F-5E960851A1B0}"/>
    <cellStyle name="Percent 12 7 2 3" xfId="9804" xr:uid="{BE1F9520-1CD8-433D-A4EA-AC04042F438C}"/>
    <cellStyle name="Percent 12 7 2 4" xfId="9805" xr:uid="{E93A91FA-C60E-4964-8FE3-621D32107075}"/>
    <cellStyle name="Percent 12 7 2 5" xfId="9806" xr:uid="{3435B715-30F0-4E13-9BAD-BF9A929DF7D8}"/>
    <cellStyle name="Percent 12 7 3" xfId="9807" xr:uid="{15255FE5-AE44-4298-9E55-42D63D14E677}"/>
    <cellStyle name="Percent 12 7 3 2" xfId="9808" xr:uid="{8BF788FF-5092-4D8D-8CAF-BDE1A6A09FEC}"/>
    <cellStyle name="Percent 12 7 3 3" xfId="9809" xr:uid="{EE89E65B-7080-460F-8DD3-7D42236AF697}"/>
    <cellStyle name="Percent 12 7 3 4" xfId="9810" xr:uid="{AB121655-BB28-4D0C-8C09-6136A1F34828}"/>
    <cellStyle name="Percent 12 7 3 5" xfId="9811" xr:uid="{67D18E70-9669-4CB2-81C5-92584351DCAE}"/>
    <cellStyle name="Percent 12 7 4" xfId="9812" xr:uid="{A0AE1EA1-75DC-4733-AB05-F43246B53FD4}"/>
    <cellStyle name="Percent 12 7 4 2" xfId="9813" xr:uid="{41473F9F-660C-4CB4-83AB-3220813EF4E2}"/>
    <cellStyle name="Percent 12 7 4 3" xfId="9814" xr:uid="{E42BF77D-1621-4D5C-B359-C6667235D99C}"/>
    <cellStyle name="Percent 12 7 4 4" xfId="9815" xr:uid="{8D7BBD6E-3378-4167-9634-32FC9D858A59}"/>
    <cellStyle name="Percent 12 7 4 5" xfId="9816" xr:uid="{8E40E057-947E-414E-8318-725367D97E0D}"/>
    <cellStyle name="Percent 12 7 5" xfId="9817" xr:uid="{22B8ECAE-3A8A-4385-871E-B910E4F3E42C}"/>
    <cellStyle name="Percent 12 7 5 2" xfId="9818" xr:uid="{59051349-E5B8-4E6A-BA9E-E498F7AF4363}"/>
    <cellStyle name="Percent 12 7 5 3" xfId="9819" xr:uid="{BB86C804-4531-4856-9BEB-A788AD70F0FE}"/>
    <cellStyle name="Percent 12 7 5 4" xfId="9820" xr:uid="{9424BDF3-D700-4EBE-A5E4-578C701D06BA}"/>
    <cellStyle name="Percent 12 7 5 5" xfId="9821" xr:uid="{9ADCBEC3-BB8C-4EEC-A8CC-7FBAF85BF3A3}"/>
    <cellStyle name="Percent 12 7 6" xfId="9822" xr:uid="{E66F1AAD-581B-4D4E-B766-815ED435A0D5}"/>
    <cellStyle name="Percent 12 7 7" xfId="9823" xr:uid="{6267E8E3-285A-4F89-B099-11741A5269F7}"/>
    <cellStyle name="Percent 12 7 8" xfId="9824" xr:uid="{9E2921B5-EF78-48A3-9532-30ED75956582}"/>
    <cellStyle name="Percent 12 7 9" xfId="9825" xr:uid="{924FE6BE-B886-4BEF-B60F-DCC36C4A7B48}"/>
    <cellStyle name="Percent 12 8" xfId="9826" xr:uid="{E3D87EB6-0A7B-4A95-BFCD-59CFCD07E71D}"/>
    <cellStyle name="Percent 12 8 2" xfId="9827" xr:uid="{EDB3EC24-44CA-4B10-933D-261663AAD5EE}"/>
    <cellStyle name="Percent 12 8 2 2" xfId="9828" xr:uid="{DD34E75B-1F24-449C-800C-44FC7FAAC986}"/>
    <cellStyle name="Percent 12 8 2 3" xfId="9829" xr:uid="{43BA111C-F9F6-4349-8911-B89E1E880A1C}"/>
    <cellStyle name="Percent 12 8 2 4" xfId="9830" xr:uid="{FE1E0823-EE9E-4918-A0B1-1CEF4033B32C}"/>
    <cellStyle name="Percent 12 8 2 5" xfId="9831" xr:uid="{1824C467-9729-465B-A2E7-BD357FC7EAD7}"/>
    <cellStyle name="Percent 12 8 3" xfId="9832" xr:uid="{15E70326-3789-43DD-A5E5-2E4AD2B8DABA}"/>
    <cellStyle name="Percent 12 8 3 2" xfId="9833" xr:uid="{DD0600F5-2DC4-4378-A65F-0B774FC34B0D}"/>
    <cellStyle name="Percent 12 8 3 3" xfId="9834" xr:uid="{771781C0-5CEA-4D86-9262-65C7289A0218}"/>
    <cellStyle name="Percent 12 8 3 4" xfId="9835" xr:uid="{508D1BB1-88C2-4AB3-BFD9-BA27C2D1A464}"/>
    <cellStyle name="Percent 12 8 3 5" xfId="9836" xr:uid="{E1730086-BA24-454F-AE61-1D6F4BAA4131}"/>
    <cellStyle name="Percent 12 8 4" xfId="9837" xr:uid="{9AFCABAC-C770-4406-8D86-30FE6BB3A0A7}"/>
    <cellStyle name="Percent 12 8 5" xfId="9838" xr:uid="{14CF0D11-ADD6-4182-A644-B31EBBAB5F89}"/>
    <cellStyle name="Percent 12 8 6" xfId="9839" xr:uid="{70C2B73A-88EC-4924-9BBF-2179DEE5C925}"/>
    <cellStyle name="Percent 12 8 7" xfId="9840" xr:uid="{5F9F1DB3-040B-4B84-82DB-EB4ADE774B0A}"/>
    <cellStyle name="Percent 12 9" xfId="9841" xr:uid="{05B046E4-0209-4B16-BD33-6A68CA3593D3}"/>
    <cellStyle name="Percent 12 9 2" xfId="9842" xr:uid="{2992CD46-686F-4EF0-80EB-3DFE6317B6FE}"/>
    <cellStyle name="Percent 12 9 3" xfId="9843" xr:uid="{7405EBE0-2F2D-404C-9C47-938CDC1F6BD2}"/>
    <cellStyle name="Percent 12 9 4" xfId="9844" xr:uid="{97D0CC84-6079-438F-9E25-26DBC52BE473}"/>
    <cellStyle name="Percent 12 9 5" xfId="9845" xr:uid="{337189C6-1972-4D0C-AFE3-7B3531C8950F}"/>
    <cellStyle name="Percent 13" xfId="9846" xr:uid="{135A4958-8DEF-4406-8D35-CE84730C82AE}"/>
    <cellStyle name="Percent 13 10" xfId="9847" xr:uid="{C6C4E265-9710-4C56-853B-6D92AF34BD19}"/>
    <cellStyle name="Percent 13 10 2" xfId="9848" xr:uid="{DC1A6B40-BE18-498F-9768-6F2B1435961D}"/>
    <cellStyle name="Percent 13 10 3" xfId="9849" xr:uid="{FA088F12-1783-4204-B291-40397D335468}"/>
    <cellStyle name="Percent 13 10 4" xfId="9850" xr:uid="{F484D9E5-42BD-4FF9-A54A-CDC641828B7D}"/>
    <cellStyle name="Percent 13 10 5" xfId="9851" xr:uid="{6F5606FA-49E8-4F9A-A6D3-D0F365154D4E}"/>
    <cellStyle name="Percent 13 11" xfId="9852" xr:uid="{52C0E6E8-3251-4FAC-B380-A4FC018247F1}"/>
    <cellStyle name="Percent 13 12" xfId="9853" xr:uid="{6B69D73F-CAD5-43B9-8BFF-E955522AE67C}"/>
    <cellStyle name="Percent 13 13" xfId="9854" xr:uid="{87E15576-ABBD-48EB-B54A-F9F6D56403B5}"/>
    <cellStyle name="Percent 13 14" xfId="9855" xr:uid="{97CDB791-8FF0-4232-B808-1FE1B3612ADF}"/>
    <cellStyle name="Percent 13 2" xfId="9856" xr:uid="{BC555783-E20F-4420-B280-06C7B6E024C1}"/>
    <cellStyle name="Percent 13 2 2" xfId="9857" xr:uid="{58F342D4-79E5-4B40-8433-D3131EC8F943}"/>
    <cellStyle name="Percent 13 2 2 2" xfId="9858" xr:uid="{AD8198C3-F805-4734-9618-32B7A0AB31DE}"/>
    <cellStyle name="Percent 13 2 2 3" xfId="9859" xr:uid="{59A7AA14-F876-44D2-B7B3-6F394BA98583}"/>
    <cellStyle name="Percent 13 2 2 4" xfId="9860" xr:uid="{A04239C9-1919-485D-A140-F652B2BFDED2}"/>
    <cellStyle name="Percent 13 2 2 5" xfId="9861" xr:uid="{B912D61A-200F-4322-8BB8-A48B78504D5B}"/>
    <cellStyle name="Percent 13 2 3" xfId="9862" xr:uid="{1A4CBF05-2203-4A91-8635-7F1D36FE917B}"/>
    <cellStyle name="Percent 13 2 3 2" xfId="9863" xr:uid="{9D0C9C46-2336-4228-92A3-F3996B85E66E}"/>
    <cellStyle name="Percent 13 2 3 3" xfId="9864" xr:uid="{6CBE9293-D7F0-414A-A5A6-CEBF187C268A}"/>
    <cellStyle name="Percent 13 2 3 4" xfId="9865" xr:uid="{B67838F4-F438-4AC8-9FE6-7AA90CB59963}"/>
    <cellStyle name="Percent 13 2 3 5" xfId="9866" xr:uid="{4064FF45-9DC9-428A-BE23-8031C9CA0571}"/>
    <cellStyle name="Percent 13 2 4" xfId="9867" xr:uid="{C10FD13E-5BCC-429B-B3D2-7E5B0CD1AAA8}"/>
    <cellStyle name="Percent 13 2 5" xfId="9868" xr:uid="{58A96AAD-75F0-4873-9894-600431EC5D7C}"/>
    <cellStyle name="Percent 13 2 6" xfId="9869" xr:uid="{6A547066-2EDC-48C7-A891-AF3ADC9E0F5F}"/>
    <cellStyle name="Percent 13 2 7" xfId="9870" xr:uid="{683624E6-D5E3-4171-AA11-F1A877DF1138}"/>
    <cellStyle name="Percent 13 3" xfId="9871" xr:uid="{EEB77F3B-9E2D-4C1A-8162-8A448EEEEFA6}"/>
    <cellStyle name="Percent 13 3 2" xfId="9872" xr:uid="{7B950444-36BD-4F54-986B-21EE59A02A48}"/>
    <cellStyle name="Percent 13 3 2 2" xfId="9873" xr:uid="{4949C8A7-CC1B-4893-A8B7-F25EE8B77DA2}"/>
    <cellStyle name="Percent 13 3 2 3" xfId="9874" xr:uid="{BE61D0B5-1CAB-44C8-865B-C2552E4145FD}"/>
    <cellStyle name="Percent 13 3 2 4" xfId="9875" xr:uid="{7D6B0852-B2F6-4F14-8D5D-074A164A7220}"/>
    <cellStyle name="Percent 13 3 2 5" xfId="9876" xr:uid="{C0C03CBC-8E1D-43B2-91FE-3890DA1E6AC6}"/>
    <cellStyle name="Percent 13 3 3" xfId="9877" xr:uid="{75B5C2FF-C9BA-4DDC-9ED1-02C34C2FD06C}"/>
    <cellStyle name="Percent 13 3 3 2" xfId="9878" xr:uid="{E29B7E30-06F6-45B7-B667-A952A7972DC0}"/>
    <cellStyle name="Percent 13 3 3 3" xfId="9879" xr:uid="{B481A674-296C-4F0C-9432-32E5FE8BFD02}"/>
    <cellStyle name="Percent 13 3 3 4" xfId="9880" xr:uid="{BA5F75AF-DC2B-4391-9691-26AB92949315}"/>
    <cellStyle name="Percent 13 3 3 5" xfId="9881" xr:uid="{7C8E0E39-08F8-4C75-9CF8-E3F5C28D9C81}"/>
    <cellStyle name="Percent 13 3 4" xfId="9882" xr:uid="{9DA02B5E-C46E-4493-8F9B-2F040C70BED8}"/>
    <cellStyle name="Percent 13 3 5" xfId="9883" xr:uid="{22A57021-39A0-43F5-8714-B8410C3D7C98}"/>
    <cellStyle name="Percent 13 3 6" xfId="9884" xr:uid="{DE39CC38-B939-4424-B1B5-5A0E770BF35A}"/>
    <cellStyle name="Percent 13 3 7" xfId="9885" xr:uid="{00DBBDA8-1A1E-4C94-8884-384521D52E4E}"/>
    <cellStyle name="Percent 13 4" xfId="9886" xr:uid="{4CF91BB7-34AC-4DA6-A84C-03E83F89974B}"/>
    <cellStyle name="Percent 13 4 2" xfId="9887" xr:uid="{7CD6FCB5-0715-47B2-B6A4-2673ECC2DD5C}"/>
    <cellStyle name="Percent 13 4 2 2" xfId="9888" xr:uid="{082B5BE3-3757-4D5A-B91D-19580F841795}"/>
    <cellStyle name="Percent 13 4 2 3" xfId="9889" xr:uid="{390DFC74-D520-41B4-AC98-D37AFCF6BA17}"/>
    <cellStyle name="Percent 13 4 2 4" xfId="9890" xr:uid="{768EF960-66B1-4236-BE5D-C2DB0CC24164}"/>
    <cellStyle name="Percent 13 4 2 5" xfId="9891" xr:uid="{BFA9EA7B-DEB3-44C8-8949-0D4E3E02A701}"/>
    <cellStyle name="Percent 13 4 3" xfId="9892" xr:uid="{D6E26165-1661-4C82-8492-3453B65AFDA5}"/>
    <cellStyle name="Percent 13 4 3 2" xfId="9893" xr:uid="{C5C35532-B64E-4B92-B674-A79B2F1A2036}"/>
    <cellStyle name="Percent 13 4 3 3" xfId="9894" xr:uid="{5582C677-5D21-4909-9609-EE6D83CE2E44}"/>
    <cellStyle name="Percent 13 4 3 4" xfId="9895" xr:uid="{FF9F063C-ED55-4735-817D-E147C479083D}"/>
    <cellStyle name="Percent 13 4 3 5" xfId="9896" xr:uid="{E257B319-53BD-4F2C-8DAC-D749BEACE63B}"/>
    <cellStyle name="Percent 13 4 4" xfId="9897" xr:uid="{A4167AFA-E55D-4655-8998-6F61E992E169}"/>
    <cellStyle name="Percent 13 4 5" xfId="9898" xr:uid="{C119A39F-09C9-475B-A61B-2E1C763A1EC1}"/>
    <cellStyle name="Percent 13 4 6" xfId="9899" xr:uid="{A76A510F-3419-4703-BA94-69BC5258C9C0}"/>
    <cellStyle name="Percent 13 4 7" xfId="9900" xr:uid="{821DF796-AB3D-4C59-9001-326C197C2461}"/>
    <cellStyle name="Percent 13 5" xfId="9901" xr:uid="{F86FC1CD-3D99-4AA1-A5ED-3E4FF47E139B}"/>
    <cellStyle name="Percent 13 5 2" xfId="9902" xr:uid="{85ACD672-E17F-4CD6-A774-FC3AFB05C90A}"/>
    <cellStyle name="Percent 13 5 2 2" xfId="9903" xr:uid="{15C8E642-9AE6-4F40-A6DD-E90AD404A8A8}"/>
    <cellStyle name="Percent 13 5 2 3" xfId="9904" xr:uid="{F19AFAC2-37ED-460E-92A8-ECE970091DB9}"/>
    <cellStyle name="Percent 13 5 2 4" xfId="9905" xr:uid="{0D2F3497-ED57-4759-9557-163EB9DB4A71}"/>
    <cellStyle name="Percent 13 5 2 5" xfId="9906" xr:uid="{03F14930-DB4B-453E-9A5F-792DA0DA0CD0}"/>
    <cellStyle name="Percent 13 5 3" xfId="9907" xr:uid="{1305D5DE-605A-4DF8-AC84-8FAC38BC9638}"/>
    <cellStyle name="Percent 13 5 3 2" xfId="9908" xr:uid="{F32D5CDC-ECDD-4901-A712-FD0054DC5318}"/>
    <cellStyle name="Percent 13 5 3 3" xfId="9909" xr:uid="{FCB5BB36-74D6-4DE7-A303-6B77E2F350FF}"/>
    <cellStyle name="Percent 13 5 3 4" xfId="9910" xr:uid="{486CA239-6E22-4010-95F6-C679E3C0632F}"/>
    <cellStyle name="Percent 13 5 3 5" xfId="9911" xr:uid="{00F30FEB-C254-47AE-A035-9F3A0B62585F}"/>
    <cellStyle name="Percent 13 5 4" xfId="9912" xr:uid="{F9E606BA-7FFB-4068-8035-3ED0D28AA987}"/>
    <cellStyle name="Percent 13 5 5" xfId="9913" xr:uid="{1E0D9C02-9628-45BD-B19A-EEE3C1FFCFC3}"/>
    <cellStyle name="Percent 13 5 6" xfId="9914" xr:uid="{7923C2EC-9C56-489C-AA34-B5ED82189708}"/>
    <cellStyle name="Percent 13 5 7" xfId="9915" xr:uid="{72825D86-7B1B-4BC4-844A-C01764A23E32}"/>
    <cellStyle name="Percent 13 6" xfId="9916" xr:uid="{90B1C91D-B838-4D1A-868F-F944A003D750}"/>
    <cellStyle name="Percent 13 6 2" xfId="9917" xr:uid="{5128619C-224E-4BB6-8333-0270F86344B1}"/>
    <cellStyle name="Percent 13 6 2 2" xfId="9918" xr:uid="{5F0C7B28-8A2A-4803-88DC-2A9BA3DC2B1B}"/>
    <cellStyle name="Percent 13 6 2 3" xfId="9919" xr:uid="{EC201DD3-F547-4D77-96DB-59FC4BC9D333}"/>
    <cellStyle name="Percent 13 6 2 4" xfId="9920" xr:uid="{57D1A0C9-C2CC-4D19-A488-28ECE26CF4F2}"/>
    <cellStyle name="Percent 13 6 2 5" xfId="9921" xr:uid="{4F0BD68F-EE3C-4037-95B8-53A2F9FEE7F4}"/>
    <cellStyle name="Percent 13 6 3" xfId="9922" xr:uid="{90C86DDB-A76B-47C5-B44C-2D818F7ACBC3}"/>
    <cellStyle name="Percent 13 6 3 2" xfId="9923" xr:uid="{EB0C6667-2C79-4E6E-B347-2D4C88CD3E69}"/>
    <cellStyle name="Percent 13 6 3 3" xfId="9924" xr:uid="{451F319F-FB2D-445E-B8DC-B139E4EF0B81}"/>
    <cellStyle name="Percent 13 6 3 4" xfId="9925" xr:uid="{2C94517E-E935-46EB-8803-64FB7412C6B5}"/>
    <cellStyle name="Percent 13 6 3 5" xfId="9926" xr:uid="{5BDBD37B-4547-4D35-BBCF-BF897404FA73}"/>
    <cellStyle name="Percent 13 6 4" xfId="9927" xr:uid="{F8230E18-298B-4D50-8558-CED64FDE3A22}"/>
    <cellStyle name="Percent 13 6 5" xfId="9928" xr:uid="{A62204B1-2C0F-462F-AD66-A046D1F0049E}"/>
    <cellStyle name="Percent 13 6 6" xfId="9929" xr:uid="{CA75B637-14E9-4415-BA7F-946816ECACCB}"/>
    <cellStyle name="Percent 13 6 7" xfId="9930" xr:uid="{52CE06DB-1EC0-45FC-B450-E9D1E0449F94}"/>
    <cellStyle name="Percent 13 7" xfId="9931" xr:uid="{0D01658A-B7AF-4942-91ED-700906244917}"/>
    <cellStyle name="Percent 13 7 2" xfId="9932" xr:uid="{8D893D6A-CB1D-4037-B56A-B3C67813FC84}"/>
    <cellStyle name="Percent 13 7 2 2" xfId="9933" xr:uid="{13C95932-66D6-4E13-9032-F4FF3082ABB1}"/>
    <cellStyle name="Percent 13 7 2 3" xfId="9934" xr:uid="{92643F4B-5F3E-4CC3-A008-7246A9F289AA}"/>
    <cellStyle name="Percent 13 7 2 4" xfId="9935" xr:uid="{97D1E355-C9C2-4FCD-B1D9-707E91432E46}"/>
    <cellStyle name="Percent 13 7 2 5" xfId="9936" xr:uid="{32C45A22-C9BF-4573-AFA3-0BBF2A070CAC}"/>
    <cellStyle name="Percent 13 7 3" xfId="9937" xr:uid="{1018367C-1CDF-4078-BA0C-8BCA0A40C898}"/>
    <cellStyle name="Percent 13 7 3 2" xfId="9938" xr:uid="{CA775AB8-3C5A-444C-BF60-A3BB1B0E8BD7}"/>
    <cellStyle name="Percent 13 7 3 3" xfId="9939" xr:uid="{0CF49340-1049-4D9A-ACDF-128FD5AEA9DE}"/>
    <cellStyle name="Percent 13 7 3 4" xfId="9940" xr:uid="{00A8070A-3D19-4E69-8231-4F40D37C8E75}"/>
    <cellStyle name="Percent 13 7 3 5" xfId="9941" xr:uid="{0BAA39AE-CB46-4EC4-B10B-803D15C3F43C}"/>
    <cellStyle name="Percent 13 7 4" xfId="9942" xr:uid="{914523B8-4315-477F-9C03-0672879576E0}"/>
    <cellStyle name="Percent 13 7 4 2" xfId="9943" xr:uid="{79EC2D2C-8AA1-40B6-9585-62A6B34C15C1}"/>
    <cellStyle name="Percent 13 7 4 3" xfId="9944" xr:uid="{190670A3-2112-47E2-9A39-10A0C702DA43}"/>
    <cellStyle name="Percent 13 7 4 4" xfId="9945" xr:uid="{8C6040C2-E110-47E0-8522-E7EF52F146A5}"/>
    <cellStyle name="Percent 13 7 4 5" xfId="9946" xr:uid="{CEE2E3C0-B0AC-40B2-B6F1-0A1878573161}"/>
    <cellStyle name="Percent 13 7 5" xfId="9947" xr:uid="{FAE94B9E-5257-43B8-A8B6-7EFB647D5CDD}"/>
    <cellStyle name="Percent 13 7 5 2" xfId="9948" xr:uid="{2E95F0A0-4250-4B1D-983E-8DD58EDE52AD}"/>
    <cellStyle name="Percent 13 7 5 3" xfId="9949" xr:uid="{04A12B6D-0CDE-435A-BE78-191E6881DE52}"/>
    <cellStyle name="Percent 13 7 5 4" xfId="9950" xr:uid="{E368BF24-9A15-4DBB-8A07-72D818284E98}"/>
    <cellStyle name="Percent 13 7 5 5" xfId="9951" xr:uid="{E4505182-27B6-44DC-A36B-8BC6F7C82F2E}"/>
    <cellStyle name="Percent 13 7 6" xfId="9952" xr:uid="{5C58851F-C962-4FB1-8C31-A4CBD47E4866}"/>
    <cellStyle name="Percent 13 7 7" xfId="9953" xr:uid="{2E9684C2-37C6-446C-B5A3-495489DBE198}"/>
    <cellStyle name="Percent 13 7 8" xfId="9954" xr:uid="{F38D7343-C57C-4486-8D89-5D0B640FE0FA}"/>
    <cellStyle name="Percent 13 7 9" xfId="9955" xr:uid="{0497AE97-CFB6-49DA-BFDB-11CED7D9B8D8}"/>
    <cellStyle name="Percent 13 8" xfId="9956" xr:uid="{A8060DEA-2714-4D88-8531-A80827F4D4A2}"/>
    <cellStyle name="Percent 13 8 2" xfId="9957" xr:uid="{5755DFCE-3F72-4453-83A4-408583C6C771}"/>
    <cellStyle name="Percent 13 8 2 2" xfId="9958" xr:uid="{85F44631-0C80-4B5F-AF90-B574CEAD9DCD}"/>
    <cellStyle name="Percent 13 8 2 3" xfId="9959" xr:uid="{F85D9517-CBD2-4867-A6BD-92BD419EDFE1}"/>
    <cellStyle name="Percent 13 8 2 4" xfId="9960" xr:uid="{59F6D469-1CED-4CAB-B21B-E5F3BA48D197}"/>
    <cellStyle name="Percent 13 8 2 5" xfId="9961" xr:uid="{D8F61C0C-D0F5-497B-B9B9-C5A9F8ED3B30}"/>
    <cellStyle name="Percent 13 8 3" xfId="9962" xr:uid="{D9104F3A-634E-433F-A5BC-F6C3A7DF33AA}"/>
    <cellStyle name="Percent 13 8 3 2" xfId="9963" xr:uid="{9F194947-B0FB-48BB-BCA6-8EEEB084CEDD}"/>
    <cellStyle name="Percent 13 8 3 3" xfId="9964" xr:uid="{EFF5989F-1BEF-46BD-AC7D-B06AA1C6AF75}"/>
    <cellStyle name="Percent 13 8 3 4" xfId="9965" xr:uid="{1DF41C31-6E31-4006-8F07-DFBC91A79E44}"/>
    <cellStyle name="Percent 13 8 3 5" xfId="9966" xr:uid="{988A7CEB-267F-4423-9921-F8F7DA763E9B}"/>
    <cellStyle name="Percent 13 8 4" xfId="9967" xr:uid="{F6D83A6A-C9A5-4FCD-9F63-7727399E4BD2}"/>
    <cellStyle name="Percent 13 8 5" xfId="9968" xr:uid="{34680F0E-B021-4078-93E8-16537980C2D9}"/>
    <cellStyle name="Percent 13 8 6" xfId="9969" xr:uid="{9DA779C5-AC1D-4336-A31B-0D4D0DD9324A}"/>
    <cellStyle name="Percent 13 8 7" xfId="9970" xr:uid="{410E4F79-31CA-4AF7-962D-AA5AE1187FB5}"/>
    <cellStyle name="Percent 13 9" xfId="9971" xr:uid="{075B40DD-9449-47DA-A99E-DDDA4748ABD5}"/>
    <cellStyle name="Percent 13 9 2" xfId="9972" xr:uid="{4E3C547D-C4D6-4BBE-94A2-747834C4B65D}"/>
    <cellStyle name="Percent 13 9 3" xfId="9973" xr:uid="{81BF645A-79B8-4348-A0CA-93B3BDD6056C}"/>
    <cellStyle name="Percent 13 9 4" xfId="9974" xr:uid="{0EB4D69F-06FB-4988-B1F7-772BD2160DDD}"/>
    <cellStyle name="Percent 13 9 5" xfId="9975" xr:uid="{C6534B2B-8E04-45BD-8E18-5134FE16F01E}"/>
    <cellStyle name="Percent 14" xfId="9976" xr:uid="{A864C441-312B-49E9-AEF2-698978FA331B}"/>
    <cellStyle name="Percent 14 10" xfId="9977" xr:uid="{63E467C6-1712-48CE-A76B-FA1365297382}"/>
    <cellStyle name="Percent 14 10 2" xfId="9978" xr:uid="{A0FF559D-4801-4009-A657-849BB96A6133}"/>
    <cellStyle name="Percent 14 10 3" xfId="9979" xr:uid="{5AC5C0D3-497E-4FF8-8CFC-69FA63DA2F12}"/>
    <cellStyle name="Percent 14 10 4" xfId="9980" xr:uid="{182DF20D-47A5-4322-8715-5B300A72D0F7}"/>
    <cellStyle name="Percent 14 10 5" xfId="9981" xr:uid="{69EC0D30-3570-40A3-AD13-00285D6AB39A}"/>
    <cellStyle name="Percent 14 11" xfId="9982" xr:uid="{D71641F2-0278-4BE9-9E92-404C0F5E620D}"/>
    <cellStyle name="Percent 14 12" xfId="9983" xr:uid="{203331ED-1FF3-45EA-9E34-1FB0B6258C76}"/>
    <cellStyle name="Percent 14 13" xfId="9984" xr:uid="{21C5CA25-6E97-4EA7-AFC9-48BF0D59DC58}"/>
    <cellStyle name="Percent 14 14" xfId="9985" xr:uid="{E4FA7DEB-7301-4E9A-9459-4287C013CEC7}"/>
    <cellStyle name="Percent 14 2" xfId="9986" xr:uid="{65E2C6F6-CCAB-421E-8B9D-E95EF16C686E}"/>
    <cellStyle name="Percent 14 2 2" xfId="9987" xr:uid="{842DA1E6-6644-4E1F-9C06-7AAB0543EB72}"/>
    <cellStyle name="Percent 14 2 2 2" xfId="9988" xr:uid="{321C473B-FBB1-4F5F-A605-D4B1B581C736}"/>
    <cellStyle name="Percent 14 2 2 3" xfId="9989" xr:uid="{CD0CF67A-1174-475E-BCFF-151EDC703BFE}"/>
    <cellStyle name="Percent 14 2 2 4" xfId="9990" xr:uid="{A49B58B8-096B-4D66-995A-A9F6AEA6F6A5}"/>
    <cellStyle name="Percent 14 2 2 5" xfId="9991" xr:uid="{E604FDFD-A6EE-4E20-BA71-829295EDADD7}"/>
    <cellStyle name="Percent 14 2 3" xfId="9992" xr:uid="{4048E8AF-9215-4A6F-8F6C-A368E33983B3}"/>
    <cellStyle name="Percent 14 2 3 2" xfId="9993" xr:uid="{02C912CE-3FD7-4024-B6FB-EA0A926B3E58}"/>
    <cellStyle name="Percent 14 2 3 3" xfId="9994" xr:uid="{90CC6ADB-0905-41D3-930B-6C499DE06ABF}"/>
    <cellStyle name="Percent 14 2 3 4" xfId="9995" xr:uid="{1C3E4F32-39AD-4C1A-AEE3-EB2F840DE046}"/>
    <cellStyle name="Percent 14 2 3 5" xfId="9996" xr:uid="{F9B5213B-85AF-45F5-9932-3188ED11AF09}"/>
    <cellStyle name="Percent 14 2 4" xfId="9997" xr:uid="{E3AD8294-CAEB-4087-9C96-01A40E0DBFED}"/>
    <cellStyle name="Percent 14 2 5" xfId="9998" xr:uid="{D81F7543-C4B3-421D-B7FE-6A9C52F6DF3F}"/>
    <cellStyle name="Percent 14 2 6" xfId="9999" xr:uid="{4B909C41-0B68-48AF-B8EC-1715E0A45C00}"/>
    <cellStyle name="Percent 14 2 7" xfId="10000" xr:uid="{B4843A9E-B854-4507-88B1-A6804DFF4067}"/>
    <cellStyle name="Percent 14 3" xfId="10001" xr:uid="{CEB8496C-6277-400C-8827-91410EDA306F}"/>
    <cellStyle name="Percent 14 3 2" xfId="10002" xr:uid="{E21C6D0A-1FD1-4B91-A07F-2D23D273333E}"/>
    <cellStyle name="Percent 14 3 2 2" xfId="10003" xr:uid="{9E3C3254-8F05-45C3-8B19-4D5DB7D0F242}"/>
    <cellStyle name="Percent 14 3 2 3" xfId="10004" xr:uid="{FD133744-DD6E-4EB1-A1EF-214B418E6721}"/>
    <cellStyle name="Percent 14 3 2 4" xfId="10005" xr:uid="{23642CD9-2DEA-444C-AA77-DE824F16A034}"/>
    <cellStyle name="Percent 14 3 2 5" xfId="10006" xr:uid="{C835448F-63B8-46AF-8E90-3C358F34F8B8}"/>
    <cellStyle name="Percent 14 3 3" xfId="10007" xr:uid="{EDCD566F-A45A-423A-B621-B31C78B3ED48}"/>
    <cellStyle name="Percent 14 3 3 2" xfId="10008" xr:uid="{8D3E7F9F-C60E-42DC-BC48-9E1218884537}"/>
    <cellStyle name="Percent 14 3 3 3" xfId="10009" xr:uid="{F1EEC387-3C37-48C1-9A6E-1E972EB84837}"/>
    <cellStyle name="Percent 14 3 3 4" xfId="10010" xr:uid="{017A28D3-68D8-4E9A-A169-8AB35CC37611}"/>
    <cellStyle name="Percent 14 3 3 5" xfId="10011" xr:uid="{03AA5486-5C2E-4D49-ABC8-FE194C308868}"/>
    <cellStyle name="Percent 14 3 4" xfId="10012" xr:uid="{CE94AE0F-3B49-401A-9AA2-DD474AED5FA9}"/>
    <cellStyle name="Percent 14 3 5" xfId="10013" xr:uid="{B81960D5-A8F8-462B-9F0E-78DF87B2C446}"/>
    <cellStyle name="Percent 14 3 6" xfId="10014" xr:uid="{9E5E11E2-2BFE-4AE3-B097-CEFFED9472AF}"/>
    <cellStyle name="Percent 14 3 7" xfId="10015" xr:uid="{0B0B2804-CBE5-4A01-B7A5-E7305BCB09B8}"/>
    <cellStyle name="Percent 14 4" xfId="10016" xr:uid="{FFAE4AAE-25C9-4DBA-849F-4D53CD3A6DBF}"/>
    <cellStyle name="Percent 14 4 2" xfId="10017" xr:uid="{DE5755CA-4A61-4311-9DD3-5E3F85FBF24A}"/>
    <cellStyle name="Percent 14 4 2 2" xfId="10018" xr:uid="{9D06E108-F506-4EB1-B449-6C6367069B2A}"/>
    <cellStyle name="Percent 14 4 2 3" xfId="10019" xr:uid="{1BB87BAA-A5DB-4EF9-AA54-6B53FE043170}"/>
    <cellStyle name="Percent 14 4 2 4" xfId="10020" xr:uid="{D59C1DED-D8F1-4A90-9C27-43D460AB295B}"/>
    <cellStyle name="Percent 14 4 2 5" xfId="10021" xr:uid="{11C1C219-1213-417B-A086-DB4FEC1A118D}"/>
    <cellStyle name="Percent 14 4 3" xfId="10022" xr:uid="{FA009DDE-F822-42DF-B0E9-ACE8F67D4165}"/>
    <cellStyle name="Percent 14 4 3 2" xfId="10023" xr:uid="{EAE52C98-7D36-4CA3-BAB1-84940D592FED}"/>
    <cellStyle name="Percent 14 4 3 3" xfId="10024" xr:uid="{D3ACEE79-4F52-4671-8462-C992A1B2DC58}"/>
    <cellStyle name="Percent 14 4 3 4" xfId="10025" xr:uid="{E727DF97-2CB0-416D-A1CF-22F36463A6CD}"/>
    <cellStyle name="Percent 14 4 3 5" xfId="10026" xr:uid="{BC5D7047-CD09-439E-8D46-994B127D9C80}"/>
    <cellStyle name="Percent 14 4 4" xfId="10027" xr:uid="{3171C78E-432E-40A9-B81D-1E204768ECE2}"/>
    <cellStyle name="Percent 14 4 5" xfId="10028" xr:uid="{F7F0FCF9-17D4-4E80-A3A5-75F372D2E9CB}"/>
    <cellStyle name="Percent 14 4 6" xfId="10029" xr:uid="{6ACC8B74-06D6-4EDE-B887-99FCFEAEB435}"/>
    <cellStyle name="Percent 14 4 7" xfId="10030" xr:uid="{2FF240E3-6D4B-49E6-85B4-DFC2A256C393}"/>
    <cellStyle name="Percent 14 5" xfId="10031" xr:uid="{22DE08FB-BA7A-4C7A-8334-4D84B697EB8E}"/>
    <cellStyle name="Percent 14 5 2" xfId="10032" xr:uid="{FEC1112F-ADBF-4322-8BBB-8CC784FA4F30}"/>
    <cellStyle name="Percent 14 5 2 2" xfId="10033" xr:uid="{1B757829-3606-410F-9C61-1F322DA7CB65}"/>
    <cellStyle name="Percent 14 5 2 3" xfId="10034" xr:uid="{51A62011-8C6C-40A2-9251-699FF3C3F913}"/>
    <cellStyle name="Percent 14 5 2 4" xfId="10035" xr:uid="{D939F042-D4D4-4872-9174-D6E1F39F3AB1}"/>
    <cellStyle name="Percent 14 5 2 5" xfId="10036" xr:uid="{42E82982-15A7-416D-B3BB-59465C6CC42A}"/>
    <cellStyle name="Percent 14 5 3" xfId="10037" xr:uid="{9B7BE792-288E-4E05-A544-BBE10F80E5AC}"/>
    <cellStyle name="Percent 14 5 3 2" xfId="10038" xr:uid="{70F69F3D-B4B3-4880-BEF9-89D585C8D01A}"/>
    <cellStyle name="Percent 14 5 3 3" xfId="10039" xr:uid="{879C53DA-F43B-44D1-8F4D-FBB9E8EEEB32}"/>
    <cellStyle name="Percent 14 5 3 4" xfId="10040" xr:uid="{450D339C-A4B8-4B65-974A-EA4965B5627A}"/>
    <cellStyle name="Percent 14 5 3 5" xfId="10041" xr:uid="{B85E21F5-AFCF-4B0C-BDE2-3CEDE50C3518}"/>
    <cellStyle name="Percent 14 5 4" xfId="10042" xr:uid="{199ED7CE-3A5C-4C4D-96FE-1F57E222FEFA}"/>
    <cellStyle name="Percent 14 5 5" xfId="10043" xr:uid="{FEF2FDFB-67C4-4A3F-99A7-AD0F7949C5E5}"/>
    <cellStyle name="Percent 14 5 6" xfId="10044" xr:uid="{1C0422AE-6BD4-48E6-97E8-A82631650EBB}"/>
    <cellStyle name="Percent 14 5 7" xfId="10045" xr:uid="{8DFDAC38-83E1-45AB-9FE3-8439FAFF568A}"/>
    <cellStyle name="Percent 14 6" xfId="10046" xr:uid="{976153BE-7164-4E84-931F-B8B136FF6AB6}"/>
    <cellStyle name="Percent 14 6 2" xfId="10047" xr:uid="{18FE6958-02F1-469F-B004-9447154C07AC}"/>
    <cellStyle name="Percent 14 6 2 2" xfId="10048" xr:uid="{41BFC000-24CE-40FA-BCFE-1FDD4C40C540}"/>
    <cellStyle name="Percent 14 6 2 3" xfId="10049" xr:uid="{8CA278C6-5EEB-444C-9FDA-06B75E61D0D8}"/>
    <cellStyle name="Percent 14 6 2 4" xfId="10050" xr:uid="{8123A6FF-064B-4638-9427-29CDDCF78641}"/>
    <cellStyle name="Percent 14 6 2 5" xfId="10051" xr:uid="{4445D855-216F-4896-92FB-194C31CA7074}"/>
    <cellStyle name="Percent 14 6 3" xfId="10052" xr:uid="{BC709A83-8AD2-44EB-A408-3FED6EC4B017}"/>
    <cellStyle name="Percent 14 6 3 2" xfId="10053" xr:uid="{39EDB79F-4F93-4AA2-A12D-26715CA6B847}"/>
    <cellStyle name="Percent 14 6 3 3" xfId="10054" xr:uid="{AF2596C4-62C8-4555-AF81-8F73499AA3B7}"/>
    <cellStyle name="Percent 14 6 3 4" xfId="10055" xr:uid="{EF5ABE1A-F162-44E6-84E8-89D0C7653F61}"/>
    <cellStyle name="Percent 14 6 3 5" xfId="10056" xr:uid="{6802C77E-1C11-4559-A9AD-F402617DB2C7}"/>
    <cellStyle name="Percent 14 6 4" xfId="10057" xr:uid="{EE74AA95-B806-4B57-A8EF-74F4EF79313A}"/>
    <cellStyle name="Percent 14 6 5" xfId="10058" xr:uid="{9DB69D4C-2207-4BFD-9E1D-AB8B2114F85D}"/>
    <cellStyle name="Percent 14 6 6" xfId="10059" xr:uid="{98A68736-7E55-4B24-A79C-BE6ECA3D8C76}"/>
    <cellStyle name="Percent 14 6 7" xfId="10060" xr:uid="{FAFD145A-C1C3-41B1-BDEB-9C99A891D096}"/>
    <cellStyle name="Percent 14 7" xfId="10061" xr:uid="{89FDDCA1-E34D-433F-8D27-C2DE3EC4FF38}"/>
    <cellStyle name="Percent 14 7 2" xfId="10062" xr:uid="{8CE21A93-F444-4C3D-97B4-4DA2C7B63C50}"/>
    <cellStyle name="Percent 14 7 2 2" xfId="10063" xr:uid="{F0C20AB2-BA9C-4B1F-B427-470E14DDAA2D}"/>
    <cellStyle name="Percent 14 7 2 3" xfId="10064" xr:uid="{77DF5BCF-AD36-47AC-99AC-33F047EAAF2D}"/>
    <cellStyle name="Percent 14 7 2 4" xfId="10065" xr:uid="{F8EFB292-C326-4ECF-8FB6-85216C8A89A6}"/>
    <cellStyle name="Percent 14 7 2 5" xfId="10066" xr:uid="{D1307B96-60AA-43A7-8A32-55374CC86866}"/>
    <cellStyle name="Percent 14 7 3" xfId="10067" xr:uid="{466A58BC-56B4-4486-8A78-16912B8C9B6F}"/>
    <cellStyle name="Percent 14 7 3 2" xfId="10068" xr:uid="{54C3A34C-8DCD-41F5-A07A-EC3FE4A0C92C}"/>
    <cellStyle name="Percent 14 7 3 3" xfId="10069" xr:uid="{9BDCE4DA-F477-453B-B1C0-D11DFFD2075B}"/>
    <cellStyle name="Percent 14 7 3 4" xfId="10070" xr:uid="{69292709-B793-4F2F-BB19-609057161F80}"/>
    <cellStyle name="Percent 14 7 3 5" xfId="10071" xr:uid="{4688B8DB-9761-4A95-81EE-B036AD5135B8}"/>
    <cellStyle name="Percent 14 7 4" xfId="10072" xr:uid="{70B646CD-2922-48A7-A5DA-806015F57F65}"/>
    <cellStyle name="Percent 14 7 4 2" xfId="10073" xr:uid="{EF31E8B4-FFF5-434A-8118-A493895C257B}"/>
    <cellStyle name="Percent 14 7 4 3" xfId="10074" xr:uid="{E238B0E8-E7F2-4C5B-BF4B-7C56FE813DC4}"/>
    <cellStyle name="Percent 14 7 4 4" xfId="10075" xr:uid="{400B6E22-F066-4749-82C0-3894A6BF79D3}"/>
    <cellStyle name="Percent 14 7 4 5" xfId="10076" xr:uid="{5A727850-5C00-4648-AA89-D7EE14126841}"/>
    <cellStyle name="Percent 14 7 5" xfId="10077" xr:uid="{B1689688-C4D4-4705-8FA6-8B996157DF2C}"/>
    <cellStyle name="Percent 14 7 5 2" xfId="10078" xr:uid="{324F375B-381C-4E4A-B95D-7D5FE3EA6DA6}"/>
    <cellStyle name="Percent 14 7 5 3" xfId="10079" xr:uid="{E992AA1C-C2AC-44D9-BF55-CDA7DC1386C5}"/>
    <cellStyle name="Percent 14 7 5 4" xfId="10080" xr:uid="{702C7B31-6433-4521-945E-E0D046AC4D09}"/>
    <cellStyle name="Percent 14 7 5 5" xfId="10081" xr:uid="{DD0F413E-604F-4EF5-B362-3A0E86C7CF1C}"/>
    <cellStyle name="Percent 14 7 6" xfId="10082" xr:uid="{DB17F7F7-FC35-476D-ABAE-DD9217B886E5}"/>
    <cellStyle name="Percent 14 7 7" xfId="10083" xr:uid="{6CE25382-B3D1-4DD3-A3A6-B58ABFB545E6}"/>
    <cellStyle name="Percent 14 7 8" xfId="10084" xr:uid="{E2FFFA63-597B-4425-800D-5AE565AEADAA}"/>
    <cellStyle name="Percent 14 7 9" xfId="10085" xr:uid="{15B7148D-BFE7-41FC-8B21-225350B9F77C}"/>
    <cellStyle name="Percent 14 8" xfId="10086" xr:uid="{6B530CF5-5047-46BE-8EB4-4604E53496E5}"/>
    <cellStyle name="Percent 14 8 2" xfId="10087" xr:uid="{F3C16D69-19E7-4105-9B6E-9093DE563F7D}"/>
    <cellStyle name="Percent 14 8 2 2" xfId="10088" xr:uid="{95522425-4356-41BE-ADA9-178BF1B33E2F}"/>
    <cellStyle name="Percent 14 8 2 3" xfId="10089" xr:uid="{FB31335C-5451-4C7C-848D-7A12C3A6A65D}"/>
    <cellStyle name="Percent 14 8 2 4" xfId="10090" xr:uid="{983E413F-67B3-4EC3-9981-FBC13C032C34}"/>
    <cellStyle name="Percent 14 8 2 5" xfId="10091" xr:uid="{78178326-2A28-4010-BE59-ABC2D6B5797D}"/>
    <cellStyle name="Percent 14 8 3" xfId="10092" xr:uid="{29F94500-9977-4EC9-AEFD-CC73EFF1BC09}"/>
    <cellStyle name="Percent 14 8 3 2" xfId="10093" xr:uid="{61DE584C-FE5B-4D8B-A6BF-C8915F2E7271}"/>
    <cellStyle name="Percent 14 8 3 3" xfId="10094" xr:uid="{8EF2F250-CDF9-452E-8684-3A1C2AD366B3}"/>
    <cellStyle name="Percent 14 8 3 4" xfId="10095" xr:uid="{6E0184AF-318A-462A-835B-9D1B2BD181AA}"/>
    <cellStyle name="Percent 14 8 3 5" xfId="10096" xr:uid="{D03EDF22-04E3-45C8-BE10-8989D8441C5E}"/>
    <cellStyle name="Percent 14 8 4" xfId="10097" xr:uid="{151E51EF-5F44-45B2-9B22-8423D26BD31C}"/>
    <cellStyle name="Percent 14 8 5" xfId="10098" xr:uid="{C1BA15C2-7A41-47E3-8AB2-54A5465604E3}"/>
    <cellStyle name="Percent 14 8 6" xfId="10099" xr:uid="{E2E1F95B-2202-430B-99BC-759356B5D58B}"/>
    <cellStyle name="Percent 14 8 7" xfId="10100" xr:uid="{671BD2C9-3260-4AE6-9E1C-62604EC1CB99}"/>
    <cellStyle name="Percent 14 9" xfId="10101" xr:uid="{C4657E02-7D80-4DFC-8C91-0B830D3BD642}"/>
    <cellStyle name="Percent 14 9 2" xfId="10102" xr:uid="{2277E3E8-FC2E-4CA2-B856-9B36733E0720}"/>
    <cellStyle name="Percent 14 9 3" xfId="10103" xr:uid="{42DAD002-14B8-40FC-966F-59BA0261C891}"/>
    <cellStyle name="Percent 14 9 4" xfId="10104" xr:uid="{7B9BA8BE-FA40-44BE-A106-A35BA6429585}"/>
    <cellStyle name="Percent 14 9 5" xfId="10105" xr:uid="{A1AB633F-FFEE-48A8-B662-96D610846D2F}"/>
    <cellStyle name="Percent 15" xfId="10106" xr:uid="{7A92228D-7B8C-4992-8FF9-D7E9AA7B5EB3}"/>
    <cellStyle name="Percent 15 10" xfId="10107" xr:uid="{4D2D6D9B-B2D2-4531-AFC5-5343D13269AA}"/>
    <cellStyle name="Percent 15 10 2" xfId="10108" xr:uid="{DFA0DF0C-6B0F-4444-8C02-7C5E7DBC35D7}"/>
    <cellStyle name="Percent 15 10 3" xfId="10109" xr:uid="{76F90C6E-385E-43F4-8E17-BDF8C666032E}"/>
    <cellStyle name="Percent 15 10 4" xfId="10110" xr:uid="{3D25AF02-232A-4F4E-8801-A254290730D1}"/>
    <cellStyle name="Percent 15 10 5" xfId="10111" xr:uid="{137ED4F0-0B53-4A60-913B-6E3554BF36CD}"/>
    <cellStyle name="Percent 15 11" xfId="10112" xr:uid="{36E1E36C-E92C-437A-8018-FBCB36A1F95A}"/>
    <cellStyle name="Percent 15 11 2" xfId="10113" xr:uid="{AD41D9A2-6FC4-4628-A07C-EC51B05503A5}"/>
    <cellStyle name="Percent 15 11 3" xfId="10114" xr:uid="{7661D61D-7076-4D89-8E7D-1C0390E4D212}"/>
    <cellStyle name="Percent 15 11 4" xfId="10115" xr:uid="{227AF020-FBFC-43E9-8B67-9E7C05A78976}"/>
    <cellStyle name="Percent 15 11 5" xfId="10116" xr:uid="{89064183-BB19-43A3-B793-1F3F216D9C54}"/>
    <cellStyle name="Percent 15 12" xfId="10117" xr:uid="{2CA79E84-F45D-4DA6-993A-BFDC94659D7C}"/>
    <cellStyle name="Percent 15 12 2" xfId="10118" xr:uid="{504ED65A-3DDC-4698-88B6-A717992CD288}"/>
    <cellStyle name="Percent 15 12 3" xfId="10119" xr:uid="{9CCFEA46-0264-4A9B-9542-47ACDD94EFF6}"/>
    <cellStyle name="Percent 15 12 4" xfId="10120" xr:uid="{7AEA5051-DC52-4867-BE5E-D488753193EA}"/>
    <cellStyle name="Percent 15 12 5" xfId="10121" xr:uid="{24219792-25B0-427C-B41B-9624B854B86F}"/>
    <cellStyle name="Percent 15 13" xfId="10122" xr:uid="{5781369E-8659-4F34-87BA-4721A994A804}"/>
    <cellStyle name="Percent 15 13 2" xfId="10123" xr:uid="{5E278D4F-58EC-4BEF-A16E-83A3E7F7A99A}"/>
    <cellStyle name="Percent 15 13 3" xfId="10124" xr:uid="{DADB48DB-6691-491E-BE13-3DF7828A36C5}"/>
    <cellStyle name="Percent 15 13 4" xfId="10125" xr:uid="{6A4628E2-29FE-46C6-968A-5EA8646400E8}"/>
    <cellStyle name="Percent 15 13 5" xfId="10126" xr:uid="{B3CCEB9D-3119-449B-9362-76A747C20F47}"/>
    <cellStyle name="Percent 15 14" xfId="10127" xr:uid="{4F818961-A2BA-4F90-B0DA-750DA52176CF}"/>
    <cellStyle name="Percent 15 14 2" xfId="10128" xr:uid="{7C7A0325-3667-4A58-9286-3DDAFE552519}"/>
    <cellStyle name="Percent 15 14 3" xfId="10129" xr:uid="{54C59A1D-708F-432A-ACA2-E26D016C8734}"/>
    <cellStyle name="Percent 15 14 4" xfId="10130" xr:uid="{06980955-187C-4D9D-85D6-5C00711F812D}"/>
    <cellStyle name="Percent 15 14 5" xfId="10131" xr:uid="{2D5691EE-E235-47B2-8A7D-CA58F4C24BFE}"/>
    <cellStyle name="Percent 15 15" xfId="10132" xr:uid="{0C8551FC-E7B1-4620-B202-F497E50BF75A}"/>
    <cellStyle name="Percent 15 15 2" xfId="10133" xr:uid="{66786797-1CDE-4FB6-A392-078156902BB9}"/>
    <cellStyle name="Percent 15 15 3" xfId="10134" xr:uid="{A679E468-37F2-4287-88B8-07DD6A15A5E9}"/>
    <cellStyle name="Percent 15 15 4" xfId="10135" xr:uid="{86ACDB18-86CC-46BB-886F-EA1A25FFC082}"/>
    <cellStyle name="Percent 15 15 5" xfId="10136" xr:uid="{7A40DA67-2921-4D61-898C-EBFFD86B61E2}"/>
    <cellStyle name="Percent 15 16" xfId="10137" xr:uid="{CF8E75EA-2C95-4ED0-B0A7-18A790DD828A}"/>
    <cellStyle name="Percent 15 17" xfId="10138" xr:uid="{8D9D51D2-7664-4C52-BE6A-A83BB2E345CE}"/>
    <cellStyle name="Percent 15 18" xfId="10139" xr:uid="{6B3A5466-E1AD-4F11-92F5-99832BCD628E}"/>
    <cellStyle name="Percent 15 19" xfId="10140" xr:uid="{BF10D5FF-EB30-4C7C-9344-4AA771B231A3}"/>
    <cellStyle name="Percent 15 2" xfId="10141" xr:uid="{87631D10-E4FC-4B04-B0DF-D1A3A0082905}"/>
    <cellStyle name="Percent 15 2 10" xfId="10142" xr:uid="{5A0A7CA5-34AC-4CE6-B322-B4503FA76A0F}"/>
    <cellStyle name="Percent 15 2 11" xfId="10143" xr:uid="{D18797B3-83D5-4D35-BDC0-15D27DBFE0CF}"/>
    <cellStyle name="Percent 15 2 12" xfId="10144" xr:uid="{79B19950-1427-4D62-9BB9-CB83F7C587E4}"/>
    <cellStyle name="Percent 15 2 2" xfId="10145" xr:uid="{B290A297-C8A4-4697-8DCE-6B2B08913B07}"/>
    <cellStyle name="Percent 15 2 2 2" xfId="10146" xr:uid="{9F5EA2F4-ABC6-44DF-9F6C-9F00E74E6FCA}"/>
    <cellStyle name="Percent 15 2 2 3" xfId="10147" xr:uid="{08EA16F1-D07C-4FDA-BB15-15ED81B06747}"/>
    <cellStyle name="Percent 15 2 2 4" xfId="10148" xr:uid="{BB45802E-1AE9-4F80-9753-06A854C2FC68}"/>
    <cellStyle name="Percent 15 2 2 5" xfId="10149" xr:uid="{BF03E534-EA0F-4193-BC85-4332DC2BE19B}"/>
    <cellStyle name="Percent 15 2 2 6" xfId="10150" xr:uid="{F352F8B8-1B09-4392-A72F-50E526BF5A3F}"/>
    <cellStyle name="Percent 15 2 3" xfId="10151" xr:uid="{9240D645-FD0E-464B-8FE5-FFDDEED07C0D}"/>
    <cellStyle name="Percent 15 2 3 2" xfId="10152" xr:uid="{6F0A7879-BCF9-46B0-B313-EEE59EC10AA9}"/>
    <cellStyle name="Percent 15 2 3 3" xfId="10153" xr:uid="{2A6434CC-A7FA-471C-B498-DEE65204D640}"/>
    <cellStyle name="Percent 15 2 3 4" xfId="10154" xr:uid="{871B7DE7-7626-4EB1-8D54-8416733E80FD}"/>
    <cellStyle name="Percent 15 2 3 5" xfId="10155" xr:uid="{AA0DE914-0F19-4C70-A35B-A3FD389FAB70}"/>
    <cellStyle name="Percent 15 2 3 6" xfId="10156" xr:uid="{769B4A88-01B3-4A0F-B06E-A85BCD1A1ACE}"/>
    <cellStyle name="Percent 15 2 4" xfId="10157" xr:uid="{1C27A177-E102-4A56-9466-D528AEB4332A}"/>
    <cellStyle name="Percent 15 2 4 2" xfId="10158" xr:uid="{532BE3C0-E0C5-4B68-A374-D1CE4C30D5A9}"/>
    <cellStyle name="Percent 15 2 4 3" xfId="10159" xr:uid="{37A9B5E5-0B1C-447C-881A-67C2C616EEDD}"/>
    <cellStyle name="Percent 15 2 4 4" xfId="10160" xr:uid="{613A96CE-6802-4301-A34E-8B93D9628829}"/>
    <cellStyle name="Percent 15 2 4 5" xfId="10161" xr:uid="{D90691D6-DDA8-414F-879F-65834EBD1A5E}"/>
    <cellStyle name="Percent 15 2 4 6" xfId="10162" xr:uid="{205AEA2B-EA44-43F2-8C88-050ADB2E576D}"/>
    <cellStyle name="Percent 15 2 5" xfId="10163" xr:uid="{1B3364E8-19D9-468F-8C1F-592911FE0EE1}"/>
    <cellStyle name="Percent 15 2 5 2" xfId="10164" xr:uid="{3E94B7DA-98C3-4ECB-B628-2BA8EA94D47F}"/>
    <cellStyle name="Percent 15 2 5 3" xfId="10165" xr:uid="{760D1B9E-9DDD-45F5-8C1F-F7FDE6F17954}"/>
    <cellStyle name="Percent 15 2 5 4" xfId="10166" xr:uid="{C835F9FD-CFBA-4ACE-8C51-D3BCA20EF471}"/>
    <cellStyle name="Percent 15 2 5 5" xfId="10167" xr:uid="{3135C466-898F-4B9B-9ECF-7CDC9E2CDAE4}"/>
    <cellStyle name="Percent 15 2 5 6" xfId="10168" xr:uid="{8C711DC9-4E86-4029-91A8-555AA69A836A}"/>
    <cellStyle name="Percent 15 2 6" xfId="10169" xr:uid="{EBE911C7-4B9D-4A8A-B92B-659588BCF3E8}"/>
    <cellStyle name="Percent 15 2 6 2" xfId="10170" xr:uid="{87FE2260-4598-4FFD-9F29-B2EE3A980296}"/>
    <cellStyle name="Percent 15 2 6 3" xfId="10171" xr:uid="{A4DDB7A0-8A2D-4ED2-8324-53834E45C9CD}"/>
    <cellStyle name="Percent 15 2 6 4" xfId="10172" xr:uid="{9C61E579-954B-4123-A055-7A78A07819BB}"/>
    <cellStyle name="Percent 15 2 6 5" xfId="10173" xr:uid="{BAB1589E-D297-4407-98C2-41143E07D50C}"/>
    <cellStyle name="Percent 15 2 6 6" xfId="10174" xr:uid="{31859A97-2AD7-4FCE-8BB5-0417DB8753D1}"/>
    <cellStyle name="Percent 15 2 7" xfId="10175" xr:uid="{67907066-EC16-4A62-B2EC-E4E54AB70E99}"/>
    <cellStyle name="Percent 15 2 7 2" xfId="10176" xr:uid="{F9877DB1-FC40-4045-B36E-FF3540817835}"/>
    <cellStyle name="Percent 15 2 7 3" xfId="10177" xr:uid="{5A646350-90B9-4A60-9BFD-3B1F555F4792}"/>
    <cellStyle name="Percent 15 2 7 4" xfId="10178" xr:uid="{A8CFDD04-8E89-4549-A07E-04B8ACB7071C}"/>
    <cellStyle name="Percent 15 2 7 5" xfId="10179" xr:uid="{99D837E5-6900-4B29-A09D-64A70927B9DB}"/>
    <cellStyle name="Percent 15 2 7 6" xfId="10180" xr:uid="{BDC7F947-30F4-4C0F-ADD4-40063EA3E34C}"/>
    <cellStyle name="Percent 15 2 8" xfId="10181" xr:uid="{020C6379-433A-4BB1-99A6-8EC58914D598}"/>
    <cellStyle name="Percent 15 2 8 2" xfId="10182" xr:uid="{91E7EC16-42B2-460C-A235-3A6DAAEA5D15}"/>
    <cellStyle name="Percent 15 2 8 3" xfId="10183" xr:uid="{CA83BB2B-2E0C-423B-B8DB-68DEB07C1528}"/>
    <cellStyle name="Percent 15 2 8 4" xfId="10184" xr:uid="{B94E3B42-4483-419D-B90C-5BB6CA848BF9}"/>
    <cellStyle name="Percent 15 2 8 5" xfId="10185" xr:uid="{E10FA60C-743E-463F-A23F-A24229E7792D}"/>
    <cellStyle name="Percent 15 2 9" xfId="10186" xr:uid="{1C49EC34-CFC2-4503-A308-D0B8BD2A7853}"/>
    <cellStyle name="Percent 15 3" xfId="10187" xr:uid="{565BC382-ADFE-4A3D-9B63-BD35F4460F08}"/>
    <cellStyle name="Percent 15 3 2" xfId="10188" xr:uid="{5BA01EB5-860D-4628-96CB-BF905D3A12A8}"/>
    <cellStyle name="Percent 15 3 3" xfId="10189" xr:uid="{903E2A46-BA10-40F8-8FFE-50BBAEF7E4E1}"/>
    <cellStyle name="Percent 15 3 3 2" xfId="10190" xr:uid="{F033E305-2995-4F9D-9FA8-EF401B60748F}"/>
    <cellStyle name="Percent 15 3 4" xfId="10191" xr:uid="{C1AD4D82-E115-4DBF-9B34-9FEA2EFDCE04}"/>
    <cellStyle name="Percent 15 3 5" xfId="10192" xr:uid="{0D2F475B-7647-44CB-97D0-ABEDDD5E7E86}"/>
    <cellStyle name="Percent 15 3 6" xfId="10193" xr:uid="{DF87CC9D-001D-4DB9-8CD4-DF73AC7978CB}"/>
    <cellStyle name="Percent 15 3 7" xfId="10194" xr:uid="{09D2E3B5-FE21-496D-BA81-239A55EE8E13}"/>
    <cellStyle name="Percent 15 4" xfId="10195" xr:uid="{AADD9E7B-BEE2-47E2-B33B-FEE39E2FCBAA}"/>
    <cellStyle name="Percent 15 4 2" xfId="10196" xr:uid="{B31C0E0D-4AFC-4C9A-A6CD-A7B1ABA87CED}"/>
    <cellStyle name="Percent 15 4 2 2" xfId="10197" xr:uid="{0D6B15DF-99B1-4E4E-9F9E-20F10264F69D}"/>
    <cellStyle name="Percent 15 4 2 3" xfId="10198" xr:uid="{95164C2B-FE3E-4DC0-AD44-A707CB152AAC}"/>
    <cellStyle name="Percent 15 4 2 4" xfId="10199" xr:uid="{BC5EBAC0-AE4F-4390-8266-D21E1DB22502}"/>
    <cellStyle name="Percent 15 4 2 5" xfId="10200" xr:uid="{1B1EAE1C-08C5-45BE-BD81-5CBB3C580C28}"/>
    <cellStyle name="Percent 15 4 3" xfId="10201" xr:uid="{07AECEE5-2D6F-4CA4-8176-D748D8356304}"/>
    <cellStyle name="Percent 15 4 3 2" xfId="10202" xr:uid="{6B9F3A02-ADE7-46AA-AA6B-E72BF7036B23}"/>
    <cellStyle name="Percent 15 4 3 3" xfId="10203" xr:uid="{D6A17435-E59F-438B-BD28-D7181E3A86EF}"/>
    <cellStyle name="Percent 15 4 3 4" xfId="10204" xr:uid="{B3A2F7C1-1097-4FA5-99E6-9D0AA334CD8E}"/>
    <cellStyle name="Percent 15 4 3 5" xfId="10205" xr:uid="{2BB05276-23C4-4715-854A-B924180A402E}"/>
    <cellStyle name="Percent 15 4 4" xfId="10206" xr:uid="{53E119D6-041C-44B2-99D7-08C77A6FBDBD}"/>
    <cellStyle name="Percent 15 4 5" xfId="10207" xr:uid="{E8DED0C7-F473-4348-896C-DAF260FD5BF4}"/>
    <cellStyle name="Percent 15 4 6" xfId="10208" xr:uid="{C1069FA9-E673-4B80-9EF7-5C275618B6D1}"/>
    <cellStyle name="Percent 15 4 7" xfId="10209" xr:uid="{6D6E4B0F-8F05-4843-941A-AAA4E808E505}"/>
    <cellStyle name="Percent 15 5" xfId="10210" xr:uid="{673D311C-213A-4A67-9C03-BD0178C70F00}"/>
    <cellStyle name="Percent 15 5 2" xfId="10211" xr:uid="{2D69D805-1001-4B68-92BF-A81EB8336588}"/>
    <cellStyle name="Percent 15 5 3" xfId="10212" xr:uid="{CFB08A85-8FE2-4B03-8C28-0C1C70185267}"/>
    <cellStyle name="Percent 15 5 3 2" xfId="10213" xr:uid="{9A2430FB-91F7-4D83-9AC7-DA71818E9B88}"/>
    <cellStyle name="Percent 15 5 4" xfId="10214" xr:uid="{9AE417EA-39CB-45AB-AA96-2CE899F99E6C}"/>
    <cellStyle name="Percent 15 5 5" xfId="10215" xr:uid="{D14EC73B-DF9A-4E30-B811-3CAE3DCCA3EF}"/>
    <cellStyle name="Percent 15 5 6" xfId="10216" xr:uid="{293301CC-598D-4E04-878B-0091D2CFEC9C}"/>
    <cellStyle name="Percent 15 5 7" xfId="10217" xr:uid="{C6F9C26C-46D2-44D8-B086-6CD0B0237D2A}"/>
    <cellStyle name="Percent 15 6" xfId="10218" xr:uid="{7C71B67D-8CD8-4E4A-B27B-8404A98F7856}"/>
    <cellStyle name="Percent 15 6 2" xfId="10219" xr:uid="{6D3C268B-1BD0-4460-9626-92B2E9D7715E}"/>
    <cellStyle name="Percent 15 6 3" xfId="10220" xr:uid="{E82AD6D2-432A-410B-9960-7B20F0CEAACB}"/>
    <cellStyle name="Percent 15 6 3 2" xfId="10221" xr:uid="{FC4549CE-15F7-4CD8-B0FA-26CE3BCEF04A}"/>
    <cellStyle name="Percent 15 6 4" xfId="10222" xr:uid="{54C62C68-C4F5-4745-841E-3A8FA7E2DAC9}"/>
    <cellStyle name="Percent 15 6 5" xfId="10223" xr:uid="{71038337-1E79-405C-9EFD-5A6711B83440}"/>
    <cellStyle name="Percent 15 6 6" xfId="10224" xr:uid="{5CB0BC28-FDBA-400A-A1FF-BD52C8BBD06B}"/>
    <cellStyle name="Percent 15 6 7" xfId="10225" xr:uid="{DFEEBCE0-9AB3-44B9-B36E-891F0E2AE62E}"/>
    <cellStyle name="Percent 15 7" xfId="10226" xr:uid="{C6997B1F-062B-4EC4-B9F7-FCEC6D38D7D3}"/>
    <cellStyle name="Percent 15 7 2" xfId="10227" xr:uid="{5E3135E4-0376-446D-8F18-F7FCD33C2C21}"/>
    <cellStyle name="Percent 15 7 2 2" xfId="10228" xr:uid="{397C1194-B324-4219-A103-B2E89AD4DCD3}"/>
    <cellStyle name="Percent 15 7 2 3" xfId="10229" xr:uid="{29FBAFBE-70B1-488E-8CFD-0C66C6BDCB10}"/>
    <cellStyle name="Percent 15 7 2 4" xfId="10230" xr:uid="{07881365-186D-4E11-A6DF-3F2ABD312D35}"/>
    <cellStyle name="Percent 15 7 2 5" xfId="10231" xr:uid="{80ECA6D2-8EA4-4976-BE23-65E7F16BD504}"/>
    <cellStyle name="Percent 15 7 3" xfId="10232" xr:uid="{B40F8822-86A5-4005-B57E-B421FAC2C12D}"/>
    <cellStyle name="Percent 15 7 3 2" xfId="10233" xr:uid="{68F582CE-487A-4DA2-AD58-5608BB451397}"/>
    <cellStyle name="Percent 15 7 3 3" xfId="10234" xr:uid="{C71EB703-ABDC-49DA-9541-76195169ADFC}"/>
    <cellStyle name="Percent 15 7 3 4" xfId="10235" xr:uid="{CA78CA48-E4EC-4452-9257-840E4E5E514B}"/>
    <cellStyle name="Percent 15 7 3 5" xfId="10236" xr:uid="{9EE49212-290A-4EDE-82D5-29042B193C80}"/>
    <cellStyle name="Percent 15 7 4" xfId="10237" xr:uid="{DF633324-9A4E-4E83-BBC0-9CCD59CCEC92}"/>
    <cellStyle name="Percent 15 7 4 2" xfId="10238" xr:uid="{A2ADC9C1-9D1E-42AD-8443-5209C0B4B8C6}"/>
    <cellStyle name="Percent 15 7 5" xfId="10239" xr:uid="{2206F6AD-A683-4E85-815A-C0F496E2A957}"/>
    <cellStyle name="Percent 15 7 6" xfId="10240" xr:uid="{4C79667D-57D1-48E1-9AAB-AF653D1F0E01}"/>
    <cellStyle name="Percent 15 7 7" xfId="10241" xr:uid="{12F3A275-EFAB-4327-A886-882C0C0D44FE}"/>
    <cellStyle name="Percent 15 7 8" xfId="10242" xr:uid="{65962406-1BF0-4EE1-82E7-7B5350793645}"/>
    <cellStyle name="Percent 15 8" xfId="10243" xr:uid="{8CCB3623-9D4F-483E-80D3-AACDB35CAEAA}"/>
    <cellStyle name="Percent 15 8 2" xfId="10244" xr:uid="{185E162A-0B7D-47A8-A005-1DE0D93B156C}"/>
    <cellStyle name="Percent 15 8 3" xfId="10245" xr:uid="{826B191F-F09B-4E28-9484-240F57488EDA}"/>
    <cellStyle name="Percent 15 8 4" xfId="10246" xr:uid="{28D38275-E4CD-44ED-AE02-4571AD58301E}"/>
    <cellStyle name="Percent 15 8 5" xfId="10247" xr:uid="{61C61BA7-EDD2-468D-AC5D-C8E30C2AA133}"/>
    <cellStyle name="Percent 15 8 6" xfId="10248" xr:uid="{BABE9F6D-5B84-42E2-8D1A-9677CDC33151}"/>
    <cellStyle name="Percent 15 9" xfId="10249" xr:uid="{F6FFC0F6-D308-4ED3-BAA0-4623A29704E8}"/>
    <cellStyle name="Percent 15 9 2" xfId="10250" xr:uid="{70AAD1F8-A428-43DF-9AE8-2F894BD1E751}"/>
    <cellStyle name="Percent 15 9 3" xfId="10251" xr:uid="{DCA8DA0D-2743-4D4D-82DF-719B1CDB26B9}"/>
    <cellStyle name="Percent 15 9 4" xfId="10252" xr:uid="{1FE8AB30-1D53-40BA-819F-A34744982261}"/>
    <cellStyle name="Percent 15 9 5" xfId="10253" xr:uid="{AB18267C-A835-4D45-8B94-93A0BB8B6189}"/>
    <cellStyle name="Percent 16" xfId="10254" xr:uid="{53AC5CEC-7D4E-4046-9089-E5E2D7AC5536}"/>
    <cellStyle name="Percent 16 10" xfId="10255" xr:uid="{802CCD30-DCBC-411A-8663-942D2754CD69}"/>
    <cellStyle name="Percent 16 10 2" xfId="10256" xr:uid="{02D48731-68DF-4B60-803A-CD49F72ED20F}"/>
    <cellStyle name="Percent 16 10 3" xfId="10257" xr:uid="{D5454876-91F5-48E5-8557-76BBBBDBA01C}"/>
    <cellStyle name="Percent 16 11" xfId="10258" xr:uid="{6515BF77-1380-4A96-A4AF-291B99D0E043}"/>
    <cellStyle name="Percent 16 12" xfId="10259" xr:uid="{C4AAFBCB-DCD2-4473-A7F3-84C137762945}"/>
    <cellStyle name="Percent 16 13" xfId="10260" xr:uid="{56E79179-B765-405C-8B2D-7D85CFF06F4B}"/>
    <cellStyle name="Percent 16 2" xfId="10261" xr:uid="{66FC93A5-AA5D-461C-B7E3-5A73C867F360}"/>
    <cellStyle name="Percent 16 2 2" xfId="10262" xr:uid="{93FBB6A2-6B83-4EDC-B3F4-AFBA914F4F8E}"/>
    <cellStyle name="Percent 16 2 2 2" xfId="10263" xr:uid="{335DC51C-1720-4F33-AFF7-79F3765C75FD}"/>
    <cellStyle name="Percent 16 2 2 3" xfId="10264" xr:uid="{01FDE46D-527E-42C8-AED2-B5CF3686BD59}"/>
    <cellStyle name="Percent 16 2 2 4" xfId="10265" xr:uid="{291DD55D-5AFB-47DD-B6A7-281C128788AA}"/>
    <cellStyle name="Percent 16 2 2 5" xfId="10266" xr:uid="{539A1CAE-E94A-4AD2-9C04-494FB7C64E5B}"/>
    <cellStyle name="Percent 16 2 3" xfId="10267" xr:uid="{ABD42247-5E04-466B-A334-E247F026FC3E}"/>
    <cellStyle name="Percent 16 2 3 2" xfId="10268" xr:uid="{428D2D01-1815-43C7-BE54-3201DA98C6AC}"/>
    <cellStyle name="Percent 16 2 3 3" xfId="10269" xr:uid="{3F60F760-08B7-4180-B419-3D36486A1AEB}"/>
    <cellStyle name="Percent 16 2 3 4" xfId="10270" xr:uid="{653E3B01-DAFD-4B7E-89C4-764C176CE6ED}"/>
    <cellStyle name="Percent 16 2 3 5" xfId="10271" xr:uid="{1C79EBAA-3427-4663-BF50-4A7C42114F5D}"/>
    <cellStyle name="Percent 16 2 4" xfId="10272" xr:uid="{E462D5DD-033E-4CE9-B255-F4184F205F5C}"/>
    <cellStyle name="Percent 16 2 5" xfId="10273" xr:uid="{D1C7AC8E-6FA2-4CDF-89B1-57688D5987D2}"/>
    <cellStyle name="Percent 16 2 6" xfId="10274" xr:uid="{1B90C18A-E4E3-431E-B6B1-C8F884861A37}"/>
    <cellStyle name="Percent 16 2 7" xfId="10275" xr:uid="{CD1E2D27-93DC-4CB6-A4B0-71716FF0748E}"/>
    <cellStyle name="Percent 16 3" xfId="10276" xr:uid="{BBA24F13-00EC-4DD1-AB9A-ACD1A95D0FE7}"/>
    <cellStyle name="Percent 16 3 10" xfId="10277" xr:uid="{1F436A84-3419-4CAD-81FF-0F19CDD5BAE6}"/>
    <cellStyle name="Percent 16 3 10 2" xfId="10278" xr:uid="{F4C4AF8B-7AA2-4543-8449-A2F4A4D48623}"/>
    <cellStyle name="Percent 16 3 10 3" xfId="10279" xr:uid="{BDFE8CAA-7BA0-45C4-A047-5A21E83A2E9C}"/>
    <cellStyle name="Percent 16 3 10 4" xfId="10280" xr:uid="{840CFF5B-E23A-472E-893C-C0A6500D68D4}"/>
    <cellStyle name="Percent 16 3 10 5" xfId="10281" xr:uid="{F25CAE31-FC05-45CB-81CA-6D23DDD163A2}"/>
    <cellStyle name="Percent 16 3 11" xfId="10282" xr:uid="{9D7C4D9F-8BF4-4EAC-8191-CC123EFFFE21}"/>
    <cellStyle name="Percent 16 3 11 2" xfId="10283" xr:uid="{8E005A92-6F22-4B41-88F2-5ED30F5FD8E7}"/>
    <cellStyle name="Percent 16 3 11 3" xfId="10284" xr:uid="{31849F6D-87A4-473F-ABCE-8CE69DD930B5}"/>
    <cellStyle name="Percent 16 3 11 4" xfId="10285" xr:uid="{8A94D81D-9162-41A2-9790-080C8539C1A3}"/>
    <cellStyle name="Percent 16 3 11 5" xfId="10286" xr:uid="{F454C28F-349F-49B6-A817-F3C162CEC518}"/>
    <cellStyle name="Percent 16 3 12" xfId="10287" xr:uid="{A693F925-B9EE-4E5B-AED8-3D342E9AEFB8}"/>
    <cellStyle name="Percent 16 3 12 2" xfId="10288" xr:uid="{F6EEA332-A647-474B-8A57-675E03511532}"/>
    <cellStyle name="Percent 16 3 12 3" xfId="10289" xr:uid="{39615621-3EE7-4474-A552-94277E5098E6}"/>
    <cellStyle name="Percent 16 3 12 4" xfId="10290" xr:uid="{2D7F80EA-68BB-43F8-8936-32570DD011EA}"/>
    <cellStyle name="Percent 16 3 12 5" xfId="10291" xr:uid="{9816817F-162D-40EE-B461-9ECDC27D25DB}"/>
    <cellStyle name="Percent 16 3 13" xfId="10292" xr:uid="{C9AC3F8A-C38F-411B-A1FF-BBA498E07376}"/>
    <cellStyle name="Percent 16 3 13 2" xfId="10293" xr:uid="{18A719F8-0D3C-489F-971E-CF141ABBA4BA}"/>
    <cellStyle name="Percent 16 3 13 3" xfId="10294" xr:uid="{F67A4CC6-CB78-40F2-A635-F632C9B0FE84}"/>
    <cellStyle name="Percent 16 3 13 4" xfId="10295" xr:uid="{683C0FEC-217C-4DA2-8C93-6CC78EBFCB18}"/>
    <cellStyle name="Percent 16 3 13 5" xfId="10296" xr:uid="{9D5B23F8-0625-493A-97A7-F4FB46393C05}"/>
    <cellStyle name="Percent 16 3 14" xfId="10297" xr:uid="{D528899C-21C4-4C0C-8CA8-19899F4F7D34}"/>
    <cellStyle name="Percent 16 3 14 2" xfId="10298" xr:uid="{42466403-54F2-4B98-894C-3333146CF384}"/>
    <cellStyle name="Percent 16 3 14 3" xfId="10299" xr:uid="{2F5BDE56-9899-4E7A-B382-F8543A9DAA60}"/>
    <cellStyle name="Percent 16 3 14 4" xfId="10300" xr:uid="{C12D3883-C228-44AD-A6B5-2919B4749CDB}"/>
    <cellStyle name="Percent 16 3 14 5" xfId="10301" xr:uid="{EFEFE6C9-A1B2-48EE-BFF3-AFA01C8A4EDA}"/>
    <cellStyle name="Percent 16 3 15" xfId="10302" xr:uid="{2A9BF9BB-3C4D-4236-969C-719C937720B1}"/>
    <cellStyle name="Percent 16 3 15 2" xfId="10303" xr:uid="{7214005E-3C77-491A-BBAE-29509ACFFDD6}"/>
    <cellStyle name="Percent 16 3 15 3" xfId="10304" xr:uid="{66AC05EC-B356-4D58-8DE2-37A4E0D320F9}"/>
    <cellStyle name="Percent 16 3 15 4" xfId="10305" xr:uid="{ACD7C4CA-47B7-4A11-B7CA-5352530D57B4}"/>
    <cellStyle name="Percent 16 3 15 5" xfId="10306" xr:uid="{CAD2AC55-BBA8-4088-B695-CEDAF771CD05}"/>
    <cellStyle name="Percent 16 3 16" xfId="10307" xr:uid="{B71F580F-C64B-4BB7-B1A7-1E296D9F23A5}"/>
    <cellStyle name="Percent 16 3 16 2" xfId="10308" xr:uid="{4A0BC725-1D48-45E8-AF39-7F57E2950C1F}"/>
    <cellStyle name="Percent 16 3 16 3" xfId="10309" xr:uid="{C5E7DDF1-A2DC-478C-A1C3-801722311E6A}"/>
    <cellStyle name="Percent 16 3 16 4" xfId="10310" xr:uid="{B319DBEC-4D5F-4250-9DCE-A09E269C96D3}"/>
    <cellStyle name="Percent 16 3 16 5" xfId="10311" xr:uid="{6DF52B2A-2163-44F4-BE44-69A2DD873D76}"/>
    <cellStyle name="Percent 16 3 17" xfId="10312" xr:uid="{D08D22CA-B473-458B-9872-B48636B3A4EC}"/>
    <cellStyle name="Percent 16 3 17 2" xfId="10313" xr:uid="{FBA02AA0-BF8B-43C4-822F-A8575F34FE39}"/>
    <cellStyle name="Percent 16 3 17 3" xfId="10314" xr:uid="{C6B7F512-CD55-4FDC-94C1-66A83DE15716}"/>
    <cellStyle name="Percent 16 3 17 4" xfId="10315" xr:uid="{63A5A0BF-24DC-4927-88EE-AF577FE0C2EB}"/>
    <cellStyle name="Percent 16 3 17 5" xfId="10316" xr:uid="{D7E9FA91-7105-4CD4-9323-B5E6170751DA}"/>
    <cellStyle name="Percent 16 3 18" xfId="10317" xr:uid="{A8EA5343-51FB-4A8C-88FB-609431905CF3}"/>
    <cellStyle name="Percent 16 3 18 2" xfId="10318" xr:uid="{E3AAA4DB-57DB-4620-819E-06B79D21F0B3}"/>
    <cellStyle name="Percent 16 3 18 3" xfId="10319" xr:uid="{6466A4EC-BCE2-4E6F-BFDB-F96E69956F8E}"/>
    <cellStyle name="Percent 16 3 18 4" xfId="10320" xr:uid="{FC9A1F15-17BF-4893-AB35-6296984C7A2B}"/>
    <cellStyle name="Percent 16 3 18 5" xfId="10321" xr:uid="{18D57CEF-165A-4EBC-A89E-60751328FDB7}"/>
    <cellStyle name="Percent 16 3 19" xfId="10322" xr:uid="{D467D6E8-02BD-4E9A-96DA-30A6CC28BC21}"/>
    <cellStyle name="Percent 16 3 19 2" xfId="10323" xr:uid="{E9651DB5-BF6B-4A8A-A48C-1570A9E5F2A1}"/>
    <cellStyle name="Percent 16 3 19 3" xfId="10324" xr:uid="{D2FCFEC4-DA35-4856-A21B-CE715F15B488}"/>
    <cellStyle name="Percent 16 3 19 4" xfId="10325" xr:uid="{9DB09DCC-D81D-42B2-940F-53CEF4146EEF}"/>
    <cellStyle name="Percent 16 3 19 5" xfId="10326" xr:uid="{37D0B6B1-93D5-4BB0-800D-11FA31B0B9B2}"/>
    <cellStyle name="Percent 16 3 2" xfId="10327" xr:uid="{12A03235-4E5C-4555-AF3F-A5305D4914CE}"/>
    <cellStyle name="Percent 16 3 2 2" xfId="10328" xr:uid="{DBAB2DC5-60E1-4101-973C-F6923FB84358}"/>
    <cellStyle name="Percent 16 3 2 3" xfId="10329" xr:uid="{CCEA0E82-2B1E-464A-9868-C6DA20B0C0CB}"/>
    <cellStyle name="Percent 16 3 2 4" xfId="10330" xr:uid="{86E59974-FD07-46DE-B20B-E47620FB6937}"/>
    <cellStyle name="Percent 16 3 2 5" xfId="10331" xr:uid="{9F702F5F-7961-42B0-BB99-96092BBF948F}"/>
    <cellStyle name="Percent 16 3 20" xfId="10332" xr:uid="{4C87527A-2220-45A9-8DE9-209B134096FE}"/>
    <cellStyle name="Percent 16 3 21" xfId="10333" xr:uid="{A95B56BF-217F-456B-A589-76003D856275}"/>
    <cellStyle name="Percent 16 3 22" xfId="10334" xr:uid="{336EA5BD-12C5-4C53-95AC-8022B9D5E4F0}"/>
    <cellStyle name="Percent 16 3 23" xfId="10335" xr:uid="{10360CAF-B7B8-45AD-B689-ECB7A0D7DF7F}"/>
    <cellStyle name="Percent 16 3 3" xfId="10336" xr:uid="{AA250DCB-4D0B-464E-BA4A-B573E512E7EC}"/>
    <cellStyle name="Percent 16 3 3 2" xfId="10337" xr:uid="{047DF76E-24C6-45C4-9362-BA469E32284F}"/>
    <cellStyle name="Percent 16 3 3 3" xfId="10338" xr:uid="{1D017258-14FC-4FDF-805C-AA106FC8C529}"/>
    <cellStyle name="Percent 16 3 3 4" xfId="10339" xr:uid="{2A72E842-5638-4CA3-9130-C6EC25D692C7}"/>
    <cellStyle name="Percent 16 3 3 5" xfId="10340" xr:uid="{79AC7BC1-3193-4A3D-8CD2-9D255FC57833}"/>
    <cellStyle name="Percent 16 3 4" xfId="10341" xr:uid="{21A99A6C-ABB0-43F2-90D3-19D7193DCEDB}"/>
    <cellStyle name="Percent 16 3 4 2" xfId="10342" xr:uid="{DB676CB9-CF8D-41F3-9876-E6BB700005B2}"/>
    <cellStyle name="Percent 16 3 4 3" xfId="10343" xr:uid="{D8E0DC4F-50F0-4074-86E0-A9B612679ADD}"/>
    <cellStyle name="Percent 16 3 4 4" xfId="10344" xr:uid="{58B113FF-8C16-4A0B-968C-A3246256085A}"/>
    <cellStyle name="Percent 16 3 4 5" xfId="10345" xr:uid="{121A4BC1-FBFD-40D3-9E01-B3D013C40E72}"/>
    <cellStyle name="Percent 16 3 5" xfId="10346" xr:uid="{B429A28C-2255-4021-8B18-CAB36B9E32B6}"/>
    <cellStyle name="Percent 16 3 5 2" xfId="10347" xr:uid="{5B88B181-27FF-4A21-B0CF-6EBD66D356E3}"/>
    <cellStyle name="Percent 16 3 5 3" xfId="10348" xr:uid="{4219481C-0ED2-49DA-858C-0D7D64BCA9B9}"/>
    <cellStyle name="Percent 16 3 5 4" xfId="10349" xr:uid="{36195754-76C6-4191-BD59-700DC5865318}"/>
    <cellStyle name="Percent 16 3 5 5" xfId="10350" xr:uid="{4C2DB4F4-B6E0-4E71-82B1-B02D72C70C8F}"/>
    <cellStyle name="Percent 16 3 6" xfId="10351" xr:uid="{85E7F6AC-5E0E-41CA-AA97-CE9120E60FEF}"/>
    <cellStyle name="Percent 16 3 6 2" xfId="10352" xr:uid="{8B70D42A-96CE-4EBA-BD53-C05F57FDEECE}"/>
    <cellStyle name="Percent 16 3 6 3" xfId="10353" xr:uid="{62616255-50D0-4626-A49E-8426D0F80A9E}"/>
    <cellStyle name="Percent 16 3 6 4" xfId="10354" xr:uid="{9EB27261-6FB5-4FCB-87EB-662DAE9A8B50}"/>
    <cellStyle name="Percent 16 3 6 5" xfId="10355" xr:uid="{3CF5273F-D8E6-4404-B1BF-3DE96B0B6151}"/>
    <cellStyle name="Percent 16 3 7" xfId="10356" xr:uid="{F91ECA83-8AA8-495D-9D9B-8A4402BEC9B5}"/>
    <cellStyle name="Percent 16 3 7 2" xfId="10357" xr:uid="{95FB9158-9B74-4D7F-8D53-E238FFEE4120}"/>
    <cellStyle name="Percent 16 3 7 3" xfId="10358" xr:uid="{4055C6EF-A7CD-4AA8-8727-9A7FC7BB128D}"/>
    <cellStyle name="Percent 16 3 7 4" xfId="10359" xr:uid="{DB97AFFD-76EF-4A95-BE65-60977E745A06}"/>
    <cellStyle name="Percent 16 3 7 5" xfId="10360" xr:uid="{36C07D0A-E138-4049-97CB-BDFDE1465BB0}"/>
    <cellStyle name="Percent 16 3 8" xfId="10361" xr:uid="{C8B68FD6-4120-41E6-8F4C-2A41B7AC2149}"/>
    <cellStyle name="Percent 16 3 8 2" xfId="10362" xr:uid="{8094E093-321C-43E6-85DE-7BFC42E13458}"/>
    <cellStyle name="Percent 16 3 8 3" xfId="10363" xr:uid="{85D4F245-E6A0-4711-8867-CE9AD5740213}"/>
    <cellStyle name="Percent 16 3 8 4" xfId="10364" xr:uid="{88E2DF65-82B8-474D-AEFC-44895BDC4643}"/>
    <cellStyle name="Percent 16 3 8 5" xfId="10365" xr:uid="{7A25A420-1BF2-49D3-8FD0-1D69D9C8B364}"/>
    <cellStyle name="Percent 16 3 9" xfId="10366" xr:uid="{002A16AE-EBB4-4348-AE16-0369C482EB4D}"/>
    <cellStyle name="Percent 16 3 9 2" xfId="10367" xr:uid="{05A0D493-DA31-4BFD-9ACC-28F56FA79E8C}"/>
    <cellStyle name="Percent 16 3 9 3" xfId="10368" xr:uid="{3823446F-1F45-4E2C-9FB2-A8F78073F0A0}"/>
    <cellStyle name="Percent 16 3 9 4" xfId="10369" xr:uid="{FD8AA3AD-E620-4F09-BEA9-CC9EF60B1CDE}"/>
    <cellStyle name="Percent 16 3 9 5" xfId="10370" xr:uid="{995B41ED-211E-4CDE-9D39-4AC57D8DFA75}"/>
    <cellStyle name="Percent 16 4" xfId="10371" xr:uid="{672F6DF0-3317-40BC-A26B-1F6F325A3DD2}"/>
    <cellStyle name="Percent 16 4 10" xfId="10372" xr:uid="{9355AA71-A9FE-4737-A865-2B8200793174}"/>
    <cellStyle name="Percent 16 4 10 2" xfId="10373" xr:uid="{09802976-F720-4BFE-9EC3-5121B789459F}"/>
    <cellStyle name="Percent 16 4 10 3" xfId="10374" xr:uid="{F54F7EF9-1805-4E85-9C05-F56A9397F0DF}"/>
    <cellStyle name="Percent 16 4 10 4" xfId="10375" xr:uid="{94B47F69-A013-4B6D-A6ED-D1BB110C50BB}"/>
    <cellStyle name="Percent 16 4 10 5" xfId="10376" xr:uid="{63D67924-FFE1-46F4-8BC1-6AB3BF5275C0}"/>
    <cellStyle name="Percent 16 4 11" xfId="10377" xr:uid="{C5CC0011-CFD3-4DBC-9BAA-C0415F7CBE13}"/>
    <cellStyle name="Percent 16 4 11 2" xfId="10378" xr:uid="{7123C7BD-7B8B-47B1-A4EA-1B4DC276FFFB}"/>
    <cellStyle name="Percent 16 4 11 3" xfId="10379" xr:uid="{F3454995-C26A-4FA8-B6B0-FB4BBB69F9B2}"/>
    <cellStyle name="Percent 16 4 11 4" xfId="10380" xr:uid="{86AF84A4-EA7D-444B-88DC-DE52F80EDE67}"/>
    <cellStyle name="Percent 16 4 11 5" xfId="10381" xr:uid="{4C2BDAC6-CADE-4AF6-83BD-3A5EE8B421C9}"/>
    <cellStyle name="Percent 16 4 12" xfId="10382" xr:uid="{1C5E4F90-6CC7-4194-B15C-2DD3855271CA}"/>
    <cellStyle name="Percent 16 4 12 2" xfId="10383" xr:uid="{FA600EBA-B2D8-4477-B230-CCA7D8BBC357}"/>
    <cellStyle name="Percent 16 4 12 3" xfId="10384" xr:uid="{CBFB0D2A-BA39-4D6F-A6B7-8EC55C533E10}"/>
    <cellStyle name="Percent 16 4 12 4" xfId="10385" xr:uid="{F1795834-F287-48F6-B861-9EC5003D0E69}"/>
    <cellStyle name="Percent 16 4 12 5" xfId="10386" xr:uid="{1187273B-E9A2-4BEA-88E0-F3442FFBB15E}"/>
    <cellStyle name="Percent 16 4 13" xfId="10387" xr:uid="{0CC8D329-39AF-4899-BC0D-09F081D47A59}"/>
    <cellStyle name="Percent 16 4 13 2" xfId="10388" xr:uid="{B6A3F24B-542F-4054-945C-75CB9AF40A16}"/>
    <cellStyle name="Percent 16 4 13 3" xfId="10389" xr:uid="{BFD01661-35DD-4CD7-B8DD-DF3D56787494}"/>
    <cellStyle name="Percent 16 4 13 4" xfId="10390" xr:uid="{CB6FBB4D-E54D-4A1A-8348-2C244763E81B}"/>
    <cellStyle name="Percent 16 4 13 5" xfId="10391" xr:uid="{41A4667D-7489-4CE1-9C99-81421A55C769}"/>
    <cellStyle name="Percent 16 4 14" xfId="10392" xr:uid="{089AB049-75A4-41E4-8935-475B52F3C17D}"/>
    <cellStyle name="Percent 16 4 14 2" xfId="10393" xr:uid="{9D84E261-5079-4182-89BC-D845E3DFDC7E}"/>
    <cellStyle name="Percent 16 4 14 3" xfId="10394" xr:uid="{EB628833-BAB1-446F-81DD-6CBE81A43127}"/>
    <cellStyle name="Percent 16 4 14 4" xfId="10395" xr:uid="{3F8DE8C4-FC82-4859-8F3D-2447FD02F428}"/>
    <cellStyle name="Percent 16 4 14 5" xfId="10396" xr:uid="{CF00C406-A399-4401-B55E-64D6AAC1C9EA}"/>
    <cellStyle name="Percent 16 4 15" xfId="10397" xr:uid="{A1ABE23F-A30D-452B-853B-D4E4C17AA721}"/>
    <cellStyle name="Percent 16 4 15 2" xfId="10398" xr:uid="{2F3783F7-A9C4-46A2-9952-AAB9D60BC6B0}"/>
    <cellStyle name="Percent 16 4 15 3" xfId="10399" xr:uid="{B446D298-5834-4DF8-A238-7556A3DF98D4}"/>
    <cellStyle name="Percent 16 4 15 4" xfId="10400" xr:uid="{E2B9446E-3027-4D5F-A929-1C366007AAAF}"/>
    <cellStyle name="Percent 16 4 15 5" xfId="10401" xr:uid="{0B1F8239-63E6-43D5-8CC0-11A7248D1D10}"/>
    <cellStyle name="Percent 16 4 16" xfId="10402" xr:uid="{B0A00162-0F88-49FD-B573-90CEF645CC25}"/>
    <cellStyle name="Percent 16 4 16 2" xfId="10403" xr:uid="{E7A51AC5-1161-492A-9D3E-FE8E0869204B}"/>
    <cellStyle name="Percent 16 4 16 3" xfId="10404" xr:uid="{4ED07AEB-908E-4339-AFC1-E54D4CAC1EFC}"/>
    <cellStyle name="Percent 16 4 16 4" xfId="10405" xr:uid="{68A65167-4CE5-4AD3-89C6-709CC57685C0}"/>
    <cellStyle name="Percent 16 4 16 5" xfId="10406" xr:uid="{8B7372E6-B373-4CBE-BD3B-6982506D5803}"/>
    <cellStyle name="Percent 16 4 17" xfId="10407" xr:uid="{4B521A97-264C-447C-9C8A-B168E3F4F058}"/>
    <cellStyle name="Percent 16 4 17 2" xfId="10408" xr:uid="{F80D36C4-29BF-4CFE-8229-78740904E3D0}"/>
    <cellStyle name="Percent 16 4 17 3" xfId="10409" xr:uid="{B4AFCEFB-75FE-47C4-8648-1916E945016E}"/>
    <cellStyle name="Percent 16 4 17 4" xfId="10410" xr:uid="{3C40DA44-7139-4EE4-AE2F-C2F11EAC49F9}"/>
    <cellStyle name="Percent 16 4 17 5" xfId="10411" xr:uid="{914DC241-CC01-4BC5-8204-6F477CA5AC65}"/>
    <cellStyle name="Percent 16 4 18" xfId="10412" xr:uid="{7700599C-B371-491C-8817-AB017273E9D1}"/>
    <cellStyle name="Percent 16 4 18 2" xfId="10413" xr:uid="{446795F0-0F5D-4B27-9656-8FD8D6065046}"/>
    <cellStyle name="Percent 16 4 18 3" xfId="10414" xr:uid="{46400082-1078-45B8-99A8-768635AD8FB7}"/>
    <cellStyle name="Percent 16 4 18 4" xfId="10415" xr:uid="{415268F8-E52A-4FCE-8ED6-6258048DD4A0}"/>
    <cellStyle name="Percent 16 4 18 5" xfId="10416" xr:uid="{16BDD630-F556-466D-82E7-41E6B4A92EF2}"/>
    <cellStyle name="Percent 16 4 19" xfId="10417" xr:uid="{72140EAC-B2B1-4F5B-A931-830BC596C7D1}"/>
    <cellStyle name="Percent 16 4 19 2" xfId="10418" xr:uid="{3EC690DF-921C-4162-99E3-324FE39D990A}"/>
    <cellStyle name="Percent 16 4 19 3" xfId="10419" xr:uid="{7419EF8E-329B-40E3-A659-30A31F1F8686}"/>
    <cellStyle name="Percent 16 4 19 4" xfId="10420" xr:uid="{16B05188-36C8-47C6-B280-A4E23AF6095D}"/>
    <cellStyle name="Percent 16 4 19 5" xfId="10421" xr:uid="{8DC62A8D-37AF-4C41-9455-852C34A5CC05}"/>
    <cellStyle name="Percent 16 4 2" xfId="10422" xr:uid="{898FF7B9-FC44-4670-9D67-2393FAA91EA8}"/>
    <cellStyle name="Percent 16 4 2 2" xfId="10423" xr:uid="{E932EA1E-BADD-4054-A55F-6BBCE961D8A7}"/>
    <cellStyle name="Percent 16 4 2 3" xfId="10424" xr:uid="{3A2743DF-7468-4586-87E5-B18DEB05852D}"/>
    <cellStyle name="Percent 16 4 2 4" xfId="10425" xr:uid="{B36A2EDF-148B-470C-A654-524C95B8FE34}"/>
    <cellStyle name="Percent 16 4 2 5" xfId="10426" xr:uid="{2DC54B6A-56A8-46EF-AF13-6F49C5B5D67C}"/>
    <cellStyle name="Percent 16 4 20" xfId="10427" xr:uid="{914AF6D4-9210-4314-A2A1-398512A48163}"/>
    <cellStyle name="Percent 16 4 21" xfId="10428" xr:uid="{6936D630-460C-444A-A6C6-9F90E5A24A4A}"/>
    <cellStyle name="Percent 16 4 22" xfId="10429" xr:uid="{47009634-5F47-41CC-8D10-EC9B3C0F6381}"/>
    <cellStyle name="Percent 16 4 23" xfId="10430" xr:uid="{78D07134-02C1-4E0E-A158-2094067FA546}"/>
    <cellStyle name="Percent 16 4 3" xfId="10431" xr:uid="{776DACB9-8807-4836-A378-3BF806788313}"/>
    <cellStyle name="Percent 16 4 3 2" xfId="10432" xr:uid="{E17557D4-4319-4FEA-A7F2-A24A716969F8}"/>
    <cellStyle name="Percent 16 4 3 3" xfId="10433" xr:uid="{510ABE3D-EA00-432C-8A66-0AE1083DCE5F}"/>
    <cellStyle name="Percent 16 4 3 4" xfId="10434" xr:uid="{CF1483AC-B2E4-42A0-B364-8D6D6E460EC9}"/>
    <cellStyle name="Percent 16 4 3 5" xfId="10435" xr:uid="{DF3C58DF-3608-481A-BBEB-52BBD6E0837A}"/>
    <cellStyle name="Percent 16 4 4" xfId="10436" xr:uid="{EB4FFA4B-B411-49A4-B30D-80046E66040C}"/>
    <cellStyle name="Percent 16 4 4 2" xfId="10437" xr:uid="{CAF80C24-D76B-41D2-96B4-37676F890150}"/>
    <cellStyle name="Percent 16 4 4 3" xfId="10438" xr:uid="{2E7D0DFC-7053-45AA-AA3C-040E45EE23B8}"/>
    <cellStyle name="Percent 16 4 4 4" xfId="10439" xr:uid="{6E7CB417-67B5-4FF5-9C59-E0CE0C68E464}"/>
    <cellStyle name="Percent 16 4 4 5" xfId="10440" xr:uid="{FCAA6203-FD22-483F-9FAC-FDE64EED2540}"/>
    <cellStyle name="Percent 16 4 5" xfId="10441" xr:uid="{5042F375-1351-4664-9059-FF982108C91B}"/>
    <cellStyle name="Percent 16 4 5 2" xfId="10442" xr:uid="{3EB46A57-5D12-4735-9F77-5C2EC77C1F68}"/>
    <cellStyle name="Percent 16 4 5 3" xfId="10443" xr:uid="{A212FFAA-B6E0-469C-B965-0BB20F2B7578}"/>
    <cellStyle name="Percent 16 4 5 4" xfId="10444" xr:uid="{5990045E-2FC7-4782-8F7C-5C9001BCEB78}"/>
    <cellStyle name="Percent 16 4 5 5" xfId="10445" xr:uid="{268AD649-D93C-4E48-8C05-EDF180A13992}"/>
    <cellStyle name="Percent 16 4 6" xfId="10446" xr:uid="{9F39F34C-0203-4FCA-BE67-F3A735C129C2}"/>
    <cellStyle name="Percent 16 4 6 2" xfId="10447" xr:uid="{E4913338-A525-4925-9140-EAC179BAD440}"/>
    <cellStyle name="Percent 16 4 6 3" xfId="10448" xr:uid="{E50F3280-E551-47C7-AE01-2BEA2BD7927C}"/>
    <cellStyle name="Percent 16 4 6 4" xfId="10449" xr:uid="{43E94ACB-90E4-458B-B1BF-00EE8F0E1004}"/>
    <cellStyle name="Percent 16 4 6 5" xfId="10450" xr:uid="{6EF2E046-0921-4F4A-9EBD-5C9499E2CCA2}"/>
    <cellStyle name="Percent 16 4 7" xfId="10451" xr:uid="{3FF45F45-87D3-41AE-A675-5126D1A07514}"/>
    <cellStyle name="Percent 16 4 7 2" xfId="10452" xr:uid="{B8A56B11-AFB6-4177-B041-B7C8921583C3}"/>
    <cellStyle name="Percent 16 4 7 3" xfId="10453" xr:uid="{54C366DE-4CBC-4AD6-8BF7-81B60922D276}"/>
    <cellStyle name="Percent 16 4 7 4" xfId="10454" xr:uid="{41D9D54D-883A-433C-8004-AA69A606D01A}"/>
    <cellStyle name="Percent 16 4 7 5" xfId="10455" xr:uid="{489466B8-4C29-4A15-9AE1-D369B8E46B59}"/>
    <cellStyle name="Percent 16 4 8" xfId="10456" xr:uid="{95F30336-18A7-4072-8C5E-2D7BB549CB91}"/>
    <cellStyle name="Percent 16 4 8 2" xfId="10457" xr:uid="{1BDB9622-2608-4E01-B109-16766797DD3A}"/>
    <cellStyle name="Percent 16 4 8 3" xfId="10458" xr:uid="{2BE16CA8-562B-4505-A59F-EC79C20FB4B7}"/>
    <cellStyle name="Percent 16 4 8 4" xfId="10459" xr:uid="{6D94362B-8BFD-45A4-B46B-9113D44A7E92}"/>
    <cellStyle name="Percent 16 4 8 5" xfId="10460" xr:uid="{24A33DEE-F962-49E7-A75E-3A4DED5A1087}"/>
    <cellStyle name="Percent 16 4 9" xfId="10461" xr:uid="{F0729F2F-2937-492D-954C-49D936CCA25E}"/>
    <cellStyle name="Percent 16 4 9 2" xfId="10462" xr:uid="{E644E0DE-2534-42C2-9D1E-437220D6EEE3}"/>
    <cellStyle name="Percent 16 4 9 3" xfId="10463" xr:uid="{D414438E-047F-4FA5-9499-D1C3D1857BB1}"/>
    <cellStyle name="Percent 16 4 9 4" xfId="10464" xr:uid="{9F44748E-D92C-48AC-ACD9-6C35B8501308}"/>
    <cellStyle name="Percent 16 4 9 5" xfId="10465" xr:uid="{9861E278-2B7B-447D-8B64-B485F0499F29}"/>
    <cellStyle name="Percent 16 5" xfId="10466" xr:uid="{E1DF95D3-AF7E-4851-8F58-06550CB2F160}"/>
    <cellStyle name="Percent 16 5 10" xfId="10467" xr:uid="{FF3623C1-0935-419B-A59E-102DBA8337C8}"/>
    <cellStyle name="Percent 16 5 10 2" xfId="10468" xr:uid="{A431FF5B-A0CF-4318-AA89-436DAF1F7760}"/>
    <cellStyle name="Percent 16 5 10 3" xfId="10469" xr:uid="{9DB2E1E0-9E80-4820-BE64-CA4E6F568C11}"/>
    <cellStyle name="Percent 16 5 10 4" xfId="10470" xr:uid="{DC07AC18-4BA2-4B59-8673-37B56389F705}"/>
    <cellStyle name="Percent 16 5 10 5" xfId="10471" xr:uid="{3AEE3485-6774-4D4F-9EE8-C88FE10F81C1}"/>
    <cellStyle name="Percent 16 5 11" xfId="10472" xr:uid="{FAF939B2-D001-4C2F-B78C-CEF812FA1868}"/>
    <cellStyle name="Percent 16 5 11 2" xfId="10473" xr:uid="{C918E2C8-E755-42E8-A7A3-579B7AB8F44A}"/>
    <cellStyle name="Percent 16 5 11 3" xfId="10474" xr:uid="{EF62035B-47D9-4225-B02E-93D8C9C9E022}"/>
    <cellStyle name="Percent 16 5 11 4" xfId="10475" xr:uid="{385D72BE-1EA5-4E77-959F-AB5BEA5AF00F}"/>
    <cellStyle name="Percent 16 5 11 5" xfId="10476" xr:uid="{CE54F5A2-53AE-4A17-AE20-BE074888CAD4}"/>
    <cellStyle name="Percent 16 5 12" xfId="10477" xr:uid="{E3B15055-23D3-4D39-8FBE-EFC276579AF0}"/>
    <cellStyle name="Percent 16 5 12 2" xfId="10478" xr:uid="{071F51C6-BC30-4612-A0D6-49569F49F87C}"/>
    <cellStyle name="Percent 16 5 12 3" xfId="10479" xr:uid="{50CA86D9-7AF4-4235-868E-318C05484C03}"/>
    <cellStyle name="Percent 16 5 12 4" xfId="10480" xr:uid="{269E8C3A-BE54-46C2-98BD-55A623874345}"/>
    <cellStyle name="Percent 16 5 12 5" xfId="10481" xr:uid="{64FB0C9F-B6CF-471C-BBFE-ABF098FE395B}"/>
    <cellStyle name="Percent 16 5 13" xfId="10482" xr:uid="{B6162986-EA4C-41F4-BFC2-8EBC707649EF}"/>
    <cellStyle name="Percent 16 5 13 2" xfId="10483" xr:uid="{59A7A389-FDDF-4296-B067-F24F9AD12586}"/>
    <cellStyle name="Percent 16 5 13 3" xfId="10484" xr:uid="{7D03A3A9-8F18-46CC-BEE7-05422964C538}"/>
    <cellStyle name="Percent 16 5 13 4" xfId="10485" xr:uid="{0FF774E2-E0FE-4A3F-864C-2DC19F78C93A}"/>
    <cellStyle name="Percent 16 5 13 5" xfId="10486" xr:uid="{4818B5A6-91A0-4BE3-9E9D-4D39CE73D016}"/>
    <cellStyle name="Percent 16 5 14" xfId="10487" xr:uid="{A7F69905-696B-468A-A251-A9493E558E94}"/>
    <cellStyle name="Percent 16 5 14 2" xfId="10488" xr:uid="{3A5D1A9E-0D16-44C2-9D43-F11D01FA99EB}"/>
    <cellStyle name="Percent 16 5 14 3" xfId="10489" xr:uid="{2F66CAD3-F2FA-4B24-8C04-9461A2297A56}"/>
    <cellStyle name="Percent 16 5 14 4" xfId="10490" xr:uid="{763DAB8F-6B4C-4F51-82E1-06969FA49C69}"/>
    <cellStyle name="Percent 16 5 14 5" xfId="10491" xr:uid="{0CA7E576-D914-4799-A717-C8648B95493D}"/>
    <cellStyle name="Percent 16 5 15" xfId="10492" xr:uid="{9540F755-0336-4CA2-89B8-DC44FFB26788}"/>
    <cellStyle name="Percent 16 5 15 2" xfId="10493" xr:uid="{12B7C5C4-5562-440B-9B40-D55893982E58}"/>
    <cellStyle name="Percent 16 5 15 3" xfId="10494" xr:uid="{29A9D49F-1107-485B-8F25-7835256B9A3C}"/>
    <cellStyle name="Percent 16 5 15 4" xfId="10495" xr:uid="{2F237EFF-368A-4ABB-B1AF-9040BC20140F}"/>
    <cellStyle name="Percent 16 5 15 5" xfId="10496" xr:uid="{F42F8427-9EE1-4E60-91C3-00E2C0B8E4EC}"/>
    <cellStyle name="Percent 16 5 16" xfId="10497" xr:uid="{2DBEDF32-5FE6-4543-9755-41F0B1770EE4}"/>
    <cellStyle name="Percent 16 5 16 2" xfId="10498" xr:uid="{829F82A6-28F8-4460-8C01-39A9D44E4DFC}"/>
    <cellStyle name="Percent 16 5 16 3" xfId="10499" xr:uid="{712B7C22-B9DA-4F66-AB0A-FF9F0A3D5C87}"/>
    <cellStyle name="Percent 16 5 16 4" xfId="10500" xr:uid="{A83AC0DD-8F64-4AA0-9A5E-8715C4666BA6}"/>
    <cellStyle name="Percent 16 5 16 5" xfId="10501" xr:uid="{DBCC66D3-6F2E-4ED7-9B66-A781A6F1E09A}"/>
    <cellStyle name="Percent 16 5 17" xfId="10502" xr:uid="{E4622C74-3C53-4C75-A07A-395D29FF2C78}"/>
    <cellStyle name="Percent 16 5 17 2" xfId="10503" xr:uid="{EF601DE7-C740-4BC6-935F-114531E2D341}"/>
    <cellStyle name="Percent 16 5 17 3" xfId="10504" xr:uid="{8A51B7E4-1527-46A7-963F-90A57079F757}"/>
    <cellStyle name="Percent 16 5 17 4" xfId="10505" xr:uid="{B1053A91-BC35-4AFB-B3DE-18BF587D15B2}"/>
    <cellStyle name="Percent 16 5 17 5" xfId="10506" xr:uid="{132D2623-869D-431C-9392-68B56A24FFBE}"/>
    <cellStyle name="Percent 16 5 18" xfId="10507" xr:uid="{29FBA0AF-0220-446C-8C04-5C812DBAD8B8}"/>
    <cellStyle name="Percent 16 5 18 2" xfId="10508" xr:uid="{B684E2BF-CB89-4C0E-9E89-9AD627DE711A}"/>
    <cellStyle name="Percent 16 5 18 3" xfId="10509" xr:uid="{B88DD25A-97D2-421D-81B9-712B236C37A9}"/>
    <cellStyle name="Percent 16 5 18 4" xfId="10510" xr:uid="{1C79631C-9A44-47D6-8433-B8BFB5941F6B}"/>
    <cellStyle name="Percent 16 5 18 5" xfId="10511" xr:uid="{0760BE81-8F90-44E6-9931-DCB6A629641C}"/>
    <cellStyle name="Percent 16 5 19" xfId="10512" xr:uid="{0725E554-ADEB-4809-8163-0AECCC577AA2}"/>
    <cellStyle name="Percent 16 5 19 2" xfId="10513" xr:uid="{5D639718-79E2-4A7F-A359-40BA71AB7E36}"/>
    <cellStyle name="Percent 16 5 19 3" xfId="10514" xr:uid="{FB213526-E4BD-469F-98A9-1676F26EAE5A}"/>
    <cellStyle name="Percent 16 5 19 4" xfId="10515" xr:uid="{6A7986E0-2DD2-48FB-830A-8215A77D0975}"/>
    <cellStyle name="Percent 16 5 19 5" xfId="10516" xr:uid="{270941F5-CAAB-4C45-BC00-B6335B82DE1B}"/>
    <cellStyle name="Percent 16 5 2" xfId="10517" xr:uid="{B675780F-D0EA-432B-9605-3C2E24E5970C}"/>
    <cellStyle name="Percent 16 5 2 2" xfId="10518" xr:uid="{AA5C7A1C-7AC0-4F82-BDF3-634AF81D1BCE}"/>
    <cellStyle name="Percent 16 5 2 3" xfId="10519" xr:uid="{678AAA50-DE07-45BE-AE20-6FEF98495E38}"/>
    <cellStyle name="Percent 16 5 2 4" xfId="10520" xr:uid="{38C47D9F-390B-4105-9688-A8B999742657}"/>
    <cellStyle name="Percent 16 5 2 5" xfId="10521" xr:uid="{2B8B32F3-3207-4F30-B82F-5D44DBE69E63}"/>
    <cellStyle name="Percent 16 5 20" xfId="10522" xr:uid="{3648C5CC-B6DB-4679-9EC9-AF02128A1A52}"/>
    <cellStyle name="Percent 16 5 21" xfId="10523" xr:uid="{9D26E973-50A3-4A83-BE07-6B5918DD4F9D}"/>
    <cellStyle name="Percent 16 5 22" xfId="10524" xr:uid="{F192DE9F-8B8B-4444-865D-068D7FA0E755}"/>
    <cellStyle name="Percent 16 5 23" xfId="10525" xr:uid="{0AA60593-CB08-4E53-92B6-ED97F8E32FC6}"/>
    <cellStyle name="Percent 16 5 3" xfId="10526" xr:uid="{54234495-851E-4870-AC2E-FC274F86DD67}"/>
    <cellStyle name="Percent 16 5 3 2" xfId="10527" xr:uid="{5CE70F5F-B165-4545-9D0A-F3CC19DE0164}"/>
    <cellStyle name="Percent 16 5 3 3" xfId="10528" xr:uid="{B308006F-32AE-4B33-9692-0400C1E341ED}"/>
    <cellStyle name="Percent 16 5 3 4" xfId="10529" xr:uid="{8EF8A29F-412F-4EA1-A5C5-616428043FEE}"/>
    <cellStyle name="Percent 16 5 3 5" xfId="10530" xr:uid="{AB6F776A-1B16-417A-8FEB-9BC8491D455F}"/>
    <cellStyle name="Percent 16 5 4" xfId="10531" xr:uid="{2158BBDA-0919-4F07-8B49-C0DC9C8F65BC}"/>
    <cellStyle name="Percent 16 5 4 2" xfId="10532" xr:uid="{F44065FC-4785-45E6-AC89-59BB1AAE0921}"/>
    <cellStyle name="Percent 16 5 4 3" xfId="10533" xr:uid="{B9552B4F-7FD2-4B47-8DB3-7C6C54AB847D}"/>
    <cellStyle name="Percent 16 5 4 4" xfId="10534" xr:uid="{E0058DAB-0A5D-4887-9E99-297CD575C02A}"/>
    <cellStyle name="Percent 16 5 4 5" xfId="10535" xr:uid="{52B72928-113D-4E78-BDF6-D634CBFFEE2F}"/>
    <cellStyle name="Percent 16 5 5" xfId="10536" xr:uid="{E74C4DC6-4E53-4C02-81C4-53DB9D174DEE}"/>
    <cellStyle name="Percent 16 5 5 2" xfId="10537" xr:uid="{B1FBB553-7A21-4EDA-BB7B-DBD26E58DFA7}"/>
    <cellStyle name="Percent 16 5 5 3" xfId="10538" xr:uid="{6A2C7466-F73F-493B-AB6A-EE9A7F01ABCA}"/>
    <cellStyle name="Percent 16 5 5 4" xfId="10539" xr:uid="{013A9BF2-EA08-4246-A7B9-E4DD348F9F2C}"/>
    <cellStyle name="Percent 16 5 5 5" xfId="10540" xr:uid="{F66E390E-1F63-48B8-8306-0C4EFF1F7CEF}"/>
    <cellStyle name="Percent 16 5 6" xfId="10541" xr:uid="{A4794449-BD4F-4385-AC47-988094E01B40}"/>
    <cellStyle name="Percent 16 5 6 2" xfId="10542" xr:uid="{3B1B2940-2492-4BE7-B12E-CBDC65A63FF3}"/>
    <cellStyle name="Percent 16 5 6 3" xfId="10543" xr:uid="{536BC80D-E85B-4C9C-9AEC-7ADD425AE3EA}"/>
    <cellStyle name="Percent 16 5 6 4" xfId="10544" xr:uid="{E2F1499C-9E74-49BB-ACF6-DC9DA545F13B}"/>
    <cellStyle name="Percent 16 5 6 5" xfId="10545" xr:uid="{330118F4-D616-4D19-93AD-EED0CD458A53}"/>
    <cellStyle name="Percent 16 5 7" xfId="10546" xr:uid="{60B96FDB-2D1A-47D2-A1F6-74EAF38C4D62}"/>
    <cellStyle name="Percent 16 5 7 2" xfId="10547" xr:uid="{849A5550-0695-4378-B43A-A6749E17FF95}"/>
    <cellStyle name="Percent 16 5 7 3" xfId="10548" xr:uid="{7CAA5009-DA06-4972-B917-51012F54B55F}"/>
    <cellStyle name="Percent 16 5 7 4" xfId="10549" xr:uid="{498040A0-B083-4C9A-9D1C-5C280169E69A}"/>
    <cellStyle name="Percent 16 5 7 5" xfId="10550" xr:uid="{EB1240E9-FD1B-44C0-8944-2FC81805E531}"/>
    <cellStyle name="Percent 16 5 8" xfId="10551" xr:uid="{38AC2014-F76B-4B6A-9829-54BF37871025}"/>
    <cellStyle name="Percent 16 5 8 2" xfId="10552" xr:uid="{298B525E-0E20-41F3-84FA-9E7AD5CB9074}"/>
    <cellStyle name="Percent 16 5 8 3" xfId="10553" xr:uid="{1E5D5E0D-806E-41A9-ADFB-E54621DD3F70}"/>
    <cellStyle name="Percent 16 5 8 4" xfId="10554" xr:uid="{ADF000C1-36C3-4FDC-91C9-675A9B28D269}"/>
    <cellStyle name="Percent 16 5 8 5" xfId="10555" xr:uid="{AD920140-9825-451C-8744-C5C68E50B5DF}"/>
    <cellStyle name="Percent 16 5 9" xfId="10556" xr:uid="{AE889769-DD8F-4460-879F-67B7C3B67908}"/>
    <cellStyle name="Percent 16 5 9 2" xfId="10557" xr:uid="{2D74A717-472D-49F5-A9B4-825A8BB401DA}"/>
    <cellStyle name="Percent 16 5 9 3" xfId="10558" xr:uid="{0F8941DE-09D6-46A7-96D6-3418C2C95185}"/>
    <cellStyle name="Percent 16 5 9 4" xfId="10559" xr:uid="{3A2C0BCB-4D8F-46D6-A95A-F82ADECAB2A1}"/>
    <cellStyle name="Percent 16 5 9 5" xfId="10560" xr:uid="{26FA835A-021F-4658-A366-DC12752173F9}"/>
    <cellStyle name="Percent 16 6" xfId="10561" xr:uid="{016F9BF6-4DE3-4645-987B-BE9A52B01473}"/>
    <cellStyle name="Percent 16 6 10" xfId="10562" xr:uid="{3BE6E163-CD69-440D-A85D-51AF6FAD0C24}"/>
    <cellStyle name="Percent 16 6 10 2" xfId="10563" xr:uid="{A4010C3E-D9C3-4096-BCFA-97E38777F876}"/>
    <cellStyle name="Percent 16 6 10 3" xfId="10564" xr:uid="{AB80479E-C70B-4B94-9F8B-2A23DCE9194B}"/>
    <cellStyle name="Percent 16 6 10 4" xfId="10565" xr:uid="{CB2BC764-CF8A-4317-9D9E-16F08EF8114E}"/>
    <cellStyle name="Percent 16 6 10 5" xfId="10566" xr:uid="{F10D1A95-03F9-4FE0-BC84-B95C2E4F50D4}"/>
    <cellStyle name="Percent 16 6 11" xfId="10567" xr:uid="{6B2EC333-158B-424E-AB01-3DBF9C1BBBF5}"/>
    <cellStyle name="Percent 16 6 11 2" xfId="10568" xr:uid="{6E973C7F-3C37-4AD1-A547-83616C0E8600}"/>
    <cellStyle name="Percent 16 6 11 3" xfId="10569" xr:uid="{2653B18A-AA51-4EB9-BFC3-199EBC8D026F}"/>
    <cellStyle name="Percent 16 6 11 4" xfId="10570" xr:uid="{D981EEAF-EAF6-41C3-A2A2-50C1A44321C0}"/>
    <cellStyle name="Percent 16 6 11 5" xfId="10571" xr:uid="{F373DEE7-58D6-4979-A702-C4A2FB4CE1FA}"/>
    <cellStyle name="Percent 16 6 12" xfId="10572" xr:uid="{8ACB0F12-2C6F-464E-A127-6AB77BF945D2}"/>
    <cellStyle name="Percent 16 6 12 2" xfId="10573" xr:uid="{C87E86B0-6335-4378-9C5F-BC450107CEE7}"/>
    <cellStyle name="Percent 16 6 12 3" xfId="10574" xr:uid="{8B1BB879-9AC7-4E04-8538-01642FF986E3}"/>
    <cellStyle name="Percent 16 6 12 4" xfId="10575" xr:uid="{6CEEA774-09C7-4634-B15E-787E950F5EAA}"/>
    <cellStyle name="Percent 16 6 12 5" xfId="10576" xr:uid="{4A460277-53A9-4726-9BE9-188DE79C74AB}"/>
    <cellStyle name="Percent 16 6 13" xfId="10577" xr:uid="{34F0EFB9-9AF6-4ED2-86E5-71280E6D4674}"/>
    <cellStyle name="Percent 16 6 13 2" xfId="10578" xr:uid="{367987AC-8406-496B-A49E-2DE85A714CA5}"/>
    <cellStyle name="Percent 16 6 13 3" xfId="10579" xr:uid="{32C16C74-DC95-4949-968A-A2D141F3C5C6}"/>
    <cellStyle name="Percent 16 6 13 4" xfId="10580" xr:uid="{6D49A1DA-C306-4C1E-B293-DA3DE46691CA}"/>
    <cellStyle name="Percent 16 6 13 5" xfId="10581" xr:uid="{3D1FD574-AC02-4A62-AB1E-07619F3CC084}"/>
    <cellStyle name="Percent 16 6 14" xfId="10582" xr:uid="{33387572-FEFB-4F53-9624-2DF5CBABE8BB}"/>
    <cellStyle name="Percent 16 6 14 2" xfId="10583" xr:uid="{516D5409-5E17-4735-956A-60A4FAD0666E}"/>
    <cellStyle name="Percent 16 6 14 3" xfId="10584" xr:uid="{54EBEE31-2272-4072-AAF2-7EE0A25DFB82}"/>
    <cellStyle name="Percent 16 6 14 4" xfId="10585" xr:uid="{F78B38EC-17D1-4717-8FD2-1A5CE41D7B08}"/>
    <cellStyle name="Percent 16 6 14 5" xfId="10586" xr:uid="{C4F3B77D-B2B9-415B-B29F-849207A7A929}"/>
    <cellStyle name="Percent 16 6 15" xfId="10587" xr:uid="{7ACA5054-C5A7-40F0-9276-FD2F2544980A}"/>
    <cellStyle name="Percent 16 6 15 2" xfId="10588" xr:uid="{4C9AFD97-B3A3-416F-A73D-F93647CFE0F8}"/>
    <cellStyle name="Percent 16 6 15 3" xfId="10589" xr:uid="{53728509-FCDB-427E-9910-22058A94BBD6}"/>
    <cellStyle name="Percent 16 6 15 4" xfId="10590" xr:uid="{5D748FB9-D1A0-41D3-9811-7F8ED795366F}"/>
    <cellStyle name="Percent 16 6 15 5" xfId="10591" xr:uid="{FF09A5B8-5D47-49DF-BA00-11627F136A99}"/>
    <cellStyle name="Percent 16 6 16" xfId="10592" xr:uid="{701E0637-15A4-428A-A36D-35CF9ACE675F}"/>
    <cellStyle name="Percent 16 6 16 2" xfId="10593" xr:uid="{52FB1C7A-A782-46F9-BE66-546C2AA79AFF}"/>
    <cellStyle name="Percent 16 6 16 3" xfId="10594" xr:uid="{86FD7F7C-9B93-441C-A904-B0542AF72C11}"/>
    <cellStyle name="Percent 16 6 16 4" xfId="10595" xr:uid="{74BFA0A2-5579-462C-ACA2-EEAC9F3CCC34}"/>
    <cellStyle name="Percent 16 6 16 5" xfId="10596" xr:uid="{11FC728A-7329-460D-8BD3-162EC6D942D4}"/>
    <cellStyle name="Percent 16 6 17" xfId="10597" xr:uid="{BD5160A5-8540-46C2-B79A-A61FBCB459EE}"/>
    <cellStyle name="Percent 16 6 17 2" xfId="10598" xr:uid="{785BC1C8-9B5C-4659-B0A8-E05D5B6FD271}"/>
    <cellStyle name="Percent 16 6 17 3" xfId="10599" xr:uid="{B1CD07C8-1CB0-47AB-8D9B-3454F3A04B13}"/>
    <cellStyle name="Percent 16 6 17 4" xfId="10600" xr:uid="{82399EA9-964D-4D3A-B772-14D6911EC321}"/>
    <cellStyle name="Percent 16 6 17 5" xfId="10601" xr:uid="{2BB37122-706B-47DE-9CB0-D9662D6C8E12}"/>
    <cellStyle name="Percent 16 6 18" xfId="10602" xr:uid="{FCB49625-3C92-41F6-A726-9A07F1C23654}"/>
    <cellStyle name="Percent 16 6 18 2" xfId="10603" xr:uid="{F2B74897-4796-484A-9B75-884EED43A426}"/>
    <cellStyle name="Percent 16 6 18 3" xfId="10604" xr:uid="{AE3BFE30-F00C-4D0F-8269-9B386F95AFB2}"/>
    <cellStyle name="Percent 16 6 18 4" xfId="10605" xr:uid="{2FC5E7D5-DCFB-45D2-83C4-BCEA36BBB59C}"/>
    <cellStyle name="Percent 16 6 18 5" xfId="10606" xr:uid="{D51E652B-EA63-4CC2-BE7D-7823827DF312}"/>
    <cellStyle name="Percent 16 6 19" xfId="10607" xr:uid="{4EC2335B-D0BB-4F80-8258-205EECF725FB}"/>
    <cellStyle name="Percent 16 6 19 2" xfId="10608" xr:uid="{7CD8B91E-6EDB-404D-BF3B-A4F7F0F13F5A}"/>
    <cellStyle name="Percent 16 6 19 3" xfId="10609" xr:uid="{5A243EF5-35C9-4D8A-9790-437CF278834F}"/>
    <cellStyle name="Percent 16 6 19 4" xfId="10610" xr:uid="{CF280EFF-BE51-4A5A-B042-F9F39144D52C}"/>
    <cellStyle name="Percent 16 6 19 5" xfId="10611" xr:uid="{EC080CE5-2C0F-49D9-B047-876E5C5DD6DA}"/>
    <cellStyle name="Percent 16 6 2" xfId="10612" xr:uid="{90D15FD6-75E7-4DDE-B22E-EC718B5D7FEE}"/>
    <cellStyle name="Percent 16 6 2 2" xfId="10613" xr:uid="{55654265-0AB8-401E-BDCE-8B0CF0E430A5}"/>
    <cellStyle name="Percent 16 6 2 3" xfId="10614" xr:uid="{E4F29830-2477-426B-A692-F99A01E51E2D}"/>
    <cellStyle name="Percent 16 6 2 4" xfId="10615" xr:uid="{7DBB9953-3E93-49E9-BEE6-71795029E5A3}"/>
    <cellStyle name="Percent 16 6 2 5" xfId="10616" xr:uid="{3D1307AC-98EB-4856-AA32-D4E8D37A1F5F}"/>
    <cellStyle name="Percent 16 6 20" xfId="10617" xr:uid="{0953D4B8-20AB-43E2-A8C4-F3A56770AF52}"/>
    <cellStyle name="Percent 16 6 21" xfId="10618" xr:uid="{E8EA804A-7D01-4F4E-B802-F6919D2E85C9}"/>
    <cellStyle name="Percent 16 6 22" xfId="10619" xr:uid="{0B094FDC-DB42-44F7-AF23-3A964427107C}"/>
    <cellStyle name="Percent 16 6 23" xfId="10620" xr:uid="{2EEEE92D-CAB3-463E-B6E3-B92A906B627C}"/>
    <cellStyle name="Percent 16 6 3" xfId="10621" xr:uid="{75F22FEC-B169-45C9-8BAC-82BE82DFD1A3}"/>
    <cellStyle name="Percent 16 6 3 2" xfId="10622" xr:uid="{06F41E4F-2565-4158-A96C-6919C467CAE0}"/>
    <cellStyle name="Percent 16 6 3 3" xfId="10623" xr:uid="{3A689F2E-CB3F-4FB4-9228-862D6F6D1180}"/>
    <cellStyle name="Percent 16 6 3 4" xfId="10624" xr:uid="{270E2232-34F9-4E66-B17D-34BF4D0D553F}"/>
    <cellStyle name="Percent 16 6 3 5" xfId="10625" xr:uid="{F3767643-C36E-4006-BDAE-A99DC530D785}"/>
    <cellStyle name="Percent 16 6 4" xfId="10626" xr:uid="{5044D361-E856-48B0-A426-57E632D15F30}"/>
    <cellStyle name="Percent 16 6 4 2" xfId="10627" xr:uid="{0945BAE7-BD1B-450D-9D74-8256FB2623D6}"/>
    <cellStyle name="Percent 16 6 4 3" xfId="10628" xr:uid="{332FA308-A85F-46CF-B7AC-01A935830865}"/>
    <cellStyle name="Percent 16 6 4 4" xfId="10629" xr:uid="{6E5CCB7F-9745-41AC-8526-55C0E0AA4E1D}"/>
    <cellStyle name="Percent 16 6 4 5" xfId="10630" xr:uid="{D6EB6E20-76CB-4F6F-AF5A-60B520C9870D}"/>
    <cellStyle name="Percent 16 6 5" xfId="10631" xr:uid="{577075F1-4E98-4ED6-88BE-AEF32BBFB2C1}"/>
    <cellStyle name="Percent 16 6 5 2" xfId="10632" xr:uid="{99256496-E2B3-4DE8-BB11-9F73520E571A}"/>
    <cellStyle name="Percent 16 6 5 3" xfId="10633" xr:uid="{8004CCA7-E781-4381-ACC5-D191E96AAFDE}"/>
    <cellStyle name="Percent 16 6 5 4" xfId="10634" xr:uid="{01D70932-370C-4CFB-A999-72A866EECCD6}"/>
    <cellStyle name="Percent 16 6 5 5" xfId="10635" xr:uid="{99B499E5-F1BA-4534-AC6A-6C40BEACB1F7}"/>
    <cellStyle name="Percent 16 6 6" xfId="10636" xr:uid="{22F90500-D7C4-49E1-8E01-82B664714BA4}"/>
    <cellStyle name="Percent 16 6 6 2" xfId="10637" xr:uid="{5FB1886E-832E-4488-AC48-4E614315521E}"/>
    <cellStyle name="Percent 16 6 6 3" xfId="10638" xr:uid="{0D3FDAA5-9A1F-46D7-8886-78A858987833}"/>
    <cellStyle name="Percent 16 6 6 4" xfId="10639" xr:uid="{0366C681-CCD9-4C15-A830-A1D2E490329D}"/>
    <cellStyle name="Percent 16 6 6 5" xfId="10640" xr:uid="{92833CA9-B2AA-453D-83E2-3F018E8EA29C}"/>
    <cellStyle name="Percent 16 6 7" xfId="10641" xr:uid="{ABEC5D87-E032-44E3-88B2-DE30E07F0138}"/>
    <cellStyle name="Percent 16 6 7 2" xfId="10642" xr:uid="{EBB86BE0-EBC2-47FC-B392-610700DAE4DC}"/>
    <cellStyle name="Percent 16 6 7 3" xfId="10643" xr:uid="{E60DDA5C-FA14-4491-A357-D9F85ECB6E61}"/>
    <cellStyle name="Percent 16 6 7 4" xfId="10644" xr:uid="{AA3CD8F9-7758-4801-8E33-3D521FFEB9C6}"/>
    <cellStyle name="Percent 16 6 7 5" xfId="10645" xr:uid="{F76EC141-A6C2-49EA-A6A2-EB0BCF5A3B06}"/>
    <cellStyle name="Percent 16 6 8" xfId="10646" xr:uid="{919912F9-9309-467B-A4BA-3BBDAE52DD45}"/>
    <cellStyle name="Percent 16 6 8 2" xfId="10647" xr:uid="{AD5306B6-F4A6-4DC7-AE5A-9402532E3B05}"/>
    <cellStyle name="Percent 16 6 8 3" xfId="10648" xr:uid="{BBFE768C-1980-49CE-90EE-0D9CCFE340F6}"/>
    <cellStyle name="Percent 16 6 8 4" xfId="10649" xr:uid="{DC75D68F-7278-4D3B-BC48-E18F8D7A06EB}"/>
    <cellStyle name="Percent 16 6 8 5" xfId="10650" xr:uid="{AFC1A878-F615-491F-8251-93E2971B8380}"/>
    <cellStyle name="Percent 16 6 9" xfId="10651" xr:uid="{46DAB089-2D9F-4A2C-8643-6D80BDEE9B32}"/>
    <cellStyle name="Percent 16 6 9 2" xfId="10652" xr:uid="{3AE1744D-2602-4FCE-A43D-02A6997BF589}"/>
    <cellStyle name="Percent 16 6 9 3" xfId="10653" xr:uid="{C1EA01D8-C5D6-4105-AD98-23557D5DB1E8}"/>
    <cellStyle name="Percent 16 6 9 4" xfId="10654" xr:uid="{7F134A58-81BF-49FE-B2FB-C4480864D941}"/>
    <cellStyle name="Percent 16 6 9 5" xfId="10655" xr:uid="{70AD833C-1F3E-4B30-89A8-1D3566979113}"/>
    <cellStyle name="Percent 16 7" xfId="10656" xr:uid="{C8B7A8C8-C8C8-4C9B-A30E-E798E5CB0615}"/>
    <cellStyle name="Percent 16 7 10" xfId="10657" xr:uid="{F6E3DAC1-A7C6-417D-927E-C604EAF46C0B}"/>
    <cellStyle name="Percent 16 7 10 2" xfId="10658" xr:uid="{3825441E-DE62-45FE-BDCE-4E9769E2C10D}"/>
    <cellStyle name="Percent 16 7 10 3" xfId="10659" xr:uid="{A9D17204-F49A-4DEA-B06B-01F24D689E76}"/>
    <cellStyle name="Percent 16 7 10 4" xfId="10660" xr:uid="{7C6EB0B8-FB2C-418C-A6B1-273B35013387}"/>
    <cellStyle name="Percent 16 7 10 5" xfId="10661" xr:uid="{945DD6E9-36B5-4D39-9AA9-3CB5D4F01B4F}"/>
    <cellStyle name="Percent 16 7 11" xfId="10662" xr:uid="{7B2C7162-3098-4F07-B957-C7ED288CC173}"/>
    <cellStyle name="Percent 16 7 11 2" xfId="10663" xr:uid="{77E77DB9-7A76-460B-80A0-ECE6DB236071}"/>
    <cellStyle name="Percent 16 7 11 3" xfId="10664" xr:uid="{EEDC0401-2BE5-44CE-871C-0075D313853D}"/>
    <cellStyle name="Percent 16 7 11 4" xfId="10665" xr:uid="{156D92BE-AFA4-4C38-AE41-B28BCB851519}"/>
    <cellStyle name="Percent 16 7 11 5" xfId="10666" xr:uid="{8A9243EE-00F4-4C0F-854B-D90F0156CA49}"/>
    <cellStyle name="Percent 16 7 12" xfId="10667" xr:uid="{8CC00583-CFC5-4BA1-A4AE-57AF75021EA6}"/>
    <cellStyle name="Percent 16 7 12 2" xfId="10668" xr:uid="{A74F9BF8-ADDB-454F-B0AD-B2290181D9F8}"/>
    <cellStyle name="Percent 16 7 12 3" xfId="10669" xr:uid="{862D615E-3FC2-48A7-B06B-85C1E27219BF}"/>
    <cellStyle name="Percent 16 7 12 4" xfId="10670" xr:uid="{C90D16DE-EE1A-4943-B6CD-973B462B8311}"/>
    <cellStyle name="Percent 16 7 12 5" xfId="10671" xr:uid="{669212D7-9764-4B0B-A66A-B07B1F4C8C60}"/>
    <cellStyle name="Percent 16 7 13" xfId="10672" xr:uid="{DA2E4B8A-46A8-41FC-AC9E-7649D805E8ED}"/>
    <cellStyle name="Percent 16 7 13 2" xfId="10673" xr:uid="{D6CF2407-F514-4344-8E63-A16F200EB841}"/>
    <cellStyle name="Percent 16 7 13 3" xfId="10674" xr:uid="{AFC30F9F-6F5B-414C-82C4-B2BBF24B47E5}"/>
    <cellStyle name="Percent 16 7 13 4" xfId="10675" xr:uid="{412CA4A3-B240-492D-9233-7A0DD7D4BC81}"/>
    <cellStyle name="Percent 16 7 13 5" xfId="10676" xr:uid="{8EF43F54-F9C8-47F4-AE9C-C302ABE12448}"/>
    <cellStyle name="Percent 16 7 14" xfId="10677" xr:uid="{3C1CE81A-804F-426C-9E2C-0DE6808460B3}"/>
    <cellStyle name="Percent 16 7 14 2" xfId="10678" xr:uid="{94B677EB-23EF-447A-85B0-CE1BF2CA40EC}"/>
    <cellStyle name="Percent 16 7 14 3" xfId="10679" xr:uid="{FDB7770C-2F0D-413C-92D8-D4977CE7B3CA}"/>
    <cellStyle name="Percent 16 7 14 4" xfId="10680" xr:uid="{312D4AE3-4769-4592-A189-9376616C1D62}"/>
    <cellStyle name="Percent 16 7 14 5" xfId="10681" xr:uid="{221E9788-D002-40A0-8821-5E5245F43D57}"/>
    <cellStyle name="Percent 16 7 15" xfId="10682" xr:uid="{3A923B48-33AB-4124-8758-59BAE62FF519}"/>
    <cellStyle name="Percent 16 7 15 2" xfId="10683" xr:uid="{E646F851-ADB3-4394-9C63-4AC47AAF3F46}"/>
    <cellStyle name="Percent 16 7 15 3" xfId="10684" xr:uid="{EE5EAE50-C501-4FEA-80FA-C4B7E2181A26}"/>
    <cellStyle name="Percent 16 7 15 4" xfId="10685" xr:uid="{127F3AE1-36BF-42F8-9707-26C5BF15E140}"/>
    <cellStyle name="Percent 16 7 15 5" xfId="10686" xr:uid="{596598A3-CA1F-4DE2-AE44-837965FD91E1}"/>
    <cellStyle name="Percent 16 7 16" xfId="10687" xr:uid="{D3D0A626-B25A-48EC-872E-802EDE606E69}"/>
    <cellStyle name="Percent 16 7 16 2" xfId="10688" xr:uid="{B449EE6E-A83D-4D2A-8B25-64625B25B200}"/>
    <cellStyle name="Percent 16 7 16 3" xfId="10689" xr:uid="{EFF896FC-1503-41EE-B247-11FCEC82D51C}"/>
    <cellStyle name="Percent 16 7 16 4" xfId="10690" xr:uid="{BECE2E0C-F51E-457C-8EB8-6CB2995D4096}"/>
    <cellStyle name="Percent 16 7 16 5" xfId="10691" xr:uid="{7EF00DEC-BDA1-444E-99F3-1F263C83D93B}"/>
    <cellStyle name="Percent 16 7 17" xfId="10692" xr:uid="{E40C5FFD-14FC-4AC7-9CCD-266299D446BF}"/>
    <cellStyle name="Percent 16 7 17 2" xfId="10693" xr:uid="{10DA5C6C-81A5-4EF0-A47F-AEC100B89781}"/>
    <cellStyle name="Percent 16 7 17 3" xfId="10694" xr:uid="{CEBCAFF4-EEA0-403D-B990-7831E0A49C12}"/>
    <cellStyle name="Percent 16 7 17 4" xfId="10695" xr:uid="{13166868-B434-44FC-A575-056F39B51C8D}"/>
    <cellStyle name="Percent 16 7 17 5" xfId="10696" xr:uid="{42B8BA89-FE85-41B3-BCA9-FEA58EE312E3}"/>
    <cellStyle name="Percent 16 7 18" xfId="10697" xr:uid="{AF82E30B-EB5A-49DB-AF38-19E03A0F6B39}"/>
    <cellStyle name="Percent 16 7 18 2" xfId="10698" xr:uid="{A25E9B65-E7F0-4D7E-914C-B270E31B1D92}"/>
    <cellStyle name="Percent 16 7 18 3" xfId="10699" xr:uid="{5F56284F-549C-48D5-9354-F1DA6326BD75}"/>
    <cellStyle name="Percent 16 7 18 4" xfId="10700" xr:uid="{503432A3-1520-47A3-A84C-7A9DC0843A7B}"/>
    <cellStyle name="Percent 16 7 18 5" xfId="10701" xr:uid="{144AF7DF-0FDE-4A44-B4E4-1A5958392D8C}"/>
    <cellStyle name="Percent 16 7 19" xfId="10702" xr:uid="{1FF524D3-A376-4F70-9B19-E734F4B5D129}"/>
    <cellStyle name="Percent 16 7 19 2" xfId="10703" xr:uid="{EAB27C53-C315-4A4D-A622-C8D9C2B62C9C}"/>
    <cellStyle name="Percent 16 7 19 3" xfId="10704" xr:uid="{3CC2BE98-A2A3-47A8-B457-5F3B54B68582}"/>
    <cellStyle name="Percent 16 7 19 4" xfId="10705" xr:uid="{3D76DA5C-054F-42FC-90D7-DD6A92542B41}"/>
    <cellStyle name="Percent 16 7 19 5" xfId="10706" xr:uid="{BEBCEEE8-F3B7-42E9-A4CA-99E4589DE979}"/>
    <cellStyle name="Percent 16 7 2" xfId="10707" xr:uid="{238E7D1A-9479-4B45-8FB1-ED5106C1CC2D}"/>
    <cellStyle name="Percent 16 7 2 2" xfId="10708" xr:uid="{42D60595-E111-4FFF-AD86-25A890C647DC}"/>
    <cellStyle name="Percent 16 7 2 2 2" xfId="10709" xr:uid="{DCB49A9A-E3FE-4ED2-9C87-EE3E044FFB47}"/>
    <cellStyle name="Percent 16 7 2 2 3" xfId="10710" xr:uid="{2EE0BD42-AE9E-4D5F-8874-1CFB790DFDD9}"/>
    <cellStyle name="Percent 16 7 2 2 4" xfId="10711" xr:uid="{5BAC4EF8-C861-431F-A211-62EF6252E210}"/>
    <cellStyle name="Percent 16 7 2 2 5" xfId="10712" xr:uid="{892B6176-2595-4CAC-8ABA-97001889F0FB}"/>
    <cellStyle name="Percent 16 7 2 3" xfId="10713" xr:uid="{22E7530B-9346-4101-812D-0D0953677A17}"/>
    <cellStyle name="Percent 16 7 2 3 2" xfId="10714" xr:uid="{88767C7B-CB02-4735-B515-01F2CBCB0CAE}"/>
    <cellStyle name="Percent 16 7 2 3 3" xfId="10715" xr:uid="{2D153B6A-44E9-4B20-B334-876935938EF5}"/>
    <cellStyle name="Percent 16 7 2 3 4" xfId="10716" xr:uid="{89748030-F020-4E9A-810C-022D767551C5}"/>
    <cellStyle name="Percent 16 7 2 3 5" xfId="10717" xr:uid="{3D96F23B-82F1-4AC8-A923-906A6222A7AD}"/>
    <cellStyle name="Percent 16 7 2 4" xfId="10718" xr:uid="{C0122262-209B-43D6-B2D1-D5D870F4DE0D}"/>
    <cellStyle name="Percent 16 7 2 5" xfId="10719" xr:uid="{9B5118EF-49BF-4D64-B12B-3051E8006E1B}"/>
    <cellStyle name="Percent 16 7 2 6" xfId="10720" xr:uid="{6FD86D29-6702-4ACA-ADA9-CCE07D9419E3}"/>
    <cellStyle name="Percent 16 7 2 7" xfId="10721" xr:uid="{0B49FB39-70D0-4CAF-9EB4-F655C8390031}"/>
    <cellStyle name="Percent 16 7 20" xfId="10722" xr:uid="{3CC19F23-70B8-4B8B-972B-9BCCBA8D7FB9}"/>
    <cellStyle name="Percent 16 7 21" xfId="10723" xr:uid="{92EBDC6E-6B95-4EBD-84DF-93FB459FDDB6}"/>
    <cellStyle name="Percent 16 7 22" xfId="10724" xr:uid="{1F0E731F-9800-4B22-B1BA-E7CBA1874B39}"/>
    <cellStyle name="Percent 16 7 23" xfId="10725" xr:uid="{87A84324-BF76-4B67-AC0A-B3C000B7BE85}"/>
    <cellStyle name="Percent 16 7 3" xfId="10726" xr:uid="{0C6336B8-0A22-46EA-965B-BB94AB065A4B}"/>
    <cellStyle name="Percent 16 7 3 2" xfId="10727" xr:uid="{57B78E57-A514-4C01-857D-24C6210406FA}"/>
    <cellStyle name="Percent 16 7 3 2 2" xfId="10728" xr:uid="{A793DB55-4BEB-40CE-BBFE-82FD16DD02D6}"/>
    <cellStyle name="Percent 16 7 3 2 3" xfId="10729" xr:uid="{3ADE336B-4B1B-4A4D-89F0-747667CC3CA0}"/>
    <cellStyle name="Percent 16 7 3 2 4" xfId="10730" xr:uid="{A0E6BF50-FED5-406F-8196-D5B2B16AA939}"/>
    <cellStyle name="Percent 16 7 3 2 5" xfId="10731" xr:uid="{F11112C9-1686-44AF-8798-6E43E0BA732B}"/>
    <cellStyle name="Percent 16 7 3 3" xfId="10732" xr:uid="{B6B7BCD8-458C-4FD4-A154-B5EDD570B9E5}"/>
    <cellStyle name="Percent 16 7 3 3 2" xfId="10733" xr:uid="{671534B0-8198-4346-8CF8-D86E1D052E30}"/>
    <cellStyle name="Percent 16 7 3 3 3" xfId="10734" xr:uid="{5B3928D4-0AD0-40F5-807B-1AFEB53103AA}"/>
    <cellStyle name="Percent 16 7 3 3 4" xfId="10735" xr:uid="{7C669543-8460-4E54-97CE-A0756374104C}"/>
    <cellStyle name="Percent 16 7 3 3 5" xfId="10736" xr:uid="{669163BA-CBC4-4B98-B44F-7A4029346729}"/>
    <cellStyle name="Percent 16 7 3 4" xfId="10737" xr:uid="{0BA52299-1CC9-444D-9362-B03DB7E742A6}"/>
    <cellStyle name="Percent 16 7 3 5" xfId="10738" xr:uid="{18DA46A0-EE32-405F-B4F8-44CF54E9531E}"/>
    <cellStyle name="Percent 16 7 3 6" xfId="10739" xr:uid="{163E9963-A366-4F6C-8A47-DCB20773BCE8}"/>
    <cellStyle name="Percent 16 7 3 7" xfId="10740" xr:uid="{627633B4-B371-467F-8A69-858C65E272A7}"/>
    <cellStyle name="Percent 16 7 4" xfId="10741" xr:uid="{8DD896BD-23DF-42FD-AF7B-E5180F0CA02D}"/>
    <cellStyle name="Percent 16 7 4 2" xfId="10742" xr:uid="{BAB3AAD4-9BA3-4147-9646-1E5898977BA1}"/>
    <cellStyle name="Percent 16 7 4 3" xfId="10743" xr:uid="{C575982B-D4DF-42EF-B096-25F6D40529FA}"/>
    <cellStyle name="Percent 16 7 4 4" xfId="10744" xr:uid="{20B00B36-05A1-4B4E-A353-A7B1E7B7523C}"/>
    <cellStyle name="Percent 16 7 4 5" xfId="10745" xr:uid="{B2A372BC-23FF-44CB-949F-C0F73684AC1E}"/>
    <cellStyle name="Percent 16 7 5" xfId="10746" xr:uid="{7F9F1049-4BDA-4C72-B511-6B86072F5389}"/>
    <cellStyle name="Percent 16 7 5 2" xfId="10747" xr:uid="{9B74EC50-E870-42A1-99B5-820A1B562703}"/>
    <cellStyle name="Percent 16 7 5 3" xfId="10748" xr:uid="{6BDC23AE-8CDB-4BCB-8AA0-87D0242F951E}"/>
    <cellStyle name="Percent 16 7 5 4" xfId="10749" xr:uid="{A6FB3A19-F05F-4408-B24A-4073F53E53C2}"/>
    <cellStyle name="Percent 16 7 5 5" xfId="10750" xr:uid="{273313C6-590C-4190-914A-98D52911A33E}"/>
    <cellStyle name="Percent 16 7 6" xfId="10751" xr:uid="{6ECD9B31-30D8-42BE-94FB-7CEA431FE47A}"/>
    <cellStyle name="Percent 16 7 6 2" xfId="10752" xr:uid="{693AF841-5C15-4C7A-857D-07158012B841}"/>
    <cellStyle name="Percent 16 7 6 3" xfId="10753" xr:uid="{5D904560-09E8-450D-95CF-43BFBD8394BB}"/>
    <cellStyle name="Percent 16 7 6 4" xfId="10754" xr:uid="{40EE8DA1-852E-4BED-A050-1AA219C8693E}"/>
    <cellStyle name="Percent 16 7 6 5" xfId="10755" xr:uid="{DF820082-7344-4115-8DDF-2E097B590E81}"/>
    <cellStyle name="Percent 16 7 7" xfId="10756" xr:uid="{22FC5C69-5F30-4925-A0F0-738955ADBCFA}"/>
    <cellStyle name="Percent 16 7 7 2" xfId="10757" xr:uid="{F0EE985D-596B-4D6B-A431-177036F7289F}"/>
    <cellStyle name="Percent 16 7 7 3" xfId="10758" xr:uid="{7A2B69FA-9812-4CD8-B510-89F4C9F57276}"/>
    <cellStyle name="Percent 16 7 7 4" xfId="10759" xr:uid="{FA4AB28B-8D63-448E-BC4D-687855E0DD17}"/>
    <cellStyle name="Percent 16 7 7 5" xfId="10760" xr:uid="{09712F63-E129-4F31-B5A8-AA94BA73F9A5}"/>
    <cellStyle name="Percent 16 7 8" xfId="10761" xr:uid="{1636F399-9406-401C-BF5F-FA49404C516E}"/>
    <cellStyle name="Percent 16 7 8 2" xfId="10762" xr:uid="{790F1C2F-0CCE-442D-958E-2F3B8FCDEFC7}"/>
    <cellStyle name="Percent 16 7 8 3" xfId="10763" xr:uid="{BA622822-FCCA-47E4-99B4-11F133B4EDDB}"/>
    <cellStyle name="Percent 16 7 8 4" xfId="10764" xr:uid="{6F97B35C-BBE7-4DDE-88DF-1059BF064DDD}"/>
    <cellStyle name="Percent 16 7 8 5" xfId="10765" xr:uid="{D21E73B1-6D09-46EB-98C0-3F7CBFFE5F37}"/>
    <cellStyle name="Percent 16 7 9" xfId="10766" xr:uid="{080EDA1F-DB98-4CFC-BF03-5F3A63354778}"/>
    <cellStyle name="Percent 16 7 9 2" xfId="10767" xr:uid="{322E507B-D92C-47F2-830F-2FB95182E62A}"/>
    <cellStyle name="Percent 16 7 9 3" xfId="10768" xr:uid="{4E9994E3-7482-4B08-8724-29EA37D904E6}"/>
    <cellStyle name="Percent 16 7 9 4" xfId="10769" xr:uid="{CBE220C7-4DD3-4A6A-BCAC-A0CEBE678055}"/>
    <cellStyle name="Percent 16 7 9 5" xfId="10770" xr:uid="{A9732429-008E-4273-8B34-95BEE43C9D04}"/>
    <cellStyle name="Percent 16 8" xfId="10771" xr:uid="{F40CA838-FE64-4B07-8675-AE47323775D9}"/>
    <cellStyle name="Percent 16 8 10" xfId="10772" xr:uid="{5499BD53-09DE-4DBB-A485-B2C6E74C522D}"/>
    <cellStyle name="Percent 16 8 10 2" xfId="10773" xr:uid="{71A911FD-F0DA-4C72-8424-DE5243E9ED74}"/>
    <cellStyle name="Percent 16 8 10 3" xfId="10774" xr:uid="{F85C92A6-43AC-486B-B53F-0F8B68999734}"/>
    <cellStyle name="Percent 16 8 10 4" xfId="10775" xr:uid="{E622923A-CB54-4C69-A5D8-9EC24286FE17}"/>
    <cellStyle name="Percent 16 8 10 5" xfId="10776" xr:uid="{8ED0FFC5-8F07-41A5-BF1D-D8F067208AEA}"/>
    <cellStyle name="Percent 16 8 11" xfId="10777" xr:uid="{E5D04446-0066-40DA-BAEA-D0BBD85810BF}"/>
    <cellStyle name="Percent 16 8 11 2" xfId="10778" xr:uid="{52EFDCE6-172F-4CB7-BBED-4984974576C6}"/>
    <cellStyle name="Percent 16 8 11 3" xfId="10779" xr:uid="{FA9759B3-09D1-43AC-9120-AF07A6ED25FE}"/>
    <cellStyle name="Percent 16 8 11 4" xfId="10780" xr:uid="{37519D06-6545-4292-815F-E2FD83A87604}"/>
    <cellStyle name="Percent 16 8 11 5" xfId="10781" xr:uid="{5802E1B4-6D8B-4533-A6CC-FA95986F13BE}"/>
    <cellStyle name="Percent 16 8 12" xfId="10782" xr:uid="{E3B16B88-50F5-4B0D-A8CB-75D4FEB7995C}"/>
    <cellStyle name="Percent 16 8 12 2" xfId="10783" xr:uid="{4693C9FC-D90E-4A4C-BB98-1789C7872987}"/>
    <cellStyle name="Percent 16 8 12 3" xfId="10784" xr:uid="{5FB14CEF-AD91-4C1D-9432-6C2713833685}"/>
    <cellStyle name="Percent 16 8 12 4" xfId="10785" xr:uid="{1B367250-5289-4F5A-BE52-2ECAF2B8B4DC}"/>
    <cellStyle name="Percent 16 8 12 5" xfId="10786" xr:uid="{B8563474-685A-4B86-B27E-8D3C89C7A885}"/>
    <cellStyle name="Percent 16 8 13" xfId="10787" xr:uid="{EF1F3898-A7E8-43E8-8CAD-2870956F8F84}"/>
    <cellStyle name="Percent 16 8 13 2" xfId="10788" xr:uid="{EE33BFF5-3541-4E2F-83F9-F82298B6CB7E}"/>
    <cellStyle name="Percent 16 8 13 3" xfId="10789" xr:uid="{F515A5B5-2C32-46CC-9024-52FE8D1775ED}"/>
    <cellStyle name="Percent 16 8 13 4" xfId="10790" xr:uid="{05444124-1602-4543-ACC4-C45B3D29F1DC}"/>
    <cellStyle name="Percent 16 8 13 5" xfId="10791" xr:uid="{F0CE5AAA-2E5E-4319-B654-A5077724B89B}"/>
    <cellStyle name="Percent 16 8 14" xfId="10792" xr:uid="{9B143070-AE0A-435F-A961-9031E0B0C6B0}"/>
    <cellStyle name="Percent 16 8 14 2" xfId="10793" xr:uid="{CE683F25-6A52-475E-B339-36C8D7DB5583}"/>
    <cellStyle name="Percent 16 8 14 3" xfId="10794" xr:uid="{3D3A93A1-F6B5-46B5-9D4A-671C261C6A42}"/>
    <cellStyle name="Percent 16 8 14 4" xfId="10795" xr:uid="{86F80CDE-85CF-4C43-874F-58C7B53882C6}"/>
    <cellStyle name="Percent 16 8 14 5" xfId="10796" xr:uid="{BC4DE4C1-C7F4-4485-963F-CEC0D4C4B9A1}"/>
    <cellStyle name="Percent 16 8 15" xfId="10797" xr:uid="{57DB5C76-2490-4A01-BAC9-003E26D9C8E7}"/>
    <cellStyle name="Percent 16 8 15 2" xfId="10798" xr:uid="{212FDDBB-72AF-4D96-ACD4-8EB5A4ABF42E}"/>
    <cellStyle name="Percent 16 8 15 3" xfId="10799" xr:uid="{95984EEA-C549-45F9-A9E1-8460C73AB5BF}"/>
    <cellStyle name="Percent 16 8 15 4" xfId="10800" xr:uid="{115C6C59-3B87-4CA9-8457-2E8FE0B64E0D}"/>
    <cellStyle name="Percent 16 8 15 5" xfId="10801" xr:uid="{2B55F0CF-4CEE-4601-B795-6E3B6B8F5948}"/>
    <cellStyle name="Percent 16 8 16" xfId="10802" xr:uid="{0314AA66-DE1A-4075-947B-6AD6C7D5F50C}"/>
    <cellStyle name="Percent 16 8 16 2" xfId="10803" xr:uid="{90AEFB33-4516-4425-B495-809011E85177}"/>
    <cellStyle name="Percent 16 8 16 3" xfId="10804" xr:uid="{FA41CCB0-AD50-40EA-AB4F-CC85867893A0}"/>
    <cellStyle name="Percent 16 8 16 4" xfId="10805" xr:uid="{46BEAEF7-7499-443F-84BC-28EC0E2BD27A}"/>
    <cellStyle name="Percent 16 8 16 5" xfId="10806" xr:uid="{F2AA59E5-C369-4C7E-AF63-9B930D371CD1}"/>
    <cellStyle name="Percent 16 8 17" xfId="10807" xr:uid="{FCCD41DB-9DFE-4CF1-BF47-47F6CC54981C}"/>
    <cellStyle name="Percent 16 8 17 2" xfId="10808" xr:uid="{40736249-0ED6-405D-8F87-8AD99F393228}"/>
    <cellStyle name="Percent 16 8 17 3" xfId="10809" xr:uid="{DEED15AF-B7FF-482A-BF29-B1474FCBED0C}"/>
    <cellStyle name="Percent 16 8 17 4" xfId="10810" xr:uid="{773AC86C-DFCC-49AF-A2A7-0FCF93120BE1}"/>
    <cellStyle name="Percent 16 8 17 5" xfId="10811" xr:uid="{3F7406CC-5233-4769-8013-7FC92E111F3D}"/>
    <cellStyle name="Percent 16 8 18" xfId="10812" xr:uid="{FE23146F-5AE4-4DE9-AA6C-FFC7EA371FE5}"/>
    <cellStyle name="Percent 16 8 19" xfId="10813" xr:uid="{0E1175D4-3030-4583-BC34-49072AAB6DE8}"/>
    <cellStyle name="Percent 16 8 2" xfId="10814" xr:uid="{17976059-442D-4B1F-984F-167DCFDFDF47}"/>
    <cellStyle name="Percent 16 8 2 2" xfId="10815" xr:uid="{B15AD979-16BB-4C31-9659-DC7AA3A9BFB9}"/>
    <cellStyle name="Percent 16 8 2 3" xfId="10816" xr:uid="{E4D394FA-816F-4F56-AC05-C724A640D8EE}"/>
    <cellStyle name="Percent 16 8 2 4" xfId="10817" xr:uid="{D7FC5B5B-0A6E-4FB1-A280-3474F2A738B3}"/>
    <cellStyle name="Percent 16 8 2 5" xfId="10818" xr:uid="{3733BB9F-099D-4E5A-A6AF-58238B5379E8}"/>
    <cellStyle name="Percent 16 8 20" xfId="10819" xr:uid="{76E649D1-E683-43AA-BE83-B13CEADF87CB}"/>
    <cellStyle name="Percent 16 8 21" xfId="10820" xr:uid="{B76A15BE-748F-4926-B064-494FCEFDBF53}"/>
    <cellStyle name="Percent 16 8 3" xfId="10821" xr:uid="{9EF24BED-F0DC-4143-9488-A17950BF778F}"/>
    <cellStyle name="Percent 16 8 3 2" xfId="10822" xr:uid="{0423BE23-FF9B-4BE8-853F-F5C072761648}"/>
    <cellStyle name="Percent 16 8 3 3" xfId="10823" xr:uid="{B2387D62-14AF-4DFF-AF1C-0D9DE2D3F410}"/>
    <cellStyle name="Percent 16 8 3 4" xfId="10824" xr:uid="{9FF232C4-DFB0-4DF9-A4E5-AD3F79C291A9}"/>
    <cellStyle name="Percent 16 8 3 5" xfId="10825" xr:uid="{128D6AAA-CF4C-43A0-ADB6-EE4C347752FF}"/>
    <cellStyle name="Percent 16 8 4" xfId="10826" xr:uid="{06705EFC-D7ED-448F-91A5-BAEFCA6A295C}"/>
    <cellStyle name="Percent 16 8 4 2" xfId="10827" xr:uid="{4C30CDA2-54CF-46F5-9F43-5212DC7CF63D}"/>
    <cellStyle name="Percent 16 8 4 3" xfId="10828" xr:uid="{EDA01828-D771-4B2A-8D6A-FBC1CEA7B87F}"/>
    <cellStyle name="Percent 16 8 4 4" xfId="10829" xr:uid="{03D83912-7CE1-4F5C-A757-3133EE78F29E}"/>
    <cellStyle name="Percent 16 8 4 5" xfId="10830" xr:uid="{717BB788-167A-4692-B3C8-76A7EA9E4069}"/>
    <cellStyle name="Percent 16 8 5" xfId="10831" xr:uid="{95B133CA-BAD9-41FB-A0CD-27F3B12F7024}"/>
    <cellStyle name="Percent 16 8 5 2" xfId="10832" xr:uid="{9A969B94-E639-4A23-972D-D09D6B1F3841}"/>
    <cellStyle name="Percent 16 8 5 3" xfId="10833" xr:uid="{EFC6C62A-C3F9-43DC-B580-C6B62EE99548}"/>
    <cellStyle name="Percent 16 8 5 4" xfId="10834" xr:uid="{2556B6CA-D386-4B06-AC1A-8C3334EF1150}"/>
    <cellStyle name="Percent 16 8 5 5" xfId="10835" xr:uid="{3668037B-5D8A-4E4A-9719-363E1053192D}"/>
    <cellStyle name="Percent 16 8 6" xfId="10836" xr:uid="{C6AE434B-F4DA-4F8B-BD46-3DD9F08F1809}"/>
    <cellStyle name="Percent 16 8 6 2" xfId="10837" xr:uid="{29F8F224-3AF0-4EC8-8B32-BB078DC9AE08}"/>
    <cellStyle name="Percent 16 8 6 3" xfId="10838" xr:uid="{13D3F363-D9B5-4121-89FD-25CB6C537981}"/>
    <cellStyle name="Percent 16 8 6 4" xfId="10839" xr:uid="{4EB823C4-2248-4A45-A83B-41287B2D1904}"/>
    <cellStyle name="Percent 16 8 6 5" xfId="10840" xr:uid="{D6F86414-D346-413D-B882-F97F7DCCB262}"/>
    <cellStyle name="Percent 16 8 7" xfId="10841" xr:uid="{20D956EC-7EDC-40E8-9106-A3791642A4F3}"/>
    <cellStyle name="Percent 16 8 7 2" xfId="10842" xr:uid="{80DF6C69-8592-42EE-BB08-97E098CE6C44}"/>
    <cellStyle name="Percent 16 8 7 3" xfId="10843" xr:uid="{AED5A470-D766-4683-B948-02132A47F7DE}"/>
    <cellStyle name="Percent 16 8 7 4" xfId="10844" xr:uid="{69C18897-D108-463F-AF9E-5BC60E315FAE}"/>
    <cellStyle name="Percent 16 8 7 5" xfId="10845" xr:uid="{42ED89E7-F001-4AA2-A889-8AC561BC03BF}"/>
    <cellStyle name="Percent 16 8 8" xfId="10846" xr:uid="{2B48498A-3117-4498-86CB-98A638F2EF7F}"/>
    <cellStyle name="Percent 16 8 8 2" xfId="10847" xr:uid="{2453BF05-C981-448E-9E7C-892597631B20}"/>
    <cellStyle name="Percent 16 8 8 3" xfId="10848" xr:uid="{06EF04BD-A57E-47B6-BDCD-DC9FA5050C28}"/>
    <cellStyle name="Percent 16 8 8 4" xfId="10849" xr:uid="{EE289E2C-F5AA-4B8C-BCEC-7284B484E04F}"/>
    <cellStyle name="Percent 16 8 8 5" xfId="10850" xr:uid="{1DF5B1CF-7BC0-4EAB-BC9C-68046569B9CF}"/>
    <cellStyle name="Percent 16 8 9" xfId="10851" xr:uid="{FA48DD37-6930-4C52-8577-6503FE365323}"/>
    <cellStyle name="Percent 16 8 9 2" xfId="10852" xr:uid="{6713A131-9B8C-4F28-9B61-3084BD0D7B41}"/>
    <cellStyle name="Percent 16 8 9 3" xfId="10853" xr:uid="{479A4FB5-B585-4445-A45B-B40E1486A04C}"/>
    <cellStyle name="Percent 16 8 9 4" xfId="10854" xr:uid="{91BFCC6B-763E-4B27-A697-C3A6F1C687E8}"/>
    <cellStyle name="Percent 16 8 9 5" xfId="10855" xr:uid="{DA940026-47D8-4029-A0CE-6489449EEE02}"/>
    <cellStyle name="Percent 16 9" xfId="10856" xr:uid="{6EA8D6A6-FF46-47AE-9C05-A44CAEAE95F4}"/>
    <cellStyle name="Percent 16 9 10" xfId="10857" xr:uid="{CB12396F-B3FF-4316-B229-E85575CE4BBC}"/>
    <cellStyle name="Percent 16 9 10 2" xfId="10858" xr:uid="{4D627547-5289-4F9C-9555-228BDE80BEB6}"/>
    <cellStyle name="Percent 16 9 10 3" xfId="10859" xr:uid="{4FAF5D14-455E-4D6B-B00D-F83977988181}"/>
    <cellStyle name="Percent 16 9 10 4" xfId="10860" xr:uid="{BD829B62-D6BC-4938-8527-A1D9180D8DAD}"/>
    <cellStyle name="Percent 16 9 10 5" xfId="10861" xr:uid="{02D0166B-B5E6-400B-9CC8-3C70C412B3DD}"/>
    <cellStyle name="Percent 16 9 11" xfId="10862" xr:uid="{2C9B72AC-D5ED-400E-82DA-4C72497F2647}"/>
    <cellStyle name="Percent 16 9 11 2" xfId="10863" xr:uid="{F6770C59-B972-4679-8490-2E5B7BBB3F7D}"/>
    <cellStyle name="Percent 16 9 11 3" xfId="10864" xr:uid="{6EF43B02-99C0-4C3C-9E88-1D6F2C7FE7D9}"/>
    <cellStyle name="Percent 16 9 11 4" xfId="10865" xr:uid="{6E4A99AE-94C4-428C-9F11-A6755403345D}"/>
    <cellStyle name="Percent 16 9 11 5" xfId="10866" xr:uid="{07A0A3DD-B686-4D32-9470-1DF873638975}"/>
    <cellStyle name="Percent 16 9 12" xfId="10867" xr:uid="{220F65CE-4606-4E53-9AC5-60C6AE6274D8}"/>
    <cellStyle name="Percent 16 9 12 2" xfId="10868" xr:uid="{7351FC5D-AD16-4941-B36D-034D365B7F35}"/>
    <cellStyle name="Percent 16 9 12 3" xfId="10869" xr:uid="{55E41FDB-E0A0-4E91-8F81-118209C219DC}"/>
    <cellStyle name="Percent 16 9 12 4" xfId="10870" xr:uid="{A132811B-89B0-4A4E-B592-9093D0985A15}"/>
    <cellStyle name="Percent 16 9 12 5" xfId="10871" xr:uid="{06F20287-2D29-4F5B-A5D6-35E7AA548AA7}"/>
    <cellStyle name="Percent 16 9 13" xfId="10872" xr:uid="{D8499539-8EEA-4EBD-A0C2-E3F4DF1E20D1}"/>
    <cellStyle name="Percent 16 9 13 2" xfId="10873" xr:uid="{59702221-FE28-4F93-BA79-0D682E60B431}"/>
    <cellStyle name="Percent 16 9 13 3" xfId="10874" xr:uid="{3F7E5CC7-8199-49ED-8AFF-CD0330B03DE7}"/>
    <cellStyle name="Percent 16 9 13 4" xfId="10875" xr:uid="{386F7446-A861-4E67-BFBF-4C5BE73A2BF6}"/>
    <cellStyle name="Percent 16 9 13 5" xfId="10876" xr:uid="{6A5EE9DC-0477-43BB-9296-023EA170D9A1}"/>
    <cellStyle name="Percent 16 9 14" xfId="10877" xr:uid="{67940B89-70A7-4EBC-9E88-6A46280D62FA}"/>
    <cellStyle name="Percent 16 9 14 2" xfId="10878" xr:uid="{8AA4AA8D-F83E-4CC8-B91B-C7BF871239B6}"/>
    <cellStyle name="Percent 16 9 14 3" xfId="10879" xr:uid="{10B1D420-C6EC-4A5B-8BD5-6AAA7C05BFCA}"/>
    <cellStyle name="Percent 16 9 14 4" xfId="10880" xr:uid="{FE27D60C-A907-45CB-83E1-A96346863320}"/>
    <cellStyle name="Percent 16 9 14 5" xfId="10881" xr:uid="{FC6ECB0A-D641-4F5B-A96F-C8CF1F942647}"/>
    <cellStyle name="Percent 16 9 15" xfId="10882" xr:uid="{C14B7140-034F-4BEC-BE6B-C9011EB06D2F}"/>
    <cellStyle name="Percent 16 9 15 2" xfId="10883" xr:uid="{8A4D1407-B5F9-4EE4-921E-6CA14A930A34}"/>
    <cellStyle name="Percent 16 9 15 3" xfId="10884" xr:uid="{9ED01853-09BB-4424-872A-7E1D3DC63F65}"/>
    <cellStyle name="Percent 16 9 15 4" xfId="10885" xr:uid="{BCE494B1-9F13-4C3E-81F9-DEC8A80811B2}"/>
    <cellStyle name="Percent 16 9 15 5" xfId="10886" xr:uid="{67A6224B-E904-4C72-8CCF-20C66B4105FA}"/>
    <cellStyle name="Percent 16 9 16" xfId="10887" xr:uid="{D72F997D-7678-4D48-B2D1-45BE488D04CC}"/>
    <cellStyle name="Percent 16 9 16 2" xfId="10888" xr:uid="{04525F0A-45FE-4078-9881-2538E0FF5D21}"/>
    <cellStyle name="Percent 16 9 16 3" xfId="10889" xr:uid="{4D529F87-0314-4E15-AF51-DC43134A3A04}"/>
    <cellStyle name="Percent 16 9 16 4" xfId="10890" xr:uid="{906C2739-A73C-4433-96A4-C031C32A5207}"/>
    <cellStyle name="Percent 16 9 16 5" xfId="10891" xr:uid="{FF79E243-D9BF-49E5-B56F-EA3D22963EE1}"/>
    <cellStyle name="Percent 16 9 17" xfId="10892" xr:uid="{F88ADD0D-EB8E-4C10-AF2A-8E7730016740}"/>
    <cellStyle name="Percent 16 9 17 2" xfId="10893" xr:uid="{6088DDDC-3698-4AAA-9348-9C428333FD60}"/>
    <cellStyle name="Percent 16 9 17 3" xfId="10894" xr:uid="{8C976CAC-813D-4BAC-ABA9-0FEB2EC4EBE1}"/>
    <cellStyle name="Percent 16 9 17 4" xfId="10895" xr:uid="{0A828D78-C0E1-4091-9FF4-C50C8C9B6C16}"/>
    <cellStyle name="Percent 16 9 17 5" xfId="10896" xr:uid="{F7518347-5A1C-4C5F-B23D-DD88B1A0770D}"/>
    <cellStyle name="Percent 16 9 18" xfId="10897" xr:uid="{88AFDA97-47C9-4D3F-AA14-C31811E27AA3}"/>
    <cellStyle name="Percent 16 9 19" xfId="10898" xr:uid="{FF37C346-FA91-416A-823D-3F889661DA4E}"/>
    <cellStyle name="Percent 16 9 2" xfId="10899" xr:uid="{52FFB53D-C8BC-478B-8A3F-614B81EF93DA}"/>
    <cellStyle name="Percent 16 9 2 2" xfId="10900" xr:uid="{7A8FD11C-2EE7-4F9B-8BA0-5DE418B1153E}"/>
    <cellStyle name="Percent 16 9 2 3" xfId="10901" xr:uid="{B4C27C3E-300F-4604-BBD9-8B4065D2881D}"/>
    <cellStyle name="Percent 16 9 2 4" xfId="10902" xr:uid="{2F40181B-B17E-44CC-B845-F744E4B51EFD}"/>
    <cellStyle name="Percent 16 9 2 5" xfId="10903" xr:uid="{B94E80D5-28F9-4FEB-A74F-FAE9D7BDF391}"/>
    <cellStyle name="Percent 16 9 20" xfId="10904" xr:uid="{AD708222-068C-4E22-BAE3-4DC639C10C13}"/>
    <cellStyle name="Percent 16 9 21" xfId="10905" xr:uid="{2288003E-5754-46E9-AEC2-E7CE35F00B19}"/>
    <cellStyle name="Percent 16 9 3" xfId="10906" xr:uid="{E2FBD86B-BC01-42E4-BD5D-A81F6A0C2298}"/>
    <cellStyle name="Percent 16 9 3 2" xfId="10907" xr:uid="{963F9996-F7C0-45FB-B026-78C6D5D01796}"/>
    <cellStyle name="Percent 16 9 3 3" xfId="10908" xr:uid="{F071DFD5-FF85-495D-8F4C-DD0FEA5349D5}"/>
    <cellStyle name="Percent 16 9 3 4" xfId="10909" xr:uid="{23784460-6398-4BBD-B2A3-EBDE355E378D}"/>
    <cellStyle name="Percent 16 9 3 5" xfId="10910" xr:uid="{68031BC0-473B-4B87-BBB4-963A463B5E08}"/>
    <cellStyle name="Percent 16 9 4" xfId="10911" xr:uid="{E09F5356-52A4-4008-AB97-BD5DECF02458}"/>
    <cellStyle name="Percent 16 9 4 2" xfId="10912" xr:uid="{E8B7CFB1-A700-4A3F-AA52-5ECE5797E23F}"/>
    <cellStyle name="Percent 16 9 4 3" xfId="10913" xr:uid="{9CA82E4E-537B-4B7D-8A66-737BDD9145FA}"/>
    <cellStyle name="Percent 16 9 4 4" xfId="10914" xr:uid="{F89F7138-184E-456A-8ACF-08AA99EF855C}"/>
    <cellStyle name="Percent 16 9 4 5" xfId="10915" xr:uid="{34B14DEA-1781-462D-AE49-F9096772A14F}"/>
    <cellStyle name="Percent 16 9 5" xfId="10916" xr:uid="{5FE50BD3-8F17-45F4-939B-A71DB4DF6437}"/>
    <cellStyle name="Percent 16 9 5 2" xfId="10917" xr:uid="{1D53593E-6F09-4285-B906-4B7DD64BFBED}"/>
    <cellStyle name="Percent 16 9 5 3" xfId="10918" xr:uid="{250589A9-FA17-4577-800C-68E8264F2144}"/>
    <cellStyle name="Percent 16 9 5 4" xfId="10919" xr:uid="{9963DBAA-40E6-404F-B64C-3B64F6A702E5}"/>
    <cellStyle name="Percent 16 9 5 5" xfId="10920" xr:uid="{BFAE92C3-0BEB-4420-85FA-CDF651070AF2}"/>
    <cellStyle name="Percent 16 9 6" xfId="10921" xr:uid="{3315BC70-821F-4A16-BACE-03A6CF4ABFB8}"/>
    <cellStyle name="Percent 16 9 6 2" xfId="10922" xr:uid="{E81D8166-26E9-48BB-9A79-A82F1A0948C0}"/>
    <cellStyle name="Percent 16 9 6 3" xfId="10923" xr:uid="{E04B820F-E5F5-45EB-B755-AD86484F1289}"/>
    <cellStyle name="Percent 16 9 6 4" xfId="10924" xr:uid="{10456CAD-2562-43D9-BBD3-E2A0ABC743B6}"/>
    <cellStyle name="Percent 16 9 6 5" xfId="10925" xr:uid="{CCF2FEE7-6CAA-41A3-96FE-1E4C9982EB8C}"/>
    <cellStyle name="Percent 16 9 7" xfId="10926" xr:uid="{22B326A6-BFCE-48BD-B2F6-DA148A0431F5}"/>
    <cellStyle name="Percent 16 9 7 2" xfId="10927" xr:uid="{85B08ED0-74FF-49DA-AC5B-04E062310301}"/>
    <cellStyle name="Percent 16 9 7 3" xfId="10928" xr:uid="{0599FF54-2AC4-4154-B366-81B5474842C6}"/>
    <cellStyle name="Percent 16 9 7 4" xfId="10929" xr:uid="{04E175C8-C2E1-4665-A72C-1CC69A69326C}"/>
    <cellStyle name="Percent 16 9 7 5" xfId="10930" xr:uid="{54F4B6CC-028D-4AB6-93D5-C8D5438B538C}"/>
    <cellStyle name="Percent 16 9 8" xfId="10931" xr:uid="{4EE87821-737A-4C78-93CD-8522C8A7CDB4}"/>
    <cellStyle name="Percent 16 9 8 2" xfId="10932" xr:uid="{53428230-1E88-4CA8-BDA2-381F083FCB9E}"/>
    <cellStyle name="Percent 16 9 8 3" xfId="10933" xr:uid="{08C84787-37DB-46E5-8A73-1412D856F552}"/>
    <cellStyle name="Percent 16 9 8 4" xfId="10934" xr:uid="{EC369DB5-8E11-4C65-A7B7-C270DE74BF94}"/>
    <cellStyle name="Percent 16 9 8 5" xfId="10935" xr:uid="{27656C5F-2F5D-482D-A005-3E46EFCB9F52}"/>
    <cellStyle name="Percent 16 9 9" xfId="10936" xr:uid="{4DF44525-C111-4AAB-ACBE-853CC42AB92E}"/>
    <cellStyle name="Percent 16 9 9 2" xfId="10937" xr:uid="{8066D086-8E09-4080-A38A-012E046DFA46}"/>
    <cellStyle name="Percent 16 9 9 3" xfId="10938" xr:uid="{6D183418-78CA-44A6-A2D6-93C19F44F5E8}"/>
    <cellStyle name="Percent 16 9 9 4" xfId="10939" xr:uid="{C560EF73-0465-4239-9FBF-91A43067E6A2}"/>
    <cellStyle name="Percent 16 9 9 5" xfId="10940" xr:uid="{67A88006-41C7-4E58-88B2-C0DA5B5BBCE0}"/>
    <cellStyle name="Percent 17" xfId="10941" xr:uid="{DAFBE144-2C77-4B68-867E-2447D9283827}"/>
    <cellStyle name="Percent 17 10" xfId="10942" xr:uid="{6CEEB59E-27A7-4F2F-9E2F-4E3E59482F61}"/>
    <cellStyle name="Percent 17 10 2" xfId="10943" xr:uid="{3A7B4A0C-81E4-41BA-9970-E6ABA326B385}"/>
    <cellStyle name="Percent 17 10 3" xfId="10944" xr:uid="{8946A9CE-39CA-4482-8B9E-91B16C388542}"/>
    <cellStyle name="Percent 17 11" xfId="10945" xr:uid="{F6C88CD9-4029-41A0-B3E7-736F17428A3D}"/>
    <cellStyle name="Percent 17 12" xfId="10946" xr:uid="{8A8640AA-CC72-4904-9DA3-E84BE7FFAE51}"/>
    <cellStyle name="Percent 17 13" xfId="10947" xr:uid="{0646FDA1-D578-4005-8D04-42150D5BB454}"/>
    <cellStyle name="Percent 17 2" xfId="10948" xr:uid="{01261DF5-A419-4881-A23C-37BD037BE839}"/>
    <cellStyle name="Percent 17 2 2" xfId="10949" xr:uid="{DCEC2C0C-B5B7-4FFE-A1C5-435667C62D01}"/>
    <cellStyle name="Percent 17 2 3" xfId="10950" xr:uid="{996A8E6A-D81E-456C-B1D2-3DD742E9C11D}"/>
    <cellStyle name="Percent 17 2 4" xfId="10951" xr:uid="{1CDCD337-4158-4E54-8ADD-D9E0DD175F84}"/>
    <cellStyle name="Percent 17 2 5" xfId="10952" xr:uid="{5DFDA0C0-C96E-4156-8910-557E39497B28}"/>
    <cellStyle name="Percent 17 2 6" xfId="10953" xr:uid="{56BD9B30-69EC-418A-B4EB-0BAF9887A59B}"/>
    <cellStyle name="Percent 17 3" xfId="10954" xr:uid="{1416DE97-62FC-4246-9819-BAC0426755AE}"/>
    <cellStyle name="Percent 17 3 2" xfId="10955" xr:uid="{C6280834-83E1-4B15-85E0-28AFEFA2395C}"/>
    <cellStyle name="Percent 17 3 3" xfId="10956" xr:uid="{93C2DFD4-E514-41F3-BEF8-F2266E9F10DB}"/>
    <cellStyle name="Percent 17 3 4" xfId="10957" xr:uid="{9C8CBB4B-11DB-44B8-BF43-F591474F542B}"/>
    <cellStyle name="Percent 17 3 5" xfId="10958" xr:uid="{7B9AE183-35A8-4572-B661-54761CC43D54}"/>
    <cellStyle name="Percent 17 4" xfId="10959" xr:uid="{5DE25E71-1549-4529-92C3-AA34877C5FEA}"/>
    <cellStyle name="Percent 17 4 2" xfId="10960" xr:uid="{42AC9320-8960-4508-9F8F-17368BCA1A71}"/>
    <cellStyle name="Percent 17 4 3" xfId="10961" xr:uid="{0A1FC0FA-AB87-4DA3-A5BD-AFA95C2E0430}"/>
    <cellStyle name="Percent 17 4 4" xfId="10962" xr:uid="{1B0D7D1A-6566-465D-83BC-D8EEAEB89F06}"/>
    <cellStyle name="Percent 17 4 5" xfId="10963" xr:uid="{508A3D39-722C-45E1-8257-928C5DCDDE46}"/>
    <cellStyle name="Percent 17 5" xfId="10964" xr:uid="{C93788AF-3A79-4D75-A922-95DA440C5E9F}"/>
    <cellStyle name="Percent 17 5 2" xfId="10965" xr:uid="{F340A81E-3C41-4CF8-9759-6D172558089D}"/>
    <cellStyle name="Percent 17 5 3" xfId="10966" xr:uid="{9CC8840C-169C-4ED9-BD02-7687233449C1}"/>
    <cellStyle name="Percent 17 5 4" xfId="10967" xr:uid="{F817E14E-6A3C-4087-AF75-554F7C5562D8}"/>
    <cellStyle name="Percent 17 5 5" xfId="10968" xr:uid="{E896341E-3D18-46A3-B062-F295E4AFADDB}"/>
    <cellStyle name="Percent 17 6" xfId="10969" xr:uid="{22F3CD4A-53BD-4AFF-AA27-9F7A91365179}"/>
    <cellStyle name="Percent 17 6 2" xfId="10970" xr:uid="{C6853868-A0D1-4B18-9093-890295FC7EA0}"/>
    <cellStyle name="Percent 17 6 3" xfId="10971" xr:uid="{0D39DAA4-025C-40D3-96D4-2C86A7B26EE0}"/>
    <cellStyle name="Percent 17 6 4" xfId="10972" xr:uid="{592F23EB-F2F8-4EB6-AC28-EDE3DE3EDB65}"/>
    <cellStyle name="Percent 17 6 5" xfId="10973" xr:uid="{CCF78738-C659-4B14-BEDA-4CFD463ED083}"/>
    <cellStyle name="Percent 17 7" xfId="10974" xr:uid="{4A2ECE24-F12A-4C90-B0F7-4D4047CF07A2}"/>
    <cellStyle name="Percent 17 7 2" xfId="10975" xr:uid="{3D94A3A5-FADE-467F-9AAE-61A129E1D158}"/>
    <cellStyle name="Percent 17 7 2 2" xfId="10976" xr:uid="{DE3C2E55-C6F7-44C8-BBF0-1E28DBBE344B}"/>
    <cellStyle name="Percent 17 7 2 3" xfId="10977" xr:uid="{995E05C9-7D6A-4528-ABAC-1EDCD7A554CD}"/>
    <cellStyle name="Percent 17 7 2 4" xfId="10978" xr:uid="{D223A732-150A-43D6-B152-54B57C1808EB}"/>
    <cellStyle name="Percent 17 7 2 5" xfId="10979" xr:uid="{DAB5A230-3DB3-4A2B-84C5-75474EBB0AD8}"/>
    <cellStyle name="Percent 17 7 3" xfId="10980" xr:uid="{B8E5D0E3-B585-4133-A10F-C557C9AE9AED}"/>
    <cellStyle name="Percent 17 7 3 2" xfId="10981" xr:uid="{4B5ED329-B055-48E4-98BE-9F416FBF9AC6}"/>
    <cellStyle name="Percent 17 7 3 3" xfId="10982" xr:uid="{19E409C2-4807-4459-96DF-4D5A921C903A}"/>
    <cellStyle name="Percent 17 7 3 4" xfId="10983" xr:uid="{70955CD3-E3AA-4B4D-868E-2DAA4FF7BCF2}"/>
    <cellStyle name="Percent 17 7 3 5" xfId="10984" xr:uid="{396ECF5B-4D66-4466-8A55-8CEA467BAE4A}"/>
    <cellStyle name="Percent 17 7 4" xfId="10985" xr:uid="{6F19B0ED-4743-49AB-86CB-8AE69799AFBA}"/>
    <cellStyle name="Percent 17 7 5" xfId="10986" xr:uid="{C0209BD6-A0C8-4727-9097-BB880C0902B8}"/>
    <cellStyle name="Percent 17 7 6" xfId="10987" xr:uid="{E697568D-6704-4EC4-BB02-65178BE6B659}"/>
    <cellStyle name="Percent 17 7 7" xfId="10988" xr:uid="{DB693B47-9048-45A1-9E23-D82A33551F4E}"/>
    <cellStyle name="Percent 17 8" xfId="10989" xr:uid="{C46983C2-F191-4186-A842-5E1BDE176C3E}"/>
    <cellStyle name="Percent 17 8 2" xfId="10990" xr:uid="{7B2C22B7-DE14-456D-B9A8-917AD0C2C47D}"/>
    <cellStyle name="Percent 17 8 2 2" xfId="10991" xr:uid="{55C14339-48E4-4F70-A886-0795A1B679D7}"/>
    <cellStyle name="Percent 17 8 2 3" xfId="10992" xr:uid="{A80E97C7-44F0-4EA6-92AA-C9262ECD41AC}"/>
    <cellStyle name="Percent 17 8 2 4" xfId="10993" xr:uid="{2DC756C4-F2B6-4634-A7F4-1A330F4749E7}"/>
    <cellStyle name="Percent 17 8 2 5" xfId="10994" xr:uid="{E6ED8017-CB97-4B1C-ADE7-1555CD95378A}"/>
    <cellStyle name="Percent 17 8 3" xfId="10995" xr:uid="{5870D395-E76C-45F5-9B06-F9D52962ED2F}"/>
    <cellStyle name="Percent 17 8 4" xfId="10996" xr:uid="{07D83978-6A30-4021-9D41-402F09E9B815}"/>
    <cellStyle name="Percent 17 8 5" xfId="10997" xr:uid="{D6D49DB8-AB0B-4F26-8A06-91BB45840E30}"/>
    <cellStyle name="Percent 17 8 6" xfId="10998" xr:uid="{BAC85825-1110-484F-8964-2883006CE58A}"/>
    <cellStyle name="Percent 17 9" xfId="10999" xr:uid="{36C5E627-F908-4BB1-A9AB-9D7B3DDF382A}"/>
    <cellStyle name="Percent 17 9 2" xfId="11000" xr:uid="{E35993DA-1AD0-4D23-8CB4-EC609FDE1C54}"/>
    <cellStyle name="Percent 17 9 3" xfId="11001" xr:uid="{BC663981-306F-4EC2-9D7C-A6FB14BF7DE2}"/>
    <cellStyle name="Percent 17 9 4" xfId="11002" xr:uid="{DB1FFAD1-C54E-443F-B121-81842FA86F9B}"/>
    <cellStyle name="Percent 17 9 5" xfId="11003" xr:uid="{A73FF444-E2E1-44AC-80F0-07A6402E3BB6}"/>
    <cellStyle name="Percent 17 9 6" xfId="11004" xr:uid="{66C24F7A-FC90-4F3C-9310-E3F8916EAC3E}"/>
    <cellStyle name="Percent 17 9 7" xfId="11005" xr:uid="{FF44F1C3-2C66-4167-8305-A3264BCB0165}"/>
    <cellStyle name="Percent 17 9 8" xfId="11006" xr:uid="{C2080560-645D-4E6E-B574-9FD8FD5E1CAC}"/>
    <cellStyle name="Percent 17 9 9" xfId="11007" xr:uid="{74C07AF4-48CF-46CB-B3D7-BE51590A73A6}"/>
    <cellStyle name="Percent 18" xfId="11008" xr:uid="{FCD4F498-75F0-4AEA-A26E-828193F3CD28}"/>
    <cellStyle name="Percent 18 2" xfId="11009" xr:uid="{BD3BE022-86AB-434D-BDEF-A0EEE5282CAC}"/>
    <cellStyle name="Percent 18 2 2" xfId="11010" xr:uid="{01E4CFF3-9297-4157-A419-920A63B3A8C3}"/>
    <cellStyle name="Percent 18 2 3" xfId="11011" xr:uid="{21325920-5B62-498D-BCBA-54C66205C301}"/>
    <cellStyle name="Percent 18 3" xfId="11012" xr:uid="{DC1F6AFD-6A9C-4107-9EE5-25758D0D62E1}"/>
    <cellStyle name="Percent 18 4" xfId="11013" xr:uid="{9A2426DF-C8FA-4478-BF46-339B0B83D6F9}"/>
    <cellStyle name="Percent 18 5" xfId="11014" xr:uid="{17094F25-A3D8-48C4-9CD0-1E01ED1ACD60}"/>
    <cellStyle name="Percent 18 6" xfId="11015" xr:uid="{B5848A23-8510-481E-B742-D7183A7DDD00}"/>
    <cellStyle name="Percent 18 7" xfId="11016" xr:uid="{E93995C7-56F3-4D76-A5B8-304E0B8F6AF2}"/>
    <cellStyle name="Percent 19" xfId="11017" xr:uid="{3F7D5EFF-BD60-4C77-A2FA-02E338990F24}"/>
    <cellStyle name="Percent 19 2" xfId="11018" xr:uid="{B3E4B572-FF79-4552-A61E-946A8CC62228}"/>
    <cellStyle name="Percent 19 2 2" xfId="11019" xr:uid="{16629A16-997E-4253-AF64-ED9678D3EE61}"/>
    <cellStyle name="Percent 19 2 3" xfId="11020" xr:uid="{87812FAA-EC28-4F87-8545-871E5EB97174}"/>
    <cellStyle name="Percent 19 2 4" xfId="11021" xr:uid="{CDD9844F-0576-4BB8-AC9B-04DDC5DE2895}"/>
    <cellStyle name="Percent 19 2 5" xfId="11022" xr:uid="{C9A89B66-3723-4282-9FB1-C84E621C9322}"/>
    <cellStyle name="Percent 19 3" xfId="11023" xr:uid="{2002F799-7C04-4312-80F5-3C7AD3EF0FC3}"/>
    <cellStyle name="Percent 19 4" xfId="11024" xr:uid="{74618EFD-12F8-4BA6-A897-F0F480E790A8}"/>
    <cellStyle name="Percent 19 5" xfId="11025" xr:uid="{CBF4A137-B66A-4F08-88C4-E00CDFACE8C4}"/>
    <cellStyle name="Percent 19 6" xfId="11026" xr:uid="{134E9EFC-A566-4CE5-A675-AE7A73FD2C9C}"/>
    <cellStyle name="Percent 2" xfId="21" xr:uid="{00000000-0005-0000-0000-000019000000}"/>
    <cellStyle name="Percent 2 10" xfId="11027" xr:uid="{4D63B468-9236-443F-92F7-4CF0C91F6B83}"/>
    <cellStyle name="Percent 2 10 10" xfId="11028" xr:uid="{6552C977-F0E6-4683-967E-CA5B6C135667}"/>
    <cellStyle name="Percent 2 10 11" xfId="11029" xr:uid="{8C64C9B5-1B26-4B21-83C4-0F436C42982E}"/>
    <cellStyle name="Percent 2 10 12" xfId="11030" xr:uid="{B98A61C0-B15C-47B8-96EE-83E39005246C}"/>
    <cellStyle name="Percent 2 10 2" xfId="11031" xr:uid="{29E94F28-B6EF-4D9B-BD6E-2C40803E3731}"/>
    <cellStyle name="Percent 2 10 2 2" xfId="11032" xr:uid="{DAFB6AA4-2362-432A-8F6F-B48116375294}"/>
    <cellStyle name="Percent 2 10 2 3" xfId="11033" xr:uid="{8F71B782-688D-44BE-B3C1-0247C3540179}"/>
    <cellStyle name="Percent 2 10 2 4" xfId="11034" xr:uid="{B361E2CE-425E-43C6-A6B3-109BB04ACDA5}"/>
    <cellStyle name="Percent 2 10 2 5" xfId="11035" xr:uid="{77F48AFA-F1FC-4016-BDA7-14748BFF088A}"/>
    <cellStyle name="Percent 2 10 3" xfId="11036" xr:uid="{41858E6E-1BAE-4B72-95DA-5F55C1EC8C31}"/>
    <cellStyle name="Percent 2 10 3 2" xfId="11037" xr:uid="{5F6527F4-3CE3-4340-B664-26E462270831}"/>
    <cellStyle name="Percent 2 10 3 3" xfId="11038" xr:uid="{9522D7C2-12BA-415E-B4CD-30FF7C6E826D}"/>
    <cellStyle name="Percent 2 10 3 4" xfId="11039" xr:uid="{6FB77827-3D47-485E-99F3-BFE1E4DED811}"/>
    <cellStyle name="Percent 2 10 3 5" xfId="11040" xr:uid="{71B04D95-22C0-4099-BB1C-0FB11438BCC8}"/>
    <cellStyle name="Percent 2 10 4" xfId="11041" xr:uid="{9B750541-924B-46E4-907E-41E02BA980FB}"/>
    <cellStyle name="Percent 2 10 4 2" xfId="11042" xr:uid="{89CEEFED-9473-4129-A1F9-EC9F440B2301}"/>
    <cellStyle name="Percent 2 10 4 3" xfId="11043" xr:uid="{1AF01E1F-9225-4692-8C09-D32F1ABFB40E}"/>
    <cellStyle name="Percent 2 10 4 4" xfId="11044" xr:uid="{50CD75DC-6F87-4271-AC82-2A477DC59AC5}"/>
    <cellStyle name="Percent 2 10 4 5" xfId="11045" xr:uid="{631E6537-213C-4050-8CDE-0487F3AD0AFD}"/>
    <cellStyle name="Percent 2 10 5" xfId="11046" xr:uid="{CCD843AC-CA47-4963-A4A0-1FAAC208E24F}"/>
    <cellStyle name="Percent 2 10 5 2" xfId="11047" xr:uid="{A0E857A8-EF64-4557-A10C-0051433EF013}"/>
    <cellStyle name="Percent 2 10 5 3" xfId="11048" xr:uid="{B4552AAB-F186-40E5-84F7-44C7D093EDAB}"/>
    <cellStyle name="Percent 2 10 5 4" xfId="11049" xr:uid="{20DA2217-2669-44AB-80E7-EBB8683DF527}"/>
    <cellStyle name="Percent 2 10 5 5" xfId="11050" xr:uid="{D74C61B8-A9BC-4E66-97BD-CD537EDC5688}"/>
    <cellStyle name="Percent 2 10 6" xfId="11051" xr:uid="{787D1683-4D3A-4147-BFEE-75B2CA05A2DF}"/>
    <cellStyle name="Percent 2 10 6 2" xfId="11052" xr:uid="{75ADB797-B024-4484-86F9-9536FC9C206A}"/>
    <cellStyle name="Percent 2 10 6 3" xfId="11053" xr:uid="{99C0197C-A0A2-426A-B720-33422F0CCBA8}"/>
    <cellStyle name="Percent 2 10 6 4" xfId="11054" xr:uid="{7CAEEE73-56AE-4A67-AC5D-6215E463926E}"/>
    <cellStyle name="Percent 2 10 6 5" xfId="11055" xr:uid="{42D8F8E8-729B-40EC-A5A8-833A737E325B}"/>
    <cellStyle name="Percent 2 10 7" xfId="11056" xr:uid="{0BC25410-A597-404B-BDA5-2F2CCA071198}"/>
    <cellStyle name="Percent 2 10 7 2" xfId="11057" xr:uid="{B7460D05-3874-4E01-9219-B0A85815B79C}"/>
    <cellStyle name="Percent 2 10 7 3" xfId="11058" xr:uid="{F176E0C2-7675-4522-8323-5885DF8AFBA7}"/>
    <cellStyle name="Percent 2 10 7 4" xfId="11059" xr:uid="{8E2A5B2F-186F-430F-8088-05B566FC6D3C}"/>
    <cellStyle name="Percent 2 10 7 5" xfId="11060" xr:uid="{65704375-D05A-4633-810C-916EB15B1ECA}"/>
    <cellStyle name="Percent 2 10 8" xfId="11061" xr:uid="{155B4BCD-2E79-41DD-8A97-44FCEBB52784}"/>
    <cellStyle name="Percent 2 10 8 2" xfId="11062" xr:uid="{A271EEDC-DD74-472B-A157-C1FB1FB5181F}"/>
    <cellStyle name="Percent 2 10 8 3" xfId="11063" xr:uid="{CC04B3BC-774C-49A2-8083-06FAFA76A5D6}"/>
    <cellStyle name="Percent 2 10 8 4" xfId="11064" xr:uid="{B991466D-866B-42D4-A9DC-463136E3A4B7}"/>
    <cellStyle name="Percent 2 10 8 5" xfId="11065" xr:uid="{3973529B-3A6E-4BB6-B301-88CA7D8F041E}"/>
    <cellStyle name="Percent 2 10 9" xfId="11066" xr:uid="{C21ECE21-83A4-4A43-B08D-4A710757ABD0}"/>
    <cellStyle name="Percent 2 11" xfId="11067" xr:uid="{24613DAF-1683-448C-895C-DC0F71B9E4C4}"/>
    <cellStyle name="Percent 2 11 10" xfId="11068" xr:uid="{8A135D44-4BFE-49CB-9CA3-CBA70A7AD0B0}"/>
    <cellStyle name="Percent 2 11 11" xfId="11069" xr:uid="{23865E20-B2DD-43D9-B0F9-F1D9C379E741}"/>
    <cellStyle name="Percent 2 11 12" xfId="11070" xr:uid="{5A660F6C-A28B-4203-BD6B-EDE7B4EEA3DF}"/>
    <cellStyle name="Percent 2 11 2" xfId="11071" xr:uid="{3B98308F-EABD-4951-8DD6-BA17B2E53288}"/>
    <cellStyle name="Percent 2 11 2 2" xfId="11072" xr:uid="{2AB093A7-0C13-4C0C-9E73-766D821AD824}"/>
    <cellStyle name="Percent 2 11 2 3" xfId="11073" xr:uid="{12D56B28-5644-4D28-8AB1-CBA4A188A843}"/>
    <cellStyle name="Percent 2 11 2 4" xfId="11074" xr:uid="{26781224-BAE9-4B73-9AB2-AD8FC7C0EED3}"/>
    <cellStyle name="Percent 2 11 2 5" xfId="11075" xr:uid="{4333FC08-AA1D-4ED6-98B4-D1A0DE17E447}"/>
    <cellStyle name="Percent 2 11 3" xfId="11076" xr:uid="{70A35C5D-C3FC-40F0-8F2F-0110135E229A}"/>
    <cellStyle name="Percent 2 11 3 2" xfId="11077" xr:uid="{E4C61861-9264-4105-94C2-B1B2177EFF6E}"/>
    <cellStyle name="Percent 2 11 3 3" xfId="11078" xr:uid="{B6F47EDA-751F-4E0D-99BB-448714ECA4D1}"/>
    <cellStyle name="Percent 2 11 3 4" xfId="11079" xr:uid="{21CB5269-E2AA-40F3-88F6-30FB2C303497}"/>
    <cellStyle name="Percent 2 11 3 5" xfId="11080" xr:uid="{7F7F0C60-EBDD-4EDE-B762-0F8D8725E794}"/>
    <cellStyle name="Percent 2 11 4" xfId="11081" xr:uid="{F382D454-31D9-4DCD-B5AF-E9D92648CC3D}"/>
    <cellStyle name="Percent 2 11 4 2" xfId="11082" xr:uid="{8EF44094-A90A-41EE-B711-6075B62CF2C2}"/>
    <cellStyle name="Percent 2 11 4 3" xfId="11083" xr:uid="{092958A5-AD8E-46EA-A0E4-A18E8DBC9EFF}"/>
    <cellStyle name="Percent 2 11 4 4" xfId="11084" xr:uid="{A939AC97-E0BD-45E3-81EC-99E479740228}"/>
    <cellStyle name="Percent 2 11 4 5" xfId="11085" xr:uid="{60644332-1FD2-4B66-995F-49F600DD452A}"/>
    <cellStyle name="Percent 2 11 5" xfId="11086" xr:uid="{11AB4EAC-6E3F-4DB2-83A1-1CD1EB5C974C}"/>
    <cellStyle name="Percent 2 11 5 2" xfId="11087" xr:uid="{E1014870-86B6-436A-915C-340696668605}"/>
    <cellStyle name="Percent 2 11 5 3" xfId="11088" xr:uid="{177232E4-4C74-431D-A77F-42A85DF712E5}"/>
    <cellStyle name="Percent 2 11 5 4" xfId="11089" xr:uid="{5FC3AFBE-799E-4F76-8191-442F4B07007A}"/>
    <cellStyle name="Percent 2 11 5 5" xfId="11090" xr:uid="{D2F02A76-165E-4487-AD1E-813292E6A5B4}"/>
    <cellStyle name="Percent 2 11 6" xfId="11091" xr:uid="{7ECA98E4-5E91-4B74-B5DC-54221447D767}"/>
    <cellStyle name="Percent 2 11 6 2" xfId="11092" xr:uid="{907C2F6F-D26D-4719-8704-0D8D3208C1EE}"/>
    <cellStyle name="Percent 2 11 6 3" xfId="11093" xr:uid="{C8F7B05B-AD97-423C-923E-A620B8159C57}"/>
    <cellStyle name="Percent 2 11 6 4" xfId="11094" xr:uid="{2785B2DA-405A-4754-A4E3-F8BB8E0BD0FD}"/>
    <cellStyle name="Percent 2 11 6 5" xfId="11095" xr:uid="{8EE061EF-1AE0-4E28-8E37-4738593870FA}"/>
    <cellStyle name="Percent 2 11 7" xfId="11096" xr:uid="{06013386-E3BD-449B-86B4-B2AD7C5210E8}"/>
    <cellStyle name="Percent 2 11 7 2" xfId="11097" xr:uid="{967D3737-979F-4E4C-B0BA-C50BEC4BA231}"/>
    <cellStyle name="Percent 2 11 7 3" xfId="11098" xr:uid="{8041BEF8-599F-4D8B-99A8-E652D3437761}"/>
    <cellStyle name="Percent 2 11 7 4" xfId="11099" xr:uid="{A412986B-3926-4288-A7C6-89EE5ED97DD1}"/>
    <cellStyle name="Percent 2 11 7 5" xfId="11100" xr:uid="{3C60506F-7A7D-4A38-B225-E2A1391F658B}"/>
    <cellStyle name="Percent 2 11 8" xfId="11101" xr:uid="{9502BFF0-39E0-495F-8E2C-B940424636CB}"/>
    <cellStyle name="Percent 2 11 8 2" xfId="11102" xr:uid="{E21DC0DE-5A9E-4CC9-AD89-6D8A77812D6A}"/>
    <cellStyle name="Percent 2 11 8 3" xfId="11103" xr:uid="{9A833617-5787-401B-8369-2241A421C89F}"/>
    <cellStyle name="Percent 2 11 8 4" xfId="11104" xr:uid="{F96E3E10-B36B-4B81-93D2-1A8CA1F7322D}"/>
    <cellStyle name="Percent 2 11 8 5" xfId="11105" xr:uid="{8C043B11-122F-4F3B-B13A-D18F7682A009}"/>
    <cellStyle name="Percent 2 11 9" xfId="11106" xr:uid="{9AB3BB73-7B46-41B0-9694-063241CB7555}"/>
    <cellStyle name="Percent 2 12" xfId="11107" xr:uid="{E9DB938D-C6F5-4914-8DD3-88A3FC441D87}"/>
    <cellStyle name="Percent 2 12 2" xfId="11108" xr:uid="{3DFA400F-CCD9-4B28-A960-E460A591F97D}"/>
    <cellStyle name="Percent 2 12 3" xfId="11109" xr:uid="{E47146FB-843A-4B4B-91A5-8F8099828EF3}"/>
    <cellStyle name="Percent 2 12 4" xfId="11110" xr:uid="{015A8191-BBA7-45B0-8715-73F1C5CCC8EA}"/>
    <cellStyle name="Percent 2 12 5" xfId="11111" xr:uid="{C79716E4-923F-4523-95E8-04FE54CADF79}"/>
    <cellStyle name="Percent 2 13" xfId="11112" xr:uid="{272A062B-7A7D-415A-ABA7-7510046C04AA}"/>
    <cellStyle name="Percent 2 13 2" xfId="11113" xr:uid="{5E2D517B-EA67-457F-8E73-40EB26392335}"/>
    <cellStyle name="Percent 2 13 3" xfId="11114" xr:uid="{ADC73F61-27DD-4A66-8D86-FA9B9441F70B}"/>
    <cellStyle name="Percent 2 13 4" xfId="11115" xr:uid="{BF71B899-7ED7-4542-B765-D2FC93994440}"/>
    <cellStyle name="Percent 2 13 5" xfId="11116" xr:uid="{07F1288C-E42A-46C3-93B4-3B1B01AE281E}"/>
    <cellStyle name="Percent 2 14" xfId="11117" xr:uid="{DA43E9DD-0E09-449C-9B4F-4799CDF90A36}"/>
    <cellStyle name="Percent 2 14 2" xfId="11118" xr:uid="{D0F184FC-F9B2-447D-A579-C373C9FBA030}"/>
    <cellStyle name="Percent 2 14 3" xfId="11119" xr:uid="{1B3AC42D-48EB-4A01-A1A6-6A882DF257D1}"/>
    <cellStyle name="Percent 2 14 4" xfId="11120" xr:uid="{49855FBD-483A-48E6-B903-A04C8A82FB18}"/>
    <cellStyle name="Percent 2 14 5" xfId="11121" xr:uid="{D67905E3-503A-44EB-90DF-89866E8F2DBC}"/>
    <cellStyle name="Percent 2 15" xfId="11122" xr:uid="{1ABC4FBF-5921-43DC-A35B-65C02F161C83}"/>
    <cellStyle name="Percent 2 15 2" xfId="11123" xr:uid="{AC2E0D10-E38D-4791-B153-DF292AC994CD}"/>
    <cellStyle name="Percent 2 15 3" xfId="11124" xr:uid="{F47CF56F-8B25-4AFC-9E86-8ECCD2BA73BA}"/>
    <cellStyle name="Percent 2 15 4" xfId="11125" xr:uid="{80A0A86B-4FBA-4146-8E16-E449922B1732}"/>
    <cellStyle name="Percent 2 15 5" xfId="11126" xr:uid="{7D0B10CE-2242-4480-B0C6-A270DD62FF7A}"/>
    <cellStyle name="Percent 2 16" xfId="11127" xr:uid="{7D9B165A-C046-4753-9928-431F42F66FBB}"/>
    <cellStyle name="Percent 2 16 2" xfId="11128" xr:uid="{48D4A7C9-3440-4473-9843-A814EFC4D90D}"/>
    <cellStyle name="Percent 2 16 3" xfId="11129" xr:uid="{EAE0E452-AD09-4CF3-A44B-0750D386E788}"/>
    <cellStyle name="Percent 2 16 4" xfId="11130" xr:uid="{8AB93C02-BD97-490E-84BD-8380C7505C17}"/>
    <cellStyle name="Percent 2 16 5" xfId="11131" xr:uid="{0D968D49-06DB-4110-A7A7-545592779EA1}"/>
    <cellStyle name="Percent 2 17" xfId="11132" xr:uid="{4D0AE41E-60AA-49E0-AD5D-F1A45F162B30}"/>
    <cellStyle name="Percent 2 17 2" xfId="11133" xr:uid="{93BB1743-6718-4177-9C0D-46842E5426CA}"/>
    <cellStyle name="Percent 2 17 3" xfId="11134" xr:uid="{0C70D644-312E-4330-BB8C-8B515DFD9B2E}"/>
    <cellStyle name="Percent 2 17 4" xfId="11135" xr:uid="{4388791D-8E15-46A5-975D-0AA61E27BAF3}"/>
    <cellStyle name="Percent 2 17 5" xfId="11136" xr:uid="{BE041832-6260-4828-8617-C0BA7E64AA8B}"/>
    <cellStyle name="Percent 2 18" xfId="11137" xr:uid="{78FD76E8-7E7D-456E-BE62-179A87C4A65E}"/>
    <cellStyle name="Percent 2 18 2" xfId="11138" xr:uid="{90361F69-4502-4F88-9E11-CEC4F71E0D71}"/>
    <cellStyle name="Percent 2 18 3" xfId="11139" xr:uid="{56A8025E-654F-4CA7-90A5-EA12164712AB}"/>
    <cellStyle name="Percent 2 18 4" xfId="11140" xr:uid="{582474B9-2B03-4349-9328-6D298D0D3B54}"/>
    <cellStyle name="Percent 2 18 5" xfId="11141" xr:uid="{C29C6FD9-F795-43A6-88AD-BF2A75F4B024}"/>
    <cellStyle name="Percent 2 19" xfId="11142" xr:uid="{943F738B-CDA9-41C7-8172-AD383B2441A6}"/>
    <cellStyle name="Percent 2 19 2" xfId="11143" xr:uid="{FE3AB086-4B7C-4FCE-BC92-84FBA3B11C68}"/>
    <cellStyle name="Percent 2 19 2 2" xfId="11144" xr:uid="{9FA3D320-ECE0-45A8-B567-669EC4E3C5AC}"/>
    <cellStyle name="Percent 2 19 3" xfId="11145" xr:uid="{37E95D50-AF4E-4EE7-B158-FE61220968C2}"/>
    <cellStyle name="Percent 2 19 4" xfId="11146" xr:uid="{752C0DF5-492F-471B-AF5C-5DFB79D1441A}"/>
    <cellStyle name="Percent 2 19 5" xfId="11147" xr:uid="{306C0815-68DF-4ABA-88F0-42979FCA7A94}"/>
    <cellStyle name="Percent 2 19 6" xfId="11148" xr:uid="{71B74416-1E10-483C-BC62-DC454265D7B6}"/>
    <cellStyle name="Percent 2 2" xfId="11149" xr:uid="{B3442057-F01F-4136-9AA2-90DC601FC280}"/>
    <cellStyle name="Percent 2 2 10" xfId="11150" xr:uid="{EA55E952-D978-4485-8216-3E6C71416632}"/>
    <cellStyle name="Percent 2 2 11" xfId="11151" xr:uid="{F65484E5-E494-448C-AEAE-34D1021B3A2E}"/>
    <cellStyle name="Percent 2 2 12" xfId="11152" xr:uid="{1A62A948-FA57-4670-B6D0-B76EE230C246}"/>
    <cellStyle name="Percent 2 2 13" xfId="11153" xr:uid="{5E71B940-0B06-4647-9C68-F27C88F7505A}"/>
    <cellStyle name="Percent 2 2 2" xfId="11154" xr:uid="{3D30F6B0-294C-4CDD-859E-6CBFF71D2D1E}"/>
    <cellStyle name="Percent 2 2 2 2" xfId="11155" xr:uid="{5D2D7E4F-D1D2-4531-84CC-1681C157AEEA}"/>
    <cellStyle name="Percent 2 2 2 3" xfId="11156" xr:uid="{41EEA29D-650A-4351-B1D9-E55D06EAB104}"/>
    <cellStyle name="Percent 2 2 2 4" xfId="11157" xr:uid="{47ADA4A4-D031-4CFE-9182-30382BFB0886}"/>
    <cellStyle name="Percent 2 2 2 5" xfId="11158" xr:uid="{F801B450-16B3-4725-8AA8-66FAEBC13EE8}"/>
    <cellStyle name="Percent 2 2 3" xfId="11159" xr:uid="{30E524E2-99CE-4D6A-B2A3-8E9F01CA5AF5}"/>
    <cellStyle name="Percent 2 2 3 2" xfId="11160" xr:uid="{72516A8F-90BB-4161-B8CC-EB447F7CBC94}"/>
    <cellStyle name="Percent 2 2 3 2 2" xfId="11161" xr:uid="{B25D87CC-89DE-4D1B-A1D4-932DF46C323F}"/>
    <cellStyle name="Percent 2 2 3 2 3" xfId="11162" xr:uid="{3665B0ED-5870-4DF1-8741-369E477CBD6E}"/>
    <cellStyle name="Percent 2 2 3 2 4" xfId="11163" xr:uid="{B0C7CC38-F122-4753-84B6-B0C07CE2EAD0}"/>
    <cellStyle name="Percent 2 2 3 2 5" xfId="11164" xr:uid="{7E1F183B-4474-412F-AD71-D0B6E43B1EC4}"/>
    <cellStyle name="Percent 2 2 3 3" xfId="11165" xr:uid="{37767763-37A2-4E32-8146-9E7E97056A14}"/>
    <cellStyle name="Percent 2 2 3 3 2" xfId="11166" xr:uid="{C9BEC651-BA40-47E8-9AB6-0D0786A48114}"/>
    <cellStyle name="Percent 2 2 3 3 3" xfId="11167" xr:uid="{B32A3776-0BEC-40C4-B943-4D93DE71D66D}"/>
    <cellStyle name="Percent 2 2 3 3 4" xfId="11168" xr:uid="{0462DD81-E9E4-4B21-A8F6-55EEB1E23E32}"/>
    <cellStyle name="Percent 2 2 3 3 5" xfId="11169" xr:uid="{4498D6DF-066F-4EE9-8EC6-92BF231375C1}"/>
    <cellStyle name="Percent 2 2 3 4" xfId="11170" xr:uid="{5DDD8540-33C8-4E72-8189-53AB866260E0}"/>
    <cellStyle name="Percent 2 2 3 4 2" xfId="11171" xr:uid="{F6D764C3-F1CF-4D54-947D-170B6133BC24}"/>
    <cellStyle name="Percent 2 2 3 4 2 2" xfId="11172" xr:uid="{B961AA6C-89B9-4BF5-AB7E-DE94F71F4C28}"/>
    <cellStyle name="Percent 2 2 3 4 2 3" xfId="11173" xr:uid="{B95CC78D-E00B-418B-B65D-242B35282B2D}"/>
    <cellStyle name="Percent 2 2 3 4 2 4" xfId="11174" xr:uid="{68B3409C-0BBE-44B8-A832-BFF8CBDEE6B4}"/>
    <cellStyle name="Percent 2 2 3 4 2 5" xfId="11175" xr:uid="{5C11508C-F98D-433D-9185-C932C31CB8A4}"/>
    <cellStyle name="Percent 2 2 3 4 3" xfId="11176" xr:uid="{3691A70E-F34D-492B-A3B3-645EC2E8F7E6}"/>
    <cellStyle name="Percent 2 2 3 4 4" xfId="11177" xr:uid="{A8FC32A6-6AB7-4F9D-A18D-888C516B62DC}"/>
    <cellStyle name="Percent 2 2 3 4 5" xfId="11178" xr:uid="{D9FB0C73-6072-4C6B-B764-FD61D6DA81E3}"/>
    <cellStyle name="Percent 2 2 3 4 6" xfId="11179" xr:uid="{A8FB5EC1-B7B7-493B-82FF-3A73AB627B3F}"/>
    <cellStyle name="Percent 2 2 3 5" xfId="11180" xr:uid="{7BC22DD3-5CA5-4894-B8E1-DAF3EED4458E}"/>
    <cellStyle name="Percent 2 2 3 6" xfId="11181" xr:uid="{A202463B-95CC-451E-BA6A-8868212F5BC7}"/>
    <cellStyle name="Percent 2 2 3 7" xfId="11182" xr:uid="{79CB6677-A33B-411A-A285-C43DEF0E0EFB}"/>
    <cellStyle name="Percent 2 2 3 8" xfId="11183" xr:uid="{527794D3-519B-4714-90DF-007E0A2E57DC}"/>
    <cellStyle name="Percent 2 2 4" xfId="11184" xr:uid="{A1189C98-5C98-48B7-B926-BD070911B35B}"/>
    <cellStyle name="Percent 2 2 4 2" xfId="11185" xr:uid="{88E42098-CB4B-48C5-A54B-91B96BFA12A4}"/>
    <cellStyle name="Percent 2 2 4 2 2" xfId="11186" xr:uid="{47EA460B-8CBE-4526-93F2-4CFDAC3505FB}"/>
    <cellStyle name="Percent 2 2 4 2 3" xfId="11187" xr:uid="{CE8B9937-ED83-4BAA-9A94-D317E75F7E7A}"/>
    <cellStyle name="Percent 2 2 4 2 4" xfId="11188" xr:uid="{44000744-AE2F-4A92-AE05-836AC44D823B}"/>
    <cellStyle name="Percent 2 2 4 2 5" xfId="11189" xr:uid="{07F36348-C722-4A9E-9B4D-F4632C261370}"/>
    <cellStyle name="Percent 2 2 4 3" xfId="11190" xr:uid="{63C5F00E-6928-400D-AA12-C570937CEB78}"/>
    <cellStyle name="Percent 2 2 4 3 2" xfId="11191" xr:uid="{E0CA34A8-BCDD-45F6-A713-7902A6427AF6}"/>
    <cellStyle name="Percent 2 2 4 3 3" xfId="11192" xr:uid="{40C3A0D3-075E-41B3-92AC-A13BEDB0DB5D}"/>
    <cellStyle name="Percent 2 2 4 3 4" xfId="11193" xr:uid="{F1208CCF-EC2F-403D-B35E-2B09B8BBA7EB}"/>
    <cellStyle name="Percent 2 2 4 3 5" xfId="11194" xr:uid="{A3805CCF-8D30-4D0E-9B98-3CEBF33E6E6A}"/>
    <cellStyle name="Percent 2 2 4 4" xfId="11195" xr:uid="{0CDAE1B9-F1C0-459E-B1A0-FAD4207388D1}"/>
    <cellStyle name="Percent 2 2 4 5" xfId="11196" xr:uid="{21DA1CAB-15F4-4025-A512-7488F55D5E88}"/>
    <cellStyle name="Percent 2 2 4 6" xfId="11197" xr:uid="{5426D01F-CCD9-4D9D-96E7-4EED6C7B4ECA}"/>
    <cellStyle name="Percent 2 2 4 7" xfId="11198" xr:uid="{12634E47-BE81-44DB-898A-BC0BB12E19ED}"/>
    <cellStyle name="Percent 2 2 4 8" xfId="11199" xr:uid="{F9F086C4-EBDA-4E40-AE6A-7C514939F953}"/>
    <cellStyle name="Percent 2 2 5" xfId="11200" xr:uid="{B9B63D70-3B9D-4228-B3A7-6454C4D2A387}"/>
    <cellStyle name="Percent 2 2 5 2" xfId="11201" xr:uid="{709BEDDF-7EFB-4307-8AF0-966CE4498AC7}"/>
    <cellStyle name="Percent 2 2 5 3" xfId="11202" xr:uid="{67A6A6DB-E03A-49DA-801E-286B7CEB9A97}"/>
    <cellStyle name="Percent 2 2 5 4" xfId="11203" xr:uid="{667277C1-35C0-4659-9EFD-238ECA9973E3}"/>
    <cellStyle name="Percent 2 2 5 5" xfId="11204" xr:uid="{E525D180-6C70-4EF7-9884-1CFD892DA974}"/>
    <cellStyle name="Percent 2 2 6" xfId="11205" xr:uid="{B66FE329-5DE7-4C6C-B7D9-C4977F6FE41F}"/>
    <cellStyle name="Percent 2 2 6 2" xfId="11206" xr:uid="{6D6FE29B-46AF-4431-A55E-4E73AADD0844}"/>
    <cellStyle name="Percent 2 2 6 2 2" xfId="11207" xr:uid="{17F0DCFB-D154-4308-868D-926FD89CEFAA}"/>
    <cellStyle name="Percent 2 2 6 2 3" xfId="11208" xr:uid="{2AA77826-D3B4-42A5-A6D8-279086742FFC}"/>
    <cellStyle name="Percent 2 2 6 2 4" xfId="11209" xr:uid="{030109EB-0DAD-4B64-92A7-EA59E65151ED}"/>
    <cellStyle name="Percent 2 2 6 2 5" xfId="11210" xr:uid="{F938FD29-5C9F-4388-ACF5-89DC948118C2}"/>
    <cellStyle name="Percent 2 2 6 3" xfId="11211" xr:uid="{A523794D-BAB3-4140-8415-EA299393C512}"/>
    <cellStyle name="Percent 2 2 6 3 2" xfId="11212" xr:uid="{62FE3A01-F5CF-48E7-929D-2AF99BE3AEE2}"/>
    <cellStyle name="Percent 2 2 6 3 3" xfId="11213" xr:uid="{E393D5BA-0879-4F40-BA2C-A1E5CCF47696}"/>
    <cellStyle name="Percent 2 2 6 3 4" xfId="11214" xr:uid="{A9896FA6-2251-47A0-B886-CAC4C964E1D2}"/>
    <cellStyle name="Percent 2 2 6 3 5" xfId="11215" xr:uid="{3DE13E70-F29F-44A8-9B3D-75D2C757331E}"/>
    <cellStyle name="Percent 2 2 6 4" xfId="11216" xr:uid="{93EB18AA-6162-4A9E-B4EC-A2FCF66CA8E1}"/>
    <cellStyle name="Percent 2 2 6 5" xfId="11217" xr:uid="{89304DBB-7949-4779-9BCA-F452DCE95B30}"/>
    <cellStyle name="Percent 2 2 6 6" xfId="11218" xr:uid="{F0C32F53-E94A-4B4E-91CD-76C71E9FFEBE}"/>
    <cellStyle name="Percent 2 2 6 7" xfId="11219" xr:uid="{E45CA8E3-3910-4373-8FC2-52A54EE1773C}"/>
    <cellStyle name="Percent 2 2 6 8" xfId="11220" xr:uid="{C40A19F9-2C3A-4D9D-96B4-65BDF7ABD8C7}"/>
    <cellStyle name="Percent 2 2 7" xfId="11221" xr:uid="{AC873353-E2D5-4D6E-9B44-CD4A8C460351}"/>
    <cellStyle name="Percent 2 2 7 2" xfId="11222" xr:uid="{FCDBFEA8-B84F-408A-9261-B69ECA4C3C5E}"/>
    <cellStyle name="Percent 2 2 7 2 2" xfId="11223" xr:uid="{30DCECC9-4C29-478A-8397-45B15E050741}"/>
    <cellStyle name="Percent 2 2 7 2 3" xfId="11224" xr:uid="{C280C442-0EBF-4DA0-8DA6-14C7A200A2F0}"/>
    <cellStyle name="Percent 2 2 7 2 4" xfId="11225" xr:uid="{D928577B-50AF-40D6-B99D-5CC6ACCE743E}"/>
    <cellStyle name="Percent 2 2 7 2 5" xfId="11226" xr:uid="{47E1179D-0587-45D3-A068-FB707BD0E6EE}"/>
    <cellStyle name="Percent 2 2 7 3" xfId="11227" xr:uid="{B4D9911C-0CC2-4C26-B34A-1970F4362D10}"/>
    <cellStyle name="Percent 2 2 7 3 2" xfId="11228" xr:uid="{7248E20E-8BD5-427B-A0A5-C2765E2E1BFD}"/>
    <cellStyle name="Percent 2 2 7 3 3" xfId="11229" xr:uid="{371E2FA4-A0D3-4E80-95CC-5DD665DB75CC}"/>
    <cellStyle name="Percent 2 2 7 3 4" xfId="11230" xr:uid="{FF7E1F6B-8C44-41D8-B8F8-ABEDB89EDD79}"/>
    <cellStyle name="Percent 2 2 7 3 5" xfId="11231" xr:uid="{7A87F5DB-D2C2-4D29-ACA0-67AAC85E097F}"/>
    <cellStyle name="Percent 2 2 7 4" xfId="11232" xr:uid="{9F51FAC8-B01C-4D6A-BC97-E5FF7C7B33F4}"/>
    <cellStyle name="Percent 2 2 7 5" xfId="11233" xr:uid="{5941929D-8514-438F-B232-DA6BBC06BD84}"/>
    <cellStyle name="Percent 2 2 7 6" xfId="11234" xr:uid="{4F9519EE-10C6-41CE-984C-37F5F9151DD4}"/>
    <cellStyle name="Percent 2 2 7 7" xfId="11235" xr:uid="{FE4C8691-1946-4662-80CC-8CF8B89170B7}"/>
    <cellStyle name="Percent 2 2 7 8" xfId="11236" xr:uid="{6FD66615-BDF8-497B-95A3-06A98AC8DBED}"/>
    <cellStyle name="Percent 2 2 8" xfId="11237" xr:uid="{0EBC4167-1059-4A1C-A80D-0E9CB09E2BD6}"/>
    <cellStyle name="Percent 2 2 8 2" xfId="11238" xr:uid="{66DD9B7C-201C-468A-8343-16D55870BD35}"/>
    <cellStyle name="Percent 2 2 8 3" xfId="11239" xr:uid="{BA3EFA6D-ED39-4F4E-999B-517A58E7C942}"/>
    <cellStyle name="Percent 2 2 8 4" xfId="11240" xr:uid="{AA7E3DA8-9702-48F5-B546-971F8C9BDD38}"/>
    <cellStyle name="Percent 2 2 8 5" xfId="11241" xr:uid="{4FB5B199-49E7-42BD-B867-6C0E06091DCC}"/>
    <cellStyle name="Percent 2 2 9" xfId="11242" xr:uid="{9D125740-CDCB-400A-8F5A-F8570B65EB8D}"/>
    <cellStyle name="Percent 2 2 9 2" xfId="11243" xr:uid="{3E44BD3B-2281-4DB4-B52D-84DBC1D48A07}"/>
    <cellStyle name="Percent 2 2 9 3" xfId="11244" xr:uid="{1502FABC-B70F-4D6B-BDA7-3D4EB6F0B609}"/>
    <cellStyle name="Percent 2 2 9 4" xfId="11245" xr:uid="{8F130BEF-B856-4B21-975A-6459516D6EF3}"/>
    <cellStyle name="Percent 2 2 9 5" xfId="11246" xr:uid="{5B58DFFE-861B-4D8C-AB19-94CC193E7198}"/>
    <cellStyle name="Percent 2 20" xfId="11247" xr:uid="{1DF84C21-AFCD-4B4F-8CCA-349FEFDB0F09}"/>
    <cellStyle name="Percent 2 20 2" xfId="11248" xr:uid="{DFC25034-D0DD-4680-A6A4-E516AC3D521D}"/>
    <cellStyle name="Percent 2 20 2 2" xfId="11249" xr:uid="{DE30633B-7084-41D1-9D22-F18093FD18FC}"/>
    <cellStyle name="Percent 2 20 2 3" xfId="11250" xr:uid="{7A8649D9-ACF8-4AAB-80CD-23615785BB5A}"/>
    <cellStyle name="Percent 2 20 2 4" xfId="11251" xr:uid="{234C88E3-AD96-4525-8042-DF9E14ECFF66}"/>
    <cellStyle name="Percent 2 20 3" xfId="11252" xr:uid="{4882E69D-47B7-4CA1-91BD-F31CCA59D545}"/>
    <cellStyle name="Percent 2 20 4" xfId="11253" xr:uid="{8629F7E8-3A2A-4B84-9978-EDBA14FC81F9}"/>
    <cellStyle name="Percent 2 20 5" xfId="11254" xr:uid="{F91F3399-9B1A-45E1-ADE3-1FE0F8A52D47}"/>
    <cellStyle name="Percent 2 20 6" xfId="11255" xr:uid="{E2E107DA-7931-4A55-9171-0F4680D8BF80}"/>
    <cellStyle name="Percent 2 21" xfId="11256" xr:uid="{F138AFF1-ED22-49AD-9388-4C8C4BE7D9DC}"/>
    <cellStyle name="Percent 2 21 2" xfId="11257" xr:uid="{E5B090B6-25CD-4C6F-BAFF-07178FDAE5E0}"/>
    <cellStyle name="Percent 2 21 3" xfId="11258" xr:uid="{7DD7D293-F10F-43E0-87A2-7F7EB6C67B69}"/>
    <cellStyle name="Percent 2 21 4" xfId="11259" xr:uid="{79A63ECD-D545-471A-8A3F-33ADB779EA21}"/>
    <cellStyle name="Percent 2 21 5" xfId="11260" xr:uid="{6FD52D12-CDDC-48DF-94F4-D31A3151E7BE}"/>
    <cellStyle name="Percent 2 22" xfId="11261" xr:uid="{0A26E5BE-A0F1-48D2-BACF-CE7C44C7023E}"/>
    <cellStyle name="Percent 2 22 2" xfId="11262" xr:uid="{DF2CE04E-7685-4179-B9FC-5662B099DA90}"/>
    <cellStyle name="Percent 2 22 3" xfId="11263" xr:uid="{19F26DA4-520C-40FC-99C1-B70B7B6357E5}"/>
    <cellStyle name="Percent 2 22 4" xfId="11264" xr:uid="{A5F6DE93-469D-4CC2-A41B-89B5AD928ED3}"/>
    <cellStyle name="Percent 2 22 5" xfId="11265" xr:uid="{7AF7E7A0-1BF4-4B87-8AD9-3BAE3218C9CF}"/>
    <cellStyle name="Percent 2 23" xfId="11266" xr:uid="{709657F9-412A-4228-919D-AD4933C3213D}"/>
    <cellStyle name="Percent 2 23 2" xfId="11267" xr:uid="{D6877478-A54D-4996-84E1-4B235328EDAC}"/>
    <cellStyle name="Percent 2 23 3" xfId="11268" xr:uid="{D112F056-DC0B-4409-AB17-7B8482071309}"/>
    <cellStyle name="Percent 2 23 4" xfId="11269" xr:uid="{FDFAC674-0C48-4159-A0CE-5F3044891ECD}"/>
    <cellStyle name="Percent 2 23 5" xfId="11270" xr:uid="{245554E6-221A-4F16-9EA1-EAB79517E61E}"/>
    <cellStyle name="Percent 2 24" xfId="11271" xr:uid="{02947AE0-ECFE-40AF-BEA6-9CF122C71375}"/>
    <cellStyle name="Percent 2 24 2" xfId="11272" xr:uid="{F3747625-D6DF-41BA-BE51-8479D72726CC}"/>
    <cellStyle name="Percent 2 24 3" xfId="11273" xr:uid="{905028A0-B091-44C5-B517-4CB350A26660}"/>
    <cellStyle name="Percent 2 24 4" xfId="11274" xr:uid="{FAD5402F-A787-4865-95D4-4C1BB40BE199}"/>
    <cellStyle name="Percent 2 24 5" xfId="11275" xr:uid="{2BBD4EA8-A003-4C3A-AED2-420E9E496936}"/>
    <cellStyle name="Percent 2 25" xfId="11276" xr:uid="{515E1FF6-8158-4826-AF41-6DD4ACAA227D}"/>
    <cellStyle name="Percent 2 25 2" xfId="11277" xr:uid="{2D087676-D2CF-4009-90CF-F024F68F0CDF}"/>
    <cellStyle name="Percent 2 25 3" xfId="11278" xr:uid="{26D597B8-AA39-49B6-8071-386A78A1568D}"/>
    <cellStyle name="Percent 2 25 4" xfId="11279" xr:uid="{9FD95AC2-84D3-4932-A9BF-42C384618CFD}"/>
    <cellStyle name="Percent 2 25 5" xfId="11280" xr:uid="{D6B2200D-B506-49E4-A2C3-A86789C58889}"/>
    <cellStyle name="Percent 2 26" xfId="11281" xr:uid="{0F4A96BC-E13F-41FB-A8CF-B6981A49D23B}"/>
    <cellStyle name="Percent 2 26 2" xfId="11282" xr:uid="{DC7C7DA3-5434-48B1-9A3D-D40F67E60328}"/>
    <cellStyle name="Percent 2 26 3" xfId="11283" xr:uid="{5CFA96D8-4985-41AE-B267-3C8B17EDE9ED}"/>
    <cellStyle name="Percent 2 26 4" xfId="11284" xr:uid="{5961D8E8-17EA-4AFC-97C9-61CF036E47D1}"/>
    <cellStyle name="Percent 2 26 5" xfId="11285" xr:uid="{EE275886-127E-4C57-B9AC-9A4E7F521434}"/>
    <cellStyle name="Percent 2 27" xfId="11286" xr:uid="{D837D633-54D6-44AA-BC91-40ED45342B5B}"/>
    <cellStyle name="Percent 2 27 2" xfId="11287" xr:uid="{71C7F2D2-5F3C-405F-8FCD-8D0DFC91110C}"/>
    <cellStyle name="Percent 2 27 3" xfId="11288" xr:uid="{B663C2BE-2B3E-424B-9319-BAB980EE6587}"/>
    <cellStyle name="Percent 2 27 4" xfId="11289" xr:uid="{CCF2D919-4AC5-4688-A71F-20D8FC0312F8}"/>
    <cellStyle name="Percent 2 27 5" xfId="11290" xr:uid="{4DE54958-5E58-4ACC-8F4B-66DD975A786C}"/>
    <cellStyle name="Percent 2 28" xfId="11291" xr:uid="{F07C2B26-3C48-4A94-AEE7-BE199D24CF4C}"/>
    <cellStyle name="Percent 2 28 2" xfId="11292" xr:uid="{C60829F4-1655-434F-A5EC-EACC8F9DB985}"/>
    <cellStyle name="Percent 2 28 3" xfId="11293" xr:uid="{3C1F0050-FFF1-4DA9-A42D-B3A012D2EFBC}"/>
    <cellStyle name="Percent 2 28 4" xfId="11294" xr:uid="{800300F6-B9BC-42FF-A69A-5675DBD38FEC}"/>
    <cellStyle name="Percent 2 28 5" xfId="11295" xr:uid="{AFFD94E5-2781-4F8D-BAA9-99DAF35E9843}"/>
    <cellStyle name="Percent 2 29" xfId="11296" xr:uid="{1EC9837B-7144-452B-91E9-738BF4AA20FD}"/>
    <cellStyle name="Percent 2 29 2" xfId="11297" xr:uid="{F8DEE9A0-C081-47E3-8E09-7D91FEDB7651}"/>
    <cellStyle name="Percent 2 29 3" xfId="11298" xr:uid="{CB0292ED-0E10-43B4-B998-0603100895DA}"/>
    <cellStyle name="Percent 2 29 4" xfId="11299" xr:uid="{382633E3-432C-4523-BCAE-56E66E73AB10}"/>
    <cellStyle name="Percent 2 29 5" xfId="11300" xr:uid="{5D7C2C3D-A2BE-4569-932F-CEE86745A25C}"/>
    <cellStyle name="Percent 2 3" xfId="11301" xr:uid="{FCE9226D-08EF-45A2-B636-01354CA6AAF2}"/>
    <cellStyle name="Percent 2 3 10" xfId="11302" xr:uid="{A8EFC131-DC0C-40F6-A0BD-2C0160E5821D}"/>
    <cellStyle name="Percent 2 3 10 2" xfId="11303" xr:uid="{C5AED2C5-FF08-4762-8CB4-D79B68A91E35}"/>
    <cellStyle name="Percent 2 3 10 3" xfId="11304" xr:uid="{A8E57CD1-2A44-4D78-8F43-B8A0376615DB}"/>
    <cellStyle name="Percent 2 3 10 4" xfId="11305" xr:uid="{72028322-5E91-4F49-935E-F705E3461B6B}"/>
    <cellStyle name="Percent 2 3 10 5" xfId="11306" xr:uid="{825B39D5-D056-420D-99EE-64A65A607178}"/>
    <cellStyle name="Percent 2 3 11" xfId="11307" xr:uid="{A23FF2CA-0099-40A2-A3EC-634F0286CFC0}"/>
    <cellStyle name="Percent 2 3 11 2" xfId="11308" xr:uid="{ED77BF4E-1F68-4BDD-AB75-3DDA3F304A9D}"/>
    <cellStyle name="Percent 2 3 11 3" xfId="11309" xr:uid="{7341ADE4-9D22-40F8-BAD7-DDF7F2BD5CA0}"/>
    <cellStyle name="Percent 2 3 11 4" xfId="11310" xr:uid="{431E2287-05A4-47E2-AB16-A4976F7556B3}"/>
    <cellStyle name="Percent 2 3 11 5" xfId="11311" xr:uid="{D658AE40-6717-49DE-8357-4315479D3986}"/>
    <cellStyle name="Percent 2 3 12" xfId="11312" xr:uid="{FE6D1A66-1AB6-4289-A0E2-74BAB2B82FF1}"/>
    <cellStyle name="Percent 2 3 12 2" xfId="11313" xr:uid="{B6C8EBC7-F06B-4496-A90D-C2158312AB92}"/>
    <cellStyle name="Percent 2 3 12 3" xfId="11314" xr:uid="{0EC46F3E-7BB6-46E0-AC9D-6E09CDEFD8E2}"/>
    <cellStyle name="Percent 2 3 12 4" xfId="11315" xr:uid="{D02B0690-01AA-4ADF-BD99-3ACA5DB014C6}"/>
    <cellStyle name="Percent 2 3 12 5" xfId="11316" xr:uid="{934E9A1E-990D-4AFB-B2B3-0503E1BD1C88}"/>
    <cellStyle name="Percent 2 3 13" xfId="11317" xr:uid="{5BEFE17B-174D-4130-8EFA-9D5FD934F179}"/>
    <cellStyle name="Percent 2 3 13 2" xfId="11318" xr:uid="{75A052EE-6C19-4E8C-B242-D8684708C640}"/>
    <cellStyle name="Percent 2 3 13 3" xfId="11319" xr:uid="{B3266123-8E6F-43D0-ACFE-46BFE2C0324A}"/>
    <cellStyle name="Percent 2 3 13 4" xfId="11320" xr:uid="{472D1051-054A-44B2-9F3A-4CA2D772E6D8}"/>
    <cellStyle name="Percent 2 3 13 5" xfId="11321" xr:uid="{BAE11D2F-3241-4543-8C37-DEA62D4698FE}"/>
    <cellStyle name="Percent 2 3 14" xfId="11322" xr:uid="{8DF0C2D5-2332-4C10-8F18-8D08EBC27DBD}"/>
    <cellStyle name="Percent 2 3 14 2" xfId="11323" xr:uid="{D346A90C-2F36-4E2A-A429-970D83F4BC2D}"/>
    <cellStyle name="Percent 2 3 14 3" xfId="11324" xr:uid="{AA652FEF-32A3-4601-BF19-063EF80F8752}"/>
    <cellStyle name="Percent 2 3 14 4" xfId="11325" xr:uid="{AF68A8F7-921D-4887-A83C-F6FB97E5889C}"/>
    <cellStyle name="Percent 2 3 14 5" xfId="11326" xr:uid="{9F4800BD-3F65-4B16-B7E4-155581E2D549}"/>
    <cellStyle name="Percent 2 3 15" xfId="11327" xr:uid="{62B4A54B-1983-4E30-B023-1EAF125D67FB}"/>
    <cellStyle name="Percent 2 3 15 2" xfId="11328" xr:uid="{BD7C2729-5495-4E55-B57B-8FCC4D0A774F}"/>
    <cellStyle name="Percent 2 3 15 3" xfId="11329" xr:uid="{09DA14FF-9682-442C-9F99-099C695A96D3}"/>
    <cellStyle name="Percent 2 3 15 4" xfId="11330" xr:uid="{7038C855-FAC2-455E-8693-24E6582C2992}"/>
    <cellStyle name="Percent 2 3 15 5" xfId="11331" xr:uid="{B8BC77D6-4170-4C26-923B-D092684FB6CC}"/>
    <cellStyle name="Percent 2 3 16" xfId="11332" xr:uid="{08A071B3-B0AA-49A3-B590-13563F8B4512}"/>
    <cellStyle name="Percent 2 3 16 2" xfId="11333" xr:uid="{F44A804E-B2C5-4A06-BC30-5E0BB25CF912}"/>
    <cellStyle name="Percent 2 3 16 3" xfId="11334" xr:uid="{06AFA5D7-FCB0-4FF2-9DBF-C393A88F42CB}"/>
    <cellStyle name="Percent 2 3 16 4" xfId="11335" xr:uid="{B0CE3858-F8E8-4BBC-8537-231D7F58BE2E}"/>
    <cellStyle name="Percent 2 3 16 5" xfId="11336" xr:uid="{98BD7F43-E131-424E-9BDC-870BC59E17F6}"/>
    <cellStyle name="Percent 2 3 17" xfId="11337" xr:uid="{04DA605F-A2B6-495E-93B4-1AAC6958210C}"/>
    <cellStyle name="Percent 2 3 18" xfId="11338" xr:uid="{39C8140B-4F62-4DCF-9F54-2389A1E3F5CF}"/>
    <cellStyle name="Percent 2 3 19" xfId="11339" xr:uid="{DF2D0E14-6C1F-444F-B6B3-1AEA70B9197D}"/>
    <cellStyle name="Percent 2 3 2" xfId="11340" xr:uid="{680472A8-AFDA-4E6E-A1C6-226DAEB5CACA}"/>
    <cellStyle name="Percent 2 3 2 2" xfId="11341" xr:uid="{02B765D7-7DE6-4220-A92E-56C57AFED614}"/>
    <cellStyle name="Percent 2 3 2 3" xfId="11342" xr:uid="{A16DC77B-4B7E-4FAE-A7A0-468E9BC2FE96}"/>
    <cellStyle name="Percent 2 3 2 4" xfId="11343" xr:uid="{BDCE4CB1-5CD9-4045-975E-55FDD99337A7}"/>
    <cellStyle name="Percent 2 3 2 5" xfId="11344" xr:uid="{83340333-E122-45D7-B4BB-6B96BC090155}"/>
    <cellStyle name="Percent 2 3 20" xfId="11345" xr:uid="{37C12A6D-AD9A-4FB9-8F1E-776F0C5B6EB8}"/>
    <cellStyle name="Percent 2 3 3" xfId="11346" xr:uid="{7BF7345E-7913-46B5-A72C-7DC40CBCAC0B}"/>
    <cellStyle name="Percent 2 3 3 2" xfId="11347" xr:uid="{88E7841B-0C23-4524-A911-74090F142789}"/>
    <cellStyle name="Percent 2 3 3 2 2" xfId="11348" xr:uid="{840AA066-D211-47DD-A3C4-DAE04B3826A4}"/>
    <cellStyle name="Percent 2 3 3 2 3" xfId="11349" xr:uid="{CC71ED1C-5967-4679-B86C-802601F2EBD2}"/>
    <cellStyle name="Percent 2 3 3 2 4" xfId="11350" xr:uid="{3FEAD91A-F8A9-450D-B394-BAC7AE48F427}"/>
    <cellStyle name="Percent 2 3 3 2 5" xfId="11351" xr:uid="{238B35B2-6B34-4B94-B8DA-334B8AC2862A}"/>
    <cellStyle name="Percent 2 3 3 3" xfId="11352" xr:uid="{F0D4BA56-F3C9-4FDE-826F-3AFA8EB77B56}"/>
    <cellStyle name="Percent 2 3 3 3 2" xfId="11353" xr:uid="{1F515AAB-06C4-40C6-B202-DE63AACC8834}"/>
    <cellStyle name="Percent 2 3 3 3 2 2" xfId="11354" xr:uid="{18FA61CB-B5A9-4625-9FB5-E3E92136A3B5}"/>
    <cellStyle name="Percent 2 3 3 3 2 3" xfId="11355" xr:uid="{7EA0ADE6-7A06-44D4-903C-45A5ADB168A3}"/>
    <cellStyle name="Percent 2 3 3 3 2 4" xfId="11356" xr:uid="{56EB2D4A-1E33-4FD9-99B1-43BCF5E5C5C4}"/>
    <cellStyle name="Percent 2 3 3 3 2 5" xfId="11357" xr:uid="{FF9E89CD-420C-4B7C-AA04-53B3BF7B48FE}"/>
    <cellStyle name="Percent 2 3 3 3 3" xfId="11358" xr:uid="{DD70761D-AFD6-4D85-9126-B304F683175B}"/>
    <cellStyle name="Percent 2 3 3 3 3 2" xfId="11359" xr:uid="{BAF8ECB8-8948-4C32-86FF-54F9EA9AF740}"/>
    <cellStyle name="Percent 2 3 3 3 3 3" xfId="11360" xr:uid="{2A14C7CF-5EC3-4F41-A029-C0B5F3A27EE6}"/>
    <cellStyle name="Percent 2 3 3 3 3 4" xfId="11361" xr:uid="{A64B2C85-651C-4BA5-BACD-BE4927373C5E}"/>
    <cellStyle name="Percent 2 3 3 3 3 5" xfId="11362" xr:uid="{12F0ED5F-CE54-4900-AFCB-75218E07DBD4}"/>
    <cellStyle name="Percent 2 3 3 3 4" xfId="11363" xr:uid="{152D973B-CDD5-498A-9D40-64E174817987}"/>
    <cellStyle name="Percent 2 3 3 3 4 2" xfId="11364" xr:uid="{21EB95A7-734E-4F36-BC2B-280E7145CDF6}"/>
    <cellStyle name="Percent 2 3 3 3 4 2 2" xfId="11365" xr:uid="{09C2A407-89B1-4D2F-9407-7C025C093F55}"/>
    <cellStyle name="Percent 2 3 3 3 4 2 3" xfId="11366" xr:uid="{D7DE63FA-FC7B-414B-8DE0-887AC6C178C9}"/>
    <cellStyle name="Percent 2 3 3 3 4 2 4" xfId="11367" xr:uid="{8FFD8578-EF99-484C-9CF6-2EE8EAB2F8C8}"/>
    <cellStyle name="Percent 2 3 3 3 4 2 5" xfId="11368" xr:uid="{9FC8A0DB-AA1E-480E-9604-7BF97129455F}"/>
    <cellStyle name="Percent 2 3 3 3 4 3" xfId="11369" xr:uid="{8DD123C5-C191-4D6D-8E6D-2BDA96151E13}"/>
    <cellStyle name="Percent 2 3 3 3 4 4" xfId="11370" xr:uid="{F702B14C-CFE5-472B-B604-0BF20C7D767F}"/>
    <cellStyle name="Percent 2 3 3 3 4 5" xfId="11371" xr:uid="{87B43F3F-C7F7-4230-9B64-B24DA6510AAF}"/>
    <cellStyle name="Percent 2 3 3 3 4 6" xfId="11372" xr:uid="{82060E6F-5F5C-4716-826B-266812C05E15}"/>
    <cellStyle name="Percent 2 3 3 3 5" xfId="11373" xr:uid="{5527E1C7-9DAE-4795-984D-15145E9F9ED6}"/>
    <cellStyle name="Percent 2 3 3 3 6" xfId="11374" xr:uid="{D060F814-F29A-4ACE-A0DF-6BE1DEE31DDF}"/>
    <cellStyle name="Percent 2 3 3 3 7" xfId="11375" xr:uid="{3128D3F0-530F-4628-A604-6140D3631940}"/>
    <cellStyle name="Percent 2 3 3 3 8" xfId="11376" xr:uid="{3A1D894C-1E2B-4A78-9423-20C9F806901B}"/>
    <cellStyle name="Percent 2 3 3 4" xfId="11377" xr:uid="{44B4502C-46F1-4635-9254-AB7A5646326E}"/>
    <cellStyle name="Percent 2 3 3 5" xfId="11378" xr:uid="{13DD1094-C2BD-41EC-AB41-7F473CEBDC88}"/>
    <cellStyle name="Percent 2 3 3 6" xfId="11379" xr:uid="{58D8A78F-642E-4963-8A3F-46EFAEA8B2C4}"/>
    <cellStyle name="Percent 2 3 3 7" xfId="11380" xr:uid="{BEF0156D-ED21-40DD-9CF3-A2F5B6EE4419}"/>
    <cellStyle name="Percent 2 3 4" xfId="11381" xr:uid="{C8A37855-8430-4932-A1DF-803B4FEC19CA}"/>
    <cellStyle name="Percent 2 3 4 2" xfId="11382" xr:uid="{C65BFF05-010B-46AF-80BE-316D7FDE3797}"/>
    <cellStyle name="Percent 2 3 4 3" xfId="11383" xr:uid="{1BCB573B-C576-4DEE-B0BD-7B2E89BFC061}"/>
    <cellStyle name="Percent 2 3 4 4" xfId="11384" xr:uid="{4E492821-3B2D-4491-A1CF-7E527212D47E}"/>
    <cellStyle name="Percent 2 3 4 5" xfId="11385" xr:uid="{79D65F31-1390-4645-925A-AAE0D61CF7DF}"/>
    <cellStyle name="Percent 2 3 5" xfId="11386" xr:uid="{B260625A-07B5-4E78-8BBA-634733987FC4}"/>
    <cellStyle name="Percent 2 3 5 2" xfId="11387" xr:uid="{4EB17EF6-9E80-4CDB-BC58-3566D5226FA2}"/>
    <cellStyle name="Percent 2 3 5 2 2" xfId="11388" xr:uid="{4F03DFE6-3AF3-459D-B85E-E04A51A25605}"/>
    <cellStyle name="Percent 2 3 5 2 3" xfId="11389" xr:uid="{5E2C0477-E50E-46E3-85FC-DD9442949979}"/>
    <cellStyle name="Percent 2 3 5 2 4" xfId="11390" xr:uid="{E4E874C9-1B0F-4C86-8DEA-46A61EC58DF6}"/>
    <cellStyle name="Percent 2 3 5 2 5" xfId="11391" xr:uid="{B3171D01-9EAE-4BBC-87F0-6C95CE67FC8B}"/>
    <cellStyle name="Percent 2 3 5 3" xfId="11392" xr:uid="{67C4E1FF-2FC7-447B-BB9D-312134892D67}"/>
    <cellStyle name="Percent 2 3 5 4" xfId="11393" xr:uid="{A646C4EA-C01A-4752-A84E-CEA742834D77}"/>
    <cellStyle name="Percent 2 3 5 5" xfId="11394" xr:uid="{BDE0FC59-C082-4363-92D7-553149F6F466}"/>
    <cellStyle name="Percent 2 3 5 6" xfId="11395" xr:uid="{15043F02-2950-42B6-8090-D7683227A2D5}"/>
    <cellStyle name="Percent 2 3 6" xfId="11396" xr:uid="{E7489D60-7454-43D1-94D8-FB1859088A33}"/>
    <cellStyle name="Percent 2 3 6 2" xfId="11397" xr:uid="{DE48BD2E-FF74-4DCF-B4D2-2CAAD6E40F7F}"/>
    <cellStyle name="Percent 2 3 6 3" xfId="11398" xr:uid="{202CC734-F520-4358-B587-0386A2CB5D3B}"/>
    <cellStyle name="Percent 2 3 6 4" xfId="11399" xr:uid="{157768DB-7F32-4A9B-B187-2568E8296248}"/>
    <cellStyle name="Percent 2 3 6 5" xfId="11400" xr:uid="{0ADBE682-A66B-400B-B7C4-B45B3ADD5CB8}"/>
    <cellStyle name="Percent 2 3 7" xfId="11401" xr:uid="{336CCCFE-241E-499C-BB03-19D6A10B3859}"/>
    <cellStyle name="Percent 2 3 7 2" xfId="11402" xr:uid="{2E3BA647-5DCB-4925-9322-724D93265E32}"/>
    <cellStyle name="Percent 2 3 7 3" xfId="11403" xr:uid="{58DFAF45-96F3-4712-AC43-7FE838CE002E}"/>
    <cellStyle name="Percent 2 3 7 4" xfId="11404" xr:uid="{1FE4775C-4800-433B-9BCA-3AA11B7ECAA9}"/>
    <cellStyle name="Percent 2 3 7 5" xfId="11405" xr:uid="{85C077FE-1B1F-40EB-8738-CC438DCD2577}"/>
    <cellStyle name="Percent 2 3 8" xfId="11406" xr:uid="{E1318E02-2337-444C-98DB-4DD6651BF128}"/>
    <cellStyle name="Percent 2 3 8 2" xfId="11407" xr:uid="{4A0AF12D-295F-40B5-98FD-E40329F7D83D}"/>
    <cellStyle name="Percent 2 3 8 3" xfId="11408" xr:uid="{448AACEF-E1B2-4A6F-B647-83418840E8B5}"/>
    <cellStyle name="Percent 2 3 8 4" xfId="11409" xr:uid="{03FE2CB1-8B78-4697-A731-A14BB497966A}"/>
    <cellStyle name="Percent 2 3 8 5" xfId="11410" xr:uid="{8FF1061F-9783-4942-ADF7-9FE2A8ABBD14}"/>
    <cellStyle name="Percent 2 3 9" xfId="11411" xr:uid="{590BEBD0-7FF1-4F25-B14C-F259DC751D68}"/>
    <cellStyle name="Percent 2 3 9 2" xfId="11412" xr:uid="{32A77269-10CA-4456-A0C1-3AFB691DB427}"/>
    <cellStyle name="Percent 2 3 9 3" xfId="11413" xr:uid="{CE6593D9-6810-47F1-99F7-62FA9B9EA209}"/>
    <cellStyle name="Percent 2 3 9 4" xfId="11414" xr:uid="{F0395A8F-DE9F-40F9-A231-DAC94BD031AE}"/>
    <cellStyle name="Percent 2 3 9 5" xfId="11415" xr:uid="{7C2B860F-BE1E-4948-8FCB-E62CF95E923E}"/>
    <cellStyle name="Percent 2 30" xfId="11416" xr:uid="{BCC1FDE6-8A71-4987-9754-CD4DA617C504}"/>
    <cellStyle name="Percent 2 30 2" xfId="11417" xr:uid="{FE5EDA9C-90E7-4232-ABE5-6A041B2C5D28}"/>
    <cellStyle name="Percent 2 30 3" xfId="11418" xr:uid="{6AAD7780-D1AF-4C65-8428-B44B45882AEC}"/>
    <cellStyle name="Percent 2 30 4" xfId="11419" xr:uid="{BA8A2B13-F3DF-4D28-92CC-7602CC4ED8F5}"/>
    <cellStyle name="Percent 2 30 5" xfId="11420" xr:uid="{B6B381BD-B754-4506-A04F-DE71AC84F48F}"/>
    <cellStyle name="Percent 2 31" xfId="11421" xr:uid="{7F3131F0-0241-4E08-B72B-1C93EE1F2183}"/>
    <cellStyle name="Percent 2 31 2" xfId="11422" xr:uid="{1CE15F30-EE48-4ABC-BEA2-5DA62744AFD3}"/>
    <cellStyle name="Percent 2 31 3" xfId="11423" xr:uid="{22C410FB-B4EF-4FB1-9D7E-F7D1C159415C}"/>
    <cellStyle name="Percent 2 31 4" xfId="11424" xr:uid="{E0C91271-47D8-4468-A829-5415AE6165E8}"/>
    <cellStyle name="Percent 2 31 5" xfId="11425" xr:uid="{74F39049-7D68-442A-A4B0-CDB1482F05AA}"/>
    <cellStyle name="Percent 2 32" xfId="11426" xr:uid="{F31C1662-EDD6-4FD5-B66D-1AD5E75EDC32}"/>
    <cellStyle name="Percent 2 32 2" xfId="11427" xr:uid="{571D82B5-3576-4345-8033-35A767BCC27B}"/>
    <cellStyle name="Percent 2 32 3" xfId="11428" xr:uid="{212068BE-42A1-4C11-B933-CDBC18B79CBF}"/>
    <cellStyle name="Percent 2 32 4" xfId="11429" xr:uid="{53216D3A-953A-496A-8B86-D41ADB0D3106}"/>
    <cellStyle name="Percent 2 32 5" xfId="11430" xr:uid="{F073A5FD-0A5F-4640-8D36-BC4111D90ECE}"/>
    <cellStyle name="Percent 2 33" xfId="11431" xr:uid="{D69BE49A-564B-4142-8601-4169DD5B502F}"/>
    <cellStyle name="Percent 2 33 2" xfId="11432" xr:uid="{DB16B118-C687-4F0E-A161-2CE78015B0B0}"/>
    <cellStyle name="Percent 2 33 3" xfId="11433" xr:uid="{CC445A88-23CA-40BD-AD17-F0A66673AEB9}"/>
    <cellStyle name="Percent 2 33 4" xfId="11434" xr:uid="{7CB36AE5-3D8D-481C-BB48-584DAA5749FA}"/>
    <cellStyle name="Percent 2 33 5" xfId="11435" xr:uid="{68EE1D1B-8CFB-4C07-B023-76E745E21848}"/>
    <cellStyle name="Percent 2 34" xfId="11436" xr:uid="{B9A82BB7-3139-46E4-B2AF-0AF85624A9D8}"/>
    <cellStyle name="Percent 2 34 2" xfId="11437" xr:uid="{37FB3BA9-67AA-49EA-9C23-40F1B9DBAF8B}"/>
    <cellStyle name="Percent 2 34 3" xfId="11438" xr:uid="{83CF5833-4A16-471C-BDBD-FF8663387F48}"/>
    <cellStyle name="Percent 2 34 4" xfId="11439" xr:uid="{63B857E5-DAAF-4AF3-972C-450D6125F556}"/>
    <cellStyle name="Percent 2 34 5" xfId="11440" xr:uid="{E9215DC8-8447-4937-AD96-411B7D73FDEC}"/>
    <cellStyle name="Percent 2 35" xfId="11441" xr:uid="{305C73D0-0793-4128-AF4D-9473E535AAE4}"/>
    <cellStyle name="Percent 2 35 2" xfId="11442" xr:uid="{BAC9932C-BDFC-44E5-9FE8-98ECBB2B4119}"/>
    <cellStyle name="Percent 2 35 3" xfId="11443" xr:uid="{77508454-A8ED-441B-B17B-71DD954A2598}"/>
    <cellStyle name="Percent 2 35 4" xfId="11444" xr:uid="{35864815-B18C-45C7-A05B-DF8C95093236}"/>
    <cellStyle name="Percent 2 35 5" xfId="11445" xr:uid="{FB689120-27AC-4B80-AA42-1AE0177B3899}"/>
    <cellStyle name="Percent 2 36" xfId="11446" xr:uid="{9BB4C3CB-716B-426C-9A54-15B4FC024C0E}"/>
    <cellStyle name="Percent 2 36 2" xfId="11447" xr:uid="{584B5C40-DCA6-4515-8956-AA4E3784E9F4}"/>
    <cellStyle name="Percent 2 36 3" xfId="11448" xr:uid="{4520FC47-5B75-4FE2-9D36-9563B57E4F64}"/>
    <cellStyle name="Percent 2 36 4" xfId="11449" xr:uid="{027844A8-CB45-4F85-9673-1FCE3D02918F}"/>
    <cellStyle name="Percent 2 36 5" xfId="11450" xr:uid="{576EB177-2572-451F-9092-18825B775FF8}"/>
    <cellStyle name="Percent 2 37" xfId="11451" xr:uid="{A372426F-0E01-49A1-9A1A-28F08914FAC8}"/>
    <cellStyle name="Percent 2 37 2" xfId="11452" xr:uid="{94C244F0-2F23-4B52-932F-C5D082F1B5A0}"/>
    <cellStyle name="Percent 2 37 3" xfId="11453" xr:uid="{BA5628EF-0D57-4675-8E7F-5B0DD668916B}"/>
    <cellStyle name="Percent 2 37 4" xfId="11454" xr:uid="{EAE0E576-BADC-4E17-BB95-5DC6C77E80C2}"/>
    <cellStyle name="Percent 2 37 5" xfId="11455" xr:uid="{5164B5EE-5CEA-49C8-B25A-7638A8ED86A9}"/>
    <cellStyle name="Percent 2 38" xfId="11456" xr:uid="{A5537CB1-6D34-43C3-87E8-44FDE65C35A2}"/>
    <cellStyle name="Percent 2 38 2" xfId="11457" xr:uid="{AE37EC7C-08C5-4EE6-A19B-4ADC16EEC388}"/>
    <cellStyle name="Percent 2 38 3" xfId="11458" xr:uid="{35629D62-6805-4405-BCB4-6D75039DCC8D}"/>
    <cellStyle name="Percent 2 38 4" xfId="11459" xr:uid="{33940D5C-CF22-4D35-B4FD-8091C57B7554}"/>
    <cellStyle name="Percent 2 38 5" xfId="11460" xr:uid="{3C822EA9-42AC-46AE-B517-50B7B3CDCD40}"/>
    <cellStyle name="Percent 2 39" xfId="11461" xr:uid="{C29CFA3A-DB57-4478-8F5F-90F73B6FF079}"/>
    <cellStyle name="Percent 2 39 2" xfId="11462" xr:uid="{C15A1C42-5B49-481D-8F1F-D7A9110EC86F}"/>
    <cellStyle name="Percent 2 39 3" xfId="11463" xr:uid="{ED719A28-9409-4896-83EF-13E3DE5354EA}"/>
    <cellStyle name="Percent 2 39 4" xfId="11464" xr:uid="{898E417B-3230-429C-B7EC-00B25E8994B4}"/>
    <cellStyle name="Percent 2 39 5" xfId="11465" xr:uid="{87C19E41-0624-479C-AD77-F922C78711DE}"/>
    <cellStyle name="Percent 2 4" xfId="11466" xr:uid="{6F45D60E-8CA6-48F9-A68B-54229DC90DF1}"/>
    <cellStyle name="Percent 2 4 10" xfId="11467" xr:uid="{B6D3729E-6C98-4FBA-969C-3AC852A52CBD}"/>
    <cellStyle name="Percent 2 4 10 2" xfId="11468" xr:uid="{D9EE9839-B8C5-4619-B1D7-8419867E95DD}"/>
    <cellStyle name="Percent 2 4 10 3" xfId="11469" xr:uid="{DB1A3471-17C1-434E-8055-BD431ADDB50A}"/>
    <cellStyle name="Percent 2 4 10 4" xfId="11470" xr:uid="{4CA2A802-CB22-44FF-86A8-13570A396751}"/>
    <cellStyle name="Percent 2 4 10 5" xfId="11471" xr:uid="{D016CFA8-C27C-4FBB-A9E4-D9EC6FFD5D79}"/>
    <cellStyle name="Percent 2 4 11" xfId="11472" xr:uid="{15D117D9-CAEA-4F14-8D31-8EFA1F5CC1C1}"/>
    <cellStyle name="Percent 2 4 11 2" xfId="11473" xr:uid="{0C879950-AF5C-4A07-8B4C-01F65E2B8C55}"/>
    <cellStyle name="Percent 2 4 11 3" xfId="11474" xr:uid="{89FF5DD0-D086-4651-846D-1071B668AB77}"/>
    <cellStyle name="Percent 2 4 11 4" xfId="11475" xr:uid="{7D422AAA-7C40-409D-ADB3-0EC14165C0B8}"/>
    <cellStyle name="Percent 2 4 11 5" xfId="11476" xr:uid="{FBD0C097-6F86-4923-AB1C-539EB46B8500}"/>
    <cellStyle name="Percent 2 4 12" xfId="11477" xr:uid="{41F9E7E9-8B99-4393-B4D1-3214C97220F7}"/>
    <cellStyle name="Percent 2 4 12 2" xfId="11478" xr:uid="{3591B136-F23A-4ED3-AA78-E0F160273DBC}"/>
    <cellStyle name="Percent 2 4 12 3" xfId="11479" xr:uid="{CCBB06CD-5C13-4B58-B086-A45709ABDDF7}"/>
    <cellStyle name="Percent 2 4 12 4" xfId="11480" xr:uid="{6DEAB246-8993-4BE8-9C65-0A4F15AB5369}"/>
    <cellStyle name="Percent 2 4 12 5" xfId="11481" xr:uid="{81F0FB96-F7D7-40D7-A1C5-318A9C2084D2}"/>
    <cellStyle name="Percent 2 4 13" xfId="11482" xr:uid="{0BA99667-0AC4-4956-AC13-0B2680858840}"/>
    <cellStyle name="Percent 2 4 13 2" xfId="11483" xr:uid="{C896031A-3152-4505-A9CB-37D6E3EB22F8}"/>
    <cellStyle name="Percent 2 4 13 3" xfId="11484" xr:uid="{7EB5B1A4-5843-40EC-9B40-C9890DBDC2FF}"/>
    <cellStyle name="Percent 2 4 13 4" xfId="11485" xr:uid="{E0E1F0FF-24B4-4E51-9E53-5809DD0BD59C}"/>
    <cellStyle name="Percent 2 4 13 5" xfId="11486" xr:uid="{47EDC98C-56ED-49C1-8BBF-5A418E4C2DEB}"/>
    <cellStyle name="Percent 2 4 14" xfId="11487" xr:uid="{300E9D22-8B5E-4547-8966-0F592E6FE0C1}"/>
    <cellStyle name="Percent 2 4 14 2" xfId="11488" xr:uid="{F7140E85-C6A3-4143-AEDE-24C082A30294}"/>
    <cellStyle name="Percent 2 4 14 3" xfId="11489" xr:uid="{9559324A-4763-4132-A233-C61201AD17D7}"/>
    <cellStyle name="Percent 2 4 14 4" xfId="11490" xr:uid="{E388C609-17AD-4C1B-98B6-4A633A3D39B5}"/>
    <cellStyle name="Percent 2 4 14 5" xfId="11491" xr:uid="{96F45AA4-2CC6-4FEC-95CA-0549B4DA28D2}"/>
    <cellStyle name="Percent 2 4 15" xfId="11492" xr:uid="{B5C6D2A1-153C-43A3-9D3B-5347ED7E64B7}"/>
    <cellStyle name="Percent 2 4 15 2" xfId="11493" xr:uid="{08F91E05-E674-4C9D-96BE-157328D74944}"/>
    <cellStyle name="Percent 2 4 15 3" xfId="11494" xr:uid="{5400FFAD-ED9C-4EAB-A6A5-5F46E12B6069}"/>
    <cellStyle name="Percent 2 4 15 4" xfId="11495" xr:uid="{3372EBD7-9563-40DB-8579-8DA3C9D635BA}"/>
    <cellStyle name="Percent 2 4 15 5" xfId="11496" xr:uid="{0E7DD578-8CF6-4344-8A3B-5FD5B96ABC1F}"/>
    <cellStyle name="Percent 2 4 16" xfId="11497" xr:uid="{FDE7DAD3-50CD-4577-9A50-C3CC858516AB}"/>
    <cellStyle name="Percent 2 4 16 2" xfId="11498" xr:uid="{1364A6B8-F2E4-4D7C-83D8-84429677A998}"/>
    <cellStyle name="Percent 2 4 16 3" xfId="11499" xr:uid="{E7B15AAE-8062-4800-BD46-33349BA15A74}"/>
    <cellStyle name="Percent 2 4 16 4" xfId="11500" xr:uid="{C43F59DE-7B7B-4B0C-A734-779CB993003E}"/>
    <cellStyle name="Percent 2 4 16 5" xfId="11501" xr:uid="{C7542067-4D1F-4564-AA8D-26835538544C}"/>
    <cellStyle name="Percent 2 4 17" xfId="11502" xr:uid="{4A2EB3DD-A58B-4F72-9FDC-ECB1443251F0}"/>
    <cellStyle name="Percent 2 4 17 2" xfId="11503" xr:uid="{DCFE0B74-91DA-4730-93AF-32AFF970C79C}"/>
    <cellStyle name="Percent 2 4 17 3" xfId="11504" xr:uid="{C7B57A94-DF93-41B5-861F-649588CC09E5}"/>
    <cellStyle name="Percent 2 4 17 4" xfId="11505" xr:uid="{07FCD180-D89F-4088-9295-9B9B48358085}"/>
    <cellStyle name="Percent 2 4 17 5" xfId="11506" xr:uid="{6D381473-D59A-4606-9BCE-81F8A76B173E}"/>
    <cellStyle name="Percent 2 4 18" xfId="11507" xr:uid="{C72F1102-1128-4091-A830-6FD3C27A99EF}"/>
    <cellStyle name="Percent 2 4 19" xfId="11508" xr:uid="{9E968917-450B-4293-B0DA-22E5AB71C60F}"/>
    <cellStyle name="Percent 2 4 2" xfId="11509" xr:uid="{19BCB9AB-D5F5-4B97-84A1-7CF4623A5E60}"/>
    <cellStyle name="Percent 2 4 2 2" xfId="11510" xr:uid="{D200C7F6-16DC-43AE-ADA4-E470DAF6C98D}"/>
    <cellStyle name="Percent 2 4 2 3" xfId="11511" xr:uid="{0E9579E4-98C1-4093-9337-3C0D0FD9D975}"/>
    <cellStyle name="Percent 2 4 2 4" xfId="11512" xr:uid="{C77D1747-A184-439E-97FD-18CFB97185A0}"/>
    <cellStyle name="Percent 2 4 2 5" xfId="11513" xr:uid="{024EEC1F-4A67-4600-B126-86F667243134}"/>
    <cellStyle name="Percent 2 4 20" xfId="11514" xr:uid="{346CAAD4-B7F9-481F-A98A-B46089E53797}"/>
    <cellStyle name="Percent 2 4 21" xfId="11515" xr:uid="{5796DA3B-5AE4-41D7-A302-D1AC9BEF054D}"/>
    <cellStyle name="Percent 2 4 22" xfId="11516" xr:uid="{ED208A98-29AC-4B2C-BB8C-BCC3842E2016}"/>
    <cellStyle name="Percent 2 4 3" xfId="11517" xr:uid="{FF2CC5B8-900C-4889-ADDD-5C6EB23B05D8}"/>
    <cellStyle name="Percent 2 4 3 2" xfId="11518" xr:uid="{010C0D9B-E833-4D80-8E44-F0A40BC4ED06}"/>
    <cellStyle name="Percent 2 4 3 3" xfId="11519" xr:uid="{30BA8AF7-ACB1-4FE6-B0A8-8ADC96C8734D}"/>
    <cellStyle name="Percent 2 4 3 4" xfId="11520" xr:uid="{97DDF6C0-A540-4B5A-9F6B-27C2D8D81727}"/>
    <cellStyle name="Percent 2 4 3 5" xfId="11521" xr:uid="{9A525D05-255C-4C96-8D91-C59AFED0D953}"/>
    <cellStyle name="Percent 2 4 4" xfId="11522" xr:uid="{723E7DCD-9921-459C-A7FC-F27E2C4E2D37}"/>
    <cellStyle name="Percent 2 4 4 2" xfId="11523" xr:uid="{42E9D775-8DBE-4F75-89F9-1E6CFCB5E444}"/>
    <cellStyle name="Percent 2 4 4 3" xfId="11524" xr:uid="{4171B656-81B9-4204-BE51-F7773B742D9F}"/>
    <cellStyle name="Percent 2 4 4 4" xfId="11525" xr:uid="{3C46EDD9-D890-471E-9ED9-2B099004317C}"/>
    <cellStyle name="Percent 2 4 4 5" xfId="11526" xr:uid="{9A2FEA9F-CED5-4F08-9082-253B18E8CFA3}"/>
    <cellStyle name="Percent 2 4 5" xfId="11527" xr:uid="{E5C50076-9D0A-4EA8-B9D4-ED72F3DBE719}"/>
    <cellStyle name="Percent 2 4 5 2" xfId="11528" xr:uid="{B0AA3947-6DAE-4E50-9892-E42E162DB0E6}"/>
    <cellStyle name="Percent 2 4 5 3" xfId="11529" xr:uid="{91362222-59C2-4C92-BEFF-5420F64DA3BF}"/>
    <cellStyle name="Percent 2 4 5 4" xfId="11530" xr:uid="{9D201B43-5DBA-450C-82BF-ED78E1584B1D}"/>
    <cellStyle name="Percent 2 4 5 5" xfId="11531" xr:uid="{A08CAEE5-E671-4CFA-83CE-B72C4EF3D747}"/>
    <cellStyle name="Percent 2 4 6" xfId="11532" xr:uid="{5B4373C9-529A-444A-A686-1B70848B5FE6}"/>
    <cellStyle name="Percent 2 4 6 2" xfId="11533" xr:uid="{00129684-5BD3-4F34-A794-139E3422F7D0}"/>
    <cellStyle name="Percent 2 4 6 3" xfId="11534" xr:uid="{64EF1FC3-4AB5-4E96-A41D-2D7B7CB8B16D}"/>
    <cellStyle name="Percent 2 4 6 4" xfId="11535" xr:uid="{3F434266-B9C3-48B1-A163-5DB434F30417}"/>
    <cellStyle name="Percent 2 4 6 5" xfId="11536" xr:uid="{78E9338A-FD67-4BB8-8A46-C375BC24EB22}"/>
    <cellStyle name="Percent 2 4 7" xfId="11537" xr:uid="{B675BED4-C2F8-4E70-993D-4073F649CFAF}"/>
    <cellStyle name="Percent 2 4 7 2" xfId="11538" xr:uid="{1AF7AEFB-2014-4CD5-B3E2-CCE246CA4A52}"/>
    <cellStyle name="Percent 2 4 7 3" xfId="11539" xr:uid="{7F35D064-67C9-445A-A719-171CF16EE575}"/>
    <cellStyle name="Percent 2 4 7 4" xfId="11540" xr:uid="{A06C7456-FAE1-4F9F-93AF-0EF0DFD1CC3C}"/>
    <cellStyle name="Percent 2 4 7 5" xfId="11541" xr:uid="{A1E630BE-DBC2-4B0C-BC5C-F65BC38C0A66}"/>
    <cellStyle name="Percent 2 4 8" xfId="11542" xr:uid="{81328B37-AB7C-404A-9A22-AF2FAA5843A5}"/>
    <cellStyle name="Percent 2 4 8 2" xfId="11543" xr:uid="{3280CC2A-E72F-447C-918B-30555B544B4B}"/>
    <cellStyle name="Percent 2 4 8 3" xfId="11544" xr:uid="{312112E3-71CA-4644-BE16-38BB1C67F499}"/>
    <cellStyle name="Percent 2 4 8 4" xfId="11545" xr:uid="{70CB44BA-4F43-4A95-B543-5BA987F2CFDC}"/>
    <cellStyle name="Percent 2 4 8 5" xfId="11546" xr:uid="{99079862-4B59-4BA7-A43F-8508EE14EDCF}"/>
    <cellStyle name="Percent 2 4 9" xfId="11547" xr:uid="{980C3700-EC45-4050-BA6E-821F37BE61C4}"/>
    <cellStyle name="Percent 2 4 9 2" xfId="11548" xr:uid="{C78F11D2-6337-44EC-A740-1CD1C5C4D6C0}"/>
    <cellStyle name="Percent 2 4 9 3" xfId="11549" xr:uid="{7A56C361-09CB-4319-86CE-4B30190352AB}"/>
    <cellStyle name="Percent 2 4 9 4" xfId="11550" xr:uid="{0CC89AF3-3989-4A22-8C20-192B0915BF0A}"/>
    <cellStyle name="Percent 2 4 9 5" xfId="11551" xr:uid="{09CC9E58-9FE4-479C-BBC1-CE73A09328A0}"/>
    <cellStyle name="Percent 2 40" xfId="11552" xr:uid="{FA6E79DD-7D92-4EC5-ACCF-13DFBF922241}"/>
    <cellStyle name="Percent 2 40 2" xfId="11553" xr:uid="{F3477DC7-F85C-4D1E-BA5E-F77A0CF4FC2A}"/>
    <cellStyle name="Percent 2 40 3" xfId="11554" xr:uid="{478BD5A7-F6A7-4CF6-B033-C76047206A74}"/>
    <cellStyle name="Percent 2 40 4" xfId="11555" xr:uid="{3F6D5689-6A71-499D-818E-0D367B0CB279}"/>
    <cellStyle name="Percent 2 40 5" xfId="11556" xr:uid="{112F0CAC-FE85-43F3-A8F1-2F26E1820F46}"/>
    <cellStyle name="Percent 2 41" xfId="11557" xr:uid="{A0643C37-2E14-4A00-937B-DFB5B7A9BBAC}"/>
    <cellStyle name="Percent 2 41 2" xfId="11558" xr:uid="{6ED5535C-F90F-482B-BC74-B1D7BAFF9FED}"/>
    <cellStyle name="Percent 2 41 3" xfId="11559" xr:uid="{1A48A9E6-2100-42F6-9B28-EECC77473327}"/>
    <cellStyle name="Percent 2 41 4" xfId="11560" xr:uid="{753D2254-64D8-4472-950A-ED59ED2E41A6}"/>
    <cellStyle name="Percent 2 41 5" xfId="11561" xr:uid="{3A4C8677-28C2-457C-AF38-F6E551938D7F}"/>
    <cellStyle name="Percent 2 42" xfId="11562" xr:uid="{9731F5B5-5FE4-43F7-9EF4-46A92A812360}"/>
    <cellStyle name="Percent 2 42 2" xfId="11563" xr:uid="{668CAB2A-941B-42B3-AF1C-DB615789F61D}"/>
    <cellStyle name="Percent 2 42 3" xfId="11564" xr:uid="{DA31F6A1-B6B9-4155-9F55-B8F97615BB0F}"/>
    <cellStyle name="Percent 2 42 4" xfId="11565" xr:uid="{66711E18-3F50-48D4-852E-C8464E88BD4D}"/>
    <cellStyle name="Percent 2 42 5" xfId="11566" xr:uid="{4D61AC72-2936-439A-9DE2-4ED27A504041}"/>
    <cellStyle name="Percent 2 43" xfId="11567" xr:uid="{1BEAFEF4-401F-40E1-A1C3-0619A74ADF37}"/>
    <cellStyle name="Percent 2 43 2" xfId="11568" xr:uid="{36551DCD-1363-44CF-8C21-813AB05AC29A}"/>
    <cellStyle name="Percent 2 43 3" xfId="11569" xr:uid="{E6EC72CC-974F-49D7-A0DB-304713456FEA}"/>
    <cellStyle name="Percent 2 43 4" xfId="11570" xr:uid="{B9BC78BC-20C6-4721-9F57-A5FB1F0B51D8}"/>
    <cellStyle name="Percent 2 43 5" xfId="11571" xr:uid="{5DD866B5-6FFF-4E4A-BD97-4900E6B968FF}"/>
    <cellStyle name="Percent 2 44" xfId="11572" xr:uid="{DE9EEDC9-E6A9-4820-B5AF-45C96547D3DF}"/>
    <cellStyle name="Percent 2 44 2" xfId="11573" xr:uid="{41DD3924-E9ED-433C-998F-F82B4D72E4FC}"/>
    <cellStyle name="Percent 2 44 3" xfId="11574" xr:uid="{76724180-B8B9-4301-B66E-F0DA5BE6032D}"/>
    <cellStyle name="Percent 2 44 4" xfId="11575" xr:uid="{80EC0D59-C773-4ABE-8CE2-F68B56504465}"/>
    <cellStyle name="Percent 2 44 5" xfId="11576" xr:uid="{CD93D500-A71E-42CD-92E2-3DBEDBDBA7EF}"/>
    <cellStyle name="Percent 2 45" xfId="11577" xr:uid="{260B2BDF-61F0-4078-AB83-7AD1A1300823}"/>
    <cellStyle name="Percent 2 45 2" xfId="11578" xr:uid="{E1B9768A-C862-43F6-AA3F-4F73327ADF5E}"/>
    <cellStyle name="Percent 2 45 3" xfId="11579" xr:uid="{DEBC11C0-016C-4017-B4EA-C30FCF0F7C2B}"/>
    <cellStyle name="Percent 2 45 4" xfId="11580" xr:uid="{A1499C30-9D7B-42BE-B7FA-CDCFE09380D4}"/>
    <cellStyle name="Percent 2 45 5" xfId="11581" xr:uid="{16F4B132-249A-48BD-A4E9-CB870B1AD3CC}"/>
    <cellStyle name="Percent 2 46" xfId="11582" xr:uid="{2E98173F-7F7A-4C76-896D-C01A159677B5}"/>
    <cellStyle name="Percent 2 46 2" xfId="11583" xr:uid="{73DD394F-2712-4C5E-9F03-2329A131545F}"/>
    <cellStyle name="Percent 2 46 3" xfId="11584" xr:uid="{25BE1443-1831-45BD-8CC3-13CA478694DF}"/>
    <cellStyle name="Percent 2 46 4" xfId="11585" xr:uid="{CA086AF5-C535-468D-92AC-9D770CAC9071}"/>
    <cellStyle name="Percent 2 46 5" xfId="11586" xr:uid="{86D655A3-8B92-4C0C-8F2A-078BBE6B58AF}"/>
    <cellStyle name="Percent 2 47" xfId="11587" xr:uid="{56D7A7A1-FE1B-41B4-A655-215E84B8ECA8}"/>
    <cellStyle name="Percent 2 47 2" xfId="11588" xr:uid="{DBD17EE1-5708-43CF-8F63-DF4657C0D6DC}"/>
    <cellStyle name="Percent 2 47 3" xfId="11589" xr:uid="{116EE5DA-01B7-4719-9EB6-342B8ED1EE9A}"/>
    <cellStyle name="Percent 2 47 4" xfId="11590" xr:uid="{58720125-4769-4E2D-A300-860A045EAD74}"/>
    <cellStyle name="Percent 2 47 5" xfId="11591" xr:uid="{A3281C1E-E16A-462C-B24E-1598E0E9089F}"/>
    <cellStyle name="Percent 2 48" xfId="11592" xr:uid="{D1A1F9C4-E2F3-4E5F-B166-AAD77F9BE054}"/>
    <cellStyle name="Percent 2 48 2" xfId="11593" xr:uid="{C0814933-3114-4C9E-9648-58B2F1FAE161}"/>
    <cellStyle name="Percent 2 48 2 2" xfId="11594" xr:uid="{FCA11B9C-BF7E-4662-9194-5C9F516545BA}"/>
    <cellStyle name="Percent 2 48 2 3" xfId="11595" xr:uid="{F9C12374-D933-4E2F-BD17-F829212E1FE2}"/>
    <cellStyle name="Percent 2 48 2 4" xfId="11596" xr:uid="{40C12C67-A299-4434-9250-C408B7F90B31}"/>
    <cellStyle name="Percent 2 48 2 5" xfId="11597" xr:uid="{88628715-975D-4E91-850A-D40DB5D78CA5}"/>
    <cellStyle name="Percent 2 48 3" xfId="11598" xr:uid="{49689A3B-2169-49C7-9D3E-90569467BF04}"/>
    <cellStyle name="Percent 2 48 4" xfId="11599" xr:uid="{36966FF3-36C8-491B-8798-3A9DA6E26789}"/>
    <cellStyle name="Percent 2 48 5" xfId="11600" xr:uid="{89248174-F7DA-4102-93C5-03AAA03B5A5B}"/>
    <cellStyle name="Percent 2 48 6" xfId="11601" xr:uid="{02056D42-271A-4095-A2C9-B5F72F7D8752}"/>
    <cellStyle name="Percent 2 48 7" xfId="11602" xr:uid="{BCC6130A-5A88-4419-99BE-4824744FE0A6}"/>
    <cellStyle name="Percent 2 49" xfId="11603" xr:uid="{88AC92CF-E0C1-4DE2-A678-FC1779BEC6C7}"/>
    <cellStyle name="Percent 2 49 2" xfId="11604" xr:uid="{3430C4DF-2FCC-48DA-A507-412859556FE9}"/>
    <cellStyle name="Percent 2 49 3" xfId="11605" xr:uid="{E58288DD-1C57-4D96-B5BE-E1C30391ECFE}"/>
    <cellStyle name="Percent 2 49 4" xfId="11606" xr:uid="{FD4E2249-25CC-44D5-82A1-26408C15A8E3}"/>
    <cellStyle name="Percent 2 49 5" xfId="11607" xr:uid="{85B2C770-2663-4A6E-83EC-157B47161143}"/>
    <cellStyle name="Percent 2 49 6" xfId="11608" xr:uid="{DFD02D5E-00C4-4269-B783-DE44FB9FC157}"/>
    <cellStyle name="Percent 2 5" xfId="11609" xr:uid="{9F0D010E-3347-4472-BD84-83AED2194AA1}"/>
    <cellStyle name="Percent 2 5 10" xfId="11610" xr:uid="{D8826E50-976E-4C89-B08A-FBEB1015DFD3}"/>
    <cellStyle name="Percent 2 5 10 2" xfId="11611" xr:uid="{E2922754-AF2C-4540-8768-352418CB97A5}"/>
    <cellStyle name="Percent 2 5 10 3" xfId="11612" xr:uid="{E8BAB80E-2424-4A69-9A09-6ECE809961DB}"/>
    <cellStyle name="Percent 2 5 10 4" xfId="11613" xr:uid="{A662E9D0-3149-42D1-B540-0315C56E89F8}"/>
    <cellStyle name="Percent 2 5 10 5" xfId="11614" xr:uid="{A8FBC497-B85F-440D-9841-A2FE9DCB5C0B}"/>
    <cellStyle name="Percent 2 5 11" xfId="11615" xr:uid="{7A1EB6CE-E58D-4F25-9B21-3A6DFC8F8E62}"/>
    <cellStyle name="Percent 2 5 11 2" xfId="11616" xr:uid="{13D04A63-ACC1-4562-9972-7ABC9014D432}"/>
    <cellStyle name="Percent 2 5 11 3" xfId="11617" xr:uid="{94E68B34-6C01-49C2-99F1-208BCCEF7B4B}"/>
    <cellStyle name="Percent 2 5 11 4" xfId="11618" xr:uid="{B7C6000B-C0FB-4C68-8E81-9ED037FC31DA}"/>
    <cellStyle name="Percent 2 5 11 5" xfId="11619" xr:uid="{EDDF7C7A-2AF5-4E4B-9FF3-4DD54C49E231}"/>
    <cellStyle name="Percent 2 5 12" xfId="11620" xr:uid="{94C1F889-1BEB-4DAC-8DF6-D3F9994030EF}"/>
    <cellStyle name="Percent 2 5 12 2" xfId="11621" xr:uid="{294E8671-491A-45B0-8DFE-DFF0889E21A7}"/>
    <cellStyle name="Percent 2 5 12 3" xfId="11622" xr:uid="{A6C159F5-B970-4D57-8E36-DFB1F51C68AD}"/>
    <cellStyle name="Percent 2 5 12 4" xfId="11623" xr:uid="{E3967134-26BB-4DE3-AF3D-E6ED1F648E29}"/>
    <cellStyle name="Percent 2 5 12 5" xfId="11624" xr:uid="{A11EB547-6045-4B43-BD31-B1E87D789E1C}"/>
    <cellStyle name="Percent 2 5 13" xfId="11625" xr:uid="{3E1A7CE3-1A9F-422B-989F-B2C78A605DB6}"/>
    <cellStyle name="Percent 2 5 13 2" xfId="11626" xr:uid="{F9F21877-68D9-4720-8CE3-AD8A586888A6}"/>
    <cellStyle name="Percent 2 5 13 3" xfId="11627" xr:uid="{50C7DA35-03DB-478B-AE6C-F3CE016FF136}"/>
    <cellStyle name="Percent 2 5 13 4" xfId="11628" xr:uid="{104D0E65-20CB-4481-AF6E-768E005EA3A8}"/>
    <cellStyle name="Percent 2 5 13 5" xfId="11629" xr:uid="{BF6B0230-A0B2-49AB-BEAA-7C7E735F5987}"/>
    <cellStyle name="Percent 2 5 14" xfId="11630" xr:uid="{E9094793-5792-485E-A06B-39A3A0B1E97E}"/>
    <cellStyle name="Percent 2 5 14 2" xfId="11631" xr:uid="{0B25FC27-85CC-49BF-A63F-9BD58BA0E6FD}"/>
    <cellStyle name="Percent 2 5 14 3" xfId="11632" xr:uid="{09C3649E-D72A-43C8-B511-A04EA4C8FE7B}"/>
    <cellStyle name="Percent 2 5 14 4" xfId="11633" xr:uid="{191E45D1-28F2-4CFB-B01B-BEC66EC69EF3}"/>
    <cellStyle name="Percent 2 5 14 5" xfId="11634" xr:uid="{C1CCF885-C5CD-4C9B-B4A6-736DCEA42390}"/>
    <cellStyle name="Percent 2 5 15" xfId="11635" xr:uid="{C7DA669E-8D40-4790-9AC3-4EC054BE06F3}"/>
    <cellStyle name="Percent 2 5 15 2" xfId="11636" xr:uid="{7B9C0EC4-80FE-401F-8A0A-E18676C1271C}"/>
    <cellStyle name="Percent 2 5 15 3" xfId="11637" xr:uid="{DB8A2CC4-A195-403B-8D0E-3CBB393CF0FD}"/>
    <cellStyle name="Percent 2 5 15 4" xfId="11638" xr:uid="{CA6F8C46-CE9E-4C72-8FA4-811FCC1268AF}"/>
    <cellStyle name="Percent 2 5 15 5" xfId="11639" xr:uid="{4E81A9B1-BBA5-4F0F-A3FA-3C0DB6BA3EE2}"/>
    <cellStyle name="Percent 2 5 16" xfId="11640" xr:uid="{50D7F745-C458-49FF-8525-34A35506613A}"/>
    <cellStyle name="Percent 2 5 17" xfId="11641" xr:uid="{95C931E9-72A5-494D-B74C-71B3A30F3CC1}"/>
    <cellStyle name="Percent 2 5 18" xfId="11642" xr:uid="{F919D54A-E682-4C02-9949-B3FEAA9DBC3E}"/>
    <cellStyle name="Percent 2 5 19" xfId="11643" xr:uid="{B1146B99-672F-4D2B-82A0-EA447BA68616}"/>
    <cellStyle name="Percent 2 5 2" xfId="11644" xr:uid="{B8659CC8-0EEF-477D-AFEC-7547FBC91984}"/>
    <cellStyle name="Percent 2 5 2 2" xfId="11645" xr:uid="{0022E8DC-6796-4A5C-AAC6-EAFE964E3CBB}"/>
    <cellStyle name="Percent 2 5 2 3" xfId="11646" xr:uid="{42911DBE-FF0A-48B2-A162-FB55407258FA}"/>
    <cellStyle name="Percent 2 5 2 4" xfId="11647" xr:uid="{AC4662B4-DC5E-4DDA-9606-691043EFF2B1}"/>
    <cellStyle name="Percent 2 5 2 5" xfId="11648" xr:uid="{71A8F748-87C7-4BA0-B9CA-866E779C60C3}"/>
    <cellStyle name="Percent 2 5 3" xfId="11649" xr:uid="{0A437222-3F81-4714-8CBB-355D2E03D863}"/>
    <cellStyle name="Percent 2 5 3 2" xfId="11650" xr:uid="{CB26777B-69B2-4826-99A8-B19256A3DC4E}"/>
    <cellStyle name="Percent 2 5 3 3" xfId="11651" xr:uid="{27614215-05D7-4ECA-8714-E2D1DCB5F810}"/>
    <cellStyle name="Percent 2 5 3 4" xfId="11652" xr:uid="{7955AA04-7CAE-4C73-9358-6B5CCC0BAB6F}"/>
    <cellStyle name="Percent 2 5 3 5" xfId="11653" xr:uid="{BE9AFDB2-5582-4FDF-8F5C-0CD47CD1E3E5}"/>
    <cellStyle name="Percent 2 5 4" xfId="11654" xr:uid="{292BD1E6-B795-4041-9EF0-C9F418970C00}"/>
    <cellStyle name="Percent 2 5 4 2" xfId="11655" xr:uid="{1850C41B-59FE-4DD1-8A1B-59CAE412B0C3}"/>
    <cellStyle name="Percent 2 5 4 3" xfId="11656" xr:uid="{FF090BF5-D07F-4B09-91F1-6AA68C27CAF7}"/>
    <cellStyle name="Percent 2 5 4 4" xfId="11657" xr:uid="{235602D5-5F28-41EA-A78A-A44506F87B90}"/>
    <cellStyle name="Percent 2 5 4 5" xfId="11658" xr:uid="{A0A4D2D2-11D9-48F5-B515-99F2C8D1A73E}"/>
    <cellStyle name="Percent 2 5 5" xfId="11659" xr:uid="{099473DD-F07A-446C-BD7C-069541C6135D}"/>
    <cellStyle name="Percent 2 5 5 2" xfId="11660" xr:uid="{59B6CD85-C117-454E-96AD-21925AABE5E8}"/>
    <cellStyle name="Percent 2 5 5 3" xfId="11661" xr:uid="{5B8C3717-6D54-4042-A196-64F519EE01A8}"/>
    <cellStyle name="Percent 2 5 5 4" xfId="11662" xr:uid="{D8BB1895-AD47-43DA-852B-F795E0C0035C}"/>
    <cellStyle name="Percent 2 5 5 5" xfId="11663" xr:uid="{EFC9F8A4-D0D3-45CC-A41B-F033858D5C37}"/>
    <cellStyle name="Percent 2 5 6" xfId="11664" xr:uid="{3F9FC43C-F6AA-441B-A46C-8D078C371270}"/>
    <cellStyle name="Percent 2 5 6 2" xfId="11665" xr:uid="{329ECBAF-113B-4563-BF45-B35DDA2DC5C7}"/>
    <cellStyle name="Percent 2 5 6 3" xfId="11666" xr:uid="{16D73A16-69A0-47A8-A72F-D66E9E3DF34A}"/>
    <cellStyle name="Percent 2 5 6 4" xfId="11667" xr:uid="{4B236704-CA98-4F35-BF87-20782DB8CE95}"/>
    <cellStyle name="Percent 2 5 6 5" xfId="11668" xr:uid="{346D2F8F-6DF5-4530-949F-79655EAB7794}"/>
    <cellStyle name="Percent 2 5 7" xfId="11669" xr:uid="{35D1177A-C5F9-47E8-8217-B41FAEB47FA2}"/>
    <cellStyle name="Percent 2 5 7 2" xfId="11670" xr:uid="{1AA7635A-E55B-4DA7-8483-E59555A9B5F6}"/>
    <cellStyle name="Percent 2 5 7 3" xfId="11671" xr:uid="{07E91CE2-AE59-4A3B-8C41-38A585942AEE}"/>
    <cellStyle name="Percent 2 5 7 4" xfId="11672" xr:uid="{D6CEF988-AD9C-4881-AC15-1808A2640B42}"/>
    <cellStyle name="Percent 2 5 7 5" xfId="11673" xr:uid="{3123436C-A9A5-4384-BA18-EE1022913AE2}"/>
    <cellStyle name="Percent 2 5 8" xfId="11674" xr:uid="{FE8ABB82-97C5-403C-9CEC-B654839504A4}"/>
    <cellStyle name="Percent 2 5 8 2" xfId="11675" xr:uid="{C4C828ED-CBCF-4A1D-B217-722C3043CB0F}"/>
    <cellStyle name="Percent 2 5 8 3" xfId="11676" xr:uid="{AE1856E2-CD90-4155-89FA-50301836DAF3}"/>
    <cellStyle name="Percent 2 5 8 4" xfId="11677" xr:uid="{9EC6E5B6-0760-433A-A3A9-E4A3BBCD7301}"/>
    <cellStyle name="Percent 2 5 8 5" xfId="11678" xr:uid="{D211B661-8410-46DF-99B0-8780FD85F407}"/>
    <cellStyle name="Percent 2 5 9" xfId="11679" xr:uid="{0748A491-2551-4A0F-8D69-948424D0B048}"/>
    <cellStyle name="Percent 2 5 9 2" xfId="11680" xr:uid="{36600D9B-EEE9-43DD-B255-B13255513313}"/>
    <cellStyle name="Percent 2 5 9 3" xfId="11681" xr:uid="{6BFD96A1-019C-4B2A-828C-8D634C5EA283}"/>
    <cellStyle name="Percent 2 5 9 4" xfId="11682" xr:uid="{C9D89911-69C2-4361-85E9-5D84E47A4FB3}"/>
    <cellStyle name="Percent 2 5 9 5" xfId="11683" xr:uid="{0EC4101A-C1CF-4164-A992-E4956899D298}"/>
    <cellStyle name="Percent 2 50" xfId="11684" xr:uid="{BEAF05C2-E8D1-47D1-921E-CDAA561F17B6}"/>
    <cellStyle name="Percent 2 6" xfId="11685" xr:uid="{9AE5E963-70B1-49F0-8CE8-ED87A4248B7F}"/>
    <cellStyle name="Percent 2 6 10" xfId="11686" xr:uid="{DD655933-3C3A-4503-8BE5-B19CDDCB8CE0}"/>
    <cellStyle name="Percent 2 6 10 2" xfId="11687" xr:uid="{C2366E36-29D3-4329-AF35-B35B320884DB}"/>
    <cellStyle name="Percent 2 6 10 3" xfId="11688" xr:uid="{CB1F1514-F3F7-4258-9E48-BAA672D84474}"/>
    <cellStyle name="Percent 2 6 10 4" xfId="11689" xr:uid="{99E7624E-A525-4162-890F-385AAAAB6EE7}"/>
    <cellStyle name="Percent 2 6 10 5" xfId="11690" xr:uid="{8299CD25-EC7F-4918-B67D-E24559799103}"/>
    <cellStyle name="Percent 2 6 11" xfId="11691" xr:uid="{D0448C24-63AF-4AC6-8D8E-E49DDAC1F456}"/>
    <cellStyle name="Percent 2 6 11 2" xfId="11692" xr:uid="{208A8995-097C-4144-8085-BB956970239C}"/>
    <cellStyle name="Percent 2 6 11 3" xfId="11693" xr:uid="{3DA506F9-3D75-44D5-97E8-54503727E819}"/>
    <cellStyle name="Percent 2 6 11 4" xfId="11694" xr:uid="{BCCEB2A4-BBAB-4540-9D3E-5ADFDC35C141}"/>
    <cellStyle name="Percent 2 6 11 5" xfId="11695" xr:uid="{8427CCC3-F4F8-4FA0-8B9A-82B1BAE59981}"/>
    <cellStyle name="Percent 2 6 12" xfId="11696" xr:uid="{5DEEC271-89A4-4E00-934F-68B1D8EA667B}"/>
    <cellStyle name="Percent 2 6 12 2" xfId="11697" xr:uid="{F70B1C59-AFB0-49C3-8A49-1B167A30E8C5}"/>
    <cellStyle name="Percent 2 6 12 3" xfId="11698" xr:uid="{8F0A2DFA-FE36-4980-8159-6283457ADB60}"/>
    <cellStyle name="Percent 2 6 12 4" xfId="11699" xr:uid="{0E2593D8-2B83-4041-B921-CBE9C858815B}"/>
    <cellStyle name="Percent 2 6 12 5" xfId="11700" xr:uid="{04A83A61-4B71-4C98-9666-4CFE7D34EE85}"/>
    <cellStyle name="Percent 2 6 13" xfId="11701" xr:uid="{FDE81EF8-88A9-4AE4-8BAA-1BA039D1C358}"/>
    <cellStyle name="Percent 2 6 13 2" xfId="11702" xr:uid="{F19F9A53-6293-470D-BE91-B694B61EB24F}"/>
    <cellStyle name="Percent 2 6 13 3" xfId="11703" xr:uid="{B727767A-27F5-40BC-80EA-668942B633CD}"/>
    <cellStyle name="Percent 2 6 13 4" xfId="11704" xr:uid="{C60BE42A-18DC-4B35-9709-0ECF51D97332}"/>
    <cellStyle name="Percent 2 6 13 5" xfId="11705" xr:uid="{0F70E1E2-CB4F-402F-A543-D8A33BE477A5}"/>
    <cellStyle name="Percent 2 6 14" xfId="11706" xr:uid="{6D526E30-C60B-42AB-A7E4-4902A61FABDA}"/>
    <cellStyle name="Percent 2 6 14 2" xfId="11707" xr:uid="{2A9DB1EA-0750-421C-8AC9-F8A9EBD722D8}"/>
    <cellStyle name="Percent 2 6 14 3" xfId="11708" xr:uid="{2393407C-2B7D-4A2C-8DA9-20F8792D33FC}"/>
    <cellStyle name="Percent 2 6 14 4" xfId="11709" xr:uid="{4C5805C0-55AA-4F80-8AB3-66ED9C2D6867}"/>
    <cellStyle name="Percent 2 6 14 5" xfId="11710" xr:uid="{FFCA4A5B-205E-46D8-8D25-069F9584D904}"/>
    <cellStyle name="Percent 2 6 15" xfId="11711" xr:uid="{21CB6710-8B48-400A-9F33-00F6894F0221}"/>
    <cellStyle name="Percent 2 6 15 2" xfId="11712" xr:uid="{982BE455-CAEF-44EE-97A8-57D05FAE99E8}"/>
    <cellStyle name="Percent 2 6 15 3" xfId="11713" xr:uid="{5B62C974-D1D5-4D3D-AA28-D76AF243E5CB}"/>
    <cellStyle name="Percent 2 6 15 4" xfId="11714" xr:uid="{6605DB51-CB97-4089-8D5F-3418F1F5FADA}"/>
    <cellStyle name="Percent 2 6 15 5" xfId="11715" xr:uid="{3AB91D45-9873-4047-A283-5926CA21D977}"/>
    <cellStyle name="Percent 2 6 16" xfId="11716" xr:uid="{5E4F2779-D23A-4B13-84C5-560C8B29AF88}"/>
    <cellStyle name="Percent 2 6 17" xfId="11717" xr:uid="{86DA6D24-8025-4659-9B3C-CCBDE5FF2FD2}"/>
    <cellStyle name="Percent 2 6 18" xfId="11718" xr:uid="{2172B28A-DDF2-4785-A85E-D4E5083F4499}"/>
    <cellStyle name="Percent 2 6 19" xfId="11719" xr:uid="{4E10CA9D-8939-45C1-919D-95E9557953A3}"/>
    <cellStyle name="Percent 2 6 2" xfId="11720" xr:uid="{E0DF9FE0-2648-4CB9-9BBA-F16B2B74A6CF}"/>
    <cellStyle name="Percent 2 6 2 2" xfId="11721" xr:uid="{05C4841B-E64A-45D0-879F-8AA815705038}"/>
    <cellStyle name="Percent 2 6 2 3" xfId="11722" xr:uid="{647EC15D-6936-4E49-A449-8E54C71D1433}"/>
    <cellStyle name="Percent 2 6 2 4" xfId="11723" xr:uid="{21AFAD2F-149B-4FBE-947B-4A5F30F6C6F0}"/>
    <cellStyle name="Percent 2 6 2 5" xfId="11724" xr:uid="{81E3D247-4544-4F9D-8EBF-73B33F1B51C4}"/>
    <cellStyle name="Percent 2 6 3" xfId="11725" xr:uid="{A6B01102-BC8A-4508-A798-9ABC13EE744C}"/>
    <cellStyle name="Percent 2 6 3 2" xfId="11726" xr:uid="{702BC66B-FDAB-4BF0-AC1A-75A3F06BC7DC}"/>
    <cellStyle name="Percent 2 6 3 3" xfId="11727" xr:uid="{317B6D57-296F-4EAB-A6EB-DDBFF1CAD6A6}"/>
    <cellStyle name="Percent 2 6 3 4" xfId="11728" xr:uid="{12B0AB00-43D9-48C3-B7A2-FD407034C8FD}"/>
    <cellStyle name="Percent 2 6 3 5" xfId="11729" xr:uid="{0D0C5EEC-7B2A-4895-A188-5FF8B80B09E2}"/>
    <cellStyle name="Percent 2 6 4" xfId="11730" xr:uid="{33404261-F590-4582-8190-7BC857469404}"/>
    <cellStyle name="Percent 2 6 4 2" xfId="11731" xr:uid="{08524F42-5CFF-4106-9B2C-6FB283E36A41}"/>
    <cellStyle name="Percent 2 6 4 3" xfId="11732" xr:uid="{9403AD23-0419-4B7E-A982-F3E4B17BDBF2}"/>
    <cellStyle name="Percent 2 6 4 4" xfId="11733" xr:uid="{1EB71B72-BACD-42EC-8A31-8D250403B906}"/>
    <cellStyle name="Percent 2 6 4 5" xfId="11734" xr:uid="{0B8EBA9E-27AC-4195-A5DB-B56E65B3675A}"/>
    <cellStyle name="Percent 2 6 5" xfId="11735" xr:uid="{3D4A01ED-5044-4C6E-8C6A-8A3418CD325C}"/>
    <cellStyle name="Percent 2 6 5 2" xfId="11736" xr:uid="{D24AB558-AC6B-4C19-B5BF-26A4E29E355B}"/>
    <cellStyle name="Percent 2 6 5 3" xfId="11737" xr:uid="{53EC11AC-9B8B-4213-A332-4F371CED56B9}"/>
    <cellStyle name="Percent 2 6 5 4" xfId="11738" xr:uid="{1F467557-19E1-4CC6-97BA-A071A3458EBD}"/>
    <cellStyle name="Percent 2 6 5 5" xfId="11739" xr:uid="{5FFA89DC-1302-4A82-8B54-FC8271A7E548}"/>
    <cellStyle name="Percent 2 6 6" xfId="11740" xr:uid="{0CD801F2-D33E-44D1-A2CB-721D2E4E29E4}"/>
    <cellStyle name="Percent 2 6 6 2" xfId="11741" xr:uid="{638D1861-39BA-45D6-8F69-7541620A9565}"/>
    <cellStyle name="Percent 2 6 6 3" xfId="11742" xr:uid="{35474873-FF24-48CF-9A52-02415C588AA5}"/>
    <cellStyle name="Percent 2 6 6 4" xfId="11743" xr:uid="{1DCCD99C-FC93-4BB5-9EF5-0658DCD39211}"/>
    <cellStyle name="Percent 2 6 6 5" xfId="11744" xr:uid="{21C00915-6D10-4AF2-AC5A-9FF26B454C4B}"/>
    <cellStyle name="Percent 2 6 7" xfId="11745" xr:uid="{C90CA61D-470D-435A-A521-B3905B29E1EA}"/>
    <cellStyle name="Percent 2 6 7 2" xfId="11746" xr:uid="{235A24B5-385A-400E-AEAA-5EE96F46C2C0}"/>
    <cellStyle name="Percent 2 6 7 3" xfId="11747" xr:uid="{9B79FD74-F06B-49CF-A944-173171FFC418}"/>
    <cellStyle name="Percent 2 6 7 4" xfId="11748" xr:uid="{D4122575-D395-404A-87E0-BC8B0E3589AE}"/>
    <cellStyle name="Percent 2 6 7 5" xfId="11749" xr:uid="{05F50C94-9169-4214-B7AC-65F7112B53CD}"/>
    <cellStyle name="Percent 2 6 8" xfId="11750" xr:uid="{9A794213-EC22-4BA3-807D-737B4D2E4481}"/>
    <cellStyle name="Percent 2 6 8 2" xfId="11751" xr:uid="{6D650B9A-9728-4E6A-9391-0D7EF57CF387}"/>
    <cellStyle name="Percent 2 6 8 3" xfId="11752" xr:uid="{78261739-1CC3-4BD2-835F-7FBF1F6EBFE4}"/>
    <cellStyle name="Percent 2 6 8 4" xfId="11753" xr:uid="{312D334A-AF75-473F-BB41-DBECF0000D4E}"/>
    <cellStyle name="Percent 2 6 8 5" xfId="11754" xr:uid="{BFC09C60-80C8-4B8A-A160-4D51350A50D3}"/>
    <cellStyle name="Percent 2 6 9" xfId="11755" xr:uid="{892163CD-179D-45E2-86F2-170B2D3FD71F}"/>
    <cellStyle name="Percent 2 6 9 2" xfId="11756" xr:uid="{69484AD2-38CB-4910-BA94-0E6488024FF0}"/>
    <cellStyle name="Percent 2 6 9 3" xfId="11757" xr:uid="{F84CF835-4D49-4345-BB43-25A8143F1345}"/>
    <cellStyle name="Percent 2 6 9 4" xfId="11758" xr:uid="{D1F7A46D-D9FD-4F7E-9A54-3CFF111F43E9}"/>
    <cellStyle name="Percent 2 6 9 5" xfId="11759" xr:uid="{22580850-AE48-440E-9C7E-662706104ACF}"/>
    <cellStyle name="Percent 2 7" xfId="11760" xr:uid="{EC417837-5C06-4CEC-9CBC-AB628AEE78CD}"/>
    <cellStyle name="Percent 2 7 10" xfId="11761" xr:uid="{C4EA2651-E691-41AD-89AC-C6EF83CA2866}"/>
    <cellStyle name="Percent 2 7 11" xfId="11762" xr:uid="{0C7519D6-A03E-40B0-B170-74C7FF17E9F3}"/>
    <cellStyle name="Percent 2 7 12" xfId="11763" xr:uid="{3D4839F1-98A6-4545-90C8-3F2012F683BD}"/>
    <cellStyle name="Percent 2 7 2" xfId="11764" xr:uid="{64014CB1-3688-4DE7-9D8F-C3AD6A9C569F}"/>
    <cellStyle name="Percent 2 7 2 2" xfId="11765" xr:uid="{72CFCFCD-8EC7-4C49-859C-683B43DE5312}"/>
    <cellStyle name="Percent 2 7 2 3" xfId="11766" xr:uid="{8E8EC82A-F635-47E4-9A1C-B87F44D8CC9B}"/>
    <cellStyle name="Percent 2 7 2 4" xfId="11767" xr:uid="{BE7FE009-B341-4BD7-8AFD-1FE45FD22599}"/>
    <cellStyle name="Percent 2 7 2 5" xfId="11768" xr:uid="{BF343D4F-8D16-4A3A-A3C9-E5A7FECF009F}"/>
    <cellStyle name="Percent 2 7 3" xfId="11769" xr:uid="{F70425DB-E5C7-4781-A7F5-1C9AE677568A}"/>
    <cellStyle name="Percent 2 7 3 2" xfId="11770" xr:uid="{F8E1FF3F-EB17-4C52-8E4B-2E1F2E261E40}"/>
    <cellStyle name="Percent 2 7 3 3" xfId="11771" xr:uid="{4CDFFE7C-E2A2-432C-89CA-B91D43873C6F}"/>
    <cellStyle name="Percent 2 7 3 4" xfId="11772" xr:uid="{D712B3B9-19B3-4CA0-8166-C9D81937988C}"/>
    <cellStyle name="Percent 2 7 3 5" xfId="11773" xr:uid="{36F0C750-5A76-4064-A44F-C9A4BB24D842}"/>
    <cellStyle name="Percent 2 7 4" xfId="11774" xr:uid="{13119ECB-DC45-4495-8497-59C9CBC9E475}"/>
    <cellStyle name="Percent 2 7 4 2" xfId="11775" xr:uid="{EBD3CB23-9599-4CEA-A28D-E1B792D62FF6}"/>
    <cellStyle name="Percent 2 7 4 3" xfId="11776" xr:uid="{2FA4E8C2-D67F-4433-99E1-B47C693F51D4}"/>
    <cellStyle name="Percent 2 7 4 4" xfId="11777" xr:uid="{2AA0EED9-DC77-47E1-98C9-178D24ACE662}"/>
    <cellStyle name="Percent 2 7 4 5" xfId="11778" xr:uid="{9E7398FE-1197-4441-A7A2-C1E4CE66A5C1}"/>
    <cellStyle name="Percent 2 7 5" xfId="11779" xr:uid="{BC208077-C98F-4AF1-B429-56CD3AAB3936}"/>
    <cellStyle name="Percent 2 7 5 2" xfId="11780" xr:uid="{4EBAE623-BD37-400E-9611-07D1CB71AB25}"/>
    <cellStyle name="Percent 2 7 5 3" xfId="11781" xr:uid="{BC894BE2-8131-4DC7-9D0E-16BD4CC75443}"/>
    <cellStyle name="Percent 2 7 5 4" xfId="11782" xr:uid="{D3C18ED4-B657-4E14-B613-E08607C1A5EC}"/>
    <cellStyle name="Percent 2 7 5 5" xfId="11783" xr:uid="{9D7101FF-4F08-46F3-AFB0-A5E58E7F9164}"/>
    <cellStyle name="Percent 2 7 6" xfId="11784" xr:uid="{E7A873B6-62F6-4648-B777-F358AE47707A}"/>
    <cellStyle name="Percent 2 7 6 2" xfId="11785" xr:uid="{3D88B267-99CD-40ED-828B-2B00C5EB3651}"/>
    <cellStyle name="Percent 2 7 6 3" xfId="11786" xr:uid="{70952C9D-3139-4A2C-92F6-08A2BDAE5024}"/>
    <cellStyle name="Percent 2 7 6 4" xfId="11787" xr:uid="{4F5D54EB-3E4C-42F5-BB01-9A2933C75EB1}"/>
    <cellStyle name="Percent 2 7 6 5" xfId="11788" xr:uid="{E43CC528-8691-4B4A-A1BA-95EC175358CE}"/>
    <cellStyle name="Percent 2 7 7" xfId="11789" xr:uid="{89E77564-BD72-4021-8AEC-6B59BECF6136}"/>
    <cellStyle name="Percent 2 7 7 2" xfId="11790" xr:uid="{A1E3236A-76DA-4D19-8968-5663E118DEA4}"/>
    <cellStyle name="Percent 2 7 7 3" xfId="11791" xr:uid="{7B57752C-D1BB-4B4A-851B-2308590F8C70}"/>
    <cellStyle name="Percent 2 7 7 4" xfId="11792" xr:uid="{498E46E8-513C-41EE-A8FA-AFB5634D7FA1}"/>
    <cellStyle name="Percent 2 7 7 5" xfId="11793" xr:uid="{CDEE0795-CF00-4933-B4A4-9853B103EBD6}"/>
    <cellStyle name="Percent 2 7 8" xfId="11794" xr:uid="{4C0150E1-B7D0-4D28-8D77-452FCBE957D9}"/>
    <cellStyle name="Percent 2 7 8 2" xfId="11795" xr:uid="{E0BCEAE9-5B96-410A-AF63-2623893CA749}"/>
    <cellStyle name="Percent 2 7 8 3" xfId="11796" xr:uid="{F5F9B517-57E3-4557-B7FF-878B92CD8D79}"/>
    <cellStyle name="Percent 2 7 8 4" xfId="11797" xr:uid="{247A87D6-C0BD-43E6-8DA5-177DC1FA5D8D}"/>
    <cellStyle name="Percent 2 7 8 5" xfId="11798" xr:uid="{0CD15C82-AB41-48CC-80F1-82CA61C4A88D}"/>
    <cellStyle name="Percent 2 7 9" xfId="11799" xr:uid="{BACE62E0-5703-4F8C-A457-E08ACC988D57}"/>
    <cellStyle name="Percent 2 8" xfId="11800" xr:uid="{658F32DF-703D-457C-86FF-328512A54227}"/>
    <cellStyle name="Percent 2 8 10" xfId="11801" xr:uid="{03DF2789-43F9-4392-94EF-66539A10635E}"/>
    <cellStyle name="Percent 2 8 11" xfId="11802" xr:uid="{319EA455-3F0E-4B33-977F-174B4E74CA24}"/>
    <cellStyle name="Percent 2 8 12" xfId="11803" xr:uid="{2F0366BB-A5D5-4874-B81E-6240773AD028}"/>
    <cellStyle name="Percent 2 8 2" xfId="11804" xr:uid="{80BD5ADD-C64E-4DEA-8FFA-C7787A655E2C}"/>
    <cellStyle name="Percent 2 8 2 2" xfId="11805" xr:uid="{E76FA6D2-DE1F-4166-8DE7-F46957913EAF}"/>
    <cellStyle name="Percent 2 8 2 3" xfId="11806" xr:uid="{C340D671-24B8-4349-B573-3C07ED2774F9}"/>
    <cellStyle name="Percent 2 8 2 4" xfId="11807" xr:uid="{D464191C-B4D2-483D-8990-9B25A574913F}"/>
    <cellStyle name="Percent 2 8 2 5" xfId="11808" xr:uid="{76F43C86-2D1C-47A3-8F57-7A7904D42736}"/>
    <cellStyle name="Percent 2 8 3" xfId="11809" xr:uid="{A6AC679D-248B-4841-9F9A-25B12ECF92B5}"/>
    <cellStyle name="Percent 2 8 3 2" xfId="11810" xr:uid="{F7C0E655-294F-4E06-BC4F-8F7AC799591C}"/>
    <cellStyle name="Percent 2 8 3 3" xfId="11811" xr:uid="{7BCA4215-3A3E-47BD-AA4D-3910DC554F6D}"/>
    <cellStyle name="Percent 2 8 3 4" xfId="11812" xr:uid="{2FB4AFD1-02C8-4E7D-BEE5-8797F34FD518}"/>
    <cellStyle name="Percent 2 8 3 5" xfId="11813" xr:uid="{916B3F49-B2D1-4CDA-9391-55D1761A7E31}"/>
    <cellStyle name="Percent 2 8 4" xfId="11814" xr:uid="{B7C02E9F-29CF-4736-A1B0-7B2EFECF2994}"/>
    <cellStyle name="Percent 2 8 4 2" xfId="11815" xr:uid="{0129DB85-0EE4-4B4F-A100-E2560F5C163C}"/>
    <cellStyle name="Percent 2 8 4 3" xfId="11816" xr:uid="{E46B1690-C0E4-4EB1-A5A0-28F53149F7CC}"/>
    <cellStyle name="Percent 2 8 4 4" xfId="11817" xr:uid="{44F9F378-59B2-4CD1-A013-E2C0EBBC332E}"/>
    <cellStyle name="Percent 2 8 4 5" xfId="11818" xr:uid="{7A3CFD1B-D00B-493F-A22F-964BE9130EB5}"/>
    <cellStyle name="Percent 2 8 5" xfId="11819" xr:uid="{223100A8-D793-4FB2-8410-DD8EC6E168F6}"/>
    <cellStyle name="Percent 2 8 5 2" xfId="11820" xr:uid="{920959C2-3DBB-4877-890E-E4C577A2A350}"/>
    <cellStyle name="Percent 2 8 5 3" xfId="11821" xr:uid="{8FAD0F59-8DBF-4B4D-93EA-800D703C43D4}"/>
    <cellStyle name="Percent 2 8 5 4" xfId="11822" xr:uid="{060DB6D8-F21A-4A2D-905E-466D9E3EB609}"/>
    <cellStyle name="Percent 2 8 5 5" xfId="11823" xr:uid="{02213B30-0A83-4AD8-9369-2BF0F29B9B08}"/>
    <cellStyle name="Percent 2 8 6" xfId="11824" xr:uid="{EA91788E-7F9C-45CB-AAD5-CE9835050A2A}"/>
    <cellStyle name="Percent 2 8 6 2" xfId="11825" xr:uid="{C2990481-41CF-4007-ACB3-BA911831C354}"/>
    <cellStyle name="Percent 2 8 6 3" xfId="11826" xr:uid="{5277D818-E03C-461D-9930-375BB76C5CC9}"/>
    <cellStyle name="Percent 2 8 6 4" xfId="11827" xr:uid="{027E552C-4D1E-44F6-9E59-4ABC4483E92A}"/>
    <cellStyle name="Percent 2 8 6 5" xfId="11828" xr:uid="{182E2615-23D4-4F98-9CC7-61590F9C97F3}"/>
    <cellStyle name="Percent 2 8 7" xfId="11829" xr:uid="{0CF86FEA-E602-492E-B603-CB6C49727B6F}"/>
    <cellStyle name="Percent 2 8 7 2" xfId="11830" xr:uid="{F939C00E-C833-43B7-9A19-2AED1BC9ADC2}"/>
    <cellStyle name="Percent 2 8 7 3" xfId="11831" xr:uid="{0CCD4198-23D4-4067-8388-6BFBED740911}"/>
    <cellStyle name="Percent 2 8 7 4" xfId="11832" xr:uid="{2ACFC805-A7CD-4D47-9A96-7CAF25B3CED0}"/>
    <cellStyle name="Percent 2 8 7 5" xfId="11833" xr:uid="{D51EB36C-A86D-4D92-946C-E115D1196970}"/>
    <cellStyle name="Percent 2 8 8" xfId="11834" xr:uid="{2DD4083D-BA2D-4BA1-B78D-98B610094AAC}"/>
    <cellStyle name="Percent 2 8 8 2" xfId="11835" xr:uid="{FDC27F9D-4D72-4444-BC28-131785C4566D}"/>
    <cellStyle name="Percent 2 8 8 3" xfId="11836" xr:uid="{93A6D78F-ED01-4608-A902-048D381D267F}"/>
    <cellStyle name="Percent 2 8 8 4" xfId="11837" xr:uid="{F5588031-D440-4CDE-B9E2-39DD8B4A69C8}"/>
    <cellStyle name="Percent 2 8 8 5" xfId="11838" xr:uid="{A48F016F-5F2B-418E-A492-A2A6FDCA458D}"/>
    <cellStyle name="Percent 2 8 9" xfId="11839" xr:uid="{55B494C2-4B83-47E5-A340-707A358F22EE}"/>
    <cellStyle name="Percent 2 9" xfId="11840" xr:uid="{18DBAB84-235A-4D7F-8E90-E2424ED07981}"/>
    <cellStyle name="Percent 2 9 10" xfId="11841" xr:uid="{B6FC7CD0-2838-4BC2-AC80-AF7A641B551B}"/>
    <cellStyle name="Percent 2 9 11" xfId="11842" xr:uid="{B2E629BC-EB02-4CC2-8A36-FBFCD054742B}"/>
    <cellStyle name="Percent 2 9 12" xfId="11843" xr:uid="{B7C0B648-1583-4CF4-89A4-99BDEA9781E3}"/>
    <cellStyle name="Percent 2 9 2" xfId="11844" xr:uid="{0722977A-EBCA-4A18-AC62-494399B93117}"/>
    <cellStyle name="Percent 2 9 2 2" xfId="11845" xr:uid="{70DDD7C5-E5C5-43DD-B3B0-46C4600687EE}"/>
    <cellStyle name="Percent 2 9 2 3" xfId="11846" xr:uid="{7CEC4622-574B-4AEB-8A42-6117AE726EA2}"/>
    <cellStyle name="Percent 2 9 2 4" xfId="11847" xr:uid="{1159D537-85C1-43B3-84E3-E5C24F69021C}"/>
    <cellStyle name="Percent 2 9 2 5" xfId="11848" xr:uid="{BDAC00E7-DC12-4AA2-8BC0-7FFCEB027EBB}"/>
    <cellStyle name="Percent 2 9 3" xfId="11849" xr:uid="{9DC2B8EE-3661-4BD5-B9E9-1F509DCA1463}"/>
    <cellStyle name="Percent 2 9 3 2" xfId="11850" xr:uid="{3CDA9D13-10C3-4CFC-94B7-468D2A89C16B}"/>
    <cellStyle name="Percent 2 9 3 3" xfId="11851" xr:uid="{A83A162A-294E-4E26-97AE-8053CC9F4F3B}"/>
    <cellStyle name="Percent 2 9 3 4" xfId="11852" xr:uid="{68C09660-EAC5-4FDA-9743-4949E8F25029}"/>
    <cellStyle name="Percent 2 9 3 5" xfId="11853" xr:uid="{971C3D07-DD47-4503-B63E-062E73F11C03}"/>
    <cellStyle name="Percent 2 9 4" xfId="11854" xr:uid="{7492AB4A-3543-496D-9786-1390522C3ADA}"/>
    <cellStyle name="Percent 2 9 4 2" xfId="11855" xr:uid="{427952A9-22C2-4915-B34B-B5D41EF344C5}"/>
    <cellStyle name="Percent 2 9 4 3" xfId="11856" xr:uid="{6E5DCB4A-DC07-4151-A6DA-FE99C80D31B6}"/>
    <cellStyle name="Percent 2 9 4 4" xfId="11857" xr:uid="{C779261E-823A-4EF2-9FDB-DF443A3B3EEB}"/>
    <cellStyle name="Percent 2 9 4 5" xfId="11858" xr:uid="{9FC6E0A1-1A7B-4A55-B560-8B801E72BEB9}"/>
    <cellStyle name="Percent 2 9 5" xfId="11859" xr:uid="{0604DDA0-F44A-4657-B279-F3EEC2763F79}"/>
    <cellStyle name="Percent 2 9 5 2" xfId="11860" xr:uid="{1AD57046-0802-4DA9-B55A-23BC084B7BB2}"/>
    <cellStyle name="Percent 2 9 5 3" xfId="11861" xr:uid="{C1164228-C02A-4D9A-AFB0-DC85762F21E8}"/>
    <cellStyle name="Percent 2 9 5 4" xfId="11862" xr:uid="{7C54A615-BD08-4A8B-B06F-CBE476D60166}"/>
    <cellStyle name="Percent 2 9 5 5" xfId="11863" xr:uid="{81A2E8E2-B6CF-48E1-8EB9-2AD76E59E04D}"/>
    <cellStyle name="Percent 2 9 6" xfId="11864" xr:uid="{17D19353-D7D1-429A-A9F3-95C548899550}"/>
    <cellStyle name="Percent 2 9 6 2" xfId="11865" xr:uid="{99610D9E-13B8-4652-9C45-3568B99ECFA3}"/>
    <cellStyle name="Percent 2 9 6 3" xfId="11866" xr:uid="{F350C08D-D09A-4F67-B7EE-76FEFCDDC3E7}"/>
    <cellStyle name="Percent 2 9 6 4" xfId="11867" xr:uid="{156CCDEF-D8FF-42A3-B570-7E3F66492DBA}"/>
    <cellStyle name="Percent 2 9 6 5" xfId="11868" xr:uid="{EA5CE15F-0827-422E-997C-456BCF81DD22}"/>
    <cellStyle name="Percent 2 9 7" xfId="11869" xr:uid="{F0415B3D-893F-41BA-925F-9DCC0DCDF949}"/>
    <cellStyle name="Percent 2 9 7 2" xfId="11870" xr:uid="{350199C1-D164-410C-A2DD-1938F255D881}"/>
    <cellStyle name="Percent 2 9 7 3" xfId="11871" xr:uid="{C92F9E47-4522-46BC-AC52-39A4BA5CA00F}"/>
    <cellStyle name="Percent 2 9 7 4" xfId="11872" xr:uid="{4EC47685-6E7F-4933-8CCA-DA57935E8499}"/>
    <cellStyle name="Percent 2 9 7 5" xfId="11873" xr:uid="{3729B1FD-B205-4C99-B13B-F216263C23EF}"/>
    <cellStyle name="Percent 2 9 8" xfId="11874" xr:uid="{4E92F463-8131-4431-B3D0-394315CC4BC1}"/>
    <cellStyle name="Percent 2 9 8 2" xfId="11875" xr:uid="{D7FC43C1-9770-45C5-B24E-34B062B01456}"/>
    <cellStyle name="Percent 2 9 8 3" xfId="11876" xr:uid="{E5832708-F6D1-4B0A-A250-4C460D29E5E7}"/>
    <cellStyle name="Percent 2 9 8 4" xfId="11877" xr:uid="{D22C4599-EC68-46D3-B50B-FD25475CCBE9}"/>
    <cellStyle name="Percent 2 9 8 5" xfId="11878" xr:uid="{02250801-AABA-4402-B9CD-17B6DC72E24D}"/>
    <cellStyle name="Percent 2 9 9" xfId="11879" xr:uid="{D2C18C95-320C-483C-B418-C33F4788EC1B}"/>
    <cellStyle name="Percent 20" xfId="11880" xr:uid="{5C8A70B4-CA23-43C5-9AA9-130EC63482FF}"/>
    <cellStyle name="Percent 20 10" xfId="11881" xr:uid="{16FF433C-F65A-400C-A452-152A2D89322E}"/>
    <cellStyle name="Percent 20 11" xfId="11882" xr:uid="{1E9EF079-3B9D-4DB8-A0E1-42DB4F638CB0}"/>
    <cellStyle name="Percent 20 12" xfId="11883" xr:uid="{B42759C5-EC24-4BA3-A434-052E6484C484}"/>
    <cellStyle name="Percent 20 2" xfId="11884" xr:uid="{AA7560FE-D9AD-414C-A4BF-78D8F6817010}"/>
    <cellStyle name="Percent 20 2 2" xfId="11885" xr:uid="{EB129552-ED00-4B51-8847-3029760A3A60}"/>
    <cellStyle name="Percent 20 2 3" xfId="11886" xr:uid="{DD229A44-0BB0-435A-A06D-24C2E33020B1}"/>
    <cellStyle name="Percent 20 2 4" xfId="11887" xr:uid="{CEDFA52E-7945-4883-9459-F677348B6666}"/>
    <cellStyle name="Percent 20 2 5" xfId="11888" xr:uid="{DCB6A083-3875-4621-8DF4-F1E03FF5B9B5}"/>
    <cellStyle name="Percent 20 2 6" xfId="11889" xr:uid="{8705F496-2601-41AE-8446-1D69B9247892}"/>
    <cellStyle name="Percent 20 3" xfId="11890" xr:uid="{8F37BB5C-64F4-404B-BABE-A85C1085C26E}"/>
    <cellStyle name="Percent 20 3 2" xfId="11891" xr:uid="{BDFB1F68-B6F5-4262-974F-E09F87D55522}"/>
    <cellStyle name="Percent 20 3 3" xfId="11892" xr:uid="{72AA35A7-DD55-4B8D-99DB-CEBF5A65F894}"/>
    <cellStyle name="Percent 20 3 4" xfId="11893" xr:uid="{ADF565FC-DFF2-4025-AF4D-58945408AEFF}"/>
    <cellStyle name="Percent 20 3 5" xfId="11894" xr:uid="{1611673E-2FB4-42AA-BF65-BA8FBC78CF24}"/>
    <cellStyle name="Percent 20 4" xfId="11895" xr:uid="{41313C17-707D-46A3-A502-191164E7EF1A}"/>
    <cellStyle name="Percent 20 4 2" xfId="11896" xr:uid="{F3B4269F-0B92-4D12-806F-1F1F8ACF0F8D}"/>
    <cellStyle name="Percent 20 4 3" xfId="11897" xr:uid="{41C19310-AEE0-4A8D-BAA1-938012155EF5}"/>
    <cellStyle name="Percent 20 4 4" xfId="11898" xr:uid="{14A6B550-DB9E-4E9E-90B7-ACBAEC4A843B}"/>
    <cellStyle name="Percent 20 4 5" xfId="11899" xr:uid="{3A65F957-2208-4021-9B5D-C715A8274DF8}"/>
    <cellStyle name="Percent 20 5" xfId="11900" xr:uid="{9C8B6210-F17B-4984-84B4-28DD56D45F64}"/>
    <cellStyle name="Percent 20 5 2" xfId="11901" xr:uid="{601BEFD1-E49B-4F63-85F7-CC1BF7CC2539}"/>
    <cellStyle name="Percent 20 5 3" xfId="11902" xr:uid="{2D8024E1-B546-4D30-8D44-898E60944020}"/>
    <cellStyle name="Percent 20 5 4" xfId="11903" xr:uid="{471B23AE-5D51-47C3-9B5C-48F9FB5B2C08}"/>
    <cellStyle name="Percent 20 5 5" xfId="11904" xr:uid="{E16326B3-4C25-40B7-B281-BEB1EE78618A}"/>
    <cellStyle name="Percent 20 6" xfId="11905" xr:uid="{DA3FCF43-0821-4668-B25A-F6B19E4F8445}"/>
    <cellStyle name="Percent 20 6 2" xfId="11906" xr:uid="{7AD1099A-3D74-41E8-BA18-08F7B75B2F9D}"/>
    <cellStyle name="Percent 20 6 3" xfId="11907" xr:uid="{135D5B76-0FC9-4A88-A203-275EBED09A1E}"/>
    <cellStyle name="Percent 20 6 4" xfId="11908" xr:uid="{4C803077-932A-402D-B627-946130FBBC4E}"/>
    <cellStyle name="Percent 20 6 5" xfId="11909" xr:uid="{2549C17E-1BF1-4788-94ED-C2290EF443BB}"/>
    <cellStyle name="Percent 20 7" xfId="11910" xr:uid="{7EA95DBA-D9D8-4A5A-B87C-53BAC96C5725}"/>
    <cellStyle name="Percent 20 7 2" xfId="11911" xr:uid="{0C8A42E3-CC7A-4F59-9B06-76CFDA67B189}"/>
    <cellStyle name="Percent 20 7 2 2" xfId="11912" xr:uid="{FF4A4AF5-4FAE-4E46-BD2A-4A15C726EC3D}"/>
    <cellStyle name="Percent 20 7 2 3" xfId="11913" xr:uid="{462FE6E3-C74F-4723-B2E8-DC51A2AF5C7F}"/>
    <cellStyle name="Percent 20 7 2 4" xfId="11914" xr:uid="{D8690E8D-161E-4E08-8E0E-402EC7419EDC}"/>
    <cellStyle name="Percent 20 7 2 5" xfId="11915" xr:uid="{EE6638F7-1CBF-4E3B-B46E-98DFAAF1DC99}"/>
    <cellStyle name="Percent 20 7 3" xfId="11916" xr:uid="{22391874-FCCE-4655-88A9-C75796242A0F}"/>
    <cellStyle name="Percent 20 7 3 2" xfId="11917" xr:uid="{ACA9177E-CF18-4F75-8DBD-494143AD20A0}"/>
    <cellStyle name="Percent 20 7 3 3" xfId="11918" xr:uid="{B18C02A4-5409-4A5B-8863-E9669588E2D3}"/>
    <cellStyle name="Percent 20 7 3 4" xfId="11919" xr:uid="{7860F9DE-5ABF-4850-9F76-E81C8CBBB9A6}"/>
    <cellStyle name="Percent 20 7 3 5" xfId="11920" xr:uid="{F6CD2D94-22F1-494D-87C2-6245035002E8}"/>
    <cellStyle name="Percent 20 7 4" xfId="11921" xr:uid="{8B225138-CA90-4A92-A3DF-50F9E1C7AA14}"/>
    <cellStyle name="Percent 20 7 5" xfId="11922" xr:uid="{84C0478D-6FEE-4E38-9439-66C33F425B8A}"/>
    <cellStyle name="Percent 20 7 6" xfId="11923" xr:uid="{A4600128-3FBA-4FE1-9C38-AF6A107E2B01}"/>
    <cellStyle name="Percent 20 7 7" xfId="11924" xr:uid="{BBB49E16-E57C-4188-81FD-D815E742B17D}"/>
    <cellStyle name="Percent 20 8" xfId="11925" xr:uid="{7C5378D2-4EA2-409C-98E5-2375403A4AE3}"/>
    <cellStyle name="Percent 20 9" xfId="11926" xr:uid="{59258350-E1B7-4AB0-8C68-C45BE894EF32}"/>
    <cellStyle name="Percent 21" xfId="11927" xr:uid="{A5E64F2F-E18D-4D6D-B121-F1576BDEA705}"/>
    <cellStyle name="Percent 21 10" xfId="11928" xr:uid="{7BF46AC7-038F-4F1E-A062-B1F4717468BC}"/>
    <cellStyle name="Percent 21 11" xfId="11929" xr:uid="{B7B6AB6C-D197-46A3-99B4-55C72DC98F25}"/>
    <cellStyle name="Percent 21 2" xfId="11930" xr:uid="{FAF8299F-ACA9-4099-9156-2CB6BDF54779}"/>
    <cellStyle name="Percent 21 2 2" xfId="11931" xr:uid="{4552C2C3-B45A-433E-B4DF-C56C740A4A71}"/>
    <cellStyle name="Percent 21 2 3" xfId="11932" xr:uid="{083AE244-81F0-4D37-B83D-EB2E1CDA490D}"/>
    <cellStyle name="Percent 21 2 4" xfId="11933" xr:uid="{7AACD9F2-C0AA-4E32-8826-528B1D1FEB70}"/>
    <cellStyle name="Percent 21 2 5" xfId="11934" xr:uid="{67BBE713-D13F-40E7-AB9E-13ABC97B123C}"/>
    <cellStyle name="Percent 21 3" xfId="11935" xr:uid="{24FBE2FF-5BC1-4B12-AA98-CF6D6E3A2338}"/>
    <cellStyle name="Percent 21 3 2" xfId="11936" xr:uid="{0D0C6195-4AC6-4D6F-890E-B8C7633EC574}"/>
    <cellStyle name="Percent 21 3 3" xfId="11937" xr:uid="{2E033622-8857-410B-BA1F-E41E9C7930FC}"/>
    <cellStyle name="Percent 21 3 4" xfId="11938" xr:uid="{6E8FEB09-7772-4779-91B9-0CC7E856B9DA}"/>
    <cellStyle name="Percent 21 3 5" xfId="11939" xr:uid="{C2C570D2-77D1-4A99-97F3-85C19C1DE596}"/>
    <cellStyle name="Percent 21 4" xfId="11940" xr:uid="{4C11883C-33CD-4743-B243-B82B58830741}"/>
    <cellStyle name="Percent 21 4 2" xfId="11941" xr:uid="{143AC399-ECAC-4549-BCAC-2B82B167EB78}"/>
    <cellStyle name="Percent 21 4 3" xfId="11942" xr:uid="{B49B5EA6-BFAA-491B-B37E-1637A5615F22}"/>
    <cellStyle name="Percent 21 4 4" xfId="11943" xr:uid="{C102E5F6-5C35-4FE0-A344-682F1E9AD007}"/>
    <cellStyle name="Percent 21 4 5" xfId="11944" xr:uid="{41D11C1A-BFF9-47A1-BD90-385CECE59285}"/>
    <cellStyle name="Percent 21 5" xfId="11945" xr:uid="{4D91C913-6797-4D49-8180-0EE041E1A873}"/>
    <cellStyle name="Percent 21 5 2" xfId="11946" xr:uid="{DDC4C568-64B5-4B5F-A422-F79A3F994A1F}"/>
    <cellStyle name="Percent 21 5 3" xfId="11947" xr:uid="{44BCB7A8-5BC4-4DEF-91F8-6BE261243889}"/>
    <cellStyle name="Percent 21 5 4" xfId="11948" xr:uid="{27FEEB6C-2D63-463D-9110-BB5909F5071E}"/>
    <cellStyle name="Percent 21 5 5" xfId="11949" xr:uid="{209E7697-9FE0-4080-A689-A4BD1448475E}"/>
    <cellStyle name="Percent 21 6" xfId="11950" xr:uid="{4EB1AA13-47F2-41EF-A6F0-A4274C190BF4}"/>
    <cellStyle name="Percent 21 6 2" xfId="11951" xr:uid="{AD3DB1B7-97A9-4D77-AB24-89D72DC719BF}"/>
    <cellStyle name="Percent 21 6 3" xfId="11952" xr:uid="{3E86066B-567F-4108-B2E4-A67166B5EFA4}"/>
    <cellStyle name="Percent 21 6 4" xfId="11953" xr:uid="{F520E825-30CF-4E0B-B306-E993B5202AF3}"/>
    <cellStyle name="Percent 21 6 5" xfId="11954" xr:uid="{D0F2B3A2-EA33-4375-8C2E-914D6480D306}"/>
    <cellStyle name="Percent 21 7" xfId="11955" xr:uid="{A2E21607-61DE-47E4-AA1F-AFBA34E3DA2F}"/>
    <cellStyle name="Percent 21 7 2" xfId="11956" xr:uid="{A4EBF7A7-4BE4-4E12-BABD-DEBAE20CB628}"/>
    <cellStyle name="Percent 21 7 2 2" xfId="11957" xr:uid="{5B47E34C-D38E-4510-BB99-946E1ACA0EC0}"/>
    <cellStyle name="Percent 21 7 2 3" xfId="11958" xr:uid="{920979D9-F831-4054-93DD-13538876679D}"/>
    <cellStyle name="Percent 21 7 2 4" xfId="11959" xr:uid="{E4289107-3A49-4B57-A3F6-6B700532D5CB}"/>
    <cellStyle name="Percent 21 7 2 5" xfId="11960" xr:uid="{C3383CBA-A6DE-4EAB-B89B-4D137613BFA9}"/>
    <cellStyle name="Percent 21 7 3" xfId="11961" xr:uid="{A18EC246-8EFA-4169-8C7B-9BE393E3E2BF}"/>
    <cellStyle name="Percent 21 7 3 2" xfId="11962" xr:uid="{553C6F50-2F20-44DB-AA24-00B8055DE01D}"/>
    <cellStyle name="Percent 21 7 3 3" xfId="11963" xr:uid="{5762663C-B1E7-4B35-9E20-FB04F212BDDC}"/>
    <cellStyle name="Percent 21 7 3 4" xfId="11964" xr:uid="{41551D88-257D-40CA-95C8-176C0C20D982}"/>
    <cellStyle name="Percent 21 7 3 5" xfId="11965" xr:uid="{DE132C6A-AEA8-4ECC-B932-AB4B75BDABA7}"/>
    <cellStyle name="Percent 21 7 4" xfId="11966" xr:uid="{E96C64D6-DAC7-4619-B7F9-73B7CC23D9BB}"/>
    <cellStyle name="Percent 21 7 5" xfId="11967" xr:uid="{41329D99-B804-4763-AE05-98A644D2B01E}"/>
    <cellStyle name="Percent 21 7 6" xfId="11968" xr:uid="{F460428D-A4E4-4FBF-BCFA-E6492B83A7C6}"/>
    <cellStyle name="Percent 21 7 7" xfId="11969" xr:uid="{B38B1429-74D0-423E-8121-BC6576EC01C6}"/>
    <cellStyle name="Percent 21 8" xfId="11970" xr:uid="{97C66E9E-5E8F-4052-81EA-20728908F83E}"/>
    <cellStyle name="Percent 21 9" xfId="11971" xr:uid="{6DA04FC7-1716-40A9-AC60-74AA161A56D9}"/>
    <cellStyle name="Percent 22" xfId="11972" xr:uid="{AD8F7E80-7BE9-4261-BEB8-AEF1D68B55AD}"/>
    <cellStyle name="Percent 22 10" xfId="11973" xr:uid="{83EEA0DB-98B7-465B-84EE-A7A47E885D39}"/>
    <cellStyle name="Percent 22 11" xfId="11974" xr:uid="{97D01106-A4FC-44C8-9F1D-8E1AB23F7A8D}"/>
    <cellStyle name="Percent 22 2" xfId="11975" xr:uid="{A813902C-2F50-4710-885A-2159C5FE6822}"/>
    <cellStyle name="Percent 22 2 2" xfId="11976" xr:uid="{3595E0B6-C310-4321-9EEB-8905D2E62A86}"/>
    <cellStyle name="Percent 22 2 3" xfId="11977" xr:uid="{6906CF2D-3222-47A3-96B9-2BC962BF3BA0}"/>
    <cellStyle name="Percent 22 2 4" xfId="11978" xr:uid="{92ACBA0A-4FA2-4246-A73B-D60802E0874B}"/>
    <cellStyle name="Percent 22 2 5" xfId="11979" xr:uid="{FD8AACE7-4BEB-4051-B256-CC6589D8454B}"/>
    <cellStyle name="Percent 22 3" xfId="11980" xr:uid="{575155E6-F156-40B4-A158-E5C2D6FE1964}"/>
    <cellStyle name="Percent 22 3 2" xfId="11981" xr:uid="{126B0CBF-47A9-4E38-A2DE-5058D52A2AE4}"/>
    <cellStyle name="Percent 22 3 3" xfId="11982" xr:uid="{FBCB54C7-D41D-466A-9B99-FDE14D46D1C4}"/>
    <cellStyle name="Percent 22 3 4" xfId="11983" xr:uid="{39FB2813-4297-47D2-AE53-D6E6B1FE11B5}"/>
    <cellStyle name="Percent 22 3 5" xfId="11984" xr:uid="{0E55CA7A-71F2-4CE4-A88E-80B8907B534B}"/>
    <cellStyle name="Percent 22 4" xfId="11985" xr:uid="{AE57CB6F-A6F3-409D-9224-FFD4F3299BBE}"/>
    <cellStyle name="Percent 22 4 2" xfId="11986" xr:uid="{00762C70-6CC5-457F-8C2C-D26C6527F44D}"/>
    <cellStyle name="Percent 22 4 3" xfId="11987" xr:uid="{58979652-CDA9-4CFD-BC19-4FEABD3E5109}"/>
    <cellStyle name="Percent 22 4 4" xfId="11988" xr:uid="{99EF171B-64DE-4B1F-B4DF-CCE1AA304E89}"/>
    <cellStyle name="Percent 22 4 5" xfId="11989" xr:uid="{CEB53C84-0810-4781-BCFD-70292CF3AA2E}"/>
    <cellStyle name="Percent 22 5" xfId="11990" xr:uid="{08B89DD8-7AFD-4669-99B5-483F5FCD2DF6}"/>
    <cellStyle name="Percent 22 5 2" xfId="11991" xr:uid="{71F0F48B-A3D8-46B5-BA18-41EFE13ADC7F}"/>
    <cellStyle name="Percent 22 5 3" xfId="11992" xr:uid="{5805EBD6-AEF9-445E-B427-3DF7C4697674}"/>
    <cellStyle name="Percent 22 5 4" xfId="11993" xr:uid="{213BE16F-380D-4A81-A525-C3B7854A1592}"/>
    <cellStyle name="Percent 22 5 5" xfId="11994" xr:uid="{6E8869B6-A032-4A8E-A7AC-38AB0C7FDEB8}"/>
    <cellStyle name="Percent 22 6" xfId="11995" xr:uid="{ACBA6E82-3D71-4A28-AE48-1F6AD8DF44E7}"/>
    <cellStyle name="Percent 22 6 2" xfId="11996" xr:uid="{60DB8CA0-0833-430F-AB8F-AC38440AF8C8}"/>
    <cellStyle name="Percent 22 6 3" xfId="11997" xr:uid="{3EA860B1-C1A9-4387-96FE-256E02CE95D8}"/>
    <cellStyle name="Percent 22 6 4" xfId="11998" xr:uid="{3E35FAE5-6772-4DBE-96E1-8D065535CA72}"/>
    <cellStyle name="Percent 22 6 5" xfId="11999" xr:uid="{AC8D1129-F555-4208-9B32-D4A694868120}"/>
    <cellStyle name="Percent 22 7" xfId="12000" xr:uid="{94D17965-8A09-42AB-81D8-1B88138EBC03}"/>
    <cellStyle name="Percent 22 7 2" xfId="12001" xr:uid="{D8228BBD-1691-47A4-AF5D-911E58D81FEC}"/>
    <cellStyle name="Percent 22 7 2 2" xfId="12002" xr:uid="{8875F204-455B-4017-8D4B-A4D207A1DF91}"/>
    <cellStyle name="Percent 22 7 2 3" xfId="12003" xr:uid="{24853268-F740-4CBA-91EE-1EF88EAD7AF1}"/>
    <cellStyle name="Percent 22 7 2 4" xfId="12004" xr:uid="{0E9D9FA4-712C-4B36-A92D-2CC232AE5512}"/>
    <cellStyle name="Percent 22 7 2 5" xfId="12005" xr:uid="{3C14CB97-660E-412F-8F7F-96240FC5882D}"/>
    <cellStyle name="Percent 22 7 3" xfId="12006" xr:uid="{17F8BA68-B177-4C22-82F4-E42F5FD7517F}"/>
    <cellStyle name="Percent 22 7 3 2" xfId="12007" xr:uid="{07DFD6EE-46E8-4242-BB0B-E03AC247B088}"/>
    <cellStyle name="Percent 22 7 3 3" xfId="12008" xr:uid="{ADB63D0A-8AD6-47FC-A322-36CAC2BA1635}"/>
    <cellStyle name="Percent 22 7 3 4" xfId="12009" xr:uid="{84F5948A-5182-4014-9725-A36BA71CC93F}"/>
    <cellStyle name="Percent 22 7 3 5" xfId="12010" xr:uid="{3FA14AD3-2278-4E35-B3EC-D0E306B00773}"/>
    <cellStyle name="Percent 22 7 4" xfId="12011" xr:uid="{C52BED6B-11B5-436A-AFCE-33577CBD38F4}"/>
    <cellStyle name="Percent 22 7 5" xfId="12012" xr:uid="{62EA8794-03D6-47AD-97CC-66EC6D5CFB35}"/>
    <cellStyle name="Percent 22 7 6" xfId="12013" xr:uid="{197D38CF-8EF0-46B4-93C7-C35F3B32ED4E}"/>
    <cellStyle name="Percent 22 7 7" xfId="12014" xr:uid="{9C559715-50C1-42D3-8C68-7D2BFC85EC1F}"/>
    <cellStyle name="Percent 22 8" xfId="12015" xr:uid="{792BFF39-7E66-4DDD-B6E8-B118BEA8A35C}"/>
    <cellStyle name="Percent 22 9" xfId="12016" xr:uid="{AED66263-EB2C-4C76-8E77-793A789D58D7}"/>
    <cellStyle name="Percent 23" xfId="12017" xr:uid="{BF07A259-8A3A-4D47-88C1-4D21053825C7}"/>
    <cellStyle name="Percent 23 10" xfId="12018" xr:uid="{4D706AB1-45A6-4CD4-9CA9-616C540B92BF}"/>
    <cellStyle name="Percent 23 11" xfId="12019" xr:uid="{B957D93D-D2EA-4C86-9A57-79F7F29D0B28}"/>
    <cellStyle name="Percent 23 2" xfId="12020" xr:uid="{BE705D36-3AE9-484C-B746-216A044720C1}"/>
    <cellStyle name="Percent 23 2 2" xfId="12021" xr:uid="{0350F05D-A922-4B80-B754-042BB9843CE0}"/>
    <cellStyle name="Percent 23 2 3" xfId="12022" xr:uid="{73676504-1125-40AA-858B-30304FB5B2D9}"/>
    <cellStyle name="Percent 23 2 4" xfId="12023" xr:uid="{B1ECE17C-7B96-4A42-96D5-8AB6823C3742}"/>
    <cellStyle name="Percent 23 2 5" xfId="12024" xr:uid="{BA4345A2-D135-4810-9F6A-EF8D388C62E9}"/>
    <cellStyle name="Percent 23 3" xfId="12025" xr:uid="{62F5FBDA-7306-48A2-9255-320E45F8322E}"/>
    <cellStyle name="Percent 23 3 2" xfId="12026" xr:uid="{3BF0853D-0526-4E02-BA92-06B0D92C45F4}"/>
    <cellStyle name="Percent 23 3 3" xfId="12027" xr:uid="{D8BBB301-AD1C-4CE0-8598-88721E625377}"/>
    <cellStyle name="Percent 23 3 4" xfId="12028" xr:uid="{EF598A52-45DE-4E45-9FB3-9ECD207A7B33}"/>
    <cellStyle name="Percent 23 3 5" xfId="12029" xr:uid="{C84F21E7-62C1-4B9E-B7F0-ABF5F970B07A}"/>
    <cellStyle name="Percent 23 4" xfId="12030" xr:uid="{772770A2-F346-45B8-9FB4-FD044C4C7222}"/>
    <cellStyle name="Percent 23 4 2" xfId="12031" xr:uid="{8FDFCA86-CF11-4765-A9C1-655A282F093D}"/>
    <cellStyle name="Percent 23 4 3" xfId="12032" xr:uid="{B76812EB-0C5C-491B-9E36-A4053417C73D}"/>
    <cellStyle name="Percent 23 4 4" xfId="12033" xr:uid="{EEF7977D-384E-4C24-89E7-75C653E37808}"/>
    <cellStyle name="Percent 23 4 5" xfId="12034" xr:uid="{5A197EF1-D7ED-4D29-A541-ACD91A391953}"/>
    <cellStyle name="Percent 23 5" xfId="12035" xr:uid="{1A214FD4-E05B-40A2-ACCC-8402B15E80BD}"/>
    <cellStyle name="Percent 23 5 2" xfId="12036" xr:uid="{BD2A8DF6-9856-4DA0-A042-2CFB2EC8AD79}"/>
    <cellStyle name="Percent 23 5 3" xfId="12037" xr:uid="{E6294507-2114-4E1B-BAFA-1E2E55ED1518}"/>
    <cellStyle name="Percent 23 5 4" xfId="12038" xr:uid="{5436B072-86BE-468E-9B9C-24994D2637B3}"/>
    <cellStyle name="Percent 23 5 5" xfId="12039" xr:uid="{859D79DE-1582-47EC-BF24-D43251BDC750}"/>
    <cellStyle name="Percent 23 6" xfId="12040" xr:uid="{E29BE641-4025-426F-83FF-4E0DA44A5D65}"/>
    <cellStyle name="Percent 23 6 2" xfId="12041" xr:uid="{6A2ACE57-0BF0-4E45-B213-D1BA05756FBF}"/>
    <cellStyle name="Percent 23 6 3" xfId="12042" xr:uid="{555A6D41-9FCD-4B99-8D22-BC317EF79067}"/>
    <cellStyle name="Percent 23 6 4" xfId="12043" xr:uid="{AB2F0BF3-ADD7-4070-895F-2953947C5A83}"/>
    <cellStyle name="Percent 23 6 5" xfId="12044" xr:uid="{7B19DA2D-1F13-4D08-AA84-3505D6EB72FE}"/>
    <cellStyle name="Percent 23 7" xfId="12045" xr:uid="{FA3FA993-6F1F-41A2-A163-3F369B1DE6C5}"/>
    <cellStyle name="Percent 23 7 2" xfId="12046" xr:uid="{47975937-871E-43FA-964D-7AD906C0358A}"/>
    <cellStyle name="Percent 23 7 2 2" xfId="12047" xr:uid="{56C00DBB-D48F-4B80-95C2-05D4E0FE392D}"/>
    <cellStyle name="Percent 23 7 2 3" xfId="12048" xr:uid="{CF5D4BFA-12AC-421C-91D9-7DB9FFC35987}"/>
    <cellStyle name="Percent 23 7 2 4" xfId="12049" xr:uid="{32B5DD1D-D48E-4EB9-9B63-882E482D4F67}"/>
    <cellStyle name="Percent 23 7 2 5" xfId="12050" xr:uid="{F67348CA-3B37-4DCB-BE45-2D3A7377F6BF}"/>
    <cellStyle name="Percent 23 7 3" xfId="12051" xr:uid="{BD70C95A-7271-4238-AD40-4D680967234F}"/>
    <cellStyle name="Percent 23 7 3 2" xfId="12052" xr:uid="{1A67D740-A015-4CA0-BBAB-419B8B3145EE}"/>
    <cellStyle name="Percent 23 7 3 3" xfId="12053" xr:uid="{BA50CE2C-3DAB-48E3-AC61-8B6B9012BB32}"/>
    <cellStyle name="Percent 23 7 3 4" xfId="12054" xr:uid="{52865593-73C8-4EE6-A60B-C97C735A99EE}"/>
    <cellStyle name="Percent 23 7 3 5" xfId="12055" xr:uid="{C4019541-FE2D-405C-8904-9333644E58EE}"/>
    <cellStyle name="Percent 23 7 4" xfId="12056" xr:uid="{56BCA3F4-5B59-40DD-9D32-135A8CBB965C}"/>
    <cellStyle name="Percent 23 7 5" xfId="12057" xr:uid="{949D6E5A-997E-4AEF-BF63-FAB47F06C255}"/>
    <cellStyle name="Percent 23 7 6" xfId="12058" xr:uid="{5CC85B12-1B9F-4FCE-A5E4-DF2548243C71}"/>
    <cellStyle name="Percent 23 7 7" xfId="12059" xr:uid="{05084C32-EFF8-4D54-B71F-F0E749C304AA}"/>
    <cellStyle name="Percent 23 8" xfId="12060" xr:uid="{3F8F098E-E09F-49B0-A590-0FB0D70E5F19}"/>
    <cellStyle name="Percent 23 9" xfId="12061" xr:uid="{A89996A2-44D6-4E97-BD89-E131C1B46522}"/>
    <cellStyle name="Percent 24" xfId="12062" xr:uid="{B579D9D9-EA6D-4A45-9F76-0F42B9C9E059}"/>
    <cellStyle name="Percent 24 10" xfId="12063" xr:uid="{5C3F549D-D2CC-4F1B-B787-23A3D83526CA}"/>
    <cellStyle name="Percent 24 10 2" xfId="12064" xr:uid="{BA8949A3-E553-4567-B42B-16C2440622AE}"/>
    <cellStyle name="Percent 24 10 2 2" xfId="12065" xr:uid="{782D6A68-62FC-41D0-AF3E-AB0ADD7F647B}"/>
    <cellStyle name="Percent 24 10 3" xfId="12066" xr:uid="{CF620E3F-BE21-43D9-9301-509ED29E6CDF}"/>
    <cellStyle name="Percent 24 11" xfId="12067" xr:uid="{BFA3E8CD-2B63-457E-8B5E-60F8A9223AF2}"/>
    <cellStyle name="Percent 24 11 2" xfId="12068" xr:uid="{DEA291EA-A579-416E-AEEA-91F6D7FB0C51}"/>
    <cellStyle name="Percent 24 12" xfId="12069" xr:uid="{1933A32D-B8E2-474B-91ED-F479EC8E4BAB}"/>
    <cellStyle name="Percent 24 13" xfId="12070" xr:uid="{DD46F3B9-5E83-4F4E-A57E-B2A6479FB867}"/>
    <cellStyle name="Percent 24 14" xfId="12071" xr:uid="{7699DF45-A77F-408D-929E-D6147F2496FA}"/>
    <cellStyle name="Percent 24 15" xfId="12072" xr:uid="{1CC24A7C-48DB-47CC-AF4F-5BCB5BEDE4BE}"/>
    <cellStyle name="Percent 24 2" xfId="12073" xr:uid="{DF0A3E03-7692-4384-98CF-2A2200F10151}"/>
    <cellStyle name="Percent 24 2 2" xfId="12074" xr:uid="{62B4B637-6A06-4CE2-9B99-334694B7FDFF}"/>
    <cellStyle name="Percent 24 2 3" xfId="12075" xr:uid="{CF21CC37-5FB1-4176-80E7-FEEF7B3145EF}"/>
    <cellStyle name="Percent 24 2 4" xfId="12076" xr:uid="{D092E0A9-E2B0-45E6-9DBF-6220BA5A4345}"/>
    <cellStyle name="Percent 24 2 5" xfId="12077" xr:uid="{9EF3E25E-B6B5-4F44-B2B1-2F8B2768FC99}"/>
    <cellStyle name="Percent 24 3" xfId="12078" xr:uid="{BF8E2139-1862-4123-A550-74FAD6F690C0}"/>
    <cellStyle name="Percent 24 3 2" xfId="12079" xr:uid="{BE504F24-8E74-466D-B240-43EBF17C57D1}"/>
    <cellStyle name="Percent 24 3 3" xfId="12080" xr:uid="{5B32280E-ACF7-435C-BDFF-26788B3986E9}"/>
    <cellStyle name="Percent 24 3 4" xfId="12081" xr:uid="{8A37155B-87F5-4274-B203-659278DC6D9E}"/>
    <cellStyle name="Percent 24 3 5" xfId="12082" xr:uid="{A69A7B30-73D0-4FCF-B8A3-909CA755E1B1}"/>
    <cellStyle name="Percent 24 4" xfId="12083" xr:uid="{5B72DD1C-CB53-40E5-ACFD-608E9E9693D1}"/>
    <cellStyle name="Percent 24 4 2" xfId="12084" xr:uid="{E7E1EDAB-F047-4833-8C5B-3739A4A7CE09}"/>
    <cellStyle name="Percent 24 4 3" xfId="12085" xr:uid="{9C68E952-E64F-4FE3-B2F0-663D9BB914C8}"/>
    <cellStyle name="Percent 24 4 4" xfId="12086" xr:uid="{EBF77A76-1037-4654-8493-ABB8EE783889}"/>
    <cellStyle name="Percent 24 4 5" xfId="12087" xr:uid="{19AB8F50-7642-4D8E-985E-A4F7999EB283}"/>
    <cellStyle name="Percent 24 5" xfId="12088" xr:uid="{E99D76C6-7E0E-49A4-9406-7225344D9F7C}"/>
    <cellStyle name="Percent 24 5 2" xfId="12089" xr:uid="{0EFAB89F-181C-4812-9159-3A087D21E328}"/>
    <cellStyle name="Percent 24 5 3" xfId="12090" xr:uid="{070B490B-6802-4BC0-B728-3549948BED50}"/>
    <cellStyle name="Percent 24 5 4" xfId="12091" xr:uid="{644F0E1A-DECC-4112-AA5A-D620D3B50D42}"/>
    <cellStyle name="Percent 24 5 5" xfId="12092" xr:uid="{2A30AB19-EA82-4885-80FC-772D7E7B7262}"/>
    <cellStyle name="Percent 24 6" xfId="12093" xr:uid="{EC972B5C-5795-4A7D-A586-321B8EB5A7E0}"/>
    <cellStyle name="Percent 24 6 2" xfId="12094" xr:uid="{4E9F5722-FD7C-427C-A85B-A21D1668AD62}"/>
    <cellStyle name="Percent 24 6 3" xfId="12095" xr:uid="{353A2AC1-7CB0-4CD3-B833-B30772263DE0}"/>
    <cellStyle name="Percent 24 6 4" xfId="12096" xr:uid="{B3F0798A-0BA1-4D97-84F3-6AFCC25F7798}"/>
    <cellStyle name="Percent 24 6 5" xfId="12097" xr:uid="{D6D9B963-D074-4C3A-8B56-003EC6323591}"/>
    <cellStyle name="Percent 24 7" xfId="12098" xr:uid="{BD3A4A86-5FC0-4643-8AAF-1F318EB0C6DF}"/>
    <cellStyle name="Percent 24 7 2" xfId="12099" xr:uid="{A231A66C-25A7-4222-BADA-55316DEE0BE0}"/>
    <cellStyle name="Percent 24 7 2 2" xfId="12100" xr:uid="{C1B13371-B79F-4382-B98F-1CE4343419E6}"/>
    <cellStyle name="Percent 24 7 2 3" xfId="12101" xr:uid="{1678D92F-A068-4852-A1FC-4C49705927D4}"/>
    <cellStyle name="Percent 24 7 2 4" xfId="12102" xr:uid="{8755EC36-326B-43A9-B291-63D151CB2277}"/>
    <cellStyle name="Percent 24 7 2 5" xfId="12103" xr:uid="{9B4DC3C7-92A6-47FF-B969-8A1041061465}"/>
    <cellStyle name="Percent 24 7 3" xfId="12104" xr:uid="{F7D99C78-B5B9-4C19-91D8-7580B1903BD1}"/>
    <cellStyle name="Percent 24 7 3 2" xfId="12105" xr:uid="{3221EE61-16EC-4B3F-9C87-6B5B59D9DD03}"/>
    <cellStyle name="Percent 24 7 3 3" xfId="12106" xr:uid="{4FD05919-63FD-472A-8FDA-7CA27E60B335}"/>
    <cellStyle name="Percent 24 7 3 4" xfId="12107" xr:uid="{8FA744DC-0F88-40AD-BE30-14BFA134C09C}"/>
    <cellStyle name="Percent 24 7 3 5" xfId="12108" xr:uid="{FB848AE0-2137-4055-94FD-17F3F4301081}"/>
    <cellStyle name="Percent 24 7 4" xfId="12109" xr:uid="{B6A9D8A4-6948-41AE-9A26-AA2A0DEC34F5}"/>
    <cellStyle name="Percent 24 7 5" xfId="12110" xr:uid="{1B792AD2-9E5C-4726-856F-F13EC252ADC6}"/>
    <cellStyle name="Percent 24 7 6" xfId="12111" xr:uid="{D84CBFE0-F4AD-4CBA-B5BA-CDA71F61A6A4}"/>
    <cellStyle name="Percent 24 7 7" xfId="12112" xr:uid="{AEF44D67-DD94-4ECE-ABC5-B26B948D75B9}"/>
    <cellStyle name="Percent 24 8" xfId="12113" xr:uid="{FF1A40E4-4F25-45CC-8909-16F2DE685BB0}"/>
    <cellStyle name="Percent 24 8 2" xfId="12114" xr:uid="{8ECEBD81-DD8B-4C03-B651-2307E5F9DCD8}"/>
    <cellStyle name="Percent 24 8 2 2" xfId="12115" xr:uid="{FA6E1586-452B-4DB7-8752-20F85987E274}"/>
    <cellStyle name="Percent 24 8 2 2 2" xfId="12116" xr:uid="{A4FB1FD0-5321-4E02-8FE9-2D757495B8EC}"/>
    <cellStyle name="Percent 24 8 2 3" xfId="12117" xr:uid="{32ACBE7E-6F3E-456B-854B-C141E8A22DCB}"/>
    <cellStyle name="Percent 24 8 3" xfId="12118" xr:uid="{FEF4CDEA-7D8B-4471-807E-E118B14CCFAE}"/>
    <cellStyle name="Percent 24 8 3 2" xfId="12119" xr:uid="{694DB616-8EC3-46B2-AAE5-0DA4937AEA8A}"/>
    <cellStyle name="Percent 24 8 3 2 2" xfId="12120" xr:uid="{7ADBCCDC-A8B2-492B-9529-051885BF1C0C}"/>
    <cellStyle name="Percent 24 8 3 3" xfId="12121" xr:uid="{2BE7E684-637E-4593-85D3-CBA49AEF4A98}"/>
    <cellStyle name="Percent 24 8 4" xfId="12122" xr:uid="{0AFE565E-E311-4493-90AF-8E3F6C5F004E}"/>
    <cellStyle name="Percent 24 8 4 2" xfId="12123" xr:uid="{43E2C4B0-6854-4245-A11E-BE3B40964079}"/>
    <cellStyle name="Percent 24 8 5" xfId="12124" xr:uid="{E8A30C22-C812-42AD-A877-7A33CFF7098E}"/>
    <cellStyle name="Percent 24 8 6" xfId="12125" xr:uid="{9442301E-6039-4E20-AC85-CC9ADDDDCAEF}"/>
    <cellStyle name="Percent 24 8 7" xfId="12126" xr:uid="{632556EE-C4E8-4525-A043-5CC836955AF9}"/>
    <cellStyle name="Percent 24 8 8" xfId="12127" xr:uid="{2654097A-23F9-421A-82FB-7E12BFB4F052}"/>
    <cellStyle name="Percent 24 9" xfId="12128" xr:uid="{611B31A7-5309-491C-9FDC-81A28BD49AF9}"/>
    <cellStyle name="Percent 24 9 2" xfId="12129" xr:uid="{C5296ACD-4CCF-4F07-984A-64C56F25DF8D}"/>
    <cellStyle name="Percent 24 9 2 2" xfId="12130" xr:uid="{42627699-DC44-487A-AF85-2E707A519125}"/>
    <cellStyle name="Percent 24 9 3" xfId="12131" xr:uid="{F7DC3DC3-A3F9-41CC-9952-CF7E348E99CD}"/>
    <cellStyle name="Percent 25" xfId="12132" xr:uid="{5F4B6318-A5F9-457B-AC2B-A9A9636827B3}"/>
    <cellStyle name="Percent 25 10" xfId="12133" xr:uid="{D90F919E-51EC-4617-9F46-FC0BFACAD9A6}"/>
    <cellStyle name="Percent 25 11" xfId="12134" xr:uid="{96D48336-1E57-4FF7-AAD8-02153B772488}"/>
    <cellStyle name="Percent 25 2" xfId="12135" xr:uid="{9362C2F1-DC68-4412-A7C7-9EEE07661C83}"/>
    <cellStyle name="Percent 25 2 2" xfId="12136" xr:uid="{9825A654-9CEE-4F4C-9639-0C5B6BB9D0F5}"/>
    <cellStyle name="Percent 25 2 3" xfId="12137" xr:uid="{9ADBD542-7C51-4FC9-AEF9-ED74AAACEEF2}"/>
    <cellStyle name="Percent 25 2 4" xfId="12138" xr:uid="{A8B7EF91-088B-41D2-8161-D3AF61503E0D}"/>
    <cellStyle name="Percent 25 2 5" xfId="12139" xr:uid="{1CEE51C2-C58A-4CE4-AE90-B077D6B917DB}"/>
    <cellStyle name="Percent 25 3" xfId="12140" xr:uid="{900D9C29-49D0-4B31-8756-123938BABBF1}"/>
    <cellStyle name="Percent 25 3 2" xfId="12141" xr:uid="{EF35AE2A-D650-498A-9A64-D357CCF79F03}"/>
    <cellStyle name="Percent 25 3 3" xfId="12142" xr:uid="{B2365878-AF6C-4A32-9736-7E56160DBB27}"/>
    <cellStyle name="Percent 25 3 4" xfId="12143" xr:uid="{5A8140E5-8F0B-4F49-823F-68325A04B9EB}"/>
    <cellStyle name="Percent 25 3 5" xfId="12144" xr:uid="{7A7F96A9-4578-4345-90C9-C8673B45A22B}"/>
    <cellStyle name="Percent 25 4" xfId="12145" xr:uid="{2702DD41-7A36-4C81-A1AD-38BF2BB23ADF}"/>
    <cellStyle name="Percent 25 4 2" xfId="12146" xr:uid="{8E372D40-0FDE-4256-8CB4-59F21C1C48EA}"/>
    <cellStyle name="Percent 25 4 3" xfId="12147" xr:uid="{6FBFD611-7278-4999-89D0-DE9C70B0167D}"/>
    <cellStyle name="Percent 25 4 4" xfId="12148" xr:uid="{9677DDE6-CC42-4F36-9726-DAB70FDD5C33}"/>
    <cellStyle name="Percent 25 4 5" xfId="12149" xr:uid="{2F65E225-6665-4EC3-B719-13CEDB53D1AE}"/>
    <cellStyle name="Percent 25 5" xfId="12150" xr:uid="{5F3B5AD5-09A8-439F-A6B8-46D8B5B567EC}"/>
    <cellStyle name="Percent 25 5 2" xfId="12151" xr:uid="{1D805BC8-3EEF-4185-BB5B-126693DCBFB0}"/>
    <cellStyle name="Percent 25 5 3" xfId="12152" xr:uid="{633DE933-980F-42C6-B725-CF60DA74301B}"/>
    <cellStyle name="Percent 25 5 4" xfId="12153" xr:uid="{ED548909-26D9-4C07-8003-F8A8BD40606D}"/>
    <cellStyle name="Percent 25 5 5" xfId="12154" xr:uid="{0C6CB1C6-D2BA-403B-ACF4-31535E4E7AEE}"/>
    <cellStyle name="Percent 25 6" xfId="12155" xr:uid="{36ECDADF-1456-426F-967B-DFE9BD92769C}"/>
    <cellStyle name="Percent 25 6 2" xfId="12156" xr:uid="{9435B389-84BA-477A-9D01-8313CCC4B51C}"/>
    <cellStyle name="Percent 25 6 3" xfId="12157" xr:uid="{81CF3DBE-5002-48FD-BD31-BA9550B4A57C}"/>
    <cellStyle name="Percent 25 6 4" xfId="12158" xr:uid="{57455F91-3F2A-417D-85CF-0686F7A7D311}"/>
    <cellStyle name="Percent 25 6 5" xfId="12159" xr:uid="{9C353EB8-A70C-489B-9C85-853EAFF29B02}"/>
    <cellStyle name="Percent 25 7" xfId="12160" xr:uid="{4F5611DB-83BE-4B2A-8729-F6EAFD888A1B}"/>
    <cellStyle name="Percent 25 7 2" xfId="12161" xr:uid="{72DADA49-7341-49BA-989B-FCFC0DD005F2}"/>
    <cellStyle name="Percent 25 7 2 2" xfId="12162" xr:uid="{22C2194C-58B7-49C9-8404-64CA40B21BC4}"/>
    <cellStyle name="Percent 25 7 2 3" xfId="12163" xr:uid="{2374A588-36D7-4B1A-B77B-4EE5865F4B57}"/>
    <cellStyle name="Percent 25 7 2 4" xfId="12164" xr:uid="{94AFE01D-5A91-46C2-A36F-3A113BD17F3A}"/>
    <cellStyle name="Percent 25 7 2 5" xfId="12165" xr:uid="{A2EB5EE7-1B55-4D2F-8467-708D31DED263}"/>
    <cellStyle name="Percent 25 7 3" xfId="12166" xr:uid="{B2987D37-36D9-4729-90B4-36A3F91B6684}"/>
    <cellStyle name="Percent 25 7 3 2" xfId="12167" xr:uid="{C6AC622F-5E73-4DE8-B539-0EBA7061F3CD}"/>
    <cellStyle name="Percent 25 7 3 3" xfId="12168" xr:uid="{CE98FFF7-D3C7-4102-83C3-E45F45355E4F}"/>
    <cellStyle name="Percent 25 7 3 4" xfId="12169" xr:uid="{B9D96A44-2457-4758-8FAA-90DAEE20F471}"/>
    <cellStyle name="Percent 25 7 3 5" xfId="12170" xr:uid="{D3D8194B-69F3-46C6-8C7C-D031724C0591}"/>
    <cellStyle name="Percent 25 7 4" xfId="12171" xr:uid="{268D114A-0DC9-4A5B-BB57-FB89EF38033A}"/>
    <cellStyle name="Percent 25 7 5" xfId="12172" xr:uid="{3294A9CB-DAC0-4087-84F1-79146FF4E0BA}"/>
    <cellStyle name="Percent 25 7 6" xfId="12173" xr:uid="{29E4BA24-EB15-4CC0-802A-D4D6B9543E88}"/>
    <cellStyle name="Percent 25 7 7" xfId="12174" xr:uid="{4DF18FEB-AC0C-4BDF-AAAE-E9962B4D266B}"/>
    <cellStyle name="Percent 25 8" xfId="12175" xr:uid="{6DB6EEF9-F18E-415D-A39B-9F48B832670C}"/>
    <cellStyle name="Percent 25 9" xfId="12176" xr:uid="{1846C733-35AF-4DAD-A9EA-BCBB620CD2CF}"/>
    <cellStyle name="Percent 26" xfId="12177" xr:uid="{975AAEB0-E7EE-4402-9316-42403894BB46}"/>
    <cellStyle name="Percent 26 10" xfId="12178" xr:uid="{C771D361-D734-476E-BE97-4FC03C876FE2}"/>
    <cellStyle name="Percent 26 11" xfId="12179" xr:uid="{E6ABFDCA-0BCF-448C-8CE6-C7DC7C9D27B9}"/>
    <cellStyle name="Percent 26 2" xfId="12180" xr:uid="{E5A94D6C-EE48-42F1-8F20-501B8B20EE05}"/>
    <cellStyle name="Percent 26 2 2" xfId="12181" xr:uid="{D7A24361-4809-475A-84E1-8A9085C5FCD5}"/>
    <cellStyle name="Percent 26 2 3" xfId="12182" xr:uid="{1227B5F5-C065-4E69-9A57-3A8226950F97}"/>
    <cellStyle name="Percent 26 2 4" xfId="12183" xr:uid="{F3150480-AA0C-4BF8-8134-561DB68A8E5F}"/>
    <cellStyle name="Percent 26 2 5" xfId="12184" xr:uid="{CACAF6B5-210C-4F73-BE35-AB15D3E086C6}"/>
    <cellStyle name="Percent 26 3" xfId="12185" xr:uid="{2C910B4D-EF8E-495B-B1AE-784F63BC9DFD}"/>
    <cellStyle name="Percent 26 3 2" xfId="12186" xr:uid="{37FCEBB8-4895-46B7-BC7C-A1AEB7710C8F}"/>
    <cellStyle name="Percent 26 3 3" xfId="12187" xr:uid="{8F3E7088-3BAA-453A-BF07-EBBA52018EC9}"/>
    <cellStyle name="Percent 26 3 4" xfId="12188" xr:uid="{9F2964C0-C87E-4D5F-8428-D4ED4CB98B84}"/>
    <cellStyle name="Percent 26 3 5" xfId="12189" xr:uid="{05E70E4B-A203-4556-B00E-21941DA0D4CF}"/>
    <cellStyle name="Percent 26 4" xfId="12190" xr:uid="{15128547-C741-4C5B-BF01-4EA34292766D}"/>
    <cellStyle name="Percent 26 4 2" xfId="12191" xr:uid="{AC5E9D1E-D38F-41D3-8950-336DC01F542A}"/>
    <cellStyle name="Percent 26 4 3" xfId="12192" xr:uid="{878B0AC7-DC2E-438A-AD0A-461CF97C9C46}"/>
    <cellStyle name="Percent 26 4 4" xfId="12193" xr:uid="{80D538C8-7077-482E-A817-45AF710F0496}"/>
    <cellStyle name="Percent 26 4 5" xfId="12194" xr:uid="{28EC357D-2D9D-45E6-91BA-D01DC0ABD481}"/>
    <cellStyle name="Percent 26 5" xfId="12195" xr:uid="{13265DDF-7DDD-401F-8ABE-CF9005144229}"/>
    <cellStyle name="Percent 26 5 2" xfId="12196" xr:uid="{A107C4E3-8190-421C-AA4B-8BE46C67121D}"/>
    <cellStyle name="Percent 26 5 3" xfId="12197" xr:uid="{2CD31BD4-5B60-4C16-BE85-85B2A717C0EB}"/>
    <cellStyle name="Percent 26 5 4" xfId="12198" xr:uid="{C95106A9-44DC-445D-8B37-A057BCB3F5DC}"/>
    <cellStyle name="Percent 26 5 5" xfId="12199" xr:uid="{BA4EAE1C-EBE3-48D3-818C-AE624C4B3B03}"/>
    <cellStyle name="Percent 26 6" xfId="12200" xr:uid="{857E1711-28F7-4D95-93C2-E4CC575AA4A8}"/>
    <cellStyle name="Percent 26 6 2" xfId="12201" xr:uid="{202F0393-4F2B-4699-B66B-3F79D6EF0F41}"/>
    <cellStyle name="Percent 26 6 3" xfId="12202" xr:uid="{4783C834-9822-4C1A-B038-A7ED524FB066}"/>
    <cellStyle name="Percent 26 6 4" xfId="12203" xr:uid="{CDC1716F-E938-4706-A6D2-148B8184DAC1}"/>
    <cellStyle name="Percent 26 6 5" xfId="12204" xr:uid="{084E9E16-1589-4D12-86E8-8049443C9D62}"/>
    <cellStyle name="Percent 26 7" xfId="12205" xr:uid="{42D420DD-45FC-4046-8377-58F2084FFDFA}"/>
    <cellStyle name="Percent 26 7 2" xfId="12206" xr:uid="{D8ED4A4A-9BFA-4F1B-8F28-E6FED895DF72}"/>
    <cellStyle name="Percent 26 7 2 2" xfId="12207" xr:uid="{5C8226A5-8880-4FE4-9E43-0DAAA6251BB6}"/>
    <cellStyle name="Percent 26 7 2 3" xfId="12208" xr:uid="{4FB063A8-BF58-42A4-B310-C2174413BC05}"/>
    <cellStyle name="Percent 26 7 2 4" xfId="12209" xr:uid="{9F76360E-140D-455D-8F71-F72CC2810AF1}"/>
    <cellStyle name="Percent 26 7 2 5" xfId="12210" xr:uid="{5FA84A12-B900-4F6D-BF75-6D8CEAB1423C}"/>
    <cellStyle name="Percent 26 7 3" xfId="12211" xr:uid="{C0B1D4C7-EE4E-48E0-A13F-51E8D41EBD27}"/>
    <cellStyle name="Percent 26 7 3 2" xfId="12212" xr:uid="{349EBD7D-078D-4E64-8622-917A46281F2F}"/>
    <cellStyle name="Percent 26 7 3 3" xfId="12213" xr:uid="{9CD5DE8A-46EE-4923-B612-A5B92E2A0F75}"/>
    <cellStyle name="Percent 26 7 3 4" xfId="12214" xr:uid="{8F41B94E-DB26-462A-A492-E44D0A20B4CA}"/>
    <cellStyle name="Percent 26 7 3 5" xfId="12215" xr:uid="{9FFABBA3-5A80-4445-AFA5-557CB56C2A24}"/>
    <cellStyle name="Percent 26 7 4" xfId="12216" xr:uid="{5CC0C34F-769A-4240-92ED-38432205C086}"/>
    <cellStyle name="Percent 26 7 5" xfId="12217" xr:uid="{7FDACDCF-34BB-4324-A16B-1359535F9F1B}"/>
    <cellStyle name="Percent 26 7 6" xfId="12218" xr:uid="{0B6F8A3E-941A-40F3-AC6E-C41673CD92FA}"/>
    <cellStyle name="Percent 26 7 7" xfId="12219" xr:uid="{8BDA64E2-C310-42FB-BA53-07AC6ED10516}"/>
    <cellStyle name="Percent 26 8" xfId="12220" xr:uid="{C89AE04A-196C-4638-BD8E-3F1B81DD7A69}"/>
    <cellStyle name="Percent 26 9" xfId="12221" xr:uid="{9B52C122-1CC0-4CC2-992A-55CD18C0B3C1}"/>
    <cellStyle name="Percent 27" xfId="12222" xr:uid="{D4F6A35A-2A06-4326-BF77-C750F378E572}"/>
    <cellStyle name="Percent 27 2" xfId="12223" xr:uid="{860AEF42-1C0A-4B79-A3BD-83C024B2EDAD}"/>
    <cellStyle name="Percent 27 3" xfId="12224" xr:uid="{00C640DB-267F-4790-92B2-6A4B8AEE4E81}"/>
    <cellStyle name="Percent 27 4" xfId="12225" xr:uid="{3EB4FF4F-8460-4EF9-8B04-2CA79CE23B29}"/>
    <cellStyle name="Percent 27 5" xfId="12226" xr:uid="{2E3BB08B-9E82-4CAA-BA18-7210F3415763}"/>
    <cellStyle name="Percent 28" xfId="12227" xr:uid="{AC9C4174-78DB-4078-917E-AF866844744A}"/>
    <cellStyle name="Percent 28 2" xfId="12228" xr:uid="{0ADF353D-1246-4670-B64E-F1420750D037}"/>
    <cellStyle name="Percent 28 2 2" xfId="12229" xr:uid="{D053528B-01D1-490D-86B2-F3D2B977C50B}"/>
    <cellStyle name="Percent 28 2 2 2" xfId="12230" xr:uid="{BEC10F52-1D5D-48E0-B47C-B153663C57C9}"/>
    <cellStyle name="Percent 28 2 2 2 2" xfId="12231" xr:uid="{E1F9F241-CD74-4A37-A562-88353BBB3C7D}"/>
    <cellStyle name="Percent 28 2 2 3" xfId="12232" xr:uid="{B81C93E7-1918-44BF-AF89-0D7D318642EF}"/>
    <cellStyle name="Percent 28 2 3" xfId="12233" xr:uid="{20BE17F1-D8DB-47FC-B297-F60C5BF9B187}"/>
    <cellStyle name="Percent 28 2 3 2" xfId="12234" xr:uid="{9F4C4D44-C3B5-480C-B33B-D5E1E4DF7C39}"/>
    <cellStyle name="Percent 28 2 3 2 2" xfId="12235" xr:uid="{93DF88F8-B58A-40E1-9141-1EAE3A17C473}"/>
    <cellStyle name="Percent 28 2 3 3" xfId="12236" xr:uid="{16F10AB8-10A1-4692-B2A1-491309F49F03}"/>
    <cellStyle name="Percent 28 2 4" xfId="12237" xr:uid="{4FF174AA-5B1A-4B99-A98A-1BE1E3F1370C}"/>
    <cellStyle name="Percent 28 2 4 2" xfId="12238" xr:uid="{98E787BB-DE93-42B9-B8AC-D3A00C582F9C}"/>
    <cellStyle name="Percent 28 2 5" xfId="12239" xr:uid="{C5DDF05A-36DD-451E-B4E5-7043627D14B2}"/>
    <cellStyle name="Percent 28 2 6" xfId="12240" xr:uid="{8F855A48-042F-468A-90DE-185BC94B1BB9}"/>
    <cellStyle name="Percent 28 2 7" xfId="12241" xr:uid="{5A12EDC3-4E02-49A2-99EE-AF9D1691F2A2}"/>
    <cellStyle name="Percent 28 2 8" xfId="12242" xr:uid="{DB732B65-3A93-4BAA-9A0C-85CD3A8AC86D}"/>
    <cellStyle name="Percent 28 3" xfId="12243" xr:uid="{74624A6C-297E-4C5B-B0FD-084DDCE05051}"/>
    <cellStyle name="Percent 28 3 2" xfId="12244" xr:uid="{FB963B7C-6D78-43F3-BE7C-6CD7259F7005}"/>
    <cellStyle name="Percent 28 3 2 2" xfId="12245" xr:uid="{1AA95DF0-A985-49DB-8DDE-9012DAFB00CF}"/>
    <cellStyle name="Percent 28 3 3" xfId="12246" xr:uid="{AD0E4B93-E069-4533-A848-E0983ED21D2A}"/>
    <cellStyle name="Percent 28 4" xfId="12247" xr:uid="{9C1755BB-0AEF-4791-8EE4-3CD7CA1F1B26}"/>
    <cellStyle name="Percent 28 4 2" xfId="12248" xr:uid="{F656B392-367F-4853-89A6-791778A5DF97}"/>
    <cellStyle name="Percent 28 4 2 2" xfId="12249" xr:uid="{151AC2C6-C04B-4D98-8588-FA7E54524F8F}"/>
    <cellStyle name="Percent 28 4 3" xfId="12250" xr:uid="{9BAA8167-05AB-4E44-84EA-84099093953B}"/>
    <cellStyle name="Percent 28 5" xfId="12251" xr:uid="{03D999C1-808F-4A6B-87FD-089A262DC1DA}"/>
    <cellStyle name="Percent 28 5 2" xfId="12252" xr:uid="{3371D23C-74B5-4FA8-A14D-4AA804C6D0A5}"/>
    <cellStyle name="Percent 28 6" xfId="12253" xr:uid="{FCE0F9D9-42C1-40A0-BEB4-0005E9ABFB8A}"/>
    <cellStyle name="Percent 28 7" xfId="12254" xr:uid="{81A1D0FD-AFBB-4A6B-BC29-AFDCD02B5378}"/>
    <cellStyle name="Percent 28 8" xfId="12255" xr:uid="{F4F2277E-B937-4A4A-BC3A-B1104681709B}"/>
    <cellStyle name="Percent 28 9" xfId="12256" xr:uid="{12A0B3AE-CE47-458A-957E-F2538BE4114D}"/>
    <cellStyle name="Percent 3" xfId="22" xr:uid="{00000000-0005-0000-0000-00001A000000}"/>
    <cellStyle name="Percent 3 10" xfId="12257" xr:uid="{94CA570F-AE12-45AB-9590-48EDF4C86899}"/>
    <cellStyle name="Percent 3 10 10" xfId="12258" xr:uid="{CEC43B19-84F9-4D4C-9595-F114A51D21D4}"/>
    <cellStyle name="Percent 3 10 10 2" xfId="12259" xr:uid="{F0C8AC9C-368D-42FE-A9F9-1C40AB4A362D}"/>
    <cellStyle name="Percent 3 10 10 3" xfId="12260" xr:uid="{417132EC-A0E8-427C-AB3B-75B9AE7D589C}"/>
    <cellStyle name="Percent 3 10 10 4" xfId="12261" xr:uid="{CD93B88C-FC39-4C0E-8CA8-DA931A0C5181}"/>
    <cellStyle name="Percent 3 10 10 5" xfId="12262" xr:uid="{5D16A981-A96C-4E95-93D1-154274138A3E}"/>
    <cellStyle name="Percent 3 10 11" xfId="12263" xr:uid="{C8BBBAFD-4C63-417B-B41F-9CF2F8142895}"/>
    <cellStyle name="Percent 3 10 11 2" xfId="12264" xr:uid="{570F5B15-DF5C-435D-B272-F99CF82D9936}"/>
    <cellStyle name="Percent 3 10 11 3" xfId="12265" xr:uid="{A1B2F43F-A274-481D-B45C-20EB4143A228}"/>
    <cellStyle name="Percent 3 10 11 4" xfId="12266" xr:uid="{696178C2-6345-49AC-A355-09215B72713C}"/>
    <cellStyle name="Percent 3 10 11 5" xfId="12267" xr:uid="{BFD613A7-DAC0-49B0-BF55-221F48681B7D}"/>
    <cellStyle name="Percent 3 10 12" xfId="12268" xr:uid="{A2277448-B5CC-49CA-9552-BED4558435B1}"/>
    <cellStyle name="Percent 3 10 12 2" xfId="12269" xr:uid="{8AF5E024-58C1-4E0E-86C2-53367F165850}"/>
    <cellStyle name="Percent 3 10 12 3" xfId="12270" xr:uid="{87866A46-33A9-436E-BC63-E26DCA68CCCD}"/>
    <cellStyle name="Percent 3 10 12 4" xfId="12271" xr:uid="{4FAF7FB9-C2B5-4E3B-AA44-B6FA3FA72047}"/>
    <cellStyle name="Percent 3 10 12 5" xfId="12272" xr:uid="{7938948F-1C3F-40CC-87D6-E14D025D9F24}"/>
    <cellStyle name="Percent 3 10 13" xfId="12273" xr:uid="{D03D87E2-D1BD-47A9-8677-F4B08FD4377E}"/>
    <cellStyle name="Percent 3 10 13 2" xfId="12274" xr:uid="{0F72AC3B-FC03-435C-8DEB-22A33F7C44B9}"/>
    <cellStyle name="Percent 3 10 13 3" xfId="12275" xr:uid="{EB867D34-5D43-44AC-9530-AD98C934E86D}"/>
    <cellStyle name="Percent 3 10 13 4" xfId="12276" xr:uid="{AE57D3F3-216A-498D-B333-49EB93F9D37D}"/>
    <cellStyle name="Percent 3 10 13 5" xfId="12277" xr:uid="{958F52A0-4310-406F-BBF9-1A1D074B2EF4}"/>
    <cellStyle name="Percent 3 10 14" xfId="12278" xr:uid="{DB9085CB-2CFE-41AF-9210-12DD7DAF8671}"/>
    <cellStyle name="Percent 3 10 14 2" xfId="12279" xr:uid="{1738DA4B-59F9-4B55-8395-97A7291223AD}"/>
    <cellStyle name="Percent 3 10 14 3" xfId="12280" xr:uid="{6C9F23D3-2518-4146-B719-312195F390C6}"/>
    <cellStyle name="Percent 3 10 14 4" xfId="12281" xr:uid="{AA255363-31EB-4C63-A856-AA76A313D1C7}"/>
    <cellStyle name="Percent 3 10 14 5" xfId="12282" xr:uid="{BC10D057-FFBC-44DB-BF59-4775F1B145C9}"/>
    <cellStyle name="Percent 3 10 15" xfId="12283" xr:uid="{4BA80922-E6E3-45BD-91E9-C5AF2E54B143}"/>
    <cellStyle name="Percent 3 10 15 2" xfId="12284" xr:uid="{03214F0E-2493-47EB-9FE0-01179EF1AF67}"/>
    <cellStyle name="Percent 3 10 15 3" xfId="12285" xr:uid="{D2AB0ADB-6372-4A35-AA6C-88ECB9D65C6E}"/>
    <cellStyle name="Percent 3 10 15 4" xfId="12286" xr:uid="{6D5F869E-A47D-4BC9-A529-B606DBFB0049}"/>
    <cellStyle name="Percent 3 10 15 5" xfId="12287" xr:uid="{D9C5B9E3-BCAD-4313-8C02-22FD84CB42FC}"/>
    <cellStyle name="Percent 3 10 16" xfId="12288" xr:uid="{921A02AE-7B82-4CA0-855D-8C970D9D8655}"/>
    <cellStyle name="Percent 3 10 17" xfId="12289" xr:uid="{95F9AE0A-988F-477A-A9AB-DC9FA927DE34}"/>
    <cellStyle name="Percent 3 10 18" xfId="12290" xr:uid="{A9CB878A-C6E8-48DA-B6D5-02E9196EC307}"/>
    <cellStyle name="Percent 3 10 19" xfId="12291" xr:uid="{3A172D99-C1B3-47C1-A703-A8A2A0F0A9CA}"/>
    <cellStyle name="Percent 3 10 2" xfId="12292" xr:uid="{23ACC8EE-421E-4D4A-8CFA-66182BC9D399}"/>
    <cellStyle name="Percent 3 10 2 2" xfId="12293" xr:uid="{2FC54138-17C0-44DB-B93E-BD1506D162B1}"/>
    <cellStyle name="Percent 3 10 2 3" xfId="12294" xr:uid="{17F5CA66-F42B-41FA-A8FE-5AB291626C8F}"/>
    <cellStyle name="Percent 3 10 2 4" xfId="12295" xr:uid="{08128F4D-EF14-4198-81E5-6CDF2CDE31DD}"/>
    <cellStyle name="Percent 3 10 2 5" xfId="12296" xr:uid="{9C4F76B6-A7E3-4248-A38C-3C7AAFA3C13B}"/>
    <cellStyle name="Percent 3 10 3" xfId="12297" xr:uid="{25B75815-D2A5-417F-B41F-508226C2A1C5}"/>
    <cellStyle name="Percent 3 10 3 2" xfId="12298" xr:uid="{C9062C93-4FF6-4E33-BD75-C5CF7FAFED43}"/>
    <cellStyle name="Percent 3 10 3 3" xfId="12299" xr:uid="{137104F8-EB8C-4C58-BA62-D11DF8275D1F}"/>
    <cellStyle name="Percent 3 10 3 4" xfId="12300" xr:uid="{2A40C4AE-DA88-4305-AC51-75C6EAB1B284}"/>
    <cellStyle name="Percent 3 10 3 5" xfId="12301" xr:uid="{4C278211-EAFF-4291-A4F4-FBD6D32BDD57}"/>
    <cellStyle name="Percent 3 10 4" xfId="12302" xr:uid="{1DD87B94-2366-42B6-A9D8-694FD8055EEC}"/>
    <cellStyle name="Percent 3 10 4 2" xfId="12303" xr:uid="{5907FF33-DBA0-4B3E-A564-E1EFEEA30C6C}"/>
    <cellStyle name="Percent 3 10 4 3" xfId="12304" xr:uid="{938780E2-B343-4364-B880-FEA703872B69}"/>
    <cellStyle name="Percent 3 10 4 4" xfId="12305" xr:uid="{4DF86678-988D-46B7-B4EC-80D5FDFEDA04}"/>
    <cellStyle name="Percent 3 10 4 5" xfId="12306" xr:uid="{DA5C5BD2-0691-40A1-BF56-771AD550A979}"/>
    <cellStyle name="Percent 3 10 5" xfId="12307" xr:uid="{D1F09D7D-0001-4341-9CE0-03B0E967153F}"/>
    <cellStyle name="Percent 3 10 5 2" xfId="12308" xr:uid="{73FF8F6F-E2A0-4876-9FEE-2F73E3F0C5B3}"/>
    <cellStyle name="Percent 3 10 5 3" xfId="12309" xr:uid="{E03D0EB9-344A-42B5-B206-25D70286CB74}"/>
    <cellStyle name="Percent 3 10 5 4" xfId="12310" xr:uid="{675D6CF9-6266-4B23-8365-85B6B7F773BF}"/>
    <cellStyle name="Percent 3 10 5 5" xfId="12311" xr:uid="{EE6D2361-7B3D-4B82-972B-9E3C23C870A2}"/>
    <cellStyle name="Percent 3 10 6" xfId="12312" xr:uid="{03CC5ECB-6C15-49F1-8159-124D764828A4}"/>
    <cellStyle name="Percent 3 10 6 2" xfId="12313" xr:uid="{47AEF1C5-2CAB-49A0-A31F-A5860B0BB05D}"/>
    <cellStyle name="Percent 3 10 6 3" xfId="12314" xr:uid="{71867209-0E24-458C-B4EA-193DF236EC42}"/>
    <cellStyle name="Percent 3 10 6 4" xfId="12315" xr:uid="{C0AC32BF-4926-4247-8936-5D326358055D}"/>
    <cellStyle name="Percent 3 10 6 5" xfId="12316" xr:uid="{79588B01-91E8-480F-9052-B148ABEA4C74}"/>
    <cellStyle name="Percent 3 10 7" xfId="12317" xr:uid="{12B455F4-0FD7-4C63-B067-6B332547F8ED}"/>
    <cellStyle name="Percent 3 10 7 2" xfId="12318" xr:uid="{B42AFF32-A456-4951-8C47-C8439899B470}"/>
    <cellStyle name="Percent 3 10 7 3" xfId="12319" xr:uid="{9203B9D4-C9E4-411B-B8AE-EEB3C9389F35}"/>
    <cellStyle name="Percent 3 10 7 4" xfId="12320" xr:uid="{63524777-2972-4947-8A35-90AE27E2420D}"/>
    <cellStyle name="Percent 3 10 7 5" xfId="12321" xr:uid="{F2AC16EF-F94B-47E2-B0FE-D3E7EB63CDCF}"/>
    <cellStyle name="Percent 3 10 8" xfId="12322" xr:uid="{3C79E926-64B4-4689-AD44-18237C1656C7}"/>
    <cellStyle name="Percent 3 10 8 2" xfId="12323" xr:uid="{D3192C63-C710-46E5-98CB-7EA04D457932}"/>
    <cellStyle name="Percent 3 10 8 3" xfId="12324" xr:uid="{78BBCD05-2398-42D0-A460-7D516C050EF9}"/>
    <cellStyle name="Percent 3 10 8 4" xfId="12325" xr:uid="{D3DBD621-5E58-4637-AB64-FFA39560A236}"/>
    <cellStyle name="Percent 3 10 8 5" xfId="12326" xr:uid="{C428F4D9-202E-4BC1-B7DB-FD102FDEA040}"/>
    <cellStyle name="Percent 3 10 9" xfId="12327" xr:uid="{338D414F-DB88-4CF6-B4DE-D678D9C37842}"/>
    <cellStyle name="Percent 3 10 9 2" xfId="12328" xr:uid="{3EF38C11-AABD-4311-B489-A762F53DFCF5}"/>
    <cellStyle name="Percent 3 10 9 3" xfId="12329" xr:uid="{BCB17031-4B23-449C-B4DF-12E058514191}"/>
    <cellStyle name="Percent 3 10 9 4" xfId="12330" xr:uid="{06436EAE-319A-42A8-BFFB-39CEFB27C43D}"/>
    <cellStyle name="Percent 3 10 9 5" xfId="12331" xr:uid="{D475178A-56BE-4CAA-9CA0-459626A88D54}"/>
    <cellStyle name="Percent 3 11" xfId="12332" xr:uid="{23976092-ECF4-4AFE-92B3-3FFB80960F62}"/>
    <cellStyle name="Percent 3 11 2" xfId="12333" xr:uid="{3563B13D-6D6B-4444-8E64-A7DFF42C7318}"/>
    <cellStyle name="Percent 3 11 3" xfId="12334" xr:uid="{F76D2E37-E102-4815-A5DB-105F26DFB12E}"/>
    <cellStyle name="Percent 3 11 4" xfId="12335" xr:uid="{F6B4291E-0E57-4CBF-AFDA-89E1B6F6803B}"/>
    <cellStyle name="Percent 3 11 5" xfId="12336" xr:uid="{360FEC9B-5042-4CB7-88C9-5DE61529B013}"/>
    <cellStyle name="Percent 3 12" xfId="12337" xr:uid="{56EB5033-59CA-4778-A946-9FA19571EB6E}"/>
    <cellStyle name="Percent 3 12 2" xfId="12338" xr:uid="{5056D28D-3A97-4F80-8841-AC1722A8FE08}"/>
    <cellStyle name="Percent 3 12 3" xfId="12339" xr:uid="{BD0ADCC0-CAFE-4843-B44B-5AB76B365931}"/>
    <cellStyle name="Percent 3 12 4" xfId="12340" xr:uid="{F447D786-49B8-44C2-87A5-1C8C9DC4766D}"/>
    <cellStyle name="Percent 3 12 5" xfId="12341" xr:uid="{0E6580EF-8A38-447F-8889-51CBA219B067}"/>
    <cellStyle name="Percent 3 13" xfId="12342" xr:uid="{DB1B8259-3650-4532-A60F-1E6590CFF96E}"/>
    <cellStyle name="Percent 3 13 2" xfId="12343" xr:uid="{340BC6E3-9E83-424D-AC5F-96A991BFC55D}"/>
    <cellStyle name="Percent 3 13 3" xfId="12344" xr:uid="{2CF6015A-0A14-4626-B2AF-438E70D58F6D}"/>
    <cellStyle name="Percent 3 13 4" xfId="12345" xr:uid="{3F7658B8-A737-406A-A916-068F28A10155}"/>
    <cellStyle name="Percent 3 13 5" xfId="12346" xr:uid="{C34037C6-C403-4FC3-AE0C-FB85BE923037}"/>
    <cellStyle name="Percent 3 14" xfId="12347" xr:uid="{22EDF0A7-4F5E-40C8-B0C7-7CBD40710C3E}"/>
    <cellStyle name="Percent 3 14 2" xfId="12348" xr:uid="{3D5D8902-1BDF-46DA-AD3A-EF50A79A9B77}"/>
    <cellStyle name="Percent 3 14 3" xfId="12349" xr:uid="{4B2123D2-521D-4BF1-95C4-3FD47173BC26}"/>
    <cellStyle name="Percent 3 14 4" xfId="12350" xr:uid="{10698636-5C10-42E0-8D21-4C97226DC125}"/>
    <cellStyle name="Percent 3 14 5" xfId="12351" xr:uid="{B699B8A8-18D3-4173-9627-F3ECC52A4057}"/>
    <cellStyle name="Percent 3 15" xfId="12352" xr:uid="{0E218ED5-2F4C-4FA8-90BE-1C12DCF52C8D}"/>
    <cellStyle name="Percent 3 15 2" xfId="12353" xr:uid="{5C701258-9E2B-4472-A129-CAC011867517}"/>
    <cellStyle name="Percent 3 15 3" xfId="12354" xr:uid="{FBD78415-13E5-4762-8404-24161A65C8B1}"/>
    <cellStyle name="Percent 3 15 4" xfId="12355" xr:uid="{7FD43D43-3F93-4C7E-AF02-A186A9C64DA9}"/>
    <cellStyle name="Percent 3 15 5" xfId="12356" xr:uid="{6961EBF0-2431-4431-ACE5-1423E248FDFE}"/>
    <cellStyle name="Percent 3 16" xfId="12357" xr:uid="{A330CEEC-1F61-40C6-8FB3-3174770052EB}"/>
    <cellStyle name="Percent 3 16 2" xfId="12358" xr:uid="{EB3AF5C8-BB8F-4EF0-BD0D-B502F9262404}"/>
    <cellStyle name="Percent 3 16 3" xfId="12359" xr:uid="{70DD6E2E-16DF-4D5C-9E57-98AB22611FA6}"/>
    <cellStyle name="Percent 3 16 4" xfId="12360" xr:uid="{E1165F7B-AE70-45A6-A242-331931B2CA49}"/>
    <cellStyle name="Percent 3 16 5" xfId="12361" xr:uid="{830228EA-F0F0-43F0-A772-EC970A4B48DF}"/>
    <cellStyle name="Percent 3 17" xfId="12362" xr:uid="{C933DCAD-A7A9-4E40-8BBD-7E10F6CF9229}"/>
    <cellStyle name="Percent 3 17 2" xfId="12363" xr:uid="{639C78BB-B0F7-4A60-90CF-5B9503B473FD}"/>
    <cellStyle name="Percent 3 17 3" xfId="12364" xr:uid="{F36EA177-AF78-4846-93A7-71C272E95FBF}"/>
    <cellStyle name="Percent 3 17 4" xfId="12365" xr:uid="{0197BC6B-BE62-43C7-A19C-165C72C2A537}"/>
    <cellStyle name="Percent 3 17 5" xfId="12366" xr:uid="{318CB151-598F-4C87-9BE1-C92EA430D279}"/>
    <cellStyle name="Percent 3 18" xfId="12367" xr:uid="{103EAE0C-70AF-47B3-AD5C-371088085AAB}"/>
    <cellStyle name="Percent 3 18 2" xfId="12368" xr:uid="{4D99A2AD-9F72-4F98-9F3C-9590154EEB2B}"/>
    <cellStyle name="Percent 3 18 3" xfId="12369" xr:uid="{7D1B3D1E-13F5-4976-AB35-53C670AA0F13}"/>
    <cellStyle name="Percent 3 18 4" xfId="12370" xr:uid="{D3BC7DA3-5276-4B51-B930-42E06681C5CC}"/>
    <cellStyle name="Percent 3 18 5" xfId="12371" xr:uid="{D2AFED59-23F3-4103-BECD-901741C66588}"/>
    <cellStyle name="Percent 3 19" xfId="12372" xr:uid="{FB0799A4-2CD1-40A1-8964-09B425602D27}"/>
    <cellStyle name="Percent 3 19 2" xfId="12373" xr:uid="{644D4638-3CD8-4800-8735-DD140C257F8A}"/>
    <cellStyle name="Percent 3 19 3" xfId="12374" xr:uid="{CF972286-4A19-45DB-B85F-FE3B8DB8F5CC}"/>
    <cellStyle name="Percent 3 19 4" xfId="12375" xr:uid="{5C1922CB-4498-46E0-897F-C31879F10467}"/>
    <cellStyle name="Percent 3 19 5" xfId="12376" xr:uid="{174C1823-D46F-4C0E-8882-ED39B1B094DC}"/>
    <cellStyle name="Percent 3 2" xfId="12377" xr:uid="{8AEC6655-E197-43BE-9E3A-8740E3DCBE87}"/>
    <cellStyle name="Percent 3 2 10" xfId="12378" xr:uid="{F247E57C-BD2B-403F-AEE4-89D78EE674C1}"/>
    <cellStyle name="Percent 3 2 10 2" xfId="12379" xr:uid="{016853C8-285F-419D-92A5-9CFCFB299229}"/>
    <cellStyle name="Percent 3 2 10 3" xfId="12380" xr:uid="{A0ED172F-D0F5-452D-892B-E63C15ED57AD}"/>
    <cellStyle name="Percent 3 2 10 4" xfId="12381" xr:uid="{0D04D268-B5EC-40A3-B2B1-8DB07370E8C0}"/>
    <cellStyle name="Percent 3 2 10 5" xfId="12382" xr:uid="{D3ED04F3-564E-45E9-9FE5-2A315AAF5729}"/>
    <cellStyle name="Percent 3 2 11" xfId="12383" xr:uid="{560A9958-0CBF-42C0-98E5-E77999623C01}"/>
    <cellStyle name="Percent 3 2 11 2" xfId="12384" xr:uid="{7AF158E0-31D4-436A-BEBA-8F0FA4EC2A82}"/>
    <cellStyle name="Percent 3 2 11 3" xfId="12385" xr:uid="{15B12D80-5BD6-4476-B12E-4325C272A476}"/>
    <cellStyle name="Percent 3 2 11 4" xfId="12386" xr:uid="{2F4A0134-5659-4AB7-926C-C4BD41EE2CCC}"/>
    <cellStyle name="Percent 3 2 11 5" xfId="12387" xr:uid="{5534CE45-2222-470F-98E7-ACDEF348BDE3}"/>
    <cellStyle name="Percent 3 2 12" xfId="12388" xr:uid="{7CB3247C-BBDB-4B92-A712-FBE899BD4D45}"/>
    <cellStyle name="Percent 3 2 12 2" xfId="12389" xr:uid="{1D956191-DB7C-4863-8604-55D01A9119F7}"/>
    <cellStyle name="Percent 3 2 12 3" xfId="12390" xr:uid="{398A533E-2B42-4D6C-99E9-3F0F55CCDD87}"/>
    <cellStyle name="Percent 3 2 12 4" xfId="12391" xr:uid="{B3701B3F-6C18-4C18-A1AB-5B3BD22BADD3}"/>
    <cellStyle name="Percent 3 2 12 5" xfId="12392" xr:uid="{63263BFF-2A2A-4A3D-B855-E7487B63A3D5}"/>
    <cellStyle name="Percent 3 2 13" xfId="12393" xr:uid="{088B0148-24DE-415D-9F20-1947F4586A8E}"/>
    <cellStyle name="Percent 3 2 13 2" xfId="12394" xr:uid="{7F9068D7-38D3-40D1-BF7B-B32F465B4B99}"/>
    <cellStyle name="Percent 3 2 13 3" xfId="12395" xr:uid="{42382971-2E97-4A9D-A21D-0EEB12B30F14}"/>
    <cellStyle name="Percent 3 2 13 4" xfId="12396" xr:uid="{7DA979E4-1902-4014-A121-7B5D10E80E9D}"/>
    <cellStyle name="Percent 3 2 13 5" xfId="12397" xr:uid="{4B66FCED-566B-4BC1-8FBC-606B0710E86E}"/>
    <cellStyle name="Percent 3 2 14" xfId="12398" xr:uid="{975F1393-E851-4189-81BE-6AC30F0B3B28}"/>
    <cellStyle name="Percent 3 2 14 2" xfId="12399" xr:uid="{59294A5A-FADE-4ADB-8D35-D8A7C678946E}"/>
    <cellStyle name="Percent 3 2 14 3" xfId="12400" xr:uid="{3F54A023-FC70-4273-9CAB-BA4524D8477E}"/>
    <cellStyle name="Percent 3 2 14 4" xfId="12401" xr:uid="{4A8F9762-A3AB-49EA-9BAF-D244980652A9}"/>
    <cellStyle name="Percent 3 2 14 5" xfId="12402" xr:uid="{B6F590AD-483A-4026-8D64-B7E3626A842E}"/>
    <cellStyle name="Percent 3 2 15" xfId="12403" xr:uid="{E829E21C-7FC0-49F9-8494-EFCC28B745EC}"/>
    <cellStyle name="Percent 3 2 15 2" xfId="12404" xr:uid="{C810D3A6-23AD-489A-97ED-EA5AB4E9265A}"/>
    <cellStyle name="Percent 3 2 15 3" xfId="12405" xr:uid="{73C8DDDA-4555-435C-A233-EC59F2DE76FC}"/>
    <cellStyle name="Percent 3 2 15 4" xfId="12406" xr:uid="{2AFF96B1-AE65-451C-B3D1-94BB996F629F}"/>
    <cellStyle name="Percent 3 2 15 5" xfId="12407" xr:uid="{88BF8CAE-9F4A-491D-976B-791488EE7520}"/>
    <cellStyle name="Percent 3 2 16" xfId="12408" xr:uid="{088A2808-4839-48AA-A685-8010296D5CFF}"/>
    <cellStyle name="Percent 3 2 16 2" xfId="12409" xr:uid="{0D6D7D7C-356B-4712-86F2-485990BD978F}"/>
    <cellStyle name="Percent 3 2 16 3" xfId="12410" xr:uid="{F0C195B8-2BB1-4F5C-BDB7-45BFD75981CE}"/>
    <cellStyle name="Percent 3 2 16 4" xfId="12411" xr:uid="{72D80DF9-7719-4FBF-BF6F-DB245A0491D2}"/>
    <cellStyle name="Percent 3 2 16 5" xfId="12412" xr:uid="{725221AE-3934-4215-9FC3-DECDE4FF7772}"/>
    <cellStyle name="Percent 3 2 17" xfId="12413" xr:uid="{52E5DC8B-83B1-49CF-8158-8B20F3A7F33E}"/>
    <cellStyle name="Percent 3 2 17 2" xfId="12414" xr:uid="{D5DC11E0-8414-4D8D-B102-4C95B6BABFE5}"/>
    <cellStyle name="Percent 3 2 17 3" xfId="12415" xr:uid="{E81B4A00-772B-42EE-87BC-73600D4D8B8E}"/>
    <cellStyle name="Percent 3 2 17 4" xfId="12416" xr:uid="{E735AFD3-2E60-423E-A2F1-5AD068558F0A}"/>
    <cellStyle name="Percent 3 2 17 5" xfId="12417" xr:uid="{841140A0-020C-4AF6-B5A0-E399DB32950C}"/>
    <cellStyle name="Percent 3 2 18" xfId="12418" xr:uid="{D3168002-F578-4EF2-AC85-D70811D060BB}"/>
    <cellStyle name="Percent 3 2 19" xfId="12419" xr:uid="{CBAD0022-AFCE-4CBC-8DE7-B3424A2FA370}"/>
    <cellStyle name="Percent 3 2 2" xfId="12420" xr:uid="{11B77158-6902-4153-BD9E-F15265973AF0}"/>
    <cellStyle name="Percent 3 2 2 2" xfId="12421" xr:uid="{1B0AA762-51AE-4A88-937A-E02D122AFC5A}"/>
    <cellStyle name="Percent 3 2 2 2 2" xfId="12422" xr:uid="{0AEC776E-B102-45E3-88F7-8FA9E3CB3478}"/>
    <cellStyle name="Percent 3 2 2 2 2 2" xfId="12423" xr:uid="{51434B58-6645-410B-B14D-C78A4708C736}"/>
    <cellStyle name="Percent 3 2 2 2 2 3" xfId="12424" xr:uid="{EFC6D255-66F8-4994-8EF5-C8CF4EA836F9}"/>
    <cellStyle name="Percent 3 2 2 2 2 4" xfId="12425" xr:uid="{5971926D-523F-4291-9EAF-D38BDA6BAE17}"/>
    <cellStyle name="Percent 3 2 2 2 2 5" xfId="12426" xr:uid="{78B01437-1C7F-4D84-ADB0-BFB49D31DC97}"/>
    <cellStyle name="Percent 3 2 2 2 3" xfId="12427" xr:uid="{9536D2B2-2A73-4115-8392-0284295121A4}"/>
    <cellStyle name="Percent 3 2 2 2 3 2" xfId="12428" xr:uid="{B3746232-006C-4919-B39C-73943EA9399E}"/>
    <cellStyle name="Percent 3 2 2 2 3 3" xfId="12429" xr:uid="{A147BC91-797C-41B9-93A3-570B4E60F150}"/>
    <cellStyle name="Percent 3 2 2 2 4" xfId="12430" xr:uid="{26ADAB76-D7AD-4F48-8EDD-A155AFDC44F5}"/>
    <cellStyle name="Percent 3 2 2 2 5" xfId="12431" xr:uid="{D6EF97BE-C21F-4B17-894C-C80DEF4D9F84}"/>
    <cellStyle name="Percent 3 2 2 2 6" xfId="12432" xr:uid="{A5537D4C-4881-48F8-9D2C-2BB058C236E0}"/>
    <cellStyle name="Percent 3 2 2 2 7" xfId="12433" xr:uid="{EB44BE64-8BE3-4FAF-9733-8959F69074C1}"/>
    <cellStyle name="Percent 3 2 2 2 8" xfId="12434" xr:uid="{B684A997-5042-4524-8261-2F2B04566BB0}"/>
    <cellStyle name="Percent 3 2 2 3" xfId="12435" xr:uid="{682651D5-D797-4E3F-BD5B-7722834C8891}"/>
    <cellStyle name="Percent 3 2 2 3 2" xfId="12436" xr:uid="{E1B7CB75-4E8C-448F-B346-0243DDEAEF02}"/>
    <cellStyle name="Percent 3 2 2 3 3" xfId="12437" xr:uid="{C0B93FF3-F957-4311-ADE4-0F9750E25C80}"/>
    <cellStyle name="Percent 3 2 2 3 4" xfId="12438" xr:uid="{39A6ADCF-7EAD-4F8C-BA5F-39F5A29FC005}"/>
    <cellStyle name="Percent 3 2 2 3 5" xfId="12439" xr:uid="{111740A9-B0A0-4155-A94A-E559FA0C48EB}"/>
    <cellStyle name="Percent 3 2 2 3 6" xfId="12440" xr:uid="{18821CBD-58BF-42D9-8816-84C6B6B4CD0A}"/>
    <cellStyle name="Percent 3 2 2 4" xfId="12441" xr:uid="{F76D8DF6-AB58-4871-92D3-FEE9C9A200EA}"/>
    <cellStyle name="Percent 3 2 2 4 2" xfId="12442" xr:uid="{81639217-291D-4434-BF00-E98D57F3CD91}"/>
    <cellStyle name="Percent 3 2 2 4 3" xfId="12443" xr:uid="{48BD96C1-232C-4F0D-9821-9E39D06C75AC}"/>
    <cellStyle name="Percent 3 2 2 5" xfId="12444" xr:uid="{19290CBA-EFD7-424A-B127-819DC0671B89}"/>
    <cellStyle name="Percent 3 2 2 6" xfId="12445" xr:uid="{1F5075EA-535D-4C7A-BECC-ECCCCC448757}"/>
    <cellStyle name="Percent 3 2 2 7" xfId="12446" xr:uid="{FF04B339-CBA2-4163-9A1D-DD57A038D7E4}"/>
    <cellStyle name="Percent 3 2 20" xfId="12447" xr:uid="{6EBC89C0-6D1B-48D6-901B-065B55DE5872}"/>
    <cellStyle name="Percent 3 2 21" xfId="12448" xr:uid="{65546D24-02A1-46D3-A834-DC646DD93828}"/>
    <cellStyle name="Percent 3 2 3" xfId="12449" xr:uid="{11442CAE-5C63-41C5-8D45-0AFEA157B2AA}"/>
    <cellStyle name="Percent 3 2 3 2" xfId="12450" xr:uid="{AD17D3AA-9733-40AC-8018-FA9D89B10921}"/>
    <cellStyle name="Percent 3 2 3 2 2" xfId="12451" xr:uid="{B1A70BCC-688D-4EB0-9910-80E401A0A423}"/>
    <cellStyle name="Percent 3 2 3 2 3" xfId="12452" xr:uid="{6A1D7783-F581-47AF-8F93-343DB3F43560}"/>
    <cellStyle name="Percent 3 2 3 2 4" xfId="12453" xr:uid="{C15EE81C-9C2A-423E-B679-1EE04CC83087}"/>
    <cellStyle name="Percent 3 2 3 2 5" xfId="12454" xr:uid="{FB24C48C-6FA8-4074-A803-E2A75A82DED7}"/>
    <cellStyle name="Percent 3 2 3 3" xfId="12455" xr:uid="{56B5475A-B1F7-4AFE-B37F-A7D46A621FFC}"/>
    <cellStyle name="Percent 3 2 3 3 2" xfId="12456" xr:uid="{8AB09D70-3046-434C-8793-644471223ED0}"/>
    <cellStyle name="Percent 3 2 3 3 3" xfId="12457" xr:uid="{CEA1DE60-11A9-41C9-9181-38FCC929E3ED}"/>
    <cellStyle name="Percent 3 2 3 4" xfId="12458" xr:uid="{9C168E90-EC6C-488B-8FF6-C505F5F0BFA4}"/>
    <cellStyle name="Percent 3 2 3 5" xfId="12459" xr:uid="{9283F5EC-950D-470B-B930-BB3EDCBE22D7}"/>
    <cellStyle name="Percent 3 2 3 6" xfId="12460" xr:uid="{37B29B72-4A65-4067-8F24-FEEF74A303F7}"/>
    <cellStyle name="Percent 3 2 3 7" xfId="12461" xr:uid="{F665FD74-DB96-4A03-B8BC-5EDECA0554C6}"/>
    <cellStyle name="Percent 3 2 3 8" xfId="12462" xr:uid="{501DE2BC-3D5A-49C2-92DB-933712686440}"/>
    <cellStyle name="Percent 3 2 4" xfId="12463" xr:uid="{9D9A6C40-1BE4-4C6D-88D4-A6646387984A}"/>
    <cellStyle name="Percent 3 2 4 2" xfId="12464" xr:uid="{38621AEF-5940-4675-B7D0-E0A64B47AED8}"/>
    <cellStyle name="Percent 3 2 4 3" xfId="12465" xr:uid="{6F1A996E-DE2E-4042-BD33-8A580E5BDEC7}"/>
    <cellStyle name="Percent 3 2 4 4" xfId="12466" xr:uid="{ACA55E80-E139-4B20-8290-2438C78E7D4A}"/>
    <cellStyle name="Percent 3 2 4 5" xfId="12467" xr:uid="{D6E9EE2A-0EAB-4DDB-9419-FF804699AA35}"/>
    <cellStyle name="Percent 3 2 5" xfId="12468" xr:uid="{3906434D-292A-483A-8F9D-8E96771A5FF7}"/>
    <cellStyle name="Percent 3 2 5 2" xfId="12469" xr:uid="{A3C036FA-AE37-4CB7-801F-7C3A8F660C72}"/>
    <cellStyle name="Percent 3 2 5 3" xfId="12470" xr:uid="{EF0BEB6B-85EC-4505-9082-1BA9CBB38E10}"/>
    <cellStyle name="Percent 3 2 5 4" xfId="12471" xr:uid="{41BB4A27-92C5-4560-B9B4-E8019AE890D8}"/>
    <cellStyle name="Percent 3 2 5 5" xfId="12472" xr:uid="{36831002-B31C-4D85-9F17-A96A244CCE0A}"/>
    <cellStyle name="Percent 3 2 6" xfId="12473" xr:uid="{0C141800-8BEB-4E2B-9877-90EDD376B3A1}"/>
    <cellStyle name="Percent 3 2 6 2" xfId="12474" xr:uid="{67D1AC71-A988-43FC-9400-F56A81856F97}"/>
    <cellStyle name="Percent 3 2 6 3" xfId="12475" xr:uid="{50ADF804-777F-4FC6-9183-3CD479A74235}"/>
    <cellStyle name="Percent 3 2 6 4" xfId="12476" xr:uid="{941E2B24-AE03-4E8C-A105-105A7F281EBC}"/>
    <cellStyle name="Percent 3 2 6 5" xfId="12477" xr:uid="{E189C86A-F6B9-4FCB-A439-4227C87EDC48}"/>
    <cellStyle name="Percent 3 2 7" xfId="12478" xr:uid="{978A8BDB-AF62-498F-8F0A-8349DC03435D}"/>
    <cellStyle name="Percent 3 2 7 2" xfId="12479" xr:uid="{FD90D543-0F16-43A3-97E3-F2B09C4FE473}"/>
    <cellStyle name="Percent 3 2 7 3" xfId="12480" xr:uid="{093B3532-9A40-426C-A9A5-9E2D026D62F7}"/>
    <cellStyle name="Percent 3 2 7 4" xfId="12481" xr:uid="{9C11D2C1-0603-4DB3-8A87-53C95CBF5C55}"/>
    <cellStyle name="Percent 3 2 7 5" xfId="12482" xr:uid="{E8E0E1EC-6361-48E0-8DAE-35FCD9AFBDA3}"/>
    <cellStyle name="Percent 3 2 8" xfId="12483" xr:uid="{4D683D9F-3824-446C-9681-D341EFA5AC8E}"/>
    <cellStyle name="Percent 3 2 8 2" xfId="12484" xr:uid="{A3736762-FF4B-4813-A011-2378A5A35BED}"/>
    <cellStyle name="Percent 3 2 8 3" xfId="12485" xr:uid="{84EE98D2-5E49-48A2-BC26-EAF5ABA4C074}"/>
    <cellStyle name="Percent 3 2 8 4" xfId="12486" xr:uid="{03C039ED-9309-49A5-BA43-473BCFE8F6BF}"/>
    <cellStyle name="Percent 3 2 8 5" xfId="12487" xr:uid="{F2F92E78-EC69-414C-91AE-3631403F9763}"/>
    <cellStyle name="Percent 3 2 9" xfId="12488" xr:uid="{858C9606-7700-416F-97FA-EB5BE552D166}"/>
    <cellStyle name="Percent 3 2 9 2" xfId="12489" xr:uid="{538741FC-575D-4C6B-905E-EF8971ED4FE7}"/>
    <cellStyle name="Percent 3 2 9 3" xfId="12490" xr:uid="{9868555D-A089-4D5D-ACD5-550999180479}"/>
    <cellStyle name="Percent 3 2 9 4" xfId="12491" xr:uid="{2E5EB544-042F-46B0-9539-CA6F36041E82}"/>
    <cellStyle name="Percent 3 2 9 5" xfId="12492" xr:uid="{DEEA1AB9-C600-4F12-9C0F-68C07FCA21AD}"/>
    <cellStyle name="Percent 3 20" xfId="12493" xr:uid="{32D6EB77-506A-4C36-9F17-2B9F82A9DBD9}"/>
    <cellStyle name="Percent 3 20 2" xfId="12494" xr:uid="{7B6B81EE-0EF2-4071-AD0F-0B6904F96FBA}"/>
    <cellStyle name="Percent 3 20 3" xfId="12495" xr:uid="{4361DC57-26F7-4ECC-BB13-0C1217B8625D}"/>
    <cellStyle name="Percent 3 20 4" xfId="12496" xr:uid="{7DFBFB81-6D99-4B7B-9B5B-A81916089914}"/>
    <cellStyle name="Percent 3 20 5" xfId="12497" xr:uid="{E7724376-9DFE-4AC9-8957-32E8174AA144}"/>
    <cellStyle name="Percent 3 21" xfId="12498" xr:uid="{F46F0651-540D-4694-8304-1472B952E660}"/>
    <cellStyle name="Percent 3 21 2" xfId="12499" xr:uid="{170323D2-82B2-47E2-9853-877EF87B1EF9}"/>
    <cellStyle name="Percent 3 21 3" xfId="12500" xr:uid="{7D90E0AF-3318-4C34-AEA9-C751078182B2}"/>
    <cellStyle name="Percent 3 21 4" xfId="12501" xr:uid="{8E39ECB9-C75E-4FCA-8E21-12E20B87CF66}"/>
    <cellStyle name="Percent 3 21 5" xfId="12502" xr:uid="{011803F3-B946-4494-864C-5A00A12D6B5D}"/>
    <cellStyle name="Percent 3 22" xfId="12503" xr:uid="{3A4B917D-9F6C-45A2-8D14-F65E3C397849}"/>
    <cellStyle name="Percent 3 22 2" xfId="12504" xr:uid="{E55FB6CF-B714-45F4-B4CB-36D9B67732A2}"/>
    <cellStyle name="Percent 3 22 3" xfId="12505" xr:uid="{100149AA-EB4B-4AD6-B95D-0CBF7E22152B}"/>
    <cellStyle name="Percent 3 22 4" xfId="12506" xr:uid="{BAFAC8F2-4E75-497A-B8C9-1E1B643B69BA}"/>
    <cellStyle name="Percent 3 22 5" xfId="12507" xr:uid="{03E22F62-05E2-45BD-BC23-260E0BA06E1B}"/>
    <cellStyle name="Percent 3 23" xfId="12508" xr:uid="{8D344099-A3C6-4EB2-BD18-AA5184074E0D}"/>
    <cellStyle name="Percent 3 23 2" xfId="12509" xr:uid="{05EB8EF5-8BFF-408D-967C-A05FBB108790}"/>
    <cellStyle name="Percent 3 23 3" xfId="12510" xr:uid="{3F00CB56-2220-4C9E-A3B9-F22A20CEEB34}"/>
    <cellStyle name="Percent 3 23 4" xfId="12511" xr:uid="{C9DEFBB7-8789-4D74-BE29-AE64F5EEFCC7}"/>
    <cellStyle name="Percent 3 23 5" xfId="12512" xr:uid="{915E7B0F-BBDD-42D2-B6D0-CADD3BC03F6E}"/>
    <cellStyle name="Percent 3 24" xfId="12513" xr:uid="{FCB29214-527E-4C77-9682-7A725D34F50F}"/>
    <cellStyle name="Percent 3 24 2" xfId="12514" xr:uid="{C7F05F46-7953-4294-A0B2-9505DA91041B}"/>
    <cellStyle name="Percent 3 24 3" xfId="12515" xr:uid="{69C0CDC9-EA24-41FF-99D7-38E72C710177}"/>
    <cellStyle name="Percent 3 24 4" xfId="12516" xr:uid="{A4CCAF31-1C0C-43E4-9F3A-754898F079B5}"/>
    <cellStyle name="Percent 3 24 5" xfId="12517" xr:uid="{9582E09A-C731-457C-88FC-4EFF9FEE94B4}"/>
    <cellStyle name="Percent 3 25" xfId="12518" xr:uid="{1AD9F16D-2ACA-4CC7-8FBB-20F93F6DC579}"/>
    <cellStyle name="Percent 3 25 2" xfId="12519" xr:uid="{26AFF6DD-5B10-4917-8E6A-8A0F9B91D6F7}"/>
    <cellStyle name="Percent 3 25 3" xfId="12520" xr:uid="{2F98C4C4-7535-4922-A9D6-0CD4947C98F7}"/>
    <cellStyle name="Percent 3 25 4" xfId="12521" xr:uid="{B96A423E-0D03-438A-BFA5-272FC587CB08}"/>
    <cellStyle name="Percent 3 25 5" xfId="12522" xr:uid="{172D7366-C398-4053-80C0-EDB4314B606A}"/>
    <cellStyle name="Percent 3 26" xfId="12523" xr:uid="{A5CED8FD-5BBA-4EAC-AF4E-04203F2349DF}"/>
    <cellStyle name="Percent 3 26 2" xfId="12524" xr:uid="{34633105-65E9-4310-8C3B-7C50CED83345}"/>
    <cellStyle name="Percent 3 26 3" xfId="12525" xr:uid="{084EB86C-7C18-47E9-9643-C046CAAE689C}"/>
    <cellStyle name="Percent 3 26 4" xfId="12526" xr:uid="{755551FC-3D7B-4B23-B691-25BCC30C4A73}"/>
    <cellStyle name="Percent 3 26 5" xfId="12527" xr:uid="{2F65BE9B-86BE-4F67-A1B4-DAD65FD48D76}"/>
    <cellStyle name="Percent 3 27" xfId="12528" xr:uid="{5B7FA4AD-2357-4DF5-97B6-99AAFA633BE8}"/>
    <cellStyle name="Percent 3 27 2" xfId="12529" xr:uid="{FA54B4E9-97BF-47C0-BD60-6054DF77A514}"/>
    <cellStyle name="Percent 3 27 3" xfId="12530" xr:uid="{943DFE5C-9081-40E8-B044-C0E9AC8B62AC}"/>
    <cellStyle name="Percent 3 27 4" xfId="12531" xr:uid="{9AA68443-75F5-4C00-8785-D05580F258C4}"/>
    <cellStyle name="Percent 3 27 5" xfId="12532" xr:uid="{A9C67F95-2784-42BA-BDC0-C6EE76F308E0}"/>
    <cellStyle name="Percent 3 28" xfId="12533" xr:uid="{FD55EC09-2EFB-4338-8068-CB42AEC26D86}"/>
    <cellStyle name="Percent 3 28 2" xfId="12534" xr:uid="{3B2E0EC6-FC52-4647-85E7-AD42C9439309}"/>
    <cellStyle name="Percent 3 28 3" xfId="12535" xr:uid="{728B710B-E896-4EB8-A78D-FA832BFDD70C}"/>
    <cellStyle name="Percent 3 28 4" xfId="12536" xr:uid="{034324E0-EA0D-4FBA-AE4B-3C59ED4CA719}"/>
    <cellStyle name="Percent 3 28 5" xfId="12537" xr:uid="{D267BE1B-C9B7-4740-8AA5-F174BACD3AA8}"/>
    <cellStyle name="Percent 3 29" xfId="12538" xr:uid="{51D688D0-5CD1-4981-87D5-EC0B6267A304}"/>
    <cellStyle name="Percent 3 29 2" xfId="12539" xr:uid="{D3EBC437-7604-4708-A170-BD1920DCE485}"/>
    <cellStyle name="Percent 3 29 3" xfId="12540" xr:uid="{99A84201-49B2-470E-8C23-F7773DCF7BD5}"/>
    <cellStyle name="Percent 3 29 4" xfId="12541" xr:uid="{9ABADA53-2707-4372-99D2-238C50DFB480}"/>
    <cellStyle name="Percent 3 29 5" xfId="12542" xr:uid="{04FABD0E-831B-4581-ACA7-EBD73C8C394F}"/>
    <cellStyle name="Percent 3 3" xfId="12543" xr:uid="{E1413C4B-03A2-4FB0-8215-CF184A5D90DD}"/>
    <cellStyle name="Percent 3 3 10" xfId="12544" xr:uid="{85A96580-A4A8-4136-ADFC-5F61A62489F8}"/>
    <cellStyle name="Percent 3 3 10 2" xfId="12545" xr:uid="{ACDA0EF3-512B-4B9A-AC05-9CB2D517946C}"/>
    <cellStyle name="Percent 3 3 10 3" xfId="12546" xr:uid="{72E30BFA-868D-4F85-96C9-7B169883B20E}"/>
    <cellStyle name="Percent 3 3 10 4" xfId="12547" xr:uid="{FE1A8F96-2B75-4599-844D-390D5D297F0A}"/>
    <cellStyle name="Percent 3 3 10 5" xfId="12548" xr:uid="{9982120F-B1C0-42D1-BB4C-A4C532B3837E}"/>
    <cellStyle name="Percent 3 3 11" xfId="12549" xr:uid="{0FD771A7-C74F-4C2F-BF81-511D139AC2E3}"/>
    <cellStyle name="Percent 3 3 11 2" xfId="12550" xr:uid="{A4A3D9F1-8B02-4B16-B5DE-17154015B04F}"/>
    <cellStyle name="Percent 3 3 11 3" xfId="12551" xr:uid="{5510DC17-BBF6-420E-B0FC-4EF166AB8304}"/>
    <cellStyle name="Percent 3 3 11 4" xfId="12552" xr:uid="{D88C9808-97BF-42BD-9FAE-F89FD76F436E}"/>
    <cellStyle name="Percent 3 3 11 5" xfId="12553" xr:uid="{07198E5F-A0A9-45C7-A362-8A8349C87D16}"/>
    <cellStyle name="Percent 3 3 12" xfId="12554" xr:uid="{C76E318E-30F7-459E-A6EA-0F4DCE99BA85}"/>
    <cellStyle name="Percent 3 3 12 2" xfId="12555" xr:uid="{0C3A97B7-9684-46D3-AF9C-311F4C06D564}"/>
    <cellStyle name="Percent 3 3 12 3" xfId="12556" xr:uid="{02A08B11-818E-4C54-99F2-599DF95D6D62}"/>
    <cellStyle name="Percent 3 3 12 4" xfId="12557" xr:uid="{C1F31DBA-54EF-4501-995F-5936B45D7AE0}"/>
    <cellStyle name="Percent 3 3 12 5" xfId="12558" xr:uid="{1E0B4870-6A13-476A-A29C-130E899F65A0}"/>
    <cellStyle name="Percent 3 3 13" xfId="12559" xr:uid="{007A9F8A-2859-4CD6-98E9-28A8A5F5DAF5}"/>
    <cellStyle name="Percent 3 3 13 2" xfId="12560" xr:uid="{44598C66-6342-4FF8-827B-566DFEEDDEB1}"/>
    <cellStyle name="Percent 3 3 13 3" xfId="12561" xr:uid="{D07C985B-5F3E-4D10-B5CD-A60E1B6E98EF}"/>
    <cellStyle name="Percent 3 3 13 4" xfId="12562" xr:uid="{455C6639-13EC-41BF-963D-757E2658FE29}"/>
    <cellStyle name="Percent 3 3 13 5" xfId="12563" xr:uid="{6FB3FAE2-F167-48B2-A310-555E39D7B754}"/>
    <cellStyle name="Percent 3 3 14" xfId="12564" xr:uid="{33F842AB-38D4-43A1-817F-0AD5B5F8C9E1}"/>
    <cellStyle name="Percent 3 3 14 2" xfId="12565" xr:uid="{F95F24CB-5640-4B97-90A3-2B4FB6A17193}"/>
    <cellStyle name="Percent 3 3 14 3" xfId="12566" xr:uid="{67507269-B3C8-4DD6-AC72-07FE01FE294F}"/>
    <cellStyle name="Percent 3 3 14 4" xfId="12567" xr:uid="{66D9F792-07B7-4CD9-BEAE-49CEE4B6EE7B}"/>
    <cellStyle name="Percent 3 3 14 5" xfId="12568" xr:uid="{CFD4996C-64CF-4D9D-A3B5-3AAEDC93D0CF}"/>
    <cellStyle name="Percent 3 3 15" xfId="12569" xr:uid="{169D9763-5986-48EF-854C-2733266037FB}"/>
    <cellStyle name="Percent 3 3 15 2" xfId="12570" xr:uid="{938488B8-9006-406A-8FDC-C439FAFF9A5F}"/>
    <cellStyle name="Percent 3 3 15 3" xfId="12571" xr:uid="{02C19DD0-3B48-4155-8922-A9B3E8CAC394}"/>
    <cellStyle name="Percent 3 3 15 4" xfId="12572" xr:uid="{304677B7-BB31-4C06-BC5D-5B920C342DB1}"/>
    <cellStyle name="Percent 3 3 15 5" xfId="12573" xr:uid="{A4BD3113-5F6F-42BE-8AF3-46E644AB9800}"/>
    <cellStyle name="Percent 3 3 16" xfId="12574" xr:uid="{8952F5F7-FF32-4812-A85F-9997C99ED552}"/>
    <cellStyle name="Percent 3 3 17" xfId="12575" xr:uid="{5D923B88-D382-440E-9D02-2FB5275080D4}"/>
    <cellStyle name="Percent 3 3 18" xfId="12576" xr:uid="{C9D1FABF-71A7-40C7-A703-0B028BFF44E5}"/>
    <cellStyle name="Percent 3 3 19" xfId="12577" xr:uid="{21CF8095-042A-489E-B7EB-C31EEEE018EB}"/>
    <cellStyle name="Percent 3 3 2" xfId="12578" xr:uid="{9666B6FA-FDB9-4A3B-B7A6-3F20D2855C78}"/>
    <cellStyle name="Percent 3 3 2 2" xfId="12579" xr:uid="{22423A4E-C177-4EDB-89B3-096BD34DB02D}"/>
    <cellStyle name="Percent 3 3 2 3" xfId="12580" xr:uid="{37484CA6-009F-4686-8BEC-2988804F4C36}"/>
    <cellStyle name="Percent 3 3 2 4" xfId="12581" xr:uid="{C96AF9CF-85E5-4C83-9AC0-F207C608C4E9}"/>
    <cellStyle name="Percent 3 3 2 5" xfId="12582" xr:uid="{EFCDCE1C-7EF2-426E-A340-CD6A195968F0}"/>
    <cellStyle name="Percent 3 3 3" xfId="12583" xr:uid="{D5C77F41-7E4C-461A-AE0A-DB0C0BAF8E1A}"/>
    <cellStyle name="Percent 3 3 3 2" xfId="12584" xr:uid="{19B0F89D-45F1-45A8-8001-5AB0C1D98C6E}"/>
    <cellStyle name="Percent 3 3 3 2 2" xfId="12585" xr:uid="{4F9BB9BC-45C1-48EA-B79E-ACD50712F85E}"/>
    <cellStyle name="Percent 3 3 3 2 3" xfId="12586" xr:uid="{C24F82AC-81BB-464D-80FD-BCE1BC36C720}"/>
    <cellStyle name="Percent 3 3 3 2 4" xfId="12587" xr:uid="{BA057F00-7CB0-4136-800C-70E4B26A47D3}"/>
    <cellStyle name="Percent 3 3 3 2 5" xfId="12588" xr:uid="{C1A4AAE1-AA8A-42A3-86A9-5CC826D659D8}"/>
    <cellStyle name="Percent 3 3 3 3" xfId="12589" xr:uid="{B1E42666-6B8E-4359-98D2-3E24F973B612}"/>
    <cellStyle name="Percent 3 3 3 3 2" xfId="12590" xr:uid="{503D79D4-30E8-424A-87E7-3A1C4EDBE051}"/>
    <cellStyle name="Percent 3 3 3 3 2 2" xfId="12591" xr:uid="{BF6FB073-15FF-44C8-9E8D-F0E9A0F023FC}"/>
    <cellStyle name="Percent 3 3 3 3 2 3" xfId="12592" xr:uid="{45EA2D74-8A9A-4C74-A291-945D9BFFEF46}"/>
    <cellStyle name="Percent 3 3 3 3 2 4" xfId="12593" xr:uid="{9E94C0F1-3E57-4409-82F3-588C31C59AE8}"/>
    <cellStyle name="Percent 3 3 3 3 2 5" xfId="12594" xr:uid="{31B854FE-D3BA-44DB-906D-85EAB51C7171}"/>
    <cellStyle name="Percent 3 3 3 3 3" xfId="12595" xr:uid="{2E88F4A3-A59F-44CA-957E-634B40928EA1}"/>
    <cellStyle name="Percent 3 3 3 3 3 2" xfId="12596" xr:uid="{8D66DFC4-C669-492A-A0AC-FA8A60D88E38}"/>
    <cellStyle name="Percent 3 3 3 3 3 3" xfId="12597" xr:uid="{8022E597-2DCC-4D3C-9F22-B55085E2A773}"/>
    <cellStyle name="Percent 3 3 3 3 3 4" xfId="12598" xr:uid="{691A482B-FFBC-43E7-B92A-420173C44302}"/>
    <cellStyle name="Percent 3 3 3 3 3 5" xfId="12599" xr:uid="{C7539E77-E291-4B9A-82EF-E91C957F48BE}"/>
    <cellStyle name="Percent 3 3 3 3 4" xfId="12600" xr:uid="{CE69DC1F-A69B-4B3E-B259-9C62F47A8D40}"/>
    <cellStyle name="Percent 3 3 3 3 4 2" xfId="12601" xr:uid="{C174C243-D8EC-4516-B149-CAC24DA731D9}"/>
    <cellStyle name="Percent 3 3 3 3 4 2 2" xfId="12602" xr:uid="{CA0173F2-5589-48E6-AB3B-49ABB4A5C857}"/>
    <cellStyle name="Percent 3 3 3 3 4 2 3" xfId="12603" xr:uid="{2F6E7122-CBA8-407E-8B45-FF6D27F8BF6F}"/>
    <cellStyle name="Percent 3 3 3 3 4 2 4" xfId="12604" xr:uid="{CA219BA2-A16C-4382-86E3-E764D6F2D290}"/>
    <cellStyle name="Percent 3 3 3 3 4 2 5" xfId="12605" xr:uid="{D9E69A42-CB8C-496B-A36D-F6378F4E9FF9}"/>
    <cellStyle name="Percent 3 3 3 3 4 3" xfId="12606" xr:uid="{E83F19CC-BE81-48E7-8211-B7C3CA4C7BC8}"/>
    <cellStyle name="Percent 3 3 3 3 4 4" xfId="12607" xr:uid="{4DE0E111-6819-47D5-9306-AEB634139309}"/>
    <cellStyle name="Percent 3 3 3 3 4 5" xfId="12608" xr:uid="{DF4A028E-29C0-43EF-9807-32BE29AEC17A}"/>
    <cellStyle name="Percent 3 3 3 3 4 6" xfId="12609" xr:uid="{F7DCCB00-AF2B-473A-8018-244AD971FE9D}"/>
    <cellStyle name="Percent 3 3 3 3 5" xfId="12610" xr:uid="{7E81049E-04A9-4965-8EF2-DD92984A31C8}"/>
    <cellStyle name="Percent 3 3 3 3 6" xfId="12611" xr:uid="{EB92FD26-3854-4659-9EFF-01608229A038}"/>
    <cellStyle name="Percent 3 3 3 3 7" xfId="12612" xr:uid="{6D1C3689-CFED-4F6F-9C89-44970246EFA1}"/>
    <cellStyle name="Percent 3 3 3 3 8" xfId="12613" xr:uid="{C9A72A8B-5414-4B55-9CB0-376174591EDE}"/>
    <cellStyle name="Percent 3 3 3 4" xfId="12614" xr:uid="{B6307D30-B778-4540-BDF3-457FF51DB8F1}"/>
    <cellStyle name="Percent 3 3 3 5" xfId="12615" xr:uid="{33AB7035-F2CC-4372-983D-C155F34C14C1}"/>
    <cellStyle name="Percent 3 3 3 6" xfId="12616" xr:uid="{87A41881-DDBD-438C-A868-8C5B6AFCF57C}"/>
    <cellStyle name="Percent 3 3 3 7" xfId="12617" xr:uid="{F7E1BBF7-8E55-4E73-A68D-11EF25786A2F}"/>
    <cellStyle name="Percent 3 3 4" xfId="12618" xr:uid="{AD5B2C24-A5A2-48A6-8BF1-192F4CEB1CE5}"/>
    <cellStyle name="Percent 3 3 4 2" xfId="12619" xr:uid="{ACDCB8C9-C115-40F5-A991-9C9946BAA579}"/>
    <cellStyle name="Percent 3 3 4 2 2" xfId="12620" xr:uid="{E4B94DCC-A1F0-45E4-ACDB-B4CDF531678A}"/>
    <cellStyle name="Percent 3 3 4 2 3" xfId="12621" xr:uid="{AD01E2D2-00C3-4C27-88C6-DEF182965DBF}"/>
    <cellStyle name="Percent 3 3 4 2 4" xfId="12622" xr:uid="{2B695849-7839-40C1-84E1-51E2C52481D0}"/>
    <cellStyle name="Percent 3 3 4 2 5" xfId="12623" xr:uid="{14B682E4-E068-43F1-BBF0-ED047A1CB16E}"/>
    <cellStyle name="Percent 3 3 4 3" xfId="12624" xr:uid="{DDF6D81E-60DA-4C59-B643-EC55B83B3CA1}"/>
    <cellStyle name="Percent 3 3 4 4" xfId="12625" xr:uid="{FF6DE125-F7E0-413C-A10B-605CA7971053}"/>
    <cellStyle name="Percent 3 3 4 5" xfId="12626" xr:uid="{C4940AFD-2E7B-4041-96E0-2F48E96E9E31}"/>
    <cellStyle name="Percent 3 3 4 6" xfId="12627" xr:uid="{705D0745-8F63-4014-A9C0-907C26B11142}"/>
    <cellStyle name="Percent 3 3 5" xfId="12628" xr:uid="{0FD21AE5-BD88-444C-8FF2-243E6B8876A3}"/>
    <cellStyle name="Percent 3 3 5 2" xfId="12629" xr:uid="{4EA71B26-3145-46A1-BED5-8E0617AC6681}"/>
    <cellStyle name="Percent 3 3 5 3" xfId="12630" xr:uid="{7E133435-BDC8-47B1-B3E6-84BAD7893C06}"/>
    <cellStyle name="Percent 3 3 5 4" xfId="12631" xr:uid="{19F9AA88-AA92-4378-AA34-41A4322B0B91}"/>
    <cellStyle name="Percent 3 3 5 5" xfId="12632" xr:uid="{BED86314-8BA8-41AF-9853-5302D27C2324}"/>
    <cellStyle name="Percent 3 3 5 6" xfId="12633" xr:uid="{51852BAD-F4FB-47E0-A6C8-555998EFAB01}"/>
    <cellStyle name="Percent 3 3 5 7" xfId="12634" xr:uid="{7972A95A-88EB-4C67-9E95-9676CD040BDC}"/>
    <cellStyle name="Percent 3 3 6" xfId="12635" xr:uid="{BAF08DB0-EE35-4E54-842E-9A932CC6EE66}"/>
    <cellStyle name="Percent 3 3 6 2" xfId="12636" xr:uid="{72CB7FB2-DD68-4951-8A45-6101933D7D7B}"/>
    <cellStyle name="Percent 3 3 6 2 2" xfId="12637" xr:uid="{CF6BF363-3FCC-46B2-956A-23AFDE169DF5}"/>
    <cellStyle name="Percent 3 3 6 2 3" xfId="12638" xr:uid="{340FF910-C152-4E2E-AE68-DFF4B5AF29DF}"/>
    <cellStyle name="Percent 3 3 6 2 4" xfId="12639" xr:uid="{D480288F-FC18-48E7-819B-F8216C8F877B}"/>
    <cellStyle name="Percent 3 3 6 2 5" xfId="12640" xr:uid="{A17B1283-9CFA-4E6E-9257-FCDE89CF124C}"/>
    <cellStyle name="Percent 3 3 6 3" xfId="12641" xr:uid="{F889728A-C156-45CD-973B-62E57586C085}"/>
    <cellStyle name="Percent 3 3 6 4" xfId="12642" xr:uid="{DC210308-EEAC-47EF-9592-2F13E9F7EFCD}"/>
    <cellStyle name="Percent 3 3 6 5" xfId="12643" xr:uid="{CC1D33DF-7860-4422-98C6-CB84588B2561}"/>
    <cellStyle name="Percent 3 3 6 6" xfId="12644" xr:uid="{AB509C3C-C1A9-4CB7-AF70-666416CEA7DD}"/>
    <cellStyle name="Percent 3 3 6 7" xfId="12645" xr:uid="{1E0398D3-1AD1-4028-BD50-CA5B05AB329B}"/>
    <cellStyle name="Percent 3 3 7" xfId="12646" xr:uid="{454C5384-3FAC-4DC7-A19F-768AD3D854EF}"/>
    <cellStyle name="Percent 3 3 7 2" xfId="12647" xr:uid="{BE895CE5-AF23-415B-8B6A-D2FC69743DE2}"/>
    <cellStyle name="Percent 3 3 7 3" xfId="12648" xr:uid="{74AD7BB6-03C4-455E-AE97-BB738E161765}"/>
    <cellStyle name="Percent 3 3 7 4" xfId="12649" xr:uid="{BCF259A1-A8CD-4D68-A993-0DF83D69CB34}"/>
    <cellStyle name="Percent 3 3 7 5" xfId="12650" xr:uid="{FF1C9E93-26C9-4A06-A6C7-48EF82E577E9}"/>
    <cellStyle name="Percent 3 3 7 6" xfId="12651" xr:uid="{CE866C4D-CD12-4701-B261-53C8E49C613E}"/>
    <cellStyle name="Percent 3 3 7 7" xfId="12652" xr:uid="{EB8D7A64-940D-4246-A7C1-99A8ED30BEBB}"/>
    <cellStyle name="Percent 3 3 8" xfId="12653" xr:uid="{FE41CA4A-3B22-47F4-AEB9-0A96E8904DA7}"/>
    <cellStyle name="Percent 3 3 8 2" xfId="12654" xr:uid="{98CDADC0-6EB8-4080-ACE1-5588B2E1B9CD}"/>
    <cellStyle name="Percent 3 3 8 3" xfId="12655" xr:uid="{FD3AFF94-9CC9-4C23-8449-D78EFD8522DB}"/>
    <cellStyle name="Percent 3 3 8 4" xfId="12656" xr:uid="{B5207745-6279-4271-A33E-8DDA83AA5D70}"/>
    <cellStyle name="Percent 3 3 8 5" xfId="12657" xr:uid="{1DE8AA06-154E-438C-A2C9-2E9DD22E343C}"/>
    <cellStyle name="Percent 3 3 8 6" xfId="12658" xr:uid="{BBD2060B-BC15-408D-B3E2-B1059472B9DE}"/>
    <cellStyle name="Percent 3 3 8 7" xfId="12659" xr:uid="{2DBE7CC4-F1DA-42DB-BD1C-B75937E4CFBB}"/>
    <cellStyle name="Percent 3 3 9" xfId="12660" xr:uid="{E74FF09D-47C0-46D0-80F6-13CA61885647}"/>
    <cellStyle name="Percent 3 3 9 2" xfId="12661" xr:uid="{34303DF3-9841-4A89-866B-D56291972265}"/>
    <cellStyle name="Percent 3 3 9 3" xfId="12662" xr:uid="{F6158770-3B62-4F81-9DEA-5F5C65BBBACD}"/>
    <cellStyle name="Percent 3 3 9 4" xfId="12663" xr:uid="{71851E69-EAA6-4EB0-948C-F8F47F5A9F1A}"/>
    <cellStyle name="Percent 3 3 9 5" xfId="12664" xr:uid="{45B6C74E-44FE-4071-9B4D-7D05C758AF65}"/>
    <cellStyle name="Percent 3 3 9 6" xfId="12665" xr:uid="{E3224554-860F-4BF3-AC11-2836A303E19B}"/>
    <cellStyle name="Percent 3 3 9 7" xfId="12666" xr:uid="{20A88ED8-48DC-4090-BA87-0BE282AD7435}"/>
    <cellStyle name="Percent 3 30" xfId="12667" xr:uid="{E498D553-189D-488C-891F-C5CA24B2EC13}"/>
    <cellStyle name="Percent 3 30 2" xfId="12668" xr:uid="{83A7DDFD-9C30-4A41-A208-897347A830EA}"/>
    <cellStyle name="Percent 3 30 3" xfId="12669" xr:uid="{239DAF55-A428-4AE5-9C3D-51CE09B846AD}"/>
    <cellStyle name="Percent 3 30 4" xfId="12670" xr:uid="{DAF4D977-F421-48B0-8818-340A87EB9538}"/>
    <cellStyle name="Percent 3 30 5" xfId="12671" xr:uid="{FC57B595-189A-467D-A640-EFF12B9E8E3D}"/>
    <cellStyle name="Percent 3 31" xfId="12672" xr:uid="{5DBDF11C-FD48-4805-9059-4FE9DF69F803}"/>
    <cellStyle name="Percent 3 4" xfId="12673" xr:uid="{DDD28724-5413-4FF3-BB70-11572D49DA87}"/>
    <cellStyle name="Percent 3 4 10" xfId="12674" xr:uid="{4E5F4CBB-70C1-4CC7-8116-F61FF354FE24}"/>
    <cellStyle name="Percent 3 4 10 2" xfId="12675" xr:uid="{B7DC30B8-7B81-4F5E-9614-A8E1C81939CB}"/>
    <cellStyle name="Percent 3 4 10 3" xfId="12676" xr:uid="{7DBBAF84-E507-4E86-AA40-B25E8518A84C}"/>
    <cellStyle name="Percent 3 4 10 4" xfId="12677" xr:uid="{7A202DFB-5EE7-4172-ABEB-18C53934B305}"/>
    <cellStyle name="Percent 3 4 10 5" xfId="12678" xr:uid="{664AE2A6-889D-4A48-A9A3-C489B063BAE0}"/>
    <cellStyle name="Percent 3 4 10 6" xfId="12679" xr:uid="{230A8F5F-8171-45B2-BEDE-0015D5F27F04}"/>
    <cellStyle name="Percent 3 4 10 7" xfId="12680" xr:uid="{1A39F2CF-A0EE-408C-8E9C-566D33E41564}"/>
    <cellStyle name="Percent 3 4 11" xfId="12681" xr:uid="{8FC2A0EB-CDC6-418E-9852-299D8AAE488D}"/>
    <cellStyle name="Percent 3 4 11 2" xfId="12682" xr:uid="{8F710C4E-B476-4026-83CD-568D64CB4B69}"/>
    <cellStyle name="Percent 3 4 11 3" xfId="12683" xr:uid="{D242E043-6477-4E8A-B606-8CB9774DBB83}"/>
    <cellStyle name="Percent 3 4 11 4" xfId="12684" xr:uid="{E8A31182-6F07-4F88-B1C6-3960D1B6AF96}"/>
    <cellStyle name="Percent 3 4 11 5" xfId="12685" xr:uid="{9D9BD63A-23C8-4F40-9D8F-2DDF68BB1016}"/>
    <cellStyle name="Percent 3 4 11 6" xfId="12686" xr:uid="{656C00DC-4FCE-49BC-A14D-BC51809FB90F}"/>
    <cellStyle name="Percent 3 4 11 7" xfId="12687" xr:uid="{D7B5A1BB-674E-4370-8567-878CFA9DE2B7}"/>
    <cellStyle name="Percent 3 4 12" xfId="12688" xr:uid="{4F6A55CF-8609-4610-9BB1-4AEA32919F94}"/>
    <cellStyle name="Percent 3 4 12 2" xfId="12689" xr:uid="{8FA3BEF5-7C07-43C8-AACD-7A91388452A6}"/>
    <cellStyle name="Percent 3 4 12 3" xfId="12690" xr:uid="{A5BD4C7A-D984-44B1-86F6-BF53BC3B604C}"/>
    <cellStyle name="Percent 3 4 12 4" xfId="12691" xr:uid="{68AC6D0A-6853-4CB0-8775-4FF8AA3A20CA}"/>
    <cellStyle name="Percent 3 4 12 5" xfId="12692" xr:uid="{8651215F-B94D-4597-991C-97B3F6FDA4A7}"/>
    <cellStyle name="Percent 3 4 12 6" xfId="12693" xr:uid="{BFEC7639-0E2E-44E8-976B-662880D58FC0}"/>
    <cellStyle name="Percent 3 4 12 7" xfId="12694" xr:uid="{3D2CCDB6-83C6-4BC3-ABC1-C16E1EF01866}"/>
    <cellStyle name="Percent 3 4 13" xfId="12695" xr:uid="{7B636B8D-A8E8-48EB-A43E-0B9210CBF713}"/>
    <cellStyle name="Percent 3 4 13 2" xfId="12696" xr:uid="{AD1DFDC9-E1E9-433D-8D9E-CE0446CDB56C}"/>
    <cellStyle name="Percent 3 4 13 3" xfId="12697" xr:uid="{36FCDD97-44F6-4E70-8414-6E46DBB8683E}"/>
    <cellStyle name="Percent 3 4 13 4" xfId="12698" xr:uid="{51153EA1-AF9E-46DF-86F6-92CB745E3BF2}"/>
    <cellStyle name="Percent 3 4 13 5" xfId="12699" xr:uid="{19D94880-56F1-4711-B5F5-80764C3743F0}"/>
    <cellStyle name="Percent 3 4 13 6" xfId="12700" xr:uid="{113C62C4-7CB5-4155-A6B5-E2C77115C3BD}"/>
    <cellStyle name="Percent 3 4 13 7" xfId="12701" xr:uid="{56C9CDD9-2020-435D-A671-0F76DC274255}"/>
    <cellStyle name="Percent 3 4 14" xfId="12702" xr:uid="{F01640F9-C81E-448D-A621-BDA6F2B16AF7}"/>
    <cellStyle name="Percent 3 4 14 2" xfId="12703" xr:uid="{57EFBD2A-659B-479F-B79B-3BCD14BB0511}"/>
    <cellStyle name="Percent 3 4 14 3" xfId="12704" xr:uid="{5C0E9F39-2934-43D7-8D2F-CF5ADEFA66DE}"/>
    <cellStyle name="Percent 3 4 14 4" xfId="12705" xr:uid="{129036B6-0428-42DB-BFBF-4FFBBA4571B4}"/>
    <cellStyle name="Percent 3 4 14 5" xfId="12706" xr:uid="{7C581A63-704E-42FF-9506-B75C695F7FA4}"/>
    <cellStyle name="Percent 3 4 14 6" xfId="12707" xr:uid="{8744CB74-07AE-444D-8C29-A696DEBB2221}"/>
    <cellStyle name="Percent 3 4 14 7" xfId="12708" xr:uid="{453D8668-3C92-49DD-9D61-E75A7D8EB84A}"/>
    <cellStyle name="Percent 3 4 15" xfId="12709" xr:uid="{4877CD5D-96C0-42EF-A38A-132146A9EE9F}"/>
    <cellStyle name="Percent 3 4 15 2" xfId="12710" xr:uid="{67BB6EE7-A922-4157-97E7-9C4C12C00F29}"/>
    <cellStyle name="Percent 3 4 15 3" xfId="12711" xr:uid="{1F916E8E-3716-4AE1-9F72-390DDAAEE35A}"/>
    <cellStyle name="Percent 3 4 15 4" xfId="12712" xr:uid="{3B1250D5-38CC-4424-859B-D97E0231B3B0}"/>
    <cellStyle name="Percent 3 4 15 5" xfId="12713" xr:uid="{3B18FAC5-BCE0-4CC1-8934-527CEB8FEBE3}"/>
    <cellStyle name="Percent 3 4 15 6" xfId="12714" xr:uid="{3751F22E-F46D-4267-892F-1CC2E416CB9E}"/>
    <cellStyle name="Percent 3 4 15 7" xfId="12715" xr:uid="{A6F096C7-DE7B-475B-BB3C-DA0240750DF2}"/>
    <cellStyle name="Percent 3 4 16" xfId="12716" xr:uid="{34110713-4B1F-4E66-B687-453CDD9006BC}"/>
    <cellStyle name="Percent 3 4 17" xfId="12717" xr:uid="{DAD81B8F-A4F1-4D5B-B051-1640ABA3E5ED}"/>
    <cellStyle name="Percent 3 4 18" xfId="12718" xr:uid="{7DBF2DFF-5D37-4C91-A26A-1A54A5910E25}"/>
    <cellStyle name="Percent 3 4 19" xfId="12719" xr:uid="{F463D285-D92E-401B-91D9-FE2BE30CDFFD}"/>
    <cellStyle name="Percent 3 4 2" xfId="12720" xr:uid="{F8E24C4D-D654-4AD9-9E01-B7D728AD1320}"/>
    <cellStyle name="Percent 3 4 2 2" xfId="12721" xr:uid="{2B5E16CB-C1A1-473C-B992-212F711AC748}"/>
    <cellStyle name="Percent 3 4 2 3" xfId="12722" xr:uid="{F2CB88CA-5CB8-44AF-9221-99956CA80EC0}"/>
    <cellStyle name="Percent 3 4 2 4" xfId="12723" xr:uid="{9848CD02-F198-40DB-A745-789DD48EE2DF}"/>
    <cellStyle name="Percent 3 4 2 5" xfId="12724" xr:uid="{F6F5C177-4794-4F5A-8EDA-35E037D4D095}"/>
    <cellStyle name="Percent 3 4 2 6" xfId="12725" xr:uid="{B5B4AA7A-76A1-4685-BEC6-B99D80D764E1}"/>
    <cellStyle name="Percent 3 4 2 7" xfId="12726" xr:uid="{F8C20C40-757F-4E8F-A590-3C79FD484453}"/>
    <cellStyle name="Percent 3 4 2 8" xfId="12727" xr:uid="{EFBC68EF-1A7D-4459-AF2D-358B3A6609C9}"/>
    <cellStyle name="Percent 3 4 20" xfId="12728" xr:uid="{88593D38-B151-4E79-8E61-E139F8AB6043}"/>
    <cellStyle name="Percent 3 4 21" xfId="12729" xr:uid="{E01AD097-B2F4-4B91-AE22-61FD1B087079}"/>
    <cellStyle name="Percent 3 4 3" xfId="12730" xr:uid="{9287D32D-5C2E-40F9-A69C-1FBBC3CD6136}"/>
    <cellStyle name="Percent 3 4 3 2" xfId="12731" xr:uid="{F20A591A-6F24-4C42-8846-D9F8C6FB1830}"/>
    <cellStyle name="Percent 3 4 3 3" xfId="12732" xr:uid="{B0B83F49-6C51-43D1-B977-D629422250CE}"/>
    <cellStyle name="Percent 3 4 3 4" xfId="12733" xr:uid="{C95E33D6-2609-4D33-A6EC-B520497380D6}"/>
    <cellStyle name="Percent 3 4 3 5" xfId="12734" xr:uid="{E9E42926-38C9-4FEC-951A-A33C58BBFC95}"/>
    <cellStyle name="Percent 3 4 3 6" xfId="12735" xr:uid="{42EDE3CA-F550-4C11-8325-2094E733E29D}"/>
    <cellStyle name="Percent 3 4 3 7" xfId="12736" xr:uid="{4855387B-2646-43C8-9A73-8DD8E07A8B05}"/>
    <cellStyle name="Percent 3 4 3 8" xfId="12737" xr:uid="{67F0101A-B253-441E-A341-FEE4EAA6C94D}"/>
    <cellStyle name="Percent 3 4 4" xfId="12738" xr:uid="{50D1505A-61C5-45A7-803C-0192F0418F41}"/>
    <cellStyle name="Percent 3 4 4 2" xfId="12739" xr:uid="{648BC5F3-A586-4BA8-BAFC-B272A34346AD}"/>
    <cellStyle name="Percent 3 4 4 2 2" xfId="12740" xr:uid="{FE3944B5-8B65-457F-8821-E6FD1AD29C64}"/>
    <cellStyle name="Percent 3 4 4 2 3" xfId="12741" xr:uid="{3EE09924-2274-412D-BA12-1F12EF92DCEE}"/>
    <cellStyle name="Percent 3 4 4 2 4" xfId="12742" xr:uid="{4EF9F5F9-DC8C-459F-8625-DC99D2E56076}"/>
    <cellStyle name="Percent 3 4 4 2 5" xfId="12743" xr:uid="{EE2CBC27-2564-41A6-B053-79C62EC420EA}"/>
    <cellStyle name="Percent 3 4 4 3" xfId="12744" xr:uid="{9E680310-DE8C-4F85-9B95-E2B211C0C2AC}"/>
    <cellStyle name="Percent 3 4 4 4" xfId="12745" xr:uid="{865F74BD-0723-4880-8E82-DE8EDF21CB9D}"/>
    <cellStyle name="Percent 3 4 4 5" xfId="12746" xr:uid="{1D189D92-BD73-42DA-A535-718DE052D280}"/>
    <cellStyle name="Percent 3 4 4 6" xfId="12747" xr:uid="{CCC587B9-92C9-44AA-86E2-2FBD3E19FD02}"/>
    <cellStyle name="Percent 3 4 4 7" xfId="12748" xr:uid="{26C19125-1338-48DA-B404-6FFBE66CAAEA}"/>
    <cellStyle name="Percent 3 4 4 8" xfId="12749" xr:uid="{CF413430-68C0-4ECC-9E42-72C78AB131B1}"/>
    <cellStyle name="Percent 3 4 5" xfId="12750" xr:uid="{61D53E76-6CBC-4C74-A467-269A0882B971}"/>
    <cellStyle name="Percent 3 4 5 2" xfId="12751" xr:uid="{EEB99272-D1BB-49FB-BD87-E7D82BBD6AB7}"/>
    <cellStyle name="Percent 3 4 5 3" xfId="12752" xr:uid="{9C326F97-078F-4F4A-A27F-23A8FAD66C30}"/>
    <cellStyle name="Percent 3 4 5 4" xfId="12753" xr:uid="{0421DF86-3947-445D-9699-8BE1AAF11EE6}"/>
    <cellStyle name="Percent 3 4 5 5" xfId="12754" xr:uid="{200C48E3-F4A6-499A-8807-B5281F66DEB7}"/>
    <cellStyle name="Percent 3 4 5 6" xfId="12755" xr:uid="{B3CF7A43-2DDD-4997-B333-DF27BDD1497F}"/>
    <cellStyle name="Percent 3 4 5 7" xfId="12756" xr:uid="{78F6DD92-8EFF-46FF-870D-9DCCF7A4F098}"/>
    <cellStyle name="Percent 3 4 5 8" xfId="12757" xr:uid="{86CE5C2B-326E-4538-A5C2-8E613B4AE959}"/>
    <cellStyle name="Percent 3 4 6" xfId="12758" xr:uid="{E7D8468A-EFBD-4D23-BF31-2F5B5652A6BF}"/>
    <cellStyle name="Percent 3 4 6 2" xfId="12759" xr:uid="{2D395E3E-0DBD-4A19-ADCB-6822CE17676B}"/>
    <cellStyle name="Percent 3 4 6 3" xfId="12760" xr:uid="{10A5CDEE-7564-4402-B6CA-CE7E9D50EBB1}"/>
    <cellStyle name="Percent 3 4 6 4" xfId="12761" xr:uid="{197B2489-187E-4BFE-8A44-8F442759739F}"/>
    <cellStyle name="Percent 3 4 6 5" xfId="12762" xr:uid="{50D1B9D6-39AB-461C-A5EB-A09982F41FF7}"/>
    <cellStyle name="Percent 3 4 6 6" xfId="12763" xr:uid="{823E0AF3-9997-4179-910D-714563D33F65}"/>
    <cellStyle name="Percent 3 4 6 7" xfId="12764" xr:uid="{BDFEA05B-9577-4210-B5EE-74978B7388D4}"/>
    <cellStyle name="Percent 3 4 6 8" xfId="12765" xr:uid="{1A5BBB8F-B63C-4636-95E8-DA13628C12B5}"/>
    <cellStyle name="Percent 3 4 7" xfId="12766" xr:uid="{DECD28D2-7057-48DF-9A5B-01BD84DCA2EA}"/>
    <cellStyle name="Percent 3 4 7 2" xfId="12767" xr:uid="{EC4AF118-0852-4C9A-A796-7E007358D4BD}"/>
    <cellStyle name="Percent 3 4 7 3" xfId="12768" xr:uid="{B21C303A-D127-4C9D-A62E-6AB4B0245493}"/>
    <cellStyle name="Percent 3 4 7 4" xfId="12769" xr:uid="{4E83D971-B80F-4FD5-B8EB-3DC0FC7ABD32}"/>
    <cellStyle name="Percent 3 4 7 5" xfId="12770" xr:uid="{00DEB86A-A144-4123-8A4C-8F4103A80903}"/>
    <cellStyle name="Percent 3 4 7 6" xfId="12771" xr:uid="{A471E681-5A8C-451C-A2B4-D22ABD24EB50}"/>
    <cellStyle name="Percent 3 4 7 7" xfId="12772" xr:uid="{3E86D234-9865-4A07-80BB-3740690A54F4}"/>
    <cellStyle name="Percent 3 4 7 8" xfId="12773" xr:uid="{02BE7775-2E34-4940-B4B8-AD40E0821D2A}"/>
    <cellStyle name="Percent 3 4 8" xfId="12774" xr:uid="{62A4B4A9-13A0-4916-BD9B-B1753F3C0AA4}"/>
    <cellStyle name="Percent 3 4 8 10" xfId="12775" xr:uid="{59339EDB-405A-4534-8D7F-B5F472BEA08A}"/>
    <cellStyle name="Percent 3 4 8 2" xfId="12776" xr:uid="{90FE9170-1A5C-44A0-8F55-8870A323C129}"/>
    <cellStyle name="Percent 3 4 8 3" xfId="12777" xr:uid="{89B1B429-C5C3-41CE-89C0-C99D3B230E25}"/>
    <cellStyle name="Percent 3 4 8 4" xfId="12778" xr:uid="{D33DE0BD-25CF-4638-B76E-5262D139A1BF}"/>
    <cellStyle name="Percent 3 4 8 5" xfId="12779" xr:uid="{07620947-0C5A-4BE4-8B94-43A7A8B2C514}"/>
    <cellStyle name="Percent 3 4 8 6" xfId="12780" xr:uid="{A0A10675-5244-450A-943B-AC46B0BB025B}"/>
    <cellStyle name="Percent 3 4 8 7" xfId="12781" xr:uid="{01762646-8733-4C46-AE08-7C23BB163597}"/>
    <cellStyle name="Percent 3 4 8 8" xfId="12782" xr:uid="{6BBD4EF6-720F-4D61-B29C-B69ED9F9024E}"/>
    <cellStyle name="Percent 3 4 8 9" xfId="12783" xr:uid="{50428B03-C3FA-431D-B92F-19E3A9D8CE67}"/>
    <cellStyle name="Percent 3 4 9" xfId="12784" xr:uid="{1BD0E1EC-C558-42F4-AEC5-55DEBB1D3021}"/>
    <cellStyle name="Percent 3 4 9 10" xfId="12785" xr:uid="{98899EA6-2BB5-41E6-9E59-418B922BAF6F}"/>
    <cellStyle name="Percent 3 4 9 2" xfId="12786" xr:uid="{71EB93F3-C4A7-4CAD-A963-5219EF101F71}"/>
    <cellStyle name="Percent 3 4 9 3" xfId="12787" xr:uid="{936C4C95-7473-4B60-8698-48EBB7E51C9D}"/>
    <cellStyle name="Percent 3 4 9 4" xfId="12788" xr:uid="{934BC21D-9510-4CE3-A970-A00F7135C433}"/>
    <cellStyle name="Percent 3 4 9 5" xfId="12789" xr:uid="{0701C607-4307-4A3F-8F82-CAEAB05DE8A1}"/>
    <cellStyle name="Percent 3 4 9 6" xfId="12790" xr:uid="{3A5454F1-63F4-44F5-AF53-1EB529D206C7}"/>
    <cellStyle name="Percent 3 4 9 7" xfId="12791" xr:uid="{F3790362-D293-45A7-BB51-B0C2365BFF9E}"/>
    <cellStyle name="Percent 3 4 9 8" xfId="12792" xr:uid="{8FD63CDC-4325-4B18-AEE4-ACEA8B353050}"/>
    <cellStyle name="Percent 3 4 9 9" xfId="12793" xr:uid="{68F8537D-09ED-4FE1-840F-A5F1EC0D1F5E}"/>
    <cellStyle name="Percent 3 5" xfId="12794" xr:uid="{2906DD5C-83C1-442E-A760-00E2B319E9AC}"/>
    <cellStyle name="Percent 3 5 10" xfId="12795" xr:uid="{7EB554EA-800B-4F35-ABC8-546CE9EE5D78}"/>
    <cellStyle name="Percent 3 5 10 10" xfId="12796" xr:uid="{1EEAADAE-5707-4C8C-A898-8DD107355147}"/>
    <cellStyle name="Percent 3 5 10 2" xfId="12797" xr:uid="{3B55D4B6-DEFB-4FD1-AAB9-08C8CB9E11A8}"/>
    <cellStyle name="Percent 3 5 10 3" xfId="12798" xr:uid="{B3DE18CF-1E00-4C31-A968-0C71A65EE17C}"/>
    <cellStyle name="Percent 3 5 10 4" xfId="12799" xr:uid="{62D94243-C563-416A-8CE1-A55D579375AB}"/>
    <cellStyle name="Percent 3 5 10 5" xfId="12800" xr:uid="{C88096C9-B5FE-4152-BB55-E91C7424F9DE}"/>
    <cellStyle name="Percent 3 5 10 6" xfId="12801" xr:uid="{F7846FBF-9C28-49DD-B4FA-3C65F1C5AC97}"/>
    <cellStyle name="Percent 3 5 10 7" xfId="12802" xr:uid="{171409A8-2512-47C3-82DA-8EFE4E4A3829}"/>
    <cellStyle name="Percent 3 5 10 8" xfId="12803" xr:uid="{10582674-02A1-41F1-B77E-D61C77623F2D}"/>
    <cellStyle name="Percent 3 5 10 9" xfId="12804" xr:uid="{99AAE1F2-2173-4461-8649-5785C64BBAF1}"/>
    <cellStyle name="Percent 3 5 11" xfId="12805" xr:uid="{27635DFB-9A05-48D5-A782-90AB72D16151}"/>
    <cellStyle name="Percent 3 5 11 10" xfId="12806" xr:uid="{2263A009-806A-44E8-8915-9E698FBF9101}"/>
    <cellStyle name="Percent 3 5 11 2" xfId="12807" xr:uid="{E8695206-ACF0-43E5-ABE0-A395A66E6027}"/>
    <cellStyle name="Percent 3 5 11 3" xfId="12808" xr:uid="{6B30E6C7-942A-4D1D-A9E0-94117E8C42BC}"/>
    <cellStyle name="Percent 3 5 11 4" xfId="12809" xr:uid="{BEF1374B-59BF-4876-852A-A2246FA36C59}"/>
    <cellStyle name="Percent 3 5 11 5" xfId="12810" xr:uid="{96EFE487-D369-4705-9B82-66A12793A159}"/>
    <cellStyle name="Percent 3 5 11 6" xfId="12811" xr:uid="{250A3F92-02B8-4917-9B8D-C6924E773A85}"/>
    <cellStyle name="Percent 3 5 11 7" xfId="12812" xr:uid="{EEBB0677-42B5-49A0-A598-7E93B29A8157}"/>
    <cellStyle name="Percent 3 5 11 8" xfId="12813" xr:uid="{787DED70-7670-47E6-BF4F-9A4E2B779948}"/>
    <cellStyle name="Percent 3 5 11 9" xfId="12814" xr:uid="{EB42481A-3C38-4D5F-AC94-8645BF500C07}"/>
    <cellStyle name="Percent 3 5 12" xfId="12815" xr:uid="{3AEC579E-85E8-4E73-8EC6-4F8CE2387AE9}"/>
    <cellStyle name="Percent 3 5 12 10" xfId="12816" xr:uid="{EEE82111-8C53-47BF-BFCE-26F4D7AABCE7}"/>
    <cellStyle name="Percent 3 5 12 2" xfId="12817" xr:uid="{82697AB2-7B96-4194-9F26-326F9F5518AF}"/>
    <cellStyle name="Percent 3 5 12 3" xfId="12818" xr:uid="{F15C5D45-BB98-49C6-8EDD-24FB7C78E054}"/>
    <cellStyle name="Percent 3 5 12 4" xfId="12819" xr:uid="{BDBBD65D-94C8-4EB4-823F-E018E09956EA}"/>
    <cellStyle name="Percent 3 5 12 5" xfId="12820" xr:uid="{89CBA719-A793-4A20-8C09-B7648E21CEB4}"/>
    <cellStyle name="Percent 3 5 12 6" xfId="12821" xr:uid="{ECEE3982-8221-4968-BEC6-D40201342055}"/>
    <cellStyle name="Percent 3 5 12 7" xfId="12822" xr:uid="{50E43CEB-07B8-4694-AB4D-587985C653DE}"/>
    <cellStyle name="Percent 3 5 12 8" xfId="12823" xr:uid="{8050E001-6AE0-4AAD-BAEB-442971A9F887}"/>
    <cellStyle name="Percent 3 5 12 9" xfId="12824" xr:uid="{803464D3-BBA5-4B44-ABD2-C726EABC345E}"/>
    <cellStyle name="Percent 3 5 13" xfId="12825" xr:uid="{F77EC086-65B3-4866-8949-D06E0E5F1A94}"/>
    <cellStyle name="Percent 3 5 13 10" xfId="12826" xr:uid="{2D410E40-16AF-4798-9840-DC1B9021459A}"/>
    <cellStyle name="Percent 3 5 13 2" xfId="12827" xr:uid="{F8CE36C2-127A-4BC4-9A11-A84CAF5899B4}"/>
    <cellStyle name="Percent 3 5 13 3" xfId="12828" xr:uid="{F93AFA94-32DE-448D-AB8E-8F69320639D5}"/>
    <cellStyle name="Percent 3 5 13 4" xfId="12829" xr:uid="{47D111F7-AC58-46A4-8BB7-E4466477095A}"/>
    <cellStyle name="Percent 3 5 13 5" xfId="12830" xr:uid="{50E05F69-AB4C-464A-8C09-B4E02A1C5902}"/>
    <cellStyle name="Percent 3 5 13 6" xfId="12831" xr:uid="{14F99593-C565-4523-9072-62F03BD4F0D2}"/>
    <cellStyle name="Percent 3 5 13 7" xfId="12832" xr:uid="{CC74B61B-D29D-42EB-A3D4-192FF57086E2}"/>
    <cellStyle name="Percent 3 5 13 8" xfId="12833" xr:uid="{046E2BDA-9A5A-425D-A894-732B80712074}"/>
    <cellStyle name="Percent 3 5 13 9" xfId="12834" xr:uid="{4D8C5840-36A9-4D83-99AD-EE35CC65CF5C}"/>
    <cellStyle name="Percent 3 5 14" xfId="12835" xr:uid="{07527AC2-9D49-4DFD-B3AD-7695A0A49530}"/>
    <cellStyle name="Percent 3 5 14 10" xfId="12836" xr:uid="{1820F253-5A11-446C-94CE-274CC21989EA}"/>
    <cellStyle name="Percent 3 5 14 2" xfId="12837" xr:uid="{0826A38C-F708-4F40-8D60-D9D058220AAB}"/>
    <cellStyle name="Percent 3 5 14 3" xfId="12838" xr:uid="{E49317C8-CF38-433D-942A-3067DCCCE5A7}"/>
    <cellStyle name="Percent 3 5 14 4" xfId="12839" xr:uid="{61B1B15C-73EB-4EE2-89F7-4B3551E53667}"/>
    <cellStyle name="Percent 3 5 14 5" xfId="12840" xr:uid="{01C0E10C-54B9-41DB-947A-A912F353C8C3}"/>
    <cellStyle name="Percent 3 5 14 6" xfId="12841" xr:uid="{4679A4BF-7CA1-40ED-BCC0-01C5747B054C}"/>
    <cellStyle name="Percent 3 5 14 7" xfId="12842" xr:uid="{89E96F55-74FF-45E2-9888-E4F02874205B}"/>
    <cellStyle name="Percent 3 5 14 8" xfId="12843" xr:uid="{7E873EC0-AFB2-49A5-8677-3D2629D73326}"/>
    <cellStyle name="Percent 3 5 14 9" xfId="12844" xr:uid="{88DC52F7-2A76-4B31-AC96-0600698D5783}"/>
    <cellStyle name="Percent 3 5 15" xfId="12845" xr:uid="{A1B77969-124C-4CEF-9718-3EC1ECD5A6B3}"/>
    <cellStyle name="Percent 3 5 15 10" xfId="12846" xr:uid="{D731F812-4064-45D2-90AC-A5E8D6F3F399}"/>
    <cellStyle name="Percent 3 5 15 2" xfId="12847" xr:uid="{9A3F54D1-EF79-47CE-B4BD-F42CBE797CD1}"/>
    <cellStyle name="Percent 3 5 15 3" xfId="12848" xr:uid="{90488041-80E3-4B18-AE2C-65E1428D4EA0}"/>
    <cellStyle name="Percent 3 5 15 4" xfId="12849" xr:uid="{F700A133-313B-4149-A238-63DA6F8B039F}"/>
    <cellStyle name="Percent 3 5 15 5" xfId="12850" xr:uid="{3F18B7E7-3371-4F6A-A41B-626F40A72366}"/>
    <cellStyle name="Percent 3 5 15 6" xfId="12851" xr:uid="{D333AA9A-005A-4002-B60B-76DE3AEEA776}"/>
    <cellStyle name="Percent 3 5 15 7" xfId="12852" xr:uid="{185F7662-4FD4-4163-8012-642A0FD8D703}"/>
    <cellStyle name="Percent 3 5 15 8" xfId="12853" xr:uid="{E6990D06-9E50-41A4-B388-12C7DEEB544C}"/>
    <cellStyle name="Percent 3 5 15 9" xfId="12854" xr:uid="{11C4E1F8-884F-4FC5-BC60-A7AC0C879E7F}"/>
    <cellStyle name="Percent 3 5 16" xfId="12855" xr:uid="{2D1A4FEF-FAC3-42F6-AD28-36E40A4AB876}"/>
    <cellStyle name="Percent 3 5 16 2" xfId="12856" xr:uid="{E2E7079A-1FC8-4C7B-988B-1F5D4B0B43FC}"/>
    <cellStyle name="Percent 3 5 16 3" xfId="12857" xr:uid="{E38A220D-B5B0-4137-8E25-BFCA7F378EB2}"/>
    <cellStyle name="Percent 3 5 16 4" xfId="12858" xr:uid="{6FDC8637-5AE7-4959-A8B5-B29D03F4D404}"/>
    <cellStyle name="Percent 3 5 16 5" xfId="12859" xr:uid="{4073CF8D-831B-4B89-A475-875DD41055F9}"/>
    <cellStyle name="Percent 3 5 17" xfId="12860" xr:uid="{1C549E84-2DE6-4A49-B745-5D304933B5A9}"/>
    <cellStyle name="Percent 3 5 17 2" xfId="12861" xr:uid="{31B5C64D-EE5D-4D6D-A96C-6D90DC88084B}"/>
    <cellStyle name="Percent 3 5 17 3" xfId="12862" xr:uid="{1CDF0B28-86C3-4B38-B481-6E4DC02D2A16}"/>
    <cellStyle name="Percent 3 5 17 4" xfId="12863" xr:uid="{4D292E9C-33D8-40CA-BB47-903AAD1C152A}"/>
    <cellStyle name="Percent 3 5 17 5" xfId="12864" xr:uid="{F920518B-B5D8-4944-A85A-2CEC0E5FA300}"/>
    <cellStyle name="Percent 3 5 18" xfId="12865" xr:uid="{03F352C5-B556-418D-BC52-16C47C941B08}"/>
    <cellStyle name="Percent 3 5 19" xfId="12866" xr:uid="{34078BE7-8EE5-4E50-91CB-96EDCF979D92}"/>
    <cellStyle name="Percent 3 5 2" xfId="12867" xr:uid="{1AFECFA2-29B0-46F8-BD53-1C3186FA3BE7}"/>
    <cellStyle name="Percent 3 5 2 10" xfId="12868" xr:uid="{ADA67BDC-C9BF-4490-BAC8-9E382111112B}"/>
    <cellStyle name="Percent 3 5 2 2" xfId="12869" xr:uid="{72D469A5-9067-4B85-8FE5-2A0D54879F36}"/>
    <cellStyle name="Percent 3 5 2 3" xfId="12870" xr:uid="{BFFB8668-AA52-497B-9027-E769B7DEA7EC}"/>
    <cellStyle name="Percent 3 5 2 4" xfId="12871" xr:uid="{04C500A1-0760-48B5-B04E-0CB0A5F69E68}"/>
    <cellStyle name="Percent 3 5 2 5" xfId="12872" xr:uid="{1743E18C-E8A0-46C7-AEC3-094AD40A8A70}"/>
    <cellStyle name="Percent 3 5 2 6" xfId="12873" xr:uid="{65EF4AEC-6BB2-4216-9D21-EC40BA80F84C}"/>
    <cellStyle name="Percent 3 5 2 7" xfId="12874" xr:uid="{3C220667-82EB-4B26-BA6F-09B92A935AB0}"/>
    <cellStyle name="Percent 3 5 2 8" xfId="12875" xr:uid="{B3041DBF-662B-4ADC-802F-70FE09C479E6}"/>
    <cellStyle name="Percent 3 5 2 9" xfId="12876" xr:uid="{39179293-86C5-4AAA-9230-892ACD56F4C2}"/>
    <cellStyle name="Percent 3 5 20" xfId="12877" xr:uid="{36B97B62-454C-4853-A9FE-4FDC01129F45}"/>
    <cellStyle name="Percent 3 5 21" xfId="12878" xr:uid="{0BE6487D-7593-480A-B596-AF7DD9F1F7ED}"/>
    <cellStyle name="Percent 3 5 22" xfId="12879" xr:uid="{A02B716A-C9A0-46FF-B02B-F0E801E320FC}"/>
    <cellStyle name="Percent 3 5 23" xfId="12880" xr:uid="{C76350A1-190E-4337-B46B-D8F6316269F0}"/>
    <cellStyle name="Percent 3 5 24" xfId="12881" xr:uid="{7488F97F-52EB-4D9D-A8AA-493BEDA3FCC5}"/>
    <cellStyle name="Percent 3 5 25" xfId="12882" xr:uid="{3C0F858F-E434-47AD-B71A-95DDA301F2CF}"/>
    <cellStyle name="Percent 3 5 3" xfId="12883" xr:uid="{0C1C4B54-E059-4A33-8C71-CA6522DC7EAA}"/>
    <cellStyle name="Percent 3 5 3 10" xfId="12884" xr:uid="{DC98EC9C-DE22-4B6F-B88F-787FEEDADBFF}"/>
    <cellStyle name="Percent 3 5 3 2" xfId="12885" xr:uid="{ABAD0FC4-14F8-40B0-9CFE-E02113C6C81A}"/>
    <cellStyle name="Percent 3 5 3 3" xfId="12886" xr:uid="{F14000B8-4007-44D8-A539-748C01596591}"/>
    <cellStyle name="Percent 3 5 3 4" xfId="12887" xr:uid="{0E64EC79-06EA-42E5-A356-39061C66785E}"/>
    <cellStyle name="Percent 3 5 3 5" xfId="12888" xr:uid="{C77F3118-CBDC-45B3-A5CE-E0AA56AC54B0}"/>
    <cellStyle name="Percent 3 5 3 6" xfId="12889" xr:uid="{13BB0D5E-BDB4-4A50-8EAB-8577D5F1EDDE}"/>
    <cellStyle name="Percent 3 5 3 7" xfId="12890" xr:uid="{1E84F759-932A-46C4-A20A-693D3EFBF2F2}"/>
    <cellStyle name="Percent 3 5 3 8" xfId="12891" xr:uid="{880CE8E9-8630-4A73-94BE-7BF8D63E6596}"/>
    <cellStyle name="Percent 3 5 3 9" xfId="12892" xr:uid="{2D4733C6-66EF-45CD-9ED9-63C5BC03B54A}"/>
    <cellStyle name="Percent 3 5 4" xfId="12893" xr:uid="{76A1E53F-3E99-4F95-8FC2-9D3D6F744885}"/>
    <cellStyle name="Percent 3 5 4 10" xfId="12894" xr:uid="{FE92F44A-0FAB-47EF-BFE3-3EA2543D3108}"/>
    <cellStyle name="Percent 3 5 4 2" xfId="12895" xr:uid="{BF19DCC4-C655-4F81-A963-473EE4CED976}"/>
    <cellStyle name="Percent 3 5 4 3" xfId="12896" xr:uid="{F32F6D88-230B-43FC-9AE0-DE53407714CE}"/>
    <cellStyle name="Percent 3 5 4 4" xfId="12897" xr:uid="{81CA2DAD-E669-441A-9930-55238575109C}"/>
    <cellStyle name="Percent 3 5 4 5" xfId="12898" xr:uid="{016FC830-95ED-4F31-B1AB-4F85D01E3AB2}"/>
    <cellStyle name="Percent 3 5 4 6" xfId="12899" xr:uid="{D409815B-2CF6-418A-817B-4DE3632BA475}"/>
    <cellStyle name="Percent 3 5 4 7" xfId="12900" xr:uid="{EB6D07F7-736E-43C8-BC48-1612E36C354F}"/>
    <cellStyle name="Percent 3 5 4 8" xfId="12901" xr:uid="{7B202B18-985A-4848-8571-36EB94DCC44F}"/>
    <cellStyle name="Percent 3 5 4 9" xfId="12902" xr:uid="{8991859A-5595-469D-A664-93296458F58C}"/>
    <cellStyle name="Percent 3 5 5" xfId="12903" xr:uid="{1E4778FC-EC4C-4DB8-9C8E-7570A92C8327}"/>
    <cellStyle name="Percent 3 5 5 10" xfId="12904" xr:uid="{82AFD887-7F20-4754-81F0-14C6B6EEC1E4}"/>
    <cellStyle name="Percent 3 5 5 2" xfId="12905" xr:uid="{88ACE1A8-536A-4589-B546-ABEF9946FB9F}"/>
    <cellStyle name="Percent 3 5 5 3" xfId="12906" xr:uid="{43926807-352F-4041-B637-58BB9513FE5F}"/>
    <cellStyle name="Percent 3 5 5 4" xfId="12907" xr:uid="{B0B58871-8951-474E-AC5B-D23D13E58C5F}"/>
    <cellStyle name="Percent 3 5 5 5" xfId="12908" xr:uid="{45887A06-4984-4759-9AC2-3BE9B7C740BB}"/>
    <cellStyle name="Percent 3 5 5 6" xfId="12909" xr:uid="{F3825621-A873-49D1-8779-2E4F206926A4}"/>
    <cellStyle name="Percent 3 5 5 7" xfId="12910" xr:uid="{9CD722B9-06BD-4B57-A861-183AD8E2A217}"/>
    <cellStyle name="Percent 3 5 5 8" xfId="12911" xr:uid="{DF193344-DA55-462B-8A36-32F3BEA95452}"/>
    <cellStyle name="Percent 3 5 5 9" xfId="12912" xr:uid="{FA434F9A-34F3-4356-86F4-0D2BD4F8CEBA}"/>
    <cellStyle name="Percent 3 5 6" xfId="12913" xr:uid="{725BB10D-8FDF-4035-812B-54A39B39CC03}"/>
    <cellStyle name="Percent 3 5 6 10" xfId="12914" xr:uid="{C9DE281B-5549-4958-9CC2-D5CF18BCF3F0}"/>
    <cellStyle name="Percent 3 5 6 2" xfId="12915" xr:uid="{0300B1B2-27CA-45A5-8C67-7AEA4081A612}"/>
    <cellStyle name="Percent 3 5 6 3" xfId="12916" xr:uid="{BE94DBB0-6849-42CE-B110-07BE9E99BBAF}"/>
    <cellStyle name="Percent 3 5 6 4" xfId="12917" xr:uid="{5543E4C0-A2F4-4BE6-80DA-9CC6F4D49FDB}"/>
    <cellStyle name="Percent 3 5 6 5" xfId="12918" xr:uid="{45F886C8-7DE9-4EC5-9460-A3F1FF34A17B}"/>
    <cellStyle name="Percent 3 5 6 6" xfId="12919" xr:uid="{A1FFEAC9-0F51-42A1-9EB4-3474EC687990}"/>
    <cellStyle name="Percent 3 5 6 7" xfId="12920" xr:uid="{EABE2893-FDD6-49C9-BCAA-A4DBC2D7E3C9}"/>
    <cellStyle name="Percent 3 5 6 8" xfId="12921" xr:uid="{632A6BAB-682E-4BFF-9BE1-43562C5FFD40}"/>
    <cellStyle name="Percent 3 5 6 9" xfId="12922" xr:uid="{C99E8ED5-9174-45EF-A1D2-5BF5CB42EA99}"/>
    <cellStyle name="Percent 3 5 7" xfId="12923" xr:uid="{3620343E-722C-46B8-8BE5-5716E0CA75C9}"/>
    <cellStyle name="Percent 3 5 7 10" xfId="12924" xr:uid="{C30A9760-3F1D-4D13-9130-373CBBD2E307}"/>
    <cellStyle name="Percent 3 5 7 2" xfId="12925" xr:uid="{F72B927D-BB9E-4D74-B954-F853711ED4B8}"/>
    <cellStyle name="Percent 3 5 7 3" xfId="12926" xr:uid="{6C159102-94D0-49AD-9C38-E3BD51492D45}"/>
    <cellStyle name="Percent 3 5 7 4" xfId="12927" xr:uid="{A7A87727-1983-4A69-BFF8-BE60A0D3587E}"/>
    <cellStyle name="Percent 3 5 7 5" xfId="12928" xr:uid="{6A4A864F-FB49-4635-B499-2D6A47942A02}"/>
    <cellStyle name="Percent 3 5 7 6" xfId="12929" xr:uid="{A27ED94D-C337-4D2E-BD72-EF45982A1566}"/>
    <cellStyle name="Percent 3 5 7 7" xfId="12930" xr:uid="{711AA55A-FAB0-4114-BA45-C0CBBF4C04BD}"/>
    <cellStyle name="Percent 3 5 7 8" xfId="12931" xr:uid="{0E40F760-038D-46CA-AC38-D951C0BED649}"/>
    <cellStyle name="Percent 3 5 7 9" xfId="12932" xr:uid="{381D8F0F-525F-4818-9206-AD1F9069E020}"/>
    <cellStyle name="Percent 3 5 8" xfId="12933" xr:uid="{FC27B726-0490-4257-9BE1-D2D00CF266C5}"/>
    <cellStyle name="Percent 3 5 8 10" xfId="12934" xr:uid="{9A44531B-678B-4A98-950A-1C4532D2E5B7}"/>
    <cellStyle name="Percent 3 5 8 2" xfId="12935" xr:uid="{E5856794-4812-4D6E-8EF3-53B392B44F47}"/>
    <cellStyle name="Percent 3 5 8 3" xfId="12936" xr:uid="{47061326-E56C-424D-8385-CC9E0600C571}"/>
    <cellStyle name="Percent 3 5 8 4" xfId="12937" xr:uid="{F231A2F4-7968-4BC7-B112-8E8625CF74CF}"/>
    <cellStyle name="Percent 3 5 8 5" xfId="12938" xr:uid="{B82D851E-E916-4066-9F49-4E2271C9EAD7}"/>
    <cellStyle name="Percent 3 5 8 6" xfId="12939" xr:uid="{76965C61-934D-4DB8-A01E-F8F245A4D740}"/>
    <cellStyle name="Percent 3 5 8 7" xfId="12940" xr:uid="{F277640A-94A5-4B7B-8FDB-35065E86549C}"/>
    <cellStyle name="Percent 3 5 8 8" xfId="12941" xr:uid="{150F0DBE-0397-4F0B-99DA-F18670B481C1}"/>
    <cellStyle name="Percent 3 5 8 9" xfId="12942" xr:uid="{40EBA66B-0ADA-45D2-94A7-F410CD779949}"/>
    <cellStyle name="Percent 3 5 9" xfId="12943" xr:uid="{256D60EA-E2AA-4708-93F3-DA9AA2757CED}"/>
    <cellStyle name="Percent 3 5 9 10" xfId="12944" xr:uid="{D63BB794-D80E-40ED-8959-6CC2149FC915}"/>
    <cellStyle name="Percent 3 5 9 2" xfId="12945" xr:uid="{26F740C3-094F-4B26-B4BE-DDB8995C7F10}"/>
    <cellStyle name="Percent 3 5 9 3" xfId="12946" xr:uid="{DCE39006-7858-464C-B0D3-5E75DF50E5C0}"/>
    <cellStyle name="Percent 3 5 9 4" xfId="12947" xr:uid="{BBC43BA5-9B41-471F-90D0-93727ECA6909}"/>
    <cellStyle name="Percent 3 5 9 5" xfId="12948" xr:uid="{1E2CDB5E-3A1A-44D1-88F5-522E2BAD2F8A}"/>
    <cellStyle name="Percent 3 5 9 6" xfId="12949" xr:uid="{D6050EB6-0546-4100-B08F-4143BC1ECFD6}"/>
    <cellStyle name="Percent 3 5 9 7" xfId="12950" xr:uid="{0A17A04D-5C94-408F-B70E-DA3361405273}"/>
    <cellStyle name="Percent 3 5 9 8" xfId="12951" xr:uid="{4D8BE353-8871-4439-A84E-AAB931930751}"/>
    <cellStyle name="Percent 3 5 9 9" xfId="12952" xr:uid="{10E9DE1A-C389-4441-BD5B-38E02BAE46E3}"/>
    <cellStyle name="Percent 3 6" xfId="12953" xr:uid="{0E5EAF60-84C7-41CA-84EC-F6CFA1B85734}"/>
    <cellStyle name="Percent 3 6 10" xfId="12954" xr:uid="{62E3028F-11A1-4F28-AFB7-83F2DD665DA8}"/>
    <cellStyle name="Percent 3 6 10 10" xfId="12955" xr:uid="{1783B5D2-67EA-40F3-BD8F-D352A08FCF19}"/>
    <cellStyle name="Percent 3 6 10 2" xfId="12956" xr:uid="{87B47FC4-2CC8-4473-ADD8-02F7F2899E0F}"/>
    <cellStyle name="Percent 3 6 10 3" xfId="12957" xr:uid="{63222582-5F93-49B3-A66E-89C1B3CD169E}"/>
    <cellStyle name="Percent 3 6 10 4" xfId="12958" xr:uid="{441A931C-E31B-4D4F-B094-BA0137358582}"/>
    <cellStyle name="Percent 3 6 10 5" xfId="12959" xr:uid="{5EDC1C38-F487-4525-A98C-AF38EB5238B6}"/>
    <cellStyle name="Percent 3 6 10 6" xfId="12960" xr:uid="{74E2DF63-5C49-4C83-A112-3BBE12FA352A}"/>
    <cellStyle name="Percent 3 6 10 7" xfId="12961" xr:uid="{7FE7D911-86D9-4841-BD0E-D122D66A055A}"/>
    <cellStyle name="Percent 3 6 10 8" xfId="12962" xr:uid="{D6EE13A1-AE03-4E21-9E98-F64DF5202B06}"/>
    <cellStyle name="Percent 3 6 10 9" xfId="12963" xr:uid="{50615128-CA02-46BE-A002-F0831905784D}"/>
    <cellStyle name="Percent 3 6 11" xfId="12964" xr:uid="{4CB9BD9F-F2B5-45BF-B4CB-96BE164456C9}"/>
    <cellStyle name="Percent 3 6 11 10" xfId="12965" xr:uid="{6F438F19-2DBD-4E09-959B-515F28ACFA05}"/>
    <cellStyle name="Percent 3 6 11 2" xfId="12966" xr:uid="{42C1FFDB-9A5B-439D-8125-11FA9FE6AA7E}"/>
    <cellStyle name="Percent 3 6 11 3" xfId="12967" xr:uid="{4F3549F7-1BAE-4307-8485-5AC21CFDE304}"/>
    <cellStyle name="Percent 3 6 11 4" xfId="12968" xr:uid="{4DC68565-FBBF-4C26-AB54-CB2BF3A59E76}"/>
    <cellStyle name="Percent 3 6 11 5" xfId="12969" xr:uid="{738EF3B6-15C2-48F9-9039-C67BE7743DC0}"/>
    <cellStyle name="Percent 3 6 11 6" xfId="12970" xr:uid="{86B12AAC-DBA1-47C8-B344-6ED9618AB844}"/>
    <cellStyle name="Percent 3 6 11 7" xfId="12971" xr:uid="{2DA82575-2E8F-48B2-803D-F7DABC1BC1C1}"/>
    <cellStyle name="Percent 3 6 11 8" xfId="12972" xr:uid="{15D00DC9-833E-4E94-AF19-EDBF165F7E5A}"/>
    <cellStyle name="Percent 3 6 11 9" xfId="12973" xr:uid="{8C5B3FA7-77E9-4B3B-9A5A-3E0A4C0119F4}"/>
    <cellStyle name="Percent 3 6 12" xfId="12974" xr:uid="{305B4CCF-55ED-4A68-91B6-863A74FA5DC1}"/>
    <cellStyle name="Percent 3 6 12 10" xfId="12975" xr:uid="{C98D9F63-FB99-4E8A-9089-04FB81B2A4FE}"/>
    <cellStyle name="Percent 3 6 12 2" xfId="12976" xr:uid="{EC11E681-09C4-40E2-8D11-92C436388478}"/>
    <cellStyle name="Percent 3 6 12 3" xfId="12977" xr:uid="{7D479A94-B00C-4261-9397-E86C9DF44CFC}"/>
    <cellStyle name="Percent 3 6 12 4" xfId="12978" xr:uid="{D306134E-4DFA-4180-B14E-2882FEEF4B03}"/>
    <cellStyle name="Percent 3 6 12 5" xfId="12979" xr:uid="{AD49894A-2947-4E9D-90A2-47B8106FD9AD}"/>
    <cellStyle name="Percent 3 6 12 6" xfId="12980" xr:uid="{174DF248-21FE-490F-8F63-70C3C0F1DEE3}"/>
    <cellStyle name="Percent 3 6 12 7" xfId="12981" xr:uid="{1396155B-C037-40B0-9069-9609912DECBC}"/>
    <cellStyle name="Percent 3 6 12 8" xfId="12982" xr:uid="{2248FF23-6F4D-4F81-A272-7D9862950350}"/>
    <cellStyle name="Percent 3 6 12 9" xfId="12983" xr:uid="{EE53DD77-131D-4987-8765-9CC02F63156B}"/>
    <cellStyle name="Percent 3 6 13" xfId="12984" xr:uid="{FA9EC9F0-343B-4DD7-AF6F-018A6EAE646E}"/>
    <cellStyle name="Percent 3 6 13 10" xfId="12985" xr:uid="{32304CDC-E52F-4029-82CC-8BFBA509384A}"/>
    <cellStyle name="Percent 3 6 13 2" xfId="12986" xr:uid="{7D24B4E8-E644-496F-9582-FB37422B8DF7}"/>
    <cellStyle name="Percent 3 6 13 3" xfId="12987" xr:uid="{826250FC-B5EE-4241-957C-B23AAD9F1351}"/>
    <cellStyle name="Percent 3 6 13 4" xfId="12988" xr:uid="{E2177CA2-ECEE-436F-9748-BE1B2E3CD491}"/>
    <cellStyle name="Percent 3 6 13 5" xfId="12989" xr:uid="{BBB64567-3E0E-4752-8D15-8BF2230F1D15}"/>
    <cellStyle name="Percent 3 6 13 6" xfId="12990" xr:uid="{0B115013-9325-4043-A4BA-8B85347D9508}"/>
    <cellStyle name="Percent 3 6 13 7" xfId="12991" xr:uid="{30EEE460-9FED-4C26-99D2-8AAB63025466}"/>
    <cellStyle name="Percent 3 6 13 8" xfId="12992" xr:uid="{2D126F18-4941-44F3-8662-6C330485F76C}"/>
    <cellStyle name="Percent 3 6 13 9" xfId="12993" xr:uid="{49A88B02-82C1-490E-9F47-87D43AC6081A}"/>
    <cellStyle name="Percent 3 6 14" xfId="12994" xr:uid="{935A7944-F071-405A-94B0-FC428779075D}"/>
    <cellStyle name="Percent 3 6 14 10" xfId="12995" xr:uid="{83708E65-4D15-41D7-AB49-3AFE90347CCB}"/>
    <cellStyle name="Percent 3 6 14 2" xfId="12996" xr:uid="{DB60FD91-66C4-4E50-95DB-F7D3C337820D}"/>
    <cellStyle name="Percent 3 6 14 3" xfId="12997" xr:uid="{0E5A87AC-5819-4472-8982-20B891BB6120}"/>
    <cellStyle name="Percent 3 6 14 4" xfId="12998" xr:uid="{C5E251FC-5741-4F4A-8372-2113D2B01042}"/>
    <cellStyle name="Percent 3 6 14 5" xfId="12999" xr:uid="{45C63490-CE1F-42B5-A634-F7D310F4740A}"/>
    <cellStyle name="Percent 3 6 14 6" xfId="13000" xr:uid="{D27A0B77-E0E1-4050-B99E-2D87CEFA4B01}"/>
    <cellStyle name="Percent 3 6 14 7" xfId="13001" xr:uid="{9B92772B-8590-49DD-915E-2E466A81BCAE}"/>
    <cellStyle name="Percent 3 6 14 8" xfId="13002" xr:uid="{1E043620-FCA3-4A7F-8B91-897C408515E1}"/>
    <cellStyle name="Percent 3 6 14 9" xfId="13003" xr:uid="{60A75195-8DBE-49CD-873A-2AB58031E595}"/>
    <cellStyle name="Percent 3 6 15" xfId="13004" xr:uid="{D3F78D88-359D-4681-939B-FFA6C3D5C14E}"/>
    <cellStyle name="Percent 3 6 15 10" xfId="13005" xr:uid="{E84C116D-75A3-4B6C-ACCA-30F3B3FF8840}"/>
    <cellStyle name="Percent 3 6 15 2" xfId="13006" xr:uid="{A3FC0902-F75E-4B3C-81E0-33D2FF4D5F39}"/>
    <cellStyle name="Percent 3 6 15 3" xfId="13007" xr:uid="{2D8370FC-0E25-4140-83B8-2496DABB34F3}"/>
    <cellStyle name="Percent 3 6 15 4" xfId="13008" xr:uid="{2FD914A2-B86F-4E95-9635-CC6AC9D9B7A7}"/>
    <cellStyle name="Percent 3 6 15 5" xfId="13009" xr:uid="{9EE791DE-C228-4A4E-84A3-07179976572E}"/>
    <cellStyle name="Percent 3 6 15 6" xfId="13010" xr:uid="{780B414C-3A15-49D3-A9D8-F8C3A282448B}"/>
    <cellStyle name="Percent 3 6 15 7" xfId="13011" xr:uid="{8BC5D299-69E3-47E6-ADB5-20A3A9DC3885}"/>
    <cellStyle name="Percent 3 6 15 8" xfId="13012" xr:uid="{EC277BD2-C79F-4A24-B7E6-CD41542B1403}"/>
    <cellStyle name="Percent 3 6 15 9" xfId="13013" xr:uid="{356E5970-56E5-46AA-8CCA-6E7D99A4F7CD}"/>
    <cellStyle name="Percent 3 6 16" xfId="13014" xr:uid="{EC59F46B-64FA-4721-81B6-09D4502CBE37}"/>
    <cellStyle name="Percent 3 6 17" xfId="13015" xr:uid="{CFF557C8-0004-45AD-8285-DEDA2C4534CC}"/>
    <cellStyle name="Percent 3 6 18" xfId="13016" xr:uid="{8470B5BC-9E50-4E1C-B920-F9CC4B74B4F0}"/>
    <cellStyle name="Percent 3 6 19" xfId="13017" xr:uid="{1A1A1A91-E622-4322-96C3-B7F2DCB4AC3A}"/>
    <cellStyle name="Percent 3 6 2" xfId="13018" xr:uid="{1535CA20-64F6-4FA9-BD61-8FBA758096DC}"/>
    <cellStyle name="Percent 3 6 2 10" xfId="13019" xr:uid="{DAA12E8D-FA16-448F-A17C-2639F4E9C1BD}"/>
    <cellStyle name="Percent 3 6 2 2" xfId="13020" xr:uid="{40A7BFA5-B1BC-4190-93C4-697D1DC15AAC}"/>
    <cellStyle name="Percent 3 6 2 3" xfId="13021" xr:uid="{3281FC7B-577D-43FE-B49B-40C08C8DD4F0}"/>
    <cellStyle name="Percent 3 6 2 4" xfId="13022" xr:uid="{F379A1E2-84EE-491C-B68B-AA40EF9B885D}"/>
    <cellStyle name="Percent 3 6 2 5" xfId="13023" xr:uid="{D1DD8898-4B7E-4EA0-8869-10BEF135DD5F}"/>
    <cellStyle name="Percent 3 6 2 6" xfId="13024" xr:uid="{93D25BBB-808C-4C5B-868D-C8EA599FD145}"/>
    <cellStyle name="Percent 3 6 2 7" xfId="13025" xr:uid="{18B1AAFF-B7EF-4351-A3E2-9B2D5045FC2C}"/>
    <cellStyle name="Percent 3 6 2 8" xfId="13026" xr:uid="{73E3C12D-5DF4-48A2-869E-45DD6643337A}"/>
    <cellStyle name="Percent 3 6 2 9" xfId="13027" xr:uid="{7382BC87-BDD3-43A5-A58D-B84E76DFF304}"/>
    <cellStyle name="Percent 3 6 20" xfId="13028" xr:uid="{E866782C-E5AF-4DCE-B878-F407128F36AF}"/>
    <cellStyle name="Percent 3 6 21" xfId="13029" xr:uid="{511AA085-6325-4773-B9DF-8596F61794A7}"/>
    <cellStyle name="Percent 3 6 22" xfId="13030" xr:uid="{EF41E75D-67F8-4812-8BF7-589CA75AA3DB}"/>
    <cellStyle name="Percent 3 6 23" xfId="13031" xr:uid="{929BBC12-3861-4C76-902C-7F523ED43A03}"/>
    <cellStyle name="Percent 3 6 24" xfId="13032" xr:uid="{E3FAB80C-59C9-4A24-B76E-ECC779A79314}"/>
    <cellStyle name="Percent 3 6 3" xfId="13033" xr:uid="{25C3174A-78B9-4A39-B6DC-CD3347DCA2FA}"/>
    <cellStyle name="Percent 3 6 3 10" xfId="13034" xr:uid="{65166FCB-5F4D-4744-A914-FE39DBDFADF7}"/>
    <cellStyle name="Percent 3 6 3 2" xfId="13035" xr:uid="{5B6949A7-DA88-4A49-9357-68361EE5CD58}"/>
    <cellStyle name="Percent 3 6 3 3" xfId="13036" xr:uid="{0F33C4B6-4A36-4445-AC1D-8E0BCDF90ECF}"/>
    <cellStyle name="Percent 3 6 3 4" xfId="13037" xr:uid="{E79787D2-32E6-46BF-9A44-5D286799474D}"/>
    <cellStyle name="Percent 3 6 3 5" xfId="13038" xr:uid="{46D11BE7-84F5-4D13-87A5-517F4822FB89}"/>
    <cellStyle name="Percent 3 6 3 6" xfId="13039" xr:uid="{00FE3835-0202-4DD6-8BCA-2F2DEE99BEE2}"/>
    <cellStyle name="Percent 3 6 3 7" xfId="13040" xr:uid="{8F8FCD5C-C538-4762-A04B-914D6B4D574A}"/>
    <cellStyle name="Percent 3 6 3 8" xfId="13041" xr:uid="{CCCD7C29-042B-40EF-8865-03FA656F6C85}"/>
    <cellStyle name="Percent 3 6 3 9" xfId="13042" xr:uid="{98791B5D-2E71-4B1E-8212-8B388AA43169}"/>
    <cellStyle name="Percent 3 6 4" xfId="13043" xr:uid="{22195743-C06C-4105-AA11-DB083A544A5C}"/>
    <cellStyle name="Percent 3 6 4 10" xfId="13044" xr:uid="{91D7968E-3183-4056-8B3C-60B4D414BC10}"/>
    <cellStyle name="Percent 3 6 4 2" xfId="13045" xr:uid="{F2C00A7B-D70C-45BE-9725-F3AE83DBA089}"/>
    <cellStyle name="Percent 3 6 4 3" xfId="13046" xr:uid="{AC3556CD-A491-4978-B677-9EDCE887CF85}"/>
    <cellStyle name="Percent 3 6 4 4" xfId="13047" xr:uid="{3F07DBC7-5263-48D5-B344-D98E6FD435F4}"/>
    <cellStyle name="Percent 3 6 4 5" xfId="13048" xr:uid="{D14AEF37-2FC2-4415-9E43-2E458DB34E64}"/>
    <cellStyle name="Percent 3 6 4 6" xfId="13049" xr:uid="{A1672F59-88E5-47FC-9A2F-2A2AF8C1125B}"/>
    <cellStyle name="Percent 3 6 4 7" xfId="13050" xr:uid="{A64FB10E-1F64-4A9E-93BF-664F8A33ECB8}"/>
    <cellStyle name="Percent 3 6 4 8" xfId="13051" xr:uid="{CD52866F-2777-483C-82D9-8CF09D1FAA31}"/>
    <cellStyle name="Percent 3 6 4 9" xfId="13052" xr:uid="{7E0B3469-FF9F-41BB-8070-463634093A86}"/>
    <cellStyle name="Percent 3 6 5" xfId="13053" xr:uid="{E5F23850-6E5D-4A20-AFDD-801A041D0EC4}"/>
    <cellStyle name="Percent 3 6 5 10" xfId="13054" xr:uid="{CEAD6B8E-3F6D-4AC5-A6AE-D4555E5D85EC}"/>
    <cellStyle name="Percent 3 6 5 2" xfId="13055" xr:uid="{E4402A13-9BD8-4757-9655-FB2DCC24ADCA}"/>
    <cellStyle name="Percent 3 6 5 3" xfId="13056" xr:uid="{72A31C66-1B3B-4FE7-9C35-D62DA093AC55}"/>
    <cellStyle name="Percent 3 6 5 4" xfId="13057" xr:uid="{962847DC-A060-42E0-9013-51AC5070A267}"/>
    <cellStyle name="Percent 3 6 5 5" xfId="13058" xr:uid="{792BB4F0-AFAF-48B0-82DB-586EADAA7DAC}"/>
    <cellStyle name="Percent 3 6 5 6" xfId="13059" xr:uid="{D5C3119F-3BD0-4CF1-BBAA-61C1A11D4DC4}"/>
    <cellStyle name="Percent 3 6 5 7" xfId="13060" xr:uid="{7AAABF6C-DEFF-4E69-AA53-C4459D2B0EFC}"/>
    <cellStyle name="Percent 3 6 5 8" xfId="13061" xr:uid="{66BBE2AB-9586-49E6-94B7-68A0A40B26F7}"/>
    <cellStyle name="Percent 3 6 5 9" xfId="13062" xr:uid="{8DFB0A7D-26C9-41F1-9BB9-5E87A9CBC83C}"/>
    <cellStyle name="Percent 3 6 6" xfId="13063" xr:uid="{7277CA5D-281D-4328-807E-FFDF4D3F0845}"/>
    <cellStyle name="Percent 3 6 6 10" xfId="13064" xr:uid="{8A5111B2-3F32-41F7-B168-1F1A36701D7A}"/>
    <cellStyle name="Percent 3 6 6 2" xfId="13065" xr:uid="{9C89342D-92C4-4ED5-954B-2D1E4DBD20CC}"/>
    <cellStyle name="Percent 3 6 6 3" xfId="13066" xr:uid="{D1BA7197-7779-4255-8BF1-49C3C2E50415}"/>
    <cellStyle name="Percent 3 6 6 4" xfId="13067" xr:uid="{89DDA7DE-50B5-42A2-B73A-F379304122B6}"/>
    <cellStyle name="Percent 3 6 6 5" xfId="13068" xr:uid="{2BDF03EE-1151-431B-A756-3347ABE81A3F}"/>
    <cellStyle name="Percent 3 6 6 6" xfId="13069" xr:uid="{0C02D4B9-2EAC-49E0-8ED7-8F0780E98C95}"/>
    <cellStyle name="Percent 3 6 6 7" xfId="13070" xr:uid="{12E5FEF8-9C8F-40F1-B992-878097F03D96}"/>
    <cellStyle name="Percent 3 6 6 8" xfId="13071" xr:uid="{402706D6-70BD-4766-B2F9-DC001EE052E3}"/>
    <cellStyle name="Percent 3 6 6 9" xfId="13072" xr:uid="{15775C79-9996-4613-A672-FA400E58C9E1}"/>
    <cellStyle name="Percent 3 6 7" xfId="13073" xr:uid="{DCEA07B0-9BB3-422D-A45F-ACF83287F290}"/>
    <cellStyle name="Percent 3 6 7 10" xfId="13074" xr:uid="{33D6C926-25AD-4100-97B8-F54087599B3A}"/>
    <cellStyle name="Percent 3 6 7 2" xfId="13075" xr:uid="{84A1A839-3848-4928-A6EC-25AF55A42B27}"/>
    <cellStyle name="Percent 3 6 7 3" xfId="13076" xr:uid="{8FC65858-FCD9-4B07-9A19-F7CBEF03AEA3}"/>
    <cellStyle name="Percent 3 6 7 4" xfId="13077" xr:uid="{F48F35EA-A53F-4409-AA66-A80811C63197}"/>
    <cellStyle name="Percent 3 6 7 5" xfId="13078" xr:uid="{FAFBB7B6-7AB7-4068-B44E-5D4DA6C3E0EF}"/>
    <cellStyle name="Percent 3 6 7 6" xfId="13079" xr:uid="{CA346749-3C44-4D75-8CC8-3BA922838EFD}"/>
    <cellStyle name="Percent 3 6 7 7" xfId="13080" xr:uid="{DB78C130-BB57-46A4-85C9-EB9FD65920E7}"/>
    <cellStyle name="Percent 3 6 7 8" xfId="13081" xr:uid="{B114279B-C9F3-4295-926D-4281DF52EFD3}"/>
    <cellStyle name="Percent 3 6 7 9" xfId="13082" xr:uid="{B0805CE9-B985-4810-934A-DA4232103D7A}"/>
    <cellStyle name="Percent 3 6 8" xfId="13083" xr:uid="{4C90500F-FD7F-4B79-AF6C-A600A8CBFCAB}"/>
    <cellStyle name="Percent 3 6 8 10" xfId="13084" xr:uid="{FE1DAE73-1E06-40DA-BC15-DC9684014196}"/>
    <cellStyle name="Percent 3 6 8 2" xfId="13085" xr:uid="{4BF9CF5C-37A1-4FBB-87A0-6CE11599BD38}"/>
    <cellStyle name="Percent 3 6 8 3" xfId="13086" xr:uid="{42F0FDB0-58CA-48DC-BB0E-94F6F9189D0D}"/>
    <cellStyle name="Percent 3 6 8 4" xfId="13087" xr:uid="{19F8C4AE-140C-474B-BF11-014D016AEEA0}"/>
    <cellStyle name="Percent 3 6 8 5" xfId="13088" xr:uid="{5CD6F77D-9103-4CE8-BA6D-8BE379EC2C87}"/>
    <cellStyle name="Percent 3 6 8 6" xfId="13089" xr:uid="{64EF9EE0-3A9C-4E95-8188-4C7B0F9083E5}"/>
    <cellStyle name="Percent 3 6 8 7" xfId="13090" xr:uid="{0A107A01-A16C-4B32-9B83-9CDCD999B11E}"/>
    <cellStyle name="Percent 3 6 8 8" xfId="13091" xr:uid="{7684512D-1AAE-4068-8A9C-5B607871ACC5}"/>
    <cellStyle name="Percent 3 6 8 9" xfId="13092" xr:uid="{FC602DC0-DF96-40BC-8697-727B660551EC}"/>
    <cellStyle name="Percent 3 6 9" xfId="13093" xr:uid="{9AAA838E-4C8E-4FA3-8347-3D9883E553C7}"/>
    <cellStyle name="Percent 3 6 9 10" xfId="13094" xr:uid="{2B43F116-5648-44FA-9BBF-A3CEC2B4B07E}"/>
    <cellStyle name="Percent 3 6 9 2" xfId="13095" xr:uid="{66F225A4-01FC-486B-8433-982D4354A48D}"/>
    <cellStyle name="Percent 3 6 9 3" xfId="13096" xr:uid="{AC23ADA3-E209-40E9-AF58-3DDC8A723508}"/>
    <cellStyle name="Percent 3 6 9 4" xfId="13097" xr:uid="{BB411CC4-F8B6-44EB-BA67-1C97FFFF73D2}"/>
    <cellStyle name="Percent 3 6 9 5" xfId="13098" xr:uid="{A1DB8114-7328-4E67-997D-F414A8C9E875}"/>
    <cellStyle name="Percent 3 6 9 6" xfId="13099" xr:uid="{5641BF1C-5A45-4B09-87A2-B622F7D6B7AA}"/>
    <cellStyle name="Percent 3 6 9 7" xfId="13100" xr:uid="{B186BC97-B774-4BB5-9C69-AA83F83013E6}"/>
    <cellStyle name="Percent 3 6 9 8" xfId="13101" xr:uid="{78C1B775-A7F2-4100-AF8C-243632BF2293}"/>
    <cellStyle name="Percent 3 6 9 9" xfId="13102" xr:uid="{06536338-5900-46A0-8504-F34E4145E450}"/>
    <cellStyle name="Percent 3 7" xfId="13103" xr:uid="{E407834A-2CE9-4559-B18F-3FECD14F34A5}"/>
    <cellStyle name="Percent 3 7 10" xfId="13104" xr:uid="{65521E9D-DD20-4EFC-806E-7858B7CDCB9D}"/>
    <cellStyle name="Percent 3 7 10 10" xfId="13105" xr:uid="{D11B4B5E-DB1E-4DF1-A643-72C990A186E5}"/>
    <cellStyle name="Percent 3 7 10 2" xfId="13106" xr:uid="{50245088-DB26-4A71-BCCE-86827EF20170}"/>
    <cellStyle name="Percent 3 7 10 3" xfId="13107" xr:uid="{39ED4E3F-3F43-4326-A5C4-2C9F82F5FF0D}"/>
    <cellStyle name="Percent 3 7 10 4" xfId="13108" xr:uid="{ADB4E985-A120-4885-B76A-F6DCD6E37A27}"/>
    <cellStyle name="Percent 3 7 10 5" xfId="13109" xr:uid="{80D08107-987E-42BE-87A3-B5925BB08C1D}"/>
    <cellStyle name="Percent 3 7 10 6" xfId="13110" xr:uid="{438B289B-C8D7-40B5-900E-9B21EEB49CBD}"/>
    <cellStyle name="Percent 3 7 10 7" xfId="13111" xr:uid="{BA2B4843-1F47-453A-8417-E9B72ED0858A}"/>
    <cellStyle name="Percent 3 7 10 8" xfId="13112" xr:uid="{8AF06817-70F4-453C-A8A7-D9D585B2D858}"/>
    <cellStyle name="Percent 3 7 10 9" xfId="13113" xr:uid="{2CA66AD7-C9DA-4D0B-BE89-DF274FAC2520}"/>
    <cellStyle name="Percent 3 7 11" xfId="13114" xr:uid="{B049AB88-8637-4C4F-8BAE-59BD06DAE10B}"/>
    <cellStyle name="Percent 3 7 11 10" xfId="13115" xr:uid="{C97B8C37-4EAB-4498-BC87-8A3285A60288}"/>
    <cellStyle name="Percent 3 7 11 2" xfId="13116" xr:uid="{2B587502-A18A-469C-85C5-3EA1F6A43E38}"/>
    <cellStyle name="Percent 3 7 11 3" xfId="13117" xr:uid="{682B87E8-C48F-436C-AEE3-0643303DFE5F}"/>
    <cellStyle name="Percent 3 7 11 4" xfId="13118" xr:uid="{191B1D4D-B55F-4305-8338-3B08F52FE34E}"/>
    <cellStyle name="Percent 3 7 11 5" xfId="13119" xr:uid="{05BE1709-B775-4C0C-835E-1E2FB41B07D2}"/>
    <cellStyle name="Percent 3 7 11 6" xfId="13120" xr:uid="{EA4EFA20-6D38-4ADB-A66F-F9C4C80A451C}"/>
    <cellStyle name="Percent 3 7 11 7" xfId="13121" xr:uid="{BCB83991-6590-4D86-B2D6-F7D5798E2189}"/>
    <cellStyle name="Percent 3 7 11 8" xfId="13122" xr:uid="{1489F12C-3CDC-4DCD-A71B-75782D64B854}"/>
    <cellStyle name="Percent 3 7 11 9" xfId="13123" xr:uid="{D4AF3EFA-14CA-4BA4-A5F2-ECE741466A7A}"/>
    <cellStyle name="Percent 3 7 12" xfId="13124" xr:uid="{81ADBBC3-E3B1-4DA9-821E-C914CDC614C2}"/>
    <cellStyle name="Percent 3 7 12 10" xfId="13125" xr:uid="{C9904F0F-06A0-425B-A5ED-C73BD340776F}"/>
    <cellStyle name="Percent 3 7 12 2" xfId="13126" xr:uid="{37A3F410-B59E-48F5-B89B-12BE90858926}"/>
    <cellStyle name="Percent 3 7 12 3" xfId="13127" xr:uid="{847299CA-0241-4DA2-B241-E861AFEE5DD7}"/>
    <cellStyle name="Percent 3 7 12 4" xfId="13128" xr:uid="{9CC47742-92D4-4498-BAF9-BDF5BF89E3A9}"/>
    <cellStyle name="Percent 3 7 12 5" xfId="13129" xr:uid="{BD0B1993-6650-4551-BEF3-2A21F504627A}"/>
    <cellStyle name="Percent 3 7 12 6" xfId="13130" xr:uid="{FD91DD8C-E6E3-4D0A-B271-85E47292CB74}"/>
    <cellStyle name="Percent 3 7 12 7" xfId="13131" xr:uid="{5A894011-58F7-49F5-8B61-7EE0E637E87A}"/>
    <cellStyle name="Percent 3 7 12 8" xfId="13132" xr:uid="{40FBB43D-E6AC-425D-9D4B-1FD817CF6188}"/>
    <cellStyle name="Percent 3 7 12 9" xfId="13133" xr:uid="{8F085C61-35EB-49D8-87B9-CBB4AB50B582}"/>
    <cellStyle name="Percent 3 7 13" xfId="13134" xr:uid="{706D9AFE-5019-4882-AFEE-E36782CE7D5D}"/>
    <cellStyle name="Percent 3 7 13 10" xfId="13135" xr:uid="{D55BCF51-B2DA-4253-9974-F0731BE9F483}"/>
    <cellStyle name="Percent 3 7 13 2" xfId="13136" xr:uid="{FD18F4D3-C36C-49FD-91D1-DA66F5CFBA9C}"/>
    <cellStyle name="Percent 3 7 13 3" xfId="13137" xr:uid="{51E0C6D4-A7D9-493E-A504-C3B421A83270}"/>
    <cellStyle name="Percent 3 7 13 4" xfId="13138" xr:uid="{DA26BC72-0367-44CF-97E0-3318FE459CF1}"/>
    <cellStyle name="Percent 3 7 13 5" xfId="13139" xr:uid="{624F81D8-2F49-4122-A8B4-AD92C1A17EFC}"/>
    <cellStyle name="Percent 3 7 13 6" xfId="13140" xr:uid="{2B1CB508-B6DB-46F9-949A-E8880478DC98}"/>
    <cellStyle name="Percent 3 7 13 7" xfId="13141" xr:uid="{BF65E4DA-DF4B-4421-A965-5993936529C3}"/>
    <cellStyle name="Percent 3 7 13 8" xfId="13142" xr:uid="{B7FFF330-B4A1-4F4D-98AC-AAE65CE41E98}"/>
    <cellStyle name="Percent 3 7 13 9" xfId="13143" xr:uid="{A7750E7E-BE4A-4E84-B9B2-00326C261C83}"/>
    <cellStyle name="Percent 3 7 14" xfId="13144" xr:uid="{E50AB5A8-3CB8-4F22-A840-EE15A008BEF8}"/>
    <cellStyle name="Percent 3 7 14 10" xfId="13145" xr:uid="{8413B4F3-084B-4978-BF54-B755DBAF5E76}"/>
    <cellStyle name="Percent 3 7 14 2" xfId="13146" xr:uid="{61A7DEF2-A1C6-457E-860F-0301C5E35B02}"/>
    <cellStyle name="Percent 3 7 14 3" xfId="13147" xr:uid="{DB1074C6-35C8-4163-8D11-92A5059C4F90}"/>
    <cellStyle name="Percent 3 7 14 4" xfId="13148" xr:uid="{26BCC9A0-62E8-4397-8CF0-FDE3A4696E90}"/>
    <cellStyle name="Percent 3 7 14 5" xfId="13149" xr:uid="{4939C2F7-20F6-4A19-82E1-3D024C409081}"/>
    <cellStyle name="Percent 3 7 14 6" xfId="13150" xr:uid="{7598E923-41CF-4A22-BF18-D409EA399182}"/>
    <cellStyle name="Percent 3 7 14 7" xfId="13151" xr:uid="{A3ABBEEF-C59C-4D08-BF20-B5D83FCD6207}"/>
    <cellStyle name="Percent 3 7 14 8" xfId="13152" xr:uid="{205A8B89-7120-45C4-AE6D-21DA3B3C5314}"/>
    <cellStyle name="Percent 3 7 14 9" xfId="13153" xr:uid="{67449372-9693-4CEB-94D5-5F9404D6F423}"/>
    <cellStyle name="Percent 3 7 15" xfId="13154" xr:uid="{4FB3F025-85DC-4285-8E86-54A4E950986F}"/>
    <cellStyle name="Percent 3 7 15 10" xfId="13155" xr:uid="{FFDEA012-EB5D-42D0-B207-E199D2ADCCF4}"/>
    <cellStyle name="Percent 3 7 15 2" xfId="13156" xr:uid="{7744A87E-A00D-4BFA-AA2D-4848773C5C01}"/>
    <cellStyle name="Percent 3 7 15 3" xfId="13157" xr:uid="{06957439-BDA8-40FB-87D7-971EA3477C49}"/>
    <cellStyle name="Percent 3 7 15 4" xfId="13158" xr:uid="{56860970-6463-4EBD-8145-182FFA1A6F89}"/>
    <cellStyle name="Percent 3 7 15 5" xfId="13159" xr:uid="{B1EB2C7D-9E29-4015-889C-8056B41FCA95}"/>
    <cellStyle name="Percent 3 7 15 6" xfId="13160" xr:uid="{D5AD462B-96D6-4E72-B85E-21ABED5D59C1}"/>
    <cellStyle name="Percent 3 7 15 7" xfId="13161" xr:uid="{ADB41949-0456-4F26-9A9C-B4269435C151}"/>
    <cellStyle name="Percent 3 7 15 8" xfId="13162" xr:uid="{E3F83AD0-1602-4741-B9B4-D1F26B0086A6}"/>
    <cellStyle name="Percent 3 7 15 9" xfId="13163" xr:uid="{B20F6666-B3BD-4B17-A3A7-A14DACAC4B82}"/>
    <cellStyle name="Percent 3 7 16" xfId="13164" xr:uid="{1F66556F-4DC9-4084-B51C-FCF4DFEA8FC3}"/>
    <cellStyle name="Percent 3 7 17" xfId="13165" xr:uid="{9EAF4576-7FFA-4262-9B8D-55EF494DD54F}"/>
    <cellStyle name="Percent 3 7 18" xfId="13166" xr:uid="{0A2111E4-FBA1-400B-9A79-26A1227F8F6D}"/>
    <cellStyle name="Percent 3 7 19" xfId="13167" xr:uid="{E386B3AA-8CE0-408B-AF94-430249E4C53F}"/>
    <cellStyle name="Percent 3 7 2" xfId="13168" xr:uid="{57062DC6-6580-40CF-8AC9-9C4A13F5595B}"/>
    <cellStyle name="Percent 3 7 2 10" xfId="13169" xr:uid="{D7E0F529-9C4A-4D7D-87A6-F11266FB58E0}"/>
    <cellStyle name="Percent 3 7 2 2" xfId="13170" xr:uid="{52DD08F2-C8D3-47F0-B81E-73A069B20773}"/>
    <cellStyle name="Percent 3 7 2 3" xfId="13171" xr:uid="{7E810F63-3A1A-4F86-832B-A6A02F3F933E}"/>
    <cellStyle name="Percent 3 7 2 4" xfId="13172" xr:uid="{4EECF553-D93C-471C-93D8-36AECA55A65E}"/>
    <cellStyle name="Percent 3 7 2 5" xfId="13173" xr:uid="{A3AD3F57-2AF0-4372-9A0A-B694C1AC4BF3}"/>
    <cellStyle name="Percent 3 7 2 6" xfId="13174" xr:uid="{B1EA1A29-EACA-4A33-AE32-2B4B7243A047}"/>
    <cellStyle name="Percent 3 7 2 7" xfId="13175" xr:uid="{82440B90-C02A-4823-8111-9F66F18BF6CC}"/>
    <cellStyle name="Percent 3 7 2 8" xfId="13176" xr:uid="{93369766-D57F-460D-A88D-ED8B8AB3B4D2}"/>
    <cellStyle name="Percent 3 7 2 9" xfId="13177" xr:uid="{B755E16A-176C-477D-8B44-FF4F921CD684}"/>
    <cellStyle name="Percent 3 7 20" xfId="13178" xr:uid="{E1FCD184-DA9B-4A01-9660-28495EC543A7}"/>
    <cellStyle name="Percent 3 7 21" xfId="13179" xr:uid="{DF79813B-F316-4870-ABF0-D28A5C963E52}"/>
    <cellStyle name="Percent 3 7 22" xfId="13180" xr:uid="{6E06D781-53A3-4ED5-848D-117958F537A9}"/>
    <cellStyle name="Percent 3 7 23" xfId="13181" xr:uid="{63218E9C-1533-4C02-A99D-9030BB8C199B}"/>
    <cellStyle name="Percent 3 7 24" xfId="13182" xr:uid="{E6A8D197-FD50-4D40-941F-E2E79D7F189C}"/>
    <cellStyle name="Percent 3 7 3" xfId="13183" xr:uid="{9B6EC61D-668A-4FB6-82B9-7855DFAE938E}"/>
    <cellStyle name="Percent 3 7 3 10" xfId="13184" xr:uid="{684E8199-F77D-4FD0-B8D1-139533A86C0E}"/>
    <cellStyle name="Percent 3 7 3 2" xfId="13185" xr:uid="{BC7F5145-2EB1-40CA-ACAB-6962E8644B14}"/>
    <cellStyle name="Percent 3 7 3 3" xfId="13186" xr:uid="{7FFEB32D-312C-4FED-A1AB-709B830404D9}"/>
    <cellStyle name="Percent 3 7 3 4" xfId="13187" xr:uid="{3C739494-3728-436F-B20B-9CEB304D8C6E}"/>
    <cellStyle name="Percent 3 7 3 5" xfId="13188" xr:uid="{03696C48-79B0-4DDC-9ECA-57D84DE802F2}"/>
    <cellStyle name="Percent 3 7 3 6" xfId="13189" xr:uid="{F9C16363-2B90-4D06-B3DC-658EA6979E16}"/>
    <cellStyle name="Percent 3 7 3 7" xfId="13190" xr:uid="{D1C4D46C-1814-4FC4-AB92-A40CB72A6A52}"/>
    <cellStyle name="Percent 3 7 3 8" xfId="13191" xr:uid="{6E4D8523-1CE4-4A44-9130-872C1C76905A}"/>
    <cellStyle name="Percent 3 7 3 9" xfId="13192" xr:uid="{2A512EC8-72E2-4F76-8F1B-F1D6CD993E22}"/>
    <cellStyle name="Percent 3 7 4" xfId="13193" xr:uid="{9AA5FF60-B1AC-46A9-BEBE-3B0EAD53E56E}"/>
    <cellStyle name="Percent 3 7 4 10" xfId="13194" xr:uid="{9F30EB1D-86E3-482B-B505-78F0BEE53ECD}"/>
    <cellStyle name="Percent 3 7 4 2" xfId="13195" xr:uid="{E64D28EC-C675-4DA9-983E-BDC202682DAD}"/>
    <cellStyle name="Percent 3 7 4 3" xfId="13196" xr:uid="{E65DE76B-FD3F-4E80-A9E0-0C5343E7A945}"/>
    <cellStyle name="Percent 3 7 4 4" xfId="13197" xr:uid="{D2CA9D58-20ED-46A3-B161-2A1648A69F65}"/>
    <cellStyle name="Percent 3 7 4 5" xfId="13198" xr:uid="{11CEDA31-B439-4E67-8634-A9C7102BD0FA}"/>
    <cellStyle name="Percent 3 7 4 6" xfId="13199" xr:uid="{640243CB-5EC9-4D60-8514-F716621FD4DE}"/>
    <cellStyle name="Percent 3 7 4 7" xfId="13200" xr:uid="{9564AD0B-D173-4587-9EEE-17EBF6020517}"/>
    <cellStyle name="Percent 3 7 4 8" xfId="13201" xr:uid="{9230C43C-BE87-4C43-A9D0-18DAB6CC172D}"/>
    <cellStyle name="Percent 3 7 4 9" xfId="13202" xr:uid="{8B5D7013-AF4A-4141-BA1C-2AF3AFFB0BBE}"/>
    <cellStyle name="Percent 3 7 5" xfId="13203" xr:uid="{4A6FE8D7-C934-404B-897B-480A154C73E2}"/>
    <cellStyle name="Percent 3 7 5 10" xfId="13204" xr:uid="{77364A33-A660-4048-9DA9-B89AC40CF53C}"/>
    <cellStyle name="Percent 3 7 5 2" xfId="13205" xr:uid="{F8461C23-F9F2-4FE9-9184-0FA8BD78A4E0}"/>
    <cellStyle name="Percent 3 7 5 3" xfId="13206" xr:uid="{80D3D601-4D48-4390-838F-65A36D5DCF60}"/>
    <cellStyle name="Percent 3 7 5 4" xfId="13207" xr:uid="{6D604857-B493-4F08-98DC-7A588C8524D2}"/>
    <cellStyle name="Percent 3 7 5 5" xfId="13208" xr:uid="{3B61FF70-FF13-43D5-A908-DE22C2A1CD7A}"/>
    <cellStyle name="Percent 3 7 5 6" xfId="13209" xr:uid="{AE1EE383-9C21-4564-B646-B0EB4E88405A}"/>
    <cellStyle name="Percent 3 7 5 7" xfId="13210" xr:uid="{3C36AE5A-C1D4-47FE-9749-5F03D58E3B3A}"/>
    <cellStyle name="Percent 3 7 5 8" xfId="13211" xr:uid="{DBC3A09F-BB50-4CED-80F9-4BF92566D966}"/>
    <cellStyle name="Percent 3 7 5 9" xfId="13212" xr:uid="{10444587-3291-4484-9901-92769E89B7C9}"/>
    <cellStyle name="Percent 3 7 6" xfId="13213" xr:uid="{AE14042A-E5A3-4D24-A677-B8FDE08F7829}"/>
    <cellStyle name="Percent 3 7 6 10" xfId="13214" xr:uid="{A6EAA51E-EC60-45DF-AF13-3EC6BEAAFCBE}"/>
    <cellStyle name="Percent 3 7 6 2" xfId="13215" xr:uid="{E6A5F3BE-7E72-4D4B-A568-510AA1D11A73}"/>
    <cellStyle name="Percent 3 7 6 3" xfId="13216" xr:uid="{6B1EE22F-A181-4230-8AB0-455F717F94C3}"/>
    <cellStyle name="Percent 3 7 6 4" xfId="13217" xr:uid="{0554CD4F-8214-4374-8040-8088AEA461E1}"/>
    <cellStyle name="Percent 3 7 6 5" xfId="13218" xr:uid="{CC1EC573-B574-462C-9A0B-5220A025B7F8}"/>
    <cellStyle name="Percent 3 7 6 6" xfId="13219" xr:uid="{4661EF16-C7AC-45D3-A1FA-C8E57D7D2F2F}"/>
    <cellStyle name="Percent 3 7 6 7" xfId="13220" xr:uid="{6FEF5411-18E1-42AD-B270-2E00590F3A5D}"/>
    <cellStyle name="Percent 3 7 6 8" xfId="13221" xr:uid="{A196D337-D200-4ABB-8B67-28A674E5504A}"/>
    <cellStyle name="Percent 3 7 6 9" xfId="13222" xr:uid="{EA6ED3F1-B6D1-4BC0-982A-D0BFD064DC18}"/>
    <cellStyle name="Percent 3 7 7" xfId="13223" xr:uid="{B83BF114-1809-4119-BC7F-1B9A6A080067}"/>
    <cellStyle name="Percent 3 7 7 10" xfId="13224" xr:uid="{77DE7D67-DED8-48BF-A6B6-7FE308334BD8}"/>
    <cellStyle name="Percent 3 7 7 2" xfId="13225" xr:uid="{44C266D3-27E6-4674-9338-C846BD166D79}"/>
    <cellStyle name="Percent 3 7 7 3" xfId="13226" xr:uid="{5DE82154-18AA-4D7F-9E18-C8B7B920F042}"/>
    <cellStyle name="Percent 3 7 7 4" xfId="13227" xr:uid="{430A9A3B-7C94-46BF-8999-ABF4DE56F29B}"/>
    <cellStyle name="Percent 3 7 7 5" xfId="13228" xr:uid="{F6EE48BA-51EB-4252-999D-EB521CF6E880}"/>
    <cellStyle name="Percent 3 7 7 6" xfId="13229" xr:uid="{1B05A435-8BF0-4FDD-B11F-18BC0143DBF3}"/>
    <cellStyle name="Percent 3 7 7 7" xfId="13230" xr:uid="{9D4D41D9-4F19-4309-BDCD-E88F46C6E410}"/>
    <cellStyle name="Percent 3 7 7 8" xfId="13231" xr:uid="{23C4AC61-7145-4073-B236-EBC8589D89C5}"/>
    <cellStyle name="Percent 3 7 7 9" xfId="13232" xr:uid="{3699BB08-F1C6-4E41-9033-38F32C30C933}"/>
    <cellStyle name="Percent 3 7 8" xfId="13233" xr:uid="{F48151F5-8D24-4DC4-BC45-A19E55D32619}"/>
    <cellStyle name="Percent 3 7 8 10" xfId="13234" xr:uid="{528F1E12-4EFB-4A12-8776-A3BB840892DC}"/>
    <cellStyle name="Percent 3 7 8 2" xfId="13235" xr:uid="{8A12B0D6-14CF-46F2-94D1-9B739B0D95D3}"/>
    <cellStyle name="Percent 3 7 8 3" xfId="13236" xr:uid="{CAC39A67-7476-443D-B2DA-D16665AC4818}"/>
    <cellStyle name="Percent 3 7 8 4" xfId="13237" xr:uid="{0F6BFBA6-84DA-4882-A19F-83C3BCA0CBF6}"/>
    <cellStyle name="Percent 3 7 8 5" xfId="13238" xr:uid="{9723BA30-5AFB-4865-8420-ABDE0B922705}"/>
    <cellStyle name="Percent 3 7 8 6" xfId="13239" xr:uid="{BF1371DF-AE24-41C4-95EB-17C49534351B}"/>
    <cellStyle name="Percent 3 7 8 7" xfId="13240" xr:uid="{B19D9C5D-AEF4-4ED0-866C-4AF4C1688E20}"/>
    <cellStyle name="Percent 3 7 8 8" xfId="13241" xr:uid="{C9E79472-41D2-476F-82BF-6DE751A90AB8}"/>
    <cellStyle name="Percent 3 7 8 9" xfId="13242" xr:uid="{9C6AEBE1-D223-43A7-A24E-C63BC53D5332}"/>
    <cellStyle name="Percent 3 7 9" xfId="13243" xr:uid="{D74AE7D4-511C-4456-9DCD-8690752AADD7}"/>
    <cellStyle name="Percent 3 7 9 10" xfId="13244" xr:uid="{C6CB8AD4-CBDC-4FA1-9719-7D8EF5CE0F62}"/>
    <cellStyle name="Percent 3 7 9 2" xfId="13245" xr:uid="{B6663E8A-4053-4820-AFB1-FC0F3EC6F774}"/>
    <cellStyle name="Percent 3 7 9 3" xfId="13246" xr:uid="{86986B05-2A9D-45C0-A2D1-B0F33F027B22}"/>
    <cellStyle name="Percent 3 7 9 4" xfId="13247" xr:uid="{CEBC0EB9-4771-42A2-BCB7-0A37061EE9E6}"/>
    <cellStyle name="Percent 3 7 9 5" xfId="13248" xr:uid="{CDF8DF78-9CBB-44BA-8083-DD4703FCEA01}"/>
    <cellStyle name="Percent 3 7 9 6" xfId="13249" xr:uid="{8023BAF3-7805-4A99-90B8-4F61E24A4DEA}"/>
    <cellStyle name="Percent 3 7 9 7" xfId="13250" xr:uid="{2626C385-D61D-431B-99B0-A386F75ECA4E}"/>
    <cellStyle name="Percent 3 7 9 8" xfId="13251" xr:uid="{735A57BA-6FDE-4F41-9DDB-2B3EB265A972}"/>
    <cellStyle name="Percent 3 7 9 9" xfId="13252" xr:uid="{531E3170-EB9F-48C9-824D-F614E9B0E59A}"/>
    <cellStyle name="Percent 3 8" xfId="13253" xr:uid="{8F26F7F7-F870-4FF2-8B75-75A2F149119D}"/>
    <cellStyle name="Percent 3 8 10" xfId="13254" xr:uid="{B0B658E6-B551-49C8-B6AA-CF3C678BF462}"/>
    <cellStyle name="Percent 3 8 10 10" xfId="13255" xr:uid="{FFF034EF-4F79-4BBD-BDF1-FC87C85B5616}"/>
    <cellStyle name="Percent 3 8 10 2" xfId="13256" xr:uid="{6846A2E5-F444-4FBD-B2D1-CFDDE6C8CBCC}"/>
    <cellStyle name="Percent 3 8 10 3" xfId="13257" xr:uid="{7595CC49-B210-4727-8ECA-5EB62E59BC20}"/>
    <cellStyle name="Percent 3 8 10 4" xfId="13258" xr:uid="{F93BE771-69C4-4395-8A5A-D506214BEFE1}"/>
    <cellStyle name="Percent 3 8 10 5" xfId="13259" xr:uid="{84CA4B06-F5C3-403F-B53B-C8936FC86385}"/>
    <cellStyle name="Percent 3 8 10 6" xfId="13260" xr:uid="{727E0386-12A0-4C8B-9056-DF371EBF3CEC}"/>
    <cellStyle name="Percent 3 8 10 7" xfId="13261" xr:uid="{5715262D-53CE-4CD5-85C1-55755C647C43}"/>
    <cellStyle name="Percent 3 8 10 8" xfId="13262" xr:uid="{55810D08-A94F-4CD4-B1FC-AFECAEBF80B8}"/>
    <cellStyle name="Percent 3 8 10 9" xfId="13263" xr:uid="{8E6352E3-5DEC-4F69-9D1F-160FC2DA24E6}"/>
    <cellStyle name="Percent 3 8 11" xfId="13264" xr:uid="{68CAEFFF-4FB6-4B81-9364-1E675F8E300C}"/>
    <cellStyle name="Percent 3 8 11 10" xfId="13265" xr:uid="{18E929CC-6244-449D-BF2F-3418C8262941}"/>
    <cellStyle name="Percent 3 8 11 2" xfId="13266" xr:uid="{7204E0FE-29E0-429E-9CE2-AA0C44003FA0}"/>
    <cellStyle name="Percent 3 8 11 3" xfId="13267" xr:uid="{133BEA04-04EF-4197-8580-464672CE1805}"/>
    <cellStyle name="Percent 3 8 11 4" xfId="13268" xr:uid="{2DBE95EE-4364-4F76-B46E-83A783AAB267}"/>
    <cellStyle name="Percent 3 8 11 5" xfId="13269" xr:uid="{E4ED99D9-68F4-4B99-8E86-15A5939929BC}"/>
    <cellStyle name="Percent 3 8 11 6" xfId="13270" xr:uid="{51CB3A3A-3649-4878-AEF3-5EEB7B08E38D}"/>
    <cellStyle name="Percent 3 8 11 7" xfId="13271" xr:uid="{6A966A48-583C-4C17-B9D3-67530A48464E}"/>
    <cellStyle name="Percent 3 8 11 8" xfId="13272" xr:uid="{46A15821-45F7-430B-BD21-0CA71505DF30}"/>
    <cellStyle name="Percent 3 8 11 9" xfId="13273" xr:uid="{E770AE4D-4B26-432E-AF13-B3441BA36388}"/>
    <cellStyle name="Percent 3 8 12" xfId="13274" xr:uid="{CB31E46F-15E1-4BB4-8570-6D99BE82E1BF}"/>
    <cellStyle name="Percent 3 8 12 10" xfId="13275" xr:uid="{9724998F-5B61-4BBB-9697-469E33339635}"/>
    <cellStyle name="Percent 3 8 12 2" xfId="13276" xr:uid="{0804A8DD-659C-4870-86E8-497049906804}"/>
    <cellStyle name="Percent 3 8 12 3" xfId="13277" xr:uid="{5D974FB5-56B9-4F38-9204-4A8AB91DAC2D}"/>
    <cellStyle name="Percent 3 8 12 4" xfId="13278" xr:uid="{F21C2855-D73C-4505-AF53-B589B01D6C6F}"/>
    <cellStyle name="Percent 3 8 12 5" xfId="13279" xr:uid="{15C1777B-2116-4FDD-A9AF-DAEB2788A922}"/>
    <cellStyle name="Percent 3 8 12 6" xfId="13280" xr:uid="{535B05A4-7619-4329-A1D2-8F0CB51C1364}"/>
    <cellStyle name="Percent 3 8 12 7" xfId="13281" xr:uid="{FEBD53D4-F483-4632-9C02-5CE9D264E099}"/>
    <cellStyle name="Percent 3 8 12 8" xfId="13282" xr:uid="{32234740-43C3-4F50-A748-3A7D1BE36FF2}"/>
    <cellStyle name="Percent 3 8 12 9" xfId="13283" xr:uid="{870665D5-4615-4D41-806C-41D127383A21}"/>
    <cellStyle name="Percent 3 8 13" xfId="13284" xr:uid="{28C4C968-A6B0-44BB-A08D-96AD8B2B78F6}"/>
    <cellStyle name="Percent 3 8 13 10" xfId="13285" xr:uid="{36CCA445-339B-45B9-8F18-FEA55585373D}"/>
    <cellStyle name="Percent 3 8 13 2" xfId="13286" xr:uid="{5C357AD3-9BC3-45BF-A3B7-0B31B94A4078}"/>
    <cellStyle name="Percent 3 8 13 3" xfId="13287" xr:uid="{94E9AD3E-7D07-42FC-839A-9ABD7F630B76}"/>
    <cellStyle name="Percent 3 8 13 4" xfId="13288" xr:uid="{59B49092-52B6-4B21-8648-26D6BC495D24}"/>
    <cellStyle name="Percent 3 8 13 5" xfId="13289" xr:uid="{E69F197B-6932-4BBF-9DD4-7DB5EB2C301F}"/>
    <cellStyle name="Percent 3 8 13 6" xfId="13290" xr:uid="{7B7E3E8B-4BB9-4108-8E6F-FE05D52BA188}"/>
    <cellStyle name="Percent 3 8 13 7" xfId="13291" xr:uid="{4B543D6D-0E59-4442-85A3-7ABDB44BBA99}"/>
    <cellStyle name="Percent 3 8 13 8" xfId="13292" xr:uid="{C6CA970E-243C-449E-BFD0-4A34580AEC4F}"/>
    <cellStyle name="Percent 3 8 13 9" xfId="13293" xr:uid="{BC9A98E5-FA18-4E86-B1AE-69D76BC82A1C}"/>
    <cellStyle name="Percent 3 8 14" xfId="13294" xr:uid="{2BE1098A-C854-4406-B1C0-50814096714D}"/>
    <cellStyle name="Percent 3 8 14 10" xfId="13295" xr:uid="{61D7DEBD-3CF8-4DF7-9090-DF9C0046DE7C}"/>
    <cellStyle name="Percent 3 8 14 2" xfId="13296" xr:uid="{D108CC59-F3F2-4CCB-A620-93AE08F9BC0E}"/>
    <cellStyle name="Percent 3 8 14 3" xfId="13297" xr:uid="{40B87DB0-FB56-48C3-ADEA-115AE1ED3717}"/>
    <cellStyle name="Percent 3 8 14 4" xfId="13298" xr:uid="{C933CFCB-0FED-416E-9B4A-EBAD57952101}"/>
    <cellStyle name="Percent 3 8 14 5" xfId="13299" xr:uid="{DF03A8C7-816A-4958-B59E-84C0263630A4}"/>
    <cellStyle name="Percent 3 8 14 6" xfId="13300" xr:uid="{1468F255-54EE-4432-9056-53F96AEBF64F}"/>
    <cellStyle name="Percent 3 8 14 7" xfId="13301" xr:uid="{52DE9366-399C-4995-B768-98A3B0973D22}"/>
    <cellStyle name="Percent 3 8 14 8" xfId="13302" xr:uid="{3809B95F-7A53-4201-A322-CD663A9480B4}"/>
    <cellStyle name="Percent 3 8 14 9" xfId="13303" xr:uid="{CA27D83B-CFB6-4086-8C8A-1DC0668E0A3A}"/>
    <cellStyle name="Percent 3 8 15" xfId="13304" xr:uid="{B2CB7D6C-9DC7-4121-9D31-DF139D86CBE2}"/>
    <cellStyle name="Percent 3 8 15 10" xfId="13305" xr:uid="{92A6E23F-C850-4061-AFCF-B587D7E2EE8A}"/>
    <cellStyle name="Percent 3 8 15 2" xfId="13306" xr:uid="{8936C56C-461A-4A0E-B458-F2A898529DE2}"/>
    <cellStyle name="Percent 3 8 15 3" xfId="13307" xr:uid="{1DD1068C-BFEE-4522-9BE0-BF0618701B21}"/>
    <cellStyle name="Percent 3 8 15 4" xfId="13308" xr:uid="{87049217-8449-4F3C-8EF1-09B72F757199}"/>
    <cellStyle name="Percent 3 8 15 5" xfId="13309" xr:uid="{271A620D-0906-4B67-8C1A-86AE2C33DAB4}"/>
    <cellStyle name="Percent 3 8 15 6" xfId="13310" xr:uid="{B6746B00-29BA-4B5C-BE59-270874A84B35}"/>
    <cellStyle name="Percent 3 8 15 7" xfId="13311" xr:uid="{792ED7BF-654B-4931-BE81-84708EACCA98}"/>
    <cellStyle name="Percent 3 8 15 8" xfId="13312" xr:uid="{D26FF445-1E4E-4275-89DD-072C7A333384}"/>
    <cellStyle name="Percent 3 8 15 9" xfId="13313" xr:uid="{49B499B9-EE83-4E1F-8A18-BF59D1F8A6B4}"/>
    <cellStyle name="Percent 3 8 16" xfId="13314" xr:uid="{C7D07785-C3FA-49C9-9EEA-EC0C8317D95E}"/>
    <cellStyle name="Percent 3 8 17" xfId="13315" xr:uid="{FA73733D-0D52-491A-8280-A56990F0E058}"/>
    <cellStyle name="Percent 3 8 18" xfId="13316" xr:uid="{E5A53A8D-5309-4285-8168-FEDE0E69E094}"/>
    <cellStyle name="Percent 3 8 19" xfId="13317" xr:uid="{9FB7E909-6DD1-4AB9-89A3-3D94363142EC}"/>
    <cellStyle name="Percent 3 8 2" xfId="13318" xr:uid="{DA673156-E247-4DBF-949E-365AE1D4ABF4}"/>
    <cellStyle name="Percent 3 8 2 10" xfId="13319" xr:uid="{B18958C2-7800-4E11-9A7D-3B2CBF774C14}"/>
    <cellStyle name="Percent 3 8 2 2" xfId="13320" xr:uid="{65548CEB-08E1-4504-B782-C9FAEB36488A}"/>
    <cellStyle name="Percent 3 8 2 3" xfId="13321" xr:uid="{43F27D58-A5B7-4839-BEB3-3E45F58ED3D2}"/>
    <cellStyle name="Percent 3 8 2 4" xfId="13322" xr:uid="{110918B6-FB59-4CB7-887F-7A2CEE17BD28}"/>
    <cellStyle name="Percent 3 8 2 5" xfId="13323" xr:uid="{90E1218C-A4D3-42FA-9476-79DE2329FA4E}"/>
    <cellStyle name="Percent 3 8 2 6" xfId="13324" xr:uid="{9B1ED76A-EF09-4BC4-BAA7-E4DBF2B9DA68}"/>
    <cellStyle name="Percent 3 8 2 7" xfId="13325" xr:uid="{4BD11477-66D3-4271-9CF3-C526E7931487}"/>
    <cellStyle name="Percent 3 8 2 8" xfId="13326" xr:uid="{510BF766-DB73-44D8-B3E6-F0BADC189980}"/>
    <cellStyle name="Percent 3 8 2 9" xfId="13327" xr:uid="{8C554159-EA6B-422E-86B3-DB728B477ACE}"/>
    <cellStyle name="Percent 3 8 20" xfId="13328" xr:uid="{C794F263-F832-4A2E-9224-3901BB18FC77}"/>
    <cellStyle name="Percent 3 8 21" xfId="13329" xr:uid="{2C2166F7-9CE8-43E6-9CA9-C3B567423D52}"/>
    <cellStyle name="Percent 3 8 22" xfId="13330" xr:uid="{81BE1711-5314-4329-B0CD-9256DC86BC74}"/>
    <cellStyle name="Percent 3 8 23" xfId="13331" xr:uid="{A6EE48C9-DB37-461F-8B18-AE2948B6DD83}"/>
    <cellStyle name="Percent 3 8 24" xfId="13332" xr:uid="{7835CF42-7384-4A20-B241-B1954AED8F2C}"/>
    <cellStyle name="Percent 3 8 3" xfId="13333" xr:uid="{A753DEC4-1EFC-4079-AF59-9B1244B41056}"/>
    <cellStyle name="Percent 3 8 3 10" xfId="13334" xr:uid="{92A2D870-55E8-4BA2-AD36-F0644CDDA6BF}"/>
    <cellStyle name="Percent 3 8 3 2" xfId="13335" xr:uid="{CE40F68B-125F-47D4-9244-4067D53D53E7}"/>
    <cellStyle name="Percent 3 8 3 3" xfId="13336" xr:uid="{1683A20D-683E-4256-87C0-B90CB6066BC3}"/>
    <cellStyle name="Percent 3 8 3 4" xfId="13337" xr:uid="{94B7DF74-2B6B-42CC-845A-628E52D11C8A}"/>
    <cellStyle name="Percent 3 8 3 5" xfId="13338" xr:uid="{85846778-9497-49D1-8049-9020DAB33D5B}"/>
    <cellStyle name="Percent 3 8 3 6" xfId="13339" xr:uid="{21612A5A-CF3D-4E26-BC32-277C0FFA7356}"/>
    <cellStyle name="Percent 3 8 3 7" xfId="13340" xr:uid="{1024051B-86A5-4351-8CFE-6095ACF123F1}"/>
    <cellStyle name="Percent 3 8 3 8" xfId="13341" xr:uid="{A63B209C-E584-45BC-A9AF-DC9BE47C41C0}"/>
    <cellStyle name="Percent 3 8 3 9" xfId="13342" xr:uid="{1A6AFAD0-738B-4FCF-B6C4-967E611A1FD2}"/>
    <cellStyle name="Percent 3 8 4" xfId="13343" xr:uid="{5F263D6B-2CF5-4F8A-930E-AF747988FBBA}"/>
    <cellStyle name="Percent 3 8 4 10" xfId="13344" xr:uid="{19B8C610-490F-4575-B007-8A75695DDF07}"/>
    <cellStyle name="Percent 3 8 4 2" xfId="13345" xr:uid="{6511B955-86C4-437D-94A3-DD6DCF0F9A0E}"/>
    <cellStyle name="Percent 3 8 4 3" xfId="13346" xr:uid="{654DCF37-95B3-4B54-A20F-2727BDF3CCCA}"/>
    <cellStyle name="Percent 3 8 4 4" xfId="13347" xr:uid="{9539EBB0-1111-4DEB-A847-91A3569A252D}"/>
    <cellStyle name="Percent 3 8 4 5" xfId="13348" xr:uid="{B433DF73-78F0-42DE-9793-6B9415827D43}"/>
    <cellStyle name="Percent 3 8 4 6" xfId="13349" xr:uid="{FB6D55A1-2436-42E1-B525-6C33968D602C}"/>
    <cellStyle name="Percent 3 8 4 7" xfId="13350" xr:uid="{13001D74-F6B8-4ECF-9DDB-BCA158485486}"/>
    <cellStyle name="Percent 3 8 4 8" xfId="13351" xr:uid="{49BB0AD3-5142-4395-9B3E-D6E3947E96AA}"/>
    <cellStyle name="Percent 3 8 4 9" xfId="13352" xr:uid="{A4CE3141-E7E1-44BA-B2FF-4B5CB36A3B8A}"/>
    <cellStyle name="Percent 3 8 5" xfId="13353" xr:uid="{D0E2E04D-5DBD-4DD4-A05D-ADF9FF241E3B}"/>
    <cellStyle name="Percent 3 8 5 10" xfId="13354" xr:uid="{F42C0AC1-DB1E-4868-99EC-593BAFE55349}"/>
    <cellStyle name="Percent 3 8 5 2" xfId="13355" xr:uid="{E1CE76D7-87D2-4A93-A5A5-55BED59AD61A}"/>
    <cellStyle name="Percent 3 8 5 3" xfId="13356" xr:uid="{ADDF4286-E64F-40D5-B33D-5B2F97934C4A}"/>
    <cellStyle name="Percent 3 8 5 4" xfId="13357" xr:uid="{AC87AA3D-3A38-4A96-9974-B5F5FA2DAA4B}"/>
    <cellStyle name="Percent 3 8 5 5" xfId="13358" xr:uid="{21080B8E-B167-4074-BD83-6FC9C42A0DA1}"/>
    <cellStyle name="Percent 3 8 5 6" xfId="13359" xr:uid="{6ED086C8-7E37-4EBD-A5BD-5F0B4BF7E96A}"/>
    <cellStyle name="Percent 3 8 5 7" xfId="13360" xr:uid="{7C6C4541-DF17-40FE-84A3-1E747BFB7997}"/>
    <cellStyle name="Percent 3 8 5 8" xfId="13361" xr:uid="{BF6871E8-1FCA-49AD-847E-02B09EC9E220}"/>
    <cellStyle name="Percent 3 8 5 9" xfId="13362" xr:uid="{A8D2E9C2-14AF-41F0-8075-1A3A81DFBC74}"/>
    <cellStyle name="Percent 3 8 6" xfId="13363" xr:uid="{2D435B28-497E-4A86-A49E-65A11428CE87}"/>
    <cellStyle name="Percent 3 8 6 10" xfId="13364" xr:uid="{A1106807-62F6-44FA-820E-DD35F773C54F}"/>
    <cellStyle name="Percent 3 8 6 2" xfId="13365" xr:uid="{D13B3A46-4CF5-492C-826D-F7B31ACB6ED5}"/>
    <cellStyle name="Percent 3 8 6 3" xfId="13366" xr:uid="{0C534415-EC57-40AC-8D18-9B7FC89C53C1}"/>
    <cellStyle name="Percent 3 8 6 4" xfId="13367" xr:uid="{E18B07E3-1338-4DFA-A183-6C1DEA222C35}"/>
    <cellStyle name="Percent 3 8 6 5" xfId="13368" xr:uid="{EEDBADFF-FD74-4A64-9E90-96FAEEABD3FD}"/>
    <cellStyle name="Percent 3 8 6 6" xfId="13369" xr:uid="{0B51BD1D-60BF-45AC-825B-8E7E0E221FB8}"/>
    <cellStyle name="Percent 3 8 6 7" xfId="13370" xr:uid="{A53BF173-4A6B-4C91-AD32-D2639AE0FD4F}"/>
    <cellStyle name="Percent 3 8 6 8" xfId="13371" xr:uid="{7398FCE5-6734-4427-AB68-394676CA8B9B}"/>
    <cellStyle name="Percent 3 8 6 9" xfId="13372" xr:uid="{98C05BB9-750C-49EF-8A3B-9EE9F219F119}"/>
    <cellStyle name="Percent 3 8 7" xfId="13373" xr:uid="{E4090FBF-5A56-4374-A4EB-6A75801033ED}"/>
    <cellStyle name="Percent 3 8 7 10" xfId="13374" xr:uid="{343109B3-796C-4D04-A56C-BB7BBD649455}"/>
    <cellStyle name="Percent 3 8 7 2" xfId="13375" xr:uid="{887AFBCA-8536-4855-B8E2-8E67B79B51D8}"/>
    <cellStyle name="Percent 3 8 7 3" xfId="13376" xr:uid="{61928454-6742-4519-AE75-9DC099ED0D06}"/>
    <cellStyle name="Percent 3 8 7 4" xfId="13377" xr:uid="{42B7D096-1853-47D5-9B36-14382280F9EF}"/>
    <cellStyle name="Percent 3 8 7 5" xfId="13378" xr:uid="{19844A7D-9891-46E2-B565-51848FC1E9DA}"/>
    <cellStyle name="Percent 3 8 7 6" xfId="13379" xr:uid="{6739301E-9647-4A54-8B6C-E4BB661C8C84}"/>
    <cellStyle name="Percent 3 8 7 7" xfId="13380" xr:uid="{84E1D5E0-8A3B-4A2B-A3BD-BAE435DB9D7D}"/>
    <cellStyle name="Percent 3 8 7 8" xfId="13381" xr:uid="{BAEA0884-5B36-41C6-82DB-2730F82F3C3D}"/>
    <cellStyle name="Percent 3 8 7 9" xfId="13382" xr:uid="{EB51F66D-B0D4-4F50-A1D5-939A7EFF8D07}"/>
    <cellStyle name="Percent 3 8 8" xfId="13383" xr:uid="{4293A4A8-520D-4458-8C48-4733E795F492}"/>
    <cellStyle name="Percent 3 8 8 10" xfId="13384" xr:uid="{DFF36B69-9D46-4C46-A7C1-4BFC6382AA1C}"/>
    <cellStyle name="Percent 3 8 8 2" xfId="13385" xr:uid="{625EEECF-F506-45A8-AD2A-9D041964AAFA}"/>
    <cellStyle name="Percent 3 8 8 3" xfId="13386" xr:uid="{024816DA-3CE6-422B-B473-05774ECFF688}"/>
    <cellStyle name="Percent 3 8 8 4" xfId="13387" xr:uid="{26BED966-FF7E-45D6-AAC8-C4D7B3E0EEFB}"/>
    <cellStyle name="Percent 3 8 8 5" xfId="13388" xr:uid="{C6450C3B-7D6C-4A64-BAE4-534004DF1892}"/>
    <cellStyle name="Percent 3 8 8 6" xfId="13389" xr:uid="{D2333F95-673F-4323-951F-955BE13F2CAB}"/>
    <cellStyle name="Percent 3 8 8 7" xfId="13390" xr:uid="{BAD712AB-0160-4B34-BEB2-6EB381125A68}"/>
    <cellStyle name="Percent 3 8 8 8" xfId="13391" xr:uid="{B2C287A7-9360-4766-8D69-378DA879DFC9}"/>
    <cellStyle name="Percent 3 8 8 9" xfId="13392" xr:uid="{6ECDB141-EA7E-4B09-A9B1-9C3A8F26FBE6}"/>
    <cellStyle name="Percent 3 8 9" xfId="13393" xr:uid="{30383575-44E4-4463-B608-AA6B6A071C25}"/>
    <cellStyle name="Percent 3 8 9 10" xfId="13394" xr:uid="{CD3CA590-2880-4486-AF21-8CCD9190DD18}"/>
    <cellStyle name="Percent 3 8 9 2" xfId="13395" xr:uid="{4993E421-3BD4-4A0B-8134-6B961D1FA62C}"/>
    <cellStyle name="Percent 3 8 9 3" xfId="13396" xr:uid="{752517F6-3D0A-4F5B-A7D9-7B520544479E}"/>
    <cellStyle name="Percent 3 8 9 4" xfId="13397" xr:uid="{0EA66F51-B93F-49CA-B495-516775519BFB}"/>
    <cellStyle name="Percent 3 8 9 5" xfId="13398" xr:uid="{F312E3D9-BE59-48F7-9773-1C1D3D9E64FA}"/>
    <cellStyle name="Percent 3 8 9 6" xfId="13399" xr:uid="{C43E5445-3E71-445F-94E9-2DC12C2C9A1E}"/>
    <cellStyle name="Percent 3 8 9 7" xfId="13400" xr:uid="{1F23F299-40C0-494A-80DC-E7F87FC9BF0C}"/>
    <cellStyle name="Percent 3 8 9 8" xfId="13401" xr:uid="{70521FFD-3A5F-4C37-8C37-4EF2CA5B714E}"/>
    <cellStyle name="Percent 3 8 9 9" xfId="13402" xr:uid="{8F030186-A86D-4023-8757-44A984DF1988}"/>
    <cellStyle name="Percent 3 9" xfId="13403" xr:uid="{B4C42724-27A5-45E0-B2DA-F47F5965E03C}"/>
    <cellStyle name="Percent 3 9 10" xfId="13404" xr:uid="{C679EEC8-5017-4A45-BB70-F9DB951DF34F}"/>
    <cellStyle name="Percent 3 9 10 10" xfId="13405" xr:uid="{0925CACD-6B70-41C2-A2D5-1C6F35CD0608}"/>
    <cellStyle name="Percent 3 9 10 2" xfId="13406" xr:uid="{F3EB7E01-7300-4D67-A39F-4FAF814181AC}"/>
    <cellStyle name="Percent 3 9 10 3" xfId="13407" xr:uid="{3B9660E4-B58E-4BB4-9492-FC8B7E40AA27}"/>
    <cellStyle name="Percent 3 9 10 4" xfId="13408" xr:uid="{0B9B7235-8DEB-4D45-A5C4-F4ED27E2FDDE}"/>
    <cellStyle name="Percent 3 9 10 5" xfId="13409" xr:uid="{B91D6559-CD96-4B86-A280-318D84358C93}"/>
    <cellStyle name="Percent 3 9 10 6" xfId="13410" xr:uid="{3E4F9ECD-7FFE-48EB-A49F-F396F861E732}"/>
    <cellStyle name="Percent 3 9 10 7" xfId="13411" xr:uid="{780132D6-7135-427E-B6F9-EAB187D4FB01}"/>
    <cellStyle name="Percent 3 9 10 8" xfId="13412" xr:uid="{038B4323-B168-4668-B864-C0CA701F7B8C}"/>
    <cellStyle name="Percent 3 9 10 9" xfId="13413" xr:uid="{7F72E001-A3AE-416F-A276-427C2DDC9426}"/>
    <cellStyle name="Percent 3 9 11" xfId="13414" xr:uid="{A2C494BD-CB63-4FED-935F-859ED1FF1006}"/>
    <cellStyle name="Percent 3 9 11 10" xfId="13415" xr:uid="{6820491D-B5C8-45A7-8733-13B65DB546A8}"/>
    <cellStyle name="Percent 3 9 11 2" xfId="13416" xr:uid="{D28B9747-1217-4064-8549-9BEE5AAF4676}"/>
    <cellStyle name="Percent 3 9 11 3" xfId="13417" xr:uid="{67C79FA3-A9B0-4A07-B22D-C707AAD7ED7E}"/>
    <cellStyle name="Percent 3 9 11 4" xfId="13418" xr:uid="{709DC0F1-DAE4-4BF3-AA26-FCD3FB2A9D44}"/>
    <cellStyle name="Percent 3 9 11 5" xfId="13419" xr:uid="{33072122-BBAA-414A-B649-017E87B5132F}"/>
    <cellStyle name="Percent 3 9 11 6" xfId="13420" xr:uid="{D8DFBBF9-7F1B-4561-9289-CF19D327DDC5}"/>
    <cellStyle name="Percent 3 9 11 7" xfId="13421" xr:uid="{E6E41AC6-2C2D-4A32-80A7-3C0CE32333F7}"/>
    <cellStyle name="Percent 3 9 11 8" xfId="13422" xr:uid="{D8695A5D-9601-4850-B6E8-8B9D2943B61D}"/>
    <cellStyle name="Percent 3 9 11 9" xfId="13423" xr:uid="{1D1D175D-2304-42D6-840D-169E6DBBBEEC}"/>
    <cellStyle name="Percent 3 9 12" xfId="13424" xr:uid="{554D8D57-9CC3-47C5-8175-D5A0387792E6}"/>
    <cellStyle name="Percent 3 9 12 10" xfId="13425" xr:uid="{49C443D7-99B3-4D86-8BB9-FB09CBEDFCB3}"/>
    <cellStyle name="Percent 3 9 12 2" xfId="13426" xr:uid="{0C8DD443-808E-4327-B8FB-1C07780BA9EF}"/>
    <cellStyle name="Percent 3 9 12 3" xfId="13427" xr:uid="{888C0419-6B54-4AF4-8C35-CE1ECACC651C}"/>
    <cellStyle name="Percent 3 9 12 4" xfId="13428" xr:uid="{07E2477B-B0F5-47C5-882F-7193D342ABF3}"/>
    <cellStyle name="Percent 3 9 12 5" xfId="13429" xr:uid="{9EB1DECF-230A-4EAC-84B9-41D2DF478041}"/>
    <cellStyle name="Percent 3 9 12 6" xfId="13430" xr:uid="{CF0F653F-92F4-4050-B75E-97AFE7D0AC7B}"/>
    <cellStyle name="Percent 3 9 12 7" xfId="13431" xr:uid="{C9BF6F8B-46BC-4591-8186-CBD80B3F34D5}"/>
    <cellStyle name="Percent 3 9 12 8" xfId="13432" xr:uid="{73AC8D9C-2FA3-474D-87BA-4A42523C3B16}"/>
    <cellStyle name="Percent 3 9 12 9" xfId="13433" xr:uid="{FC1F6101-1DE6-42C6-B5C6-88AD551E9746}"/>
    <cellStyle name="Percent 3 9 13" xfId="13434" xr:uid="{9B545CA9-E624-415A-B41A-8CE8E7217132}"/>
    <cellStyle name="Percent 3 9 13 10" xfId="13435" xr:uid="{E98B091F-06A3-4F26-B6B6-E4D0B02D3007}"/>
    <cellStyle name="Percent 3 9 13 2" xfId="13436" xr:uid="{451CCA24-52CB-4636-8E4A-0953BC08C520}"/>
    <cellStyle name="Percent 3 9 13 3" xfId="13437" xr:uid="{107BB17A-817F-4435-A470-36882FD16C2F}"/>
    <cellStyle name="Percent 3 9 13 4" xfId="13438" xr:uid="{86A2B015-B09C-4C51-9577-F3B71AFC587E}"/>
    <cellStyle name="Percent 3 9 13 5" xfId="13439" xr:uid="{3F4F4D9D-BBC6-4AB7-B93A-187A29257B35}"/>
    <cellStyle name="Percent 3 9 13 6" xfId="13440" xr:uid="{DC5452B9-BD3A-4B4E-A8FF-8DE3199F79E5}"/>
    <cellStyle name="Percent 3 9 13 7" xfId="13441" xr:uid="{0C94F2E1-EB02-4FDC-8E0F-6D9FD3AFD668}"/>
    <cellStyle name="Percent 3 9 13 8" xfId="13442" xr:uid="{F6EE056D-A184-4783-B20F-DE82311DA39B}"/>
    <cellStyle name="Percent 3 9 13 9" xfId="13443" xr:uid="{4CA20592-BE3E-461E-A3EB-FFA18FABBC01}"/>
    <cellStyle name="Percent 3 9 14" xfId="13444" xr:uid="{289B35B4-2FB6-4800-BBE7-2DE5B62A93D3}"/>
    <cellStyle name="Percent 3 9 14 10" xfId="13445" xr:uid="{ADF6D383-FA2B-470F-A49D-A4C1DE0B1DE3}"/>
    <cellStyle name="Percent 3 9 14 2" xfId="13446" xr:uid="{56117568-8BAC-47C1-AFC6-BC358C6ACC78}"/>
    <cellStyle name="Percent 3 9 14 3" xfId="13447" xr:uid="{6F0AD3F3-4460-4F90-A232-740BA66CDD23}"/>
    <cellStyle name="Percent 3 9 14 4" xfId="13448" xr:uid="{74F0D4AC-F13A-4BB0-9720-B57C487929A8}"/>
    <cellStyle name="Percent 3 9 14 5" xfId="13449" xr:uid="{DACF4B00-A0CD-4E6C-A669-43CD37B04614}"/>
    <cellStyle name="Percent 3 9 14 6" xfId="13450" xr:uid="{8A469721-9E25-4B7F-A7A0-00637511A22E}"/>
    <cellStyle name="Percent 3 9 14 7" xfId="13451" xr:uid="{F8CB8DA7-C51E-4E5D-A2AF-EC0A851F5ACE}"/>
    <cellStyle name="Percent 3 9 14 8" xfId="13452" xr:uid="{131ECC85-9AB8-4ADC-8200-25801D25E490}"/>
    <cellStyle name="Percent 3 9 14 9" xfId="13453" xr:uid="{38C57AEF-5FEA-4BBC-B665-C98F0C64FA5D}"/>
    <cellStyle name="Percent 3 9 15" xfId="13454" xr:uid="{8951CD3D-CC40-4DF7-B0BC-41B3065F36C9}"/>
    <cellStyle name="Percent 3 9 15 10" xfId="13455" xr:uid="{C2A352D3-E77B-4621-AF5F-1E3A26065429}"/>
    <cellStyle name="Percent 3 9 15 2" xfId="13456" xr:uid="{AC668B7D-08AA-49C1-A2CD-B6FEDD0EFD60}"/>
    <cellStyle name="Percent 3 9 15 3" xfId="13457" xr:uid="{F98833B9-BA72-4870-91A8-B1076FC560DB}"/>
    <cellStyle name="Percent 3 9 15 4" xfId="13458" xr:uid="{E0298332-2B5C-4F93-8BA0-F1373AF0F522}"/>
    <cellStyle name="Percent 3 9 15 5" xfId="13459" xr:uid="{742938DF-C5A6-4E2C-BB1B-D187AE0B7437}"/>
    <cellStyle name="Percent 3 9 15 6" xfId="13460" xr:uid="{FC0F0072-A809-4735-9DB1-327976F3BA5C}"/>
    <cellStyle name="Percent 3 9 15 7" xfId="13461" xr:uid="{0C3EEEB1-8B71-43D9-BDB8-66FA30FECD8E}"/>
    <cellStyle name="Percent 3 9 15 8" xfId="13462" xr:uid="{94A6BDDD-BD2E-4B24-981E-BE20DC36B741}"/>
    <cellStyle name="Percent 3 9 15 9" xfId="13463" xr:uid="{B88FF5E4-23D8-4232-84AB-CCA1B8864C66}"/>
    <cellStyle name="Percent 3 9 16" xfId="13464" xr:uid="{60257F3D-C0AB-41EE-BD63-DA382FB974D1}"/>
    <cellStyle name="Percent 3 9 17" xfId="13465" xr:uid="{C5BE9F69-45F8-43D9-A437-005DDBCD0F36}"/>
    <cellStyle name="Percent 3 9 18" xfId="13466" xr:uid="{F304E922-C6DB-4B18-B7B9-AF384208204D}"/>
    <cellStyle name="Percent 3 9 19" xfId="13467" xr:uid="{7EEBFB88-04BF-424F-AB99-799BC1F8E842}"/>
    <cellStyle name="Percent 3 9 2" xfId="13468" xr:uid="{6FF5865C-A625-4186-A612-FCE09CBE6D76}"/>
    <cellStyle name="Percent 3 9 2 10" xfId="13469" xr:uid="{AADB9A2B-D2AD-4787-BB39-94B7C8702504}"/>
    <cellStyle name="Percent 3 9 2 2" xfId="13470" xr:uid="{BCF5DCA0-77F0-44C9-8789-506997DF8492}"/>
    <cellStyle name="Percent 3 9 2 3" xfId="13471" xr:uid="{34EC4AAD-A01C-413E-BE05-BF151D57F8AC}"/>
    <cellStyle name="Percent 3 9 2 4" xfId="13472" xr:uid="{1F171C0B-3488-4A31-9C6B-ADC1190469D4}"/>
    <cellStyle name="Percent 3 9 2 5" xfId="13473" xr:uid="{511D897D-A278-4DF0-B2E5-745EE652049A}"/>
    <cellStyle name="Percent 3 9 2 6" xfId="13474" xr:uid="{09FD1003-266A-4E24-8ADC-461DA3D5ACE3}"/>
    <cellStyle name="Percent 3 9 2 7" xfId="13475" xr:uid="{DCD88C7C-46EE-4C15-BC1C-540A98CB8B34}"/>
    <cellStyle name="Percent 3 9 2 8" xfId="13476" xr:uid="{33F43DBD-FC15-496E-943B-4D324F33DAF2}"/>
    <cellStyle name="Percent 3 9 2 9" xfId="13477" xr:uid="{253E5ED7-4D09-4D18-83C9-E645EB2D9A8A}"/>
    <cellStyle name="Percent 3 9 20" xfId="13478" xr:uid="{54AEDB20-5DF0-4A24-B86F-93C4CCD02312}"/>
    <cellStyle name="Percent 3 9 21" xfId="13479" xr:uid="{62D71874-C705-4922-A03E-9E5F4051DC46}"/>
    <cellStyle name="Percent 3 9 22" xfId="13480" xr:uid="{D4A2FF8F-34EC-48A9-AC9C-9A420EE6D85F}"/>
    <cellStyle name="Percent 3 9 23" xfId="13481" xr:uid="{8CBF2702-1562-453C-9544-50FF5196BA7D}"/>
    <cellStyle name="Percent 3 9 24" xfId="13482" xr:uid="{6B3F9009-E8DC-4E1A-8ECA-98BBB6C5862F}"/>
    <cellStyle name="Percent 3 9 3" xfId="13483" xr:uid="{7152247D-0676-499A-A93B-FD0C65FF5D82}"/>
    <cellStyle name="Percent 3 9 3 10" xfId="13484" xr:uid="{811B9E47-0B14-4ED1-AEF2-81350DFE7234}"/>
    <cellStyle name="Percent 3 9 3 2" xfId="13485" xr:uid="{27D24878-90A0-418E-9C48-7174B72CFB34}"/>
    <cellStyle name="Percent 3 9 3 3" xfId="13486" xr:uid="{D8FB2927-C6F6-40BD-9D4A-F9C425C5C9BB}"/>
    <cellStyle name="Percent 3 9 3 4" xfId="13487" xr:uid="{AB7E9BD6-E459-4DAD-B1F5-2E210A46D567}"/>
    <cellStyle name="Percent 3 9 3 5" xfId="13488" xr:uid="{6E9EE2F8-7E42-4903-82F9-36B582319889}"/>
    <cellStyle name="Percent 3 9 3 6" xfId="13489" xr:uid="{CE556039-5639-493C-AB07-A69E0DBFF8F0}"/>
    <cellStyle name="Percent 3 9 3 7" xfId="13490" xr:uid="{B0A12115-C5D4-466C-9CA2-C61708E786D8}"/>
    <cellStyle name="Percent 3 9 3 8" xfId="13491" xr:uid="{253D7653-8EA1-4796-87E3-BD0517868A2D}"/>
    <cellStyle name="Percent 3 9 3 9" xfId="13492" xr:uid="{3BD5DAC0-CC36-4D27-B468-7C1A74912BEC}"/>
    <cellStyle name="Percent 3 9 4" xfId="13493" xr:uid="{BBB1F463-D684-4A5A-9C90-AC162F261DB7}"/>
    <cellStyle name="Percent 3 9 4 10" xfId="13494" xr:uid="{7FA267E7-6B35-42B4-8CDD-816254CCE83E}"/>
    <cellStyle name="Percent 3 9 4 2" xfId="13495" xr:uid="{2A485634-2767-4CA4-AFD7-498C365EED2D}"/>
    <cellStyle name="Percent 3 9 4 3" xfId="13496" xr:uid="{0E964299-8014-4D09-9A7C-61D0D99F86FC}"/>
    <cellStyle name="Percent 3 9 4 4" xfId="13497" xr:uid="{B6486917-025B-4CD4-A1E4-A2F3000D70C6}"/>
    <cellStyle name="Percent 3 9 4 5" xfId="13498" xr:uid="{0070B9D3-9798-4663-8E25-1A7ED42A8863}"/>
    <cellStyle name="Percent 3 9 4 6" xfId="13499" xr:uid="{79A66DF6-D3A6-4577-8478-D14B257ADB75}"/>
    <cellStyle name="Percent 3 9 4 7" xfId="13500" xr:uid="{7DBB2312-D13E-4A93-8ECF-B3187FE179BE}"/>
    <cellStyle name="Percent 3 9 4 8" xfId="13501" xr:uid="{8CA789DA-8AA5-4B06-A3B2-E4E0657AA03F}"/>
    <cellStyle name="Percent 3 9 4 9" xfId="13502" xr:uid="{B0627F7C-8F4D-4198-9252-52ACB845D717}"/>
    <cellStyle name="Percent 3 9 5" xfId="13503" xr:uid="{620B68F7-DBA4-4633-8AC6-8A5012822455}"/>
    <cellStyle name="Percent 3 9 5 10" xfId="13504" xr:uid="{9EF8889E-6589-4497-A336-B9322364180A}"/>
    <cellStyle name="Percent 3 9 5 2" xfId="13505" xr:uid="{80DAA10C-8C28-466E-9057-1AB22851DEFC}"/>
    <cellStyle name="Percent 3 9 5 3" xfId="13506" xr:uid="{DEE881CA-B56C-43DC-8086-147737860921}"/>
    <cellStyle name="Percent 3 9 5 4" xfId="13507" xr:uid="{28A00533-635A-4216-BFD2-BF73E8495B2A}"/>
    <cellStyle name="Percent 3 9 5 5" xfId="13508" xr:uid="{0DD46352-DC9F-4D15-A198-31424A566D9C}"/>
    <cellStyle name="Percent 3 9 5 6" xfId="13509" xr:uid="{40CC1819-230F-4491-A56B-84B37B57C184}"/>
    <cellStyle name="Percent 3 9 5 7" xfId="13510" xr:uid="{52B59BCA-7808-4F64-9D3B-65C6E99B70BF}"/>
    <cellStyle name="Percent 3 9 5 8" xfId="13511" xr:uid="{0D6D5D32-8408-4869-90ED-EDBE54807417}"/>
    <cellStyle name="Percent 3 9 5 9" xfId="13512" xr:uid="{D6765B59-C1A5-499F-AA9A-E9E679980770}"/>
    <cellStyle name="Percent 3 9 6" xfId="13513" xr:uid="{7FDCFB5D-9C13-4919-BF79-0FA5570D51D1}"/>
    <cellStyle name="Percent 3 9 6 10" xfId="13514" xr:uid="{EAA91906-562E-43C0-8839-23884F0039A1}"/>
    <cellStyle name="Percent 3 9 6 2" xfId="13515" xr:uid="{6304AA56-F48A-4A86-969C-92878ADD3122}"/>
    <cellStyle name="Percent 3 9 6 3" xfId="13516" xr:uid="{51039C32-DBB7-4211-A77F-D90F1E8500D9}"/>
    <cellStyle name="Percent 3 9 6 4" xfId="13517" xr:uid="{75C2F22C-8BAC-4C97-ACF6-A9600639A774}"/>
    <cellStyle name="Percent 3 9 6 5" xfId="13518" xr:uid="{16823692-CA79-430E-9DFC-2EE57476B4EC}"/>
    <cellStyle name="Percent 3 9 6 6" xfId="13519" xr:uid="{6F5649CA-2D95-4389-A06A-575EA2F65BC7}"/>
    <cellStyle name="Percent 3 9 6 7" xfId="13520" xr:uid="{83EBCB87-8F11-41E7-B255-4BD5CF9C2050}"/>
    <cellStyle name="Percent 3 9 6 8" xfId="13521" xr:uid="{39ADA851-C98B-4C2B-B13E-8E253E71CB3A}"/>
    <cellStyle name="Percent 3 9 6 9" xfId="13522" xr:uid="{E9CDF8DE-AA3B-48EA-B176-706A73184B38}"/>
    <cellStyle name="Percent 3 9 7" xfId="13523" xr:uid="{30BCBEB4-9714-4E24-B1B1-6463EB390CE2}"/>
    <cellStyle name="Percent 3 9 7 10" xfId="13524" xr:uid="{5598D44A-1DF6-42B4-B35B-BB4E7281E073}"/>
    <cellStyle name="Percent 3 9 7 2" xfId="13525" xr:uid="{6D1D2684-0762-4154-B90D-5CFBA871A131}"/>
    <cellStyle name="Percent 3 9 7 3" xfId="13526" xr:uid="{DAD77E9C-7FC6-4697-BC91-407035CCFA17}"/>
    <cellStyle name="Percent 3 9 7 4" xfId="13527" xr:uid="{C85D9116-C7DD-4DFD-9BD7-FE556933C146}"/>
    <cellStyle name="Percent 3 9 7 5" xfId="13528" xr:uid="{B24194F0-1AF2-46CC-82AE-39389B692C33}"/>
    <cellStyle name="Percent 3 9 7 6" xfId="13529" xr:uid="{23CBA38F-D9C6-4A72-B9EE-E966602A93B4}"/>
    <cellStyle name="Percent 3 9 7 7" xfId="13530" xr:uid="{760085A3-A72D-4339-A16C-8E5D8689E2C9}"/>
    <cellStyle name="Percent 3 9 7 8" xfId="13531" xr:uid="{DBEE6534-C8B7-4869-9DB5-05630BDAA037}"/>
    <cellStyle name="Percent 3 9 7 9" xfId="13532" xr:uid="{F8DAACC8-B459-4C4B-B8CD-94C765E5771E}"/>
    <cellStyle name="Percent 3 9 8" xfId="13533" xr:uid="{1C7487AA-9B15-455B-A6DE-22CDDC2FC1C0}"/>
    <cellStyle name="Percent 3 9 8 10" xfId="13534" xr:uid="{4A98523F-3814-41D5-B77F-0A8A2481C206}"/>
    <cellStyle name="Percent 3 9 8 2" xfId="13535" xr:uid="{F322314D-A801-4546-8A1E-CB293F3BE230}"/>
    <cellStyle name="Percent 3 9 8 3" xfId="13536" xr:uid="{D9100A44-24E0-42A0-BD5F-DEDC06F8BCC8}"/>
    <cellStyle name="Percent 3 9 8 4" xfId="13537" xr:uid="{0FFEEF0F-A588-4AE3-81F1-CD1378665AB7}"/>
    <cellStyle name="Percent 3 9 8 5" xfId="13538" xr:uid="{B9610198-C30C-4DD2-B9B8-6AA3019D73D7}"/>
    <cellStyle name="Percent 3 9 8 6" xfId="13539" xr:uid="{D80947BB-9418-4DAD-A305-292C03DDEB47}"/>
    <cellStyle name="Percent 3 9 8 7" xfId="13540" xr:uid="{AA17221A-636E-439E-AAA8-4EA4AEE849F7}"/>
    <cellStyle name="Percent 3 9 8 8" xfId="13541" xr:uid="{922F033C-44D8-4845-89EF-896BFB526A70}"/>
    <cellStyle name="Percent 3 9 8 9" xfId="13542" xr:uid="{5A6443C5-1A7A-4AD3-9BC4-74A2A0963C3C}"/>
    <cellStyle name="Percent 3 9 9" xfId="13543" xr:uid="{735984BF-A135-4A04-BC64-39577E22A70C}"/>
    <cellStyle name="Percent 3 9 9 10" xfId="13544" xr:uid="{8E066006-B9B8-4A94-B253-67304A402A3A}"/>
    <cellStyle name="Percent 3 9 9 2" xfId="13545" xr:uid="{817C185B-D334-4DC9-A8C9-BC7BC73CDDBC}"/>
    <cellStyle name="Percent 3 9 9 3" xfId="13546" xr:uid="{399596EF-8379-45AC-88BD-587737ECB71B}"/>
    <cellStyle name="Percent 3 9 9 4" xfId="13547" xr:uid="{217047A2-B6BB-40A6-9F6B-58D5BED728A0}"/>
    <cellStyle name="Percent 3 9 9 5" xfId="13548" xr:uid="{2BF13B9F-6F77-48E0-977C-F03E16D94A30}"/>
    <cellStyle name="Percent 3 9 9 6" xfId="13549" xr:uid="{66EAC84B-E498-46FC-9F33-E3F04AE11541}"/>
    <cellStyle name="Percent 3 9 9 7" xfId="13550" xr:uid="{A38ADAE3-AC4A-4B9C-8A4B-3E6A9FC72695}"/>
    <cellStyle name="Percent 3 9 9 8" xfId="13551" xr:uid="{1E51BB46-8AAB-40C3-8397-BA276169FC60}"/>
    <cellStyle name="Percent 3 9 9 9" xfId="13552" xr:uid="{9AE64DBF-3416-484E-8926-2EA39A130AA8}"/>
    <cellStyle name="Percent 31" xfId="13553" xr:uid="{045A80C2-24F1-456C-A049-4DC79DC02070}"/>
    <cellStyle name="Percent 31 10" xfId="13554" xr:uid="{E61F9EC2-67F0-464E-A02D-3BE9AE9B3C8C}"/>
    <cellStyle name="Percent 31 2" xfId="13555" xr:uid="{12BE5F8A-DE5F-4643-949A-848C5118F8CD}"/>
    <cellStyle name="Percent 31 3" xfId="13556" xr:uid="{9754018B-E359-4C82-A398-29B5BCDD7347}"/>
    <cellStyle name="Percent 31 4" xfId="13557" xr:uid="{EDF7FF29-855D-4E5F-B5FC-9057E0391D34}"/>
    <cellStyle name="Percent 31 5" xfId="13558" xr:uid="{E2D643DF-3EA0-419A-83D0-3F281D09F8E4}"/>
    <cellStyle name="Percent 31 6" xfId="13559" xr:uid="{BCAF4FC9-52C2-473C-9327-B6DDA278D3BD}"/>
    <cellStyle name="Percent 31 7" xfId="13560" xr:uid="{FCB9BE8D-768B-4FB3-9A24-E3B7CA60B35A}"/>
    <cellStyle name="Percent 31 8" xfId="13561" xr:uid="{66260DFC-78C0-4CF5-ADE6-0761AC5DD3CB}"/>
    <cellStyle name="Percent 31 9" xfId="13562" xr:uid="{070A405A-9CA8-4904-8A8D-258A88954E5B}"/>
    <cellStyle name="Percent 4" xfId="13563" xr:uid="{FD96F0E9-BD41-4132-9A0F-3BF0F16FAD5E}"/>
    <cellStyle name="Percent 4 10" xfId="13564" xr:uid="{EDA95CEA-08C4-4E70-9010-6851359215A8}"/>
    <cellStyle name="Percent 4 10 10" xfId="13565" xr:uid="{464A01F1-C14B-4971-A85C-0C3B2B707FCB}"/>
    <cellStyle name="Percent 4 10 2" xfId="13566" xr:uid="{7DBC9042-4E6C-44CE-8900-DEE79364FF26}"/>
    <cellStyle name="Percent 4 10 3" xfId="13567" xr:uid="{19851C23-BD14-4249-A97A-2449991B3C4C}"/>
    <cellStyle name="Percent 4 10 4" xfId="13568" xr:uid="{183A13A4-C52A-4623-A436-6A489FAFF90D}"/>
    <cellStyle name="Percent 4 10 5" xfId="13569" xr:uid="{785F1F7B-602D-420D-8762-950267945043}"/>
    <cellStyle name="Percent 4 10 6" xfId="13570" xr:uid="{FA644FE3-E5F7-4B97-B380-516405D21537}"/>
    <cellStyle name="Percent 4 10 7" xfId="13571" xr:uid="{B3C7DCC3-738D-45D8-B65B-6B2E775013A2}"/>
    <cellStyle name="Percent 4 10 8" xfId="13572" xr:uid="{D8935631-78D3-4A8C-9AC3-F80D6A100A7F}"/>
    <cellStyle name="Percent 4 10 9" xfId="13573" xr:uid="{87F5F602-CE78-4183-99AA-3165350F97B5}"/>
    <cellStyle name="Percent 4 11" xfId="13574" xr:uid="{4BD27755-169A-4A42-BFF4-19AF310E849D}"/>
    <cellStyle name="Percent 4 11 10" xfId="13575" xr:uid="{7D3981C9-8FCD-49FE-93C0-6E873331A34E}"/>
    <cellStyle name="Percent 4 11 2" xfId="13576" xr:uid="{11C731D5-2AB5-442B-9F0E-93B09851A93B}"/>
    <cellStyle name="Percent 4 11 3" xfId="13577" xr:uid="{2C5127E0-7808-432B-BD61-43C533B294DC}"/>
    <cellStyle name="Percent 4 11 4" xfId="13578" xr:uid="{C3451DCC-F40D-4F06-910F-C2A41757431E}"/>
    <cellStyle name="Percent 4 11 5" xfId="13579" xr:uid="{6B940EB9-4560-4B63-AAA8-3BB2676A6613}"/>
    <cellStyle name="Percent 4 11 6" xfId="13580" xr:uid="{D4047FDE-1200-484D-A8E3-9C92CFE76C4A}"/>
    <cellStyle name="Percent 4 11 7" xfId="13581" xr:uid="{F4C72165-AA59-42A2-A52D-74274273A587}"/>
    <cellStyle name="Percent 4 11 8" xfId="13582" xr:uid="{E944924E-5FC5-4487-BC8D-3D2536C8B8E8}"/>
    <cellStyle name="Percent 4 11 9" xfId="13583" xr:uid="{16D7F2D9-13C1-45AF-9803-56895A54C763}"/>
    <cellStyle name="Percent 4 12" xfId="13584" xr:uid="{A65A0493-2B43-4B2F-B07C-3C3F7D2BB432}"/>
    <cellStyle name="Percent 4 12 10" xfId="13585" xr:uid="{251416B2-8D20-4F57-88E2-AEB79C41C19E}"/>
    <cellStyle name="Percent 4 12 2" xfId="13586" xr:uid="{1D1A8967-9F87-4799-8F16-66B10C5A635D}"/>
    <cellStyle name="Percent 4 12 3" xfId="13587" xr:uid="{ACDA7149-6A6A-4247-9B8C-44E09C92F0D2}"/>
    <cellStyle name="Percent 4 12 4" xfId="13588" xr:uid="{CC751C7B-43BD-4FB5-B16C-E6BC8F6CD1A3}"/>
    <cellStyle name="Percent 4 12 5" xfId="13589" xr:uid="{DB227B70-748B-404F-A3A9-52782746D792}"/>
    <cellStyle name="Percent 4 12 6" xfId="13590" xr:uid="{E2320127-0553-4E0E-9F52-D57311D67D02}"/>
    <cellStyle name="Percent 4 12 7" xfId="13591" xr:uid="{B967BCD1-B977-45D0-9D0C-C6A20811ABD9}"/>
    <cellStyle name="Percent 4 12 8" xfId="13592" xr:uid="{B34D21A0-8BC8-444A-A046-C6430A25EC65}"/>
    <cellStyle name="Percent 4 12 9" xfId="13593" xr:uid="{C94E3F6F-56A5-4FBA-A704-1498240DDB84}"/>
    <cellStyle name="Percent 4 13" xfId="13594" xr:uid="{CA5870CB-301D-4B80-BD6F-5DA62FABD93D}"/>
    <cellStyle name="Percent 4 13 10" xfId="13595" xr:uid="{02DAEB53-99DF-4A24-A23F-9E69463A85D4}"/>
    <cellStyle name="Percent 4 13 2" xfId="13596" xr:uid="{02B2B4EE-50B6-4587-8634-9684159B8C0B}"/>
    <cellStyle name="Percent 4 13 3" xfId="13597" xr:uid="{3F595A27-6B55-4D16-8718-623978E7B399}"/>
    <cellStyle name="Percent 4 13 4" xfId="13598" xr:uid="{66EE52BB-33AD-4A2E-8952-795C97914053}"/>
    <cellStyle name="Percent 4 13 5" xfId="13599" xr:uid="{3515F81B-C39D-4600-B87D-537B44FD57C4}"/>
    <cellStyle name="Percent 4 13 6" xfId="13600" xr:uid="{17DDB9DC-3DD4-407A-BA71-4F96E3A77EAA}"/>
    <cellStyle name="Percent 4 13 7" xfId="13601" xr:uid="{9D9D88B8-E20D-49CA-9382-A430DFCF5035}"/>
    <cellStyle name="Percent 4 13 8" xfId="13602" xr:uid="{9DABA6E2-5C48-4579-8035-5BA40D6FD0F3}"/>
    <cellStyle name="Percent 4 13 9" xfId="13603" xr:uid="{892A5FFF-4D0F-4E43-8775-0EBF567DCCBD}"/>
    <cellStyle name="Percent 4 14" xfId="13604" xr:uid="{3BD60C93-3708-4441-B506-1D385EE9FE2F}"/>
    <cellStyle name="Percent 4 14 10" xfId="13605" xr:uid="{C6699A01-1353-4403-A0FD-5F6ABCFBE921}"/>
    <cellStyle name="Percent 4 14 11" xfId="13606" xr:uid="{0394DF29-C301-4174-8A55-6AC6743C93A7}"/>
    <cellStyle name="Percent 4 14 2" xfId="13607" xr:uid="{EFDC731A-2CAE-4626-B223-5A971D4AD245}"/>
    <cellStyle name="Percent 4 14 2 2" xfId="13608" xr:uid="{5EBA972B-86BC-491A-AB78-93628BCBD574}"/>
    <cellStyle name="Percent 4 14 2 3" xfId="13609" xr:uid="{36888CDA-71B0-4582-BA06-AB522F44D886}"/>
    <cellStyle name="Percent 4 14 2 4" xfId="13610" xr:uid="{1B53E77B-AF38-4398-8E89-5CF7DB52653F}"/>
    <cellStyle name="Percent 4 14 2 5" xfId="13611" xr:uid="{6276517B-A50A-43EF-97A2-6849E8935177}"/>
    <cellStyle name="Percent 4 14 2 6" xfId="13612" xr:uid="{EDD0FEF7-1634-426B-AC50-3A84AC7F0989}"/>
    <cellStyle name="Percent 4 14 2 7" xfId="13613" xr:uid="{7048B093-301A-4DE5-8893-0F2E1DAD73C4}"/>
    <cellStyle name="Percent 4 14 3" xfId="13614" xr:uid="{1E6E59DE-0B3F-4301-AAEA-9C356833E4A9}"/>
    <cellStyle name="Percent 4 14 4" xfId="13615" xr:uid="{D931833B-3803-4B41-AA3A-3F0FEF6A2ED8}"/>
    <cellStyle name="Percent 4 14 5" xfId="13616" xr:uid="{7DB2F2F8-3994-4BCA-A63E-47F5DB2DE008}"/>
    <cellStyle name="Percent 4 14 6" xfId="13617" xr:uid="{6653802F-F158-474B-96B0-F4866736D471}"/>
    <cellStyle name="Percent 4 14 7" xfId="13618" xr:uid="{1D3F549A-59DF-44C3-A90D-37BDB382FAAA}"/>
    <cellStyle name="Percent 4 14 8" xfId="13619" xr:uid="{276B0923-AE13-4C2F-922C-09C4713D0A5D}"/>
    <cellStyle name="Percent 4 14 9" xfId="13620" xr:uid="{D9E458D3-4409-4A11-A1B3-E8AC4B806125}"/>
    <cellStyle name="Percent 4 15" xfId="13621" xr:uid="{BD883669-4685-47C4-B63B-B7E11B948B0E}"/>
    <cellStyle name="Percent 4 15 10" xfId="13622" xr:uid="{BA9D44AF-CD6C-4963-9802-1CB3844A0D51}"/>
    <cellStyle name="Percent 4 15 2" xfId="13623" xr:uid="{C1D04001-A655-42B3-82A2-C86352890AEC}"/>
    <cellStyle name="Percent 4 15 3" xfId="13624" xr:uid="{F7581E6E-8CC8-4B70-9E69-FE74F216F7C3}"/>
    <cellStyle name="Percent 4 15 4" xfId="13625" xr:uid="{9D9C72F4-3BAE-4C70-A1F3-DCDE4C901760}"/>
    <cellStyle name="Percent 4 15 5" xfId="13626" xr:uid="{6B8DD53B-B48E-453C-B679-D830C3E88B21}"/>
    <cellStyle name="Percent 4 15 6" xfId="13627" xr:uid="{DA363A51-4923-45AF-9DD7-756F67074511}"/>
    <cellStyle name="Percent 4 15 7" xfId="13628" xr:uid="{7503F80E-D442-49EA-9354-7ACAD51EB4D8}"/>
    <cellStyle name="Percent 4 15 8" xfId="13629" xr:uid="{08A2B6F5-3140-4FF8-B8C9-50981EF51DB4}"/>
    <cellStyle name="Percent 4 15 9" xfId="13630" xr:uid="{FB2AB3BD-6DF2-409D-97DF-677CDB71B94A}"/>
    <cellStyle name="Percent 4 16" xfId="13631" xr:uid="{6631B8D4-6EE2-4F96-AE17-9BFB4A02F3CD}"/>
    <cellStyle name="Percent 4 16 10" xfId="13632" xr:uid="{1A9A311B-4024-404E-B7BF-D98F660DFDC8}"/>
    <cellStyle name="Percent 4 16 2" xfId="13633" xr:uid="{C79AC120-EE1B-4D12-94AD-BD43E3AF212F}"/>
    <cellStyle name="Percent 4 16 2 2" xfId="13634" xr:uid="{A6F5C411-9DB2-4FC6-BCC8-90097A4FC3B0}"/>
    <cellStyle name="Percent 4 16 2 3" xfId="13635" xr:uid="{4C1A0334-46B9-4E07-ABDB-BD3A8E7C5342}"/>
    <cellStyle name="Percent 4 16 2 4" xfId="13636" xr:uid="{05AC0836-7186-46AD-9670-3DCEF310ADA3}"/>
    <cellStyle name="Percent 4 16 2 5" xfId="13637" xr:uid="{9792EFEC-665F-4B1A-8249-3B4B92FBD85D}"/>
    <cellStyle name="Percent 4 16 3" xfId="13638" xr:uid="{665A72FC-2864-4CF7-A46B-FBDB8862B66F}"/>
    <cellStyle name="Percent 4 16 3 2" xfId="13639" xr:uid="{01D40DB1-A9CC-4B2B-AF07-4AE18C45AD03}"/>
    <cellStyle name="Percent 4 16 3 3" xfId="13640" xr:uid="{BC9BD46D-881D-4CB3-B24D-B8070E276DC4}"/>
    <cellStyle name="Percent 4 16 4" xfId="13641" xr:uid="{7DB79243-4D27-4E8F-BCCA-CFD1F25BC2B6}"/>
    <cellStyle name="Percent 4 16 5" xfId="13642" xr:uid="{BA4D2AC7-67CC-44F4-9FC6-4B3350E4D54C}"/>
    <cellStyle name="Percent 4 16 6" xfId="13643" xr:uid="{6544E9FB-A5B6-4DEC-8214-C564164B0C05}"/>
    <cellStyle name="Percent 4 16 7" xfId="13644" xr:uid="{E91402B9-2488-40B2-8D97-3D171F5C53EA}"/>
    <cellStyle name="Percent 4 16 8" xfId="13645" xr:uid="{CFED9DE6-6BCF-46CF-9CE7-2DFEB5CF478D}"/>
    <cellStyle name="Percent 4 16 9" xfId="13646" xr:uid="{865F6C58-4E6A-426B-B15A-B7EB2C8CCD6A}"/>
    <cellStyle name="Percent 4 17" xfId="13647" xr:uid="{F7780624-E22D-4FFA-8A64-27E162F39D44}"/>
    <cellStyle name="Percent 4 17 10" xfId="13648" xr:uid="{C3645849-0B77-421A-9284-BF55CA02A314}"/>
    <cellStyle name="Percent 4 17 2" xfId="13649" xr:uid="{7FCE2925-9919-44BF-B76B-FB977FFE7A48}"/>
    <cellStyle name="Percent 4 17 3" xfId="13650" xr:uid="{F76007E1-19CA-4D18-BC28-E8B60E1DE3A7}"/>
    <cellStyle name="Percent 4 17 4" xfId="13651" xr:uid="{FE78498D-8DC6-459A-9DD2-0C3A5C3F4C2D}"/>
    <cellStyle name="Percent 4 17 5" xfId="13652" xr:uid="{B9AC6CA7-86E6-4CFF-ACEB-50C8BA40BBFF}"/>
    <cellStyle name="Percent 4 17 6" xfId="13653" xr:uid="{626FF0FB-93B9-46BD-8D2E-3CA3A7D2B9A2}"/>
    <cellStyle name="Percent 4 17 7" xfId="13654" xr:uid="{E75098E1-2378-4443-9E0C-DBB1ACDD5503}"/>
    <cellStyle name="Percent 4 17 8" xfId="13655" xr:uid="{90E6F5AE-4A75-469E-9ADD-3F29BA66878D}"/>
    <cellStyle name="Percent 4 17 9" xfId="13656" xr:uid="{85B40F9A-5D46-4A15-8A51-0B3B5176A91E}"/>
    <cellStyle name="Percent 4 18" xfId="13657" xr:uid="{FE5CAD90-5582-4DDB-81B9-B3A4DE38231A}"/>
    <cellStyle name="Percent 4 18 10" xfId="13658" xr:uid="{6691EB18-D2C5-48B3-B381-E31EF8C34D60}"/>
    <cellStyle name="Percent 4 18 2" xfId="13659" xr:uid="{9933756F-3591-4D37-ADE4-1E643A67CF64}"/>
    <cellStyle name="Percent 4 18 2 2" xfId="13660" xr:uid="{09A33B0C-4979-4A1B-86DE-C15BDF89F969}"/>
    <cellStyle name="Percent 4 18 2 3" xfId="13661" xr:uid="{13FB0C81-294A-4839-8BFA-90EF3DA5DF0D}"/>
    <cellStyle name="Percent 4 18 3" xfId="13662" xr:uid="{9BEC4569-067D-456B-89CF-CD3AF5D14DE2}"/>
    <cellStyle name="Percent 4 18 4" xfId="13663" xr:uid="{BA58FB8E-B723-4FA4-AB34-4591ADA9EF5D}"/>
    <cellStyle name="Percent 4 18 5" xfId="13664" xr:uid="{76A554FB-49D0-4EBD-B50A-820B3529F997}"/>
    <cellStyle name="Percent 4 18 6" xfId="13665" xr:uid="{CE939DD0-8BFF-4F28-A935-679E266921E9}"/>
    <cellStyle name="Percent 4 18 7" xfId="13666" xr:uid="{2BA88A67-F136-437F-B303-4BD88E12A6FA}"/>
    <cellStyle name="Percent 4 18 8" xfId="13667" xr:uid="{91AC9D9D-1F48-422A-9CD6-49BCD24A9D6C}"/>
    <cellStyle name="Percent 4 18 9" xfId="13668" xr:uid="{EA4B7F38-F0C0-433F-ACD0-C3756B0D8219}"/>
    <cellStyle name="Percent 4 19" xfId="13669" xr:uid="{E158C2D0-E353-41A8-972D-0D54EC865D77}"/>
    <cellStyle name="Percent 4 19 10" xfId="13670" xr:uid="{F780C079-DE07-4D16-A841-CBC1A68B21AC}"/>
    <cellStyle name="Percent 4 19 2" xfId="13671" xr:uid="{A8831AAF-83BF-497C-BCF1-7D63BA9002A4}"/>
    <cellStyle name="Percent 4 19 3" xfId="13672" xr:uid="{559418B3-87D7-483A-A3BB-D8BAE0463E7F}"/>
    <cellStyle name="Percent 4 19 4" xfId="13673" xr:uid="{33B78D3C-9166-4C4D-B278-1272E7EE6C6B}"/>
    <cellStyle name="Percent 4 19 5" xfId="13674" xr:uid="{51D7E5D2-8D8A-4658-871D-D7EE95CFE311}"/>
    <cellStyle name="Percent 4 19 6" xfId="13675" xr:uid="{6BBA2EFA-3EEB-4E12-B5E3-EC83EF6886A5}"/>
    <cellStyle name="Percent 4 19 7" xfId="13676" xr:uid="{8BE5568A-1C16-4BD6-982D-3636D65F509A}"/>
    <cellStyle name="Percent 4 19 8" xfId="13677" xr:uid="{D86C1A55-DD34-4C39-8F92-6E30B031F963}"/>
    <cellStyle name="Percent 4 19 9" xfId="13678" xr:uid="{8E1BD8D5-123E-4A71-95BE-8274B9E2C719}"/>
    <cellStyle name="Percent 4 2" xfId="13679" xr:uid="{47312D74-4E94-4113-B2B2-F222BE8E531B}"/>
    <cellStyle name="Percent 4 2 10" xfId="13680" xr:uid="{A035B5B2-9CEF-4DED-8473-33C5A39983B4}"/>
    <cellStyle name="Percent 4 2 11" xfId="13681" xr:uid="{AA970950-2C39-4272-8342-5F00BC65275D}"/>
    <cellStyle name="Percent 4 2 12" xfId="13682" xr:uid="{D9764ED0-0ED6-4845-82C1-C1F2450E1E5E}"/>
    <cellStyle name="Percent 4 2 13" xfId="13683" xr:uid="{70007AD6-33E7-4EDF-BAA4-CBF3EDC9515C}"/>
    <cellStyle name="Percent 4 2 14" xfId="13684" xr:uid="{C8249341-5DF0-41C2-BCCA-3F48A40F7D46}"/>
    <cellStyle name="Percent 4 2 15" xfId="13685" xr:uid="{49EFBB68-5DCE-4694-BA16-370CE5F32AE3}"/>
    <cellStyle name="Percent 4 2 16" xfId="13686" xr:uid="{667B269A-2A03-4C57-A988-0560991C0853}"/>
    <cellStyle name="Percent 4 2 17" xfId="13687" xr:uid="{944D9ACC-3FF9-4C42-A23C-3CF27717B0CA}"/>
    <cellStyle name="Percent 4 2 2" xfId="13688" xr:uid="{7533F945-7CA4-44AD-B58C-2C73E05DA857}"/>
    <cellStyle name="Percent 4 2 2 2" xfId="13689" xr:uid="{4CAAF1FD-66DE-4B25-A321-49ED69196B61}"/>
    <cellStyle name="Percent 4 2 2 3" xfId="13690" xr:uid="{B88105E2-E691-4A9C-815B-9358B18BC4EE}"/>
    <cellStyle name="Percent 4 2 2 4" xfId="13691" xr:uid="{20A21394-C2F5-4C5F-A0E5-F8032AAFC913}"/>
    <cellStyle name="Percent 4 2 2 5" xfId="13692" xr:uid="{F982AABF-77C1-49F0-935D-F5032497420D}"/>
    <cellStyle name="Percent 4 2 2 6" xfId="13693" xr:uid="{3585FEDC-4C41-4F6D-A21E-72065E754580}"/>
    <cellStyle name="Percent 4 2 2 7" xfId="13694" xr:uid="{0864FA93-A8D9-4092-A501-B4CB52C23506}"/>
    <cellStyle name="Percent 4 2 2 8" xfId="13695" xr:uid="{C6A7B922-DFEA-47AC-AF43-4ACFC01396FF}"/>
    <cellStyle name="Percent 4 2 2 9" xfId="13696" xr:uid="{2DB13197-790A-4CF9-9820-377E7B25EB69}"/>
    <cellStyle name="Percent 4 2 3" xfId="13697" xr:uid="{E22C87F9-E717-4BA0-BD52-4E4F220F1DCD}"/>
    <cellStyle name="Percent 4 2 3 2" xfId="13698" xr:uid="{25F09D63-5748-4F99-B038-0C61BA9DDE14}"/>
    <cellStyle name="Percent 4 2 3 3" xfId="13699" xr:uid="{4F6506BD-A191-4B3E-A2B2-D9BF518F92EB}"/>
    <cellStyle name="Percent 4 2 3 4" xfId="13700" xr:uid="{BB655DDC-EE81-4468-9A38-189F930CEBB4}"/>
    <cellStyle name="Percent 4 2 3 5" xfId="13701" xr:uid="{32B1E75A-D371-4B6C-8F28-AA40D63E93B5}"/>
    <cellStyle name="Percent 4 2 3 6" xfId="13702" xr:uid="{6F62CD99-C461-42A7-81A6-77216EC70288}"/>
    <cellStyle name="Percent 4 2 3 7" xfId="13703" xr:uid="{3272A7BC-7383-46FD-9D12-840660F8D284}"/>
    <cellStyle name="Percent 4 2 3 8" xfId="13704" xr:uid="{DC5B03D7-80D1-4AF3-A72C-B065F4D39A81}"/>
    <cellStyle name="Percent 4 2 3 9" xfId="13705" xr:uid="{DF9D3D9F-9AD4-4675-B906-9D6B29045EAA}"/>
    <cellStyle name="Percent 4 2 4" xfId="13706" xr:uid="{CCCBDDB4-54A7-4E47-B8CA-EF0DB440C0EF}"/>
    <cellStyle name="Percent 4 2 4 2" xfId="13707" xr:uid="{56DD089B-A012-4BE3-8533-657812BC4AB5}"/>
    <cellStyle name="Percent 4 2 4 2 2" xfId="13708" xr:uid="{884C5240-A379-4C18-B91D-E4E4F15ACCCB}"/>
    <cellStyle name="Percent 4 2 4 2 3" xfId="13709" xr:uid="{E8A50439-0F16-4F25-9C04-833583158CD2}"/>
    <cellStyle name="Percent 4 2 4 2 4" xfId="13710" xr:uid="{76D17250-B042-4D21-B55C-A6B8D6412E20}"/>
    <cellStyle name="Percent 4 2 4 2 5" xfId="13711" xr:uid="{13FEE665-ECF4-475F-AEFE-138BD14D3985}"/>
    <cellStyle name="Percent 4 2 4 3" xfId="13712" xr:uid="{4981B3C2-FBE6-4AAA-91E9-2D9874F0603F}"/>
    <cellStyle name="Percent 4 2 4 3 2" xfId="13713" xr:uid="{F4B022BE-24C8-492F-8B05-0A6536DC1274}"/>
    <cellStyle name="Percent 4 2 4 3 3" xfId="13714" xr:uid="{C7C8B590-DB26-41D6-AD00-DCBED77AE3D6}"/>
    <cellStyle name="Percent 4 2 4 3 4" xfId="13715" xr:uid="{9A8DC2ED-D0DC-4C0B-8273-5B2D4C57EA75}"/>
    <cellStyle name="Percent 4 2 4 3 5" xfId="13716" xr:uid="{A7EDC16B-D9AD-47A0-AEA1-5D4CB62B1736}"/>
    <cellStyle name="Percent 4 2 4 4" xfId="13717" xr:uid="{2B1BBA82-15DD-4737-A137-495DEBF73235}"/>
    <cellStyle name="Percent 4 2 4 5" xfId="13718" xr:uid="{D4579FEA-0DE3-44C8-9F11-32E34F9101C3}"/>
    <cellStyle name="Percent 4 2 4 6" xfId="13719" xr:uid="{26784B56-9B3D-4405-A735-8EEAE6B2071C}"/>
    <cellStyle name="Percent 4 2 4 7" xfId="13720" xr:uid="{E3B4BD8C-A7D9-4927-BDC2-A15FDACD4D3F}"/>
    <cellStyle name="Percent 4 2 4 8" xfId="13721" xr:uid="{2BC3E248-9B8E-4A28-96CC-7ED250535E40}"/>
    <cellStyle name="Percent 4 2 4 9" xfId="13722" xr:uid="{07F66953-10C1-42DE-A154-6BC470D20DB8}"/>
    <cellStyle name="Percent 4 2 5" xfId="13723" xr:uid="{39D6B38D-3105-4EC9-AE7E-F830F663528F}"/>
    <cellStyle name="Percent 4 2 5 2" xfId="13724" xr:uid="{AFFE8331-366D-4F51-98A9-1CC7CEFD4587}"/>
    <cellStyle name="Percent 4 2 5 3" xfId="13725" xr:uid="{701ED34C-8DC5-43C9-9B7F-89835738AFAF}"/>
    <cellStyle name="Percent 4 2 5 4" xfId="13726" xr:uid="{909C58C9-72A8-41DD-A0E7-32821967A0B2}"/>
    <cellStyle name="Percent 4 2 5 5" xfId="13727" xr:uid="{49DD1D91-B0EB-4AF9-911A-45424F38B0D2}"/>
    <cellStyle name="Percent 4 2 5 6" xfId="13728" xr:uid="{A611B230-C285-4A58-9701-F63FC9A3721A}"/>
    <cellStyle name="Percent 4 2 5 7" xfId="13729" xr:uid="{4C1E9516-9CA3-4F95-B5B6-23399E35D198}"/>
    <cellStyle name="Percent 4 2 5 8" xfId="13730" xr:uid="{E025A300-4365-46A1-ACB1-4B120A017E7A}"/>
    <cellStyle name="Percent 4 2 5 9" xfId="13731" xr:uid="{ABAEA68F-0017-4489-B8E9-3E3428566999}"/>
    <cellStyle name="Percent 4 2 6" xfId="13732" xr:uid="{B85AF76D-6169-4000-8D89-2AA9C0A0B929}"/>
    <cellStyle name="Percent 4 2 6 10" xfId="13733" xr:uid="{417B8E86-132D-4297-AD39-9207D352E98E}"/>
    <cellStyle name="Percent 4 2 6 2" xfId="13734" xr:uid="{03E5581B-63C0-4510-B4D9-2315888F1525}"/>
    <cellStyle name="Percent 4 2 6 2 2" xfId="13735" xr:uid="{A7BDFED0-EEDC-4F8E-BB05-974951630EAE}"/>
    <cellStyle name="Percent 4 2 6 2 3" xfId="13736" xr:uid="{A7FE0301-E535-4E09-936F-856A8E26FD02}"/>
    <cellStyle name="Percent 4 2 6 2 4" xfId="13737" xr:uid="{599B646C-6D90-4B10-A1AF-4658E6299377}"/>
    <cellStyle name="Percent 4 2 6 2 5" xfId="13738" xr:uid="{1D5121FA-B59C-41E2-AD95-7718C0E3DAA5}"/>
    <cellStyle name="Percent 4 2 6 3" xfId="13739" xr:uid="{66E1B723-7EB1-4202-AD54-FEA57717C1CF}"/>
    <cellStyle name="Percent 4 2 6 3 2" xfId="13740" xr:uid="{16EEF93E-75B0-4D73-9A05-00197F53E142}"/>
    <cellStyle name="Percent 4 2 6 3 3" xfId="13741" xr:uid="{D1DCB4B5-8800-4805-826A-8CCAEF824AD8}"/>
    <cellStyle name="Percent 4 2 6 3 4" xfId="13742" xr:uid="{5B158BD4-E701-4A8E-A810-40826BBC96F7}"/>
    <cellStyle name="Percent 4 2 6 3 5" xfId="13743" xr:uid="{74D77BB4-27B7-4CBB-B697-6A9DF050769D}"/>
    <cellStyle name="Percent 4 2 6 4" xfId="13744" xr:uid="{466EB89F-A496-48AC-825F-BF167F9DC3C3}"/>
    <cellStyle name="Percent 4 2 6 5" xfId="13745" xr:uid="{582966C0-DAB0-4090-BFB8-1DE537436974}"/>
    <cellStyle name="Percent 4 2 6 6" xfId="13746" xr:uid="{AF405395-8D4E-44D1-8724-8BEA74F6F4CF}"/>
    <cellStyle name="Percent 4 2 6 7" xfId="13747" xr:uid="{080AB728-8387-44B1-B836-34F01A166858}"/>
    <cellStyle name="Percent 4 2 6 8" xfId="13748" xr:uid="{1CAE4285-A079-49BD-A988-A6D81B656998}"/>
    <cellStyle name="Percent 4 2 6 9" xfId="13749" xr:uid="{55F8966F-B3D5-4869-8CB4-13686A90EE79}"/>
    <cellStyle name="Percent 4 2 7" xfId="13750" xr:uid="{06549516-B1A6-4712-A105-AA84D8971842}"/>
    <cellStyle name="Percent 4 2 7 2" xfId="13751" xr:uid="{FCFEEC3E-F391-40B9-8D8E-DE775DB99351}"/>
    <cellStyle name="Percent 4 2 7 3" xfId="13752" xr:uid="{625FA80B-BB32-4D38-936A-2EC846EF9575}"/>
    <cellStyle name="Percent 4 2 7 4" xfId="13753" xr:uid="{F4FB43A6-BC87-44B7-89D3-29796648E818}"/>
    <cellStyle name="Percent 4 2 7 5" xfId="13754" xr:uid="{AA9897F4-0E3D-49C7-B67A-EE7DDA68A1F1}"/>
    <cellStyle name="Percent 4 2 7 6" xfId="13755" xr:uid="{D0362811-63A0-44AD-808B-C24204979605}"/>
    <cellStyle name="Percent 4 2 7 7" xfId="13756" xr:uid="{8F626FB6-8DAD-4371-822D-003A6B9C0C1E}"/>
    <cellStyle name="Percent 4 2 7 8" xfId="13757" xr:uid="{07206DB9-5BF6-489A-9A90-0F78816B73EC}"/>
    <cellStyle name="Percent 4 2 7 9" xfId="13758" xr:uid="{E3EB3E17-7CED-4B44-BCD2-CE44573EC54B}"/>
    <cellStyle name="Percent 4 2 8" xfId="13759" xr:uid="{6BABA557-3EAC-4B6F-AA9C-91CC3B1F4F37}"/>
    <cellStyle name="Percent 4 2 8 2" xfId="13760" xr:uid="{8FFC2C55-5F7A-4573-87CD-21C065B2C92D}"/>
    <cellStyle name="Percent 4 2 8 3" xfId="13761" xr:uid="{699914A0-C7BD-4320-902B-1E7CE0414AEC}"/>
    <cellStyle name="Percent 4 2 8 4" xfId="13762" xr:uid="{EFB1BDAD-F5DC-41A8-A2FA-110EFDAA51DD}"/>
    <cellStyle name="Percent 4 2 8 5" xfId="13763" xr:uid="{82B530A3-CE06-489F-AC7B-021DF27A7201}"/>
    <cellStyle name="Percent 4 2 8 6" xfId="13764" xr:uid="{383BAF73-9CFD-48DA-B2C4-473D58785781}"/>
    <cellStyle name="Percent 4 2 8 7" xfId="13765" xr:uid="{CA1D3FB0-5B20-4920-BC80-96B2AE3826AD}"/>
    <cellStyle name="Percent 4 2 8 8" xfId="13766" xr:uid="{520AEE49-A17D-47C8-8E94-F01B0E5269FD}"/>
    <cellStyle name="Percent 4 2 8 9" xfId="13767" xr:uid="{F3EB06A0-75BA-483D-8E68-17DBCA26072F}"/>
    <cellStyle name="Percent 4 2 9" xfId="13768" xr:uid="{3A91AB43-77D2-4376-85FA-B26CAF52245E}"/>
    <cellStyle name="Percent 4 2 9 2" xfId="13769" xr:uid="{C70B6DAD-6652-40ED-96A5-DBB35F1E82AD}"/>
    <cellStyle name="Percent 4 2 9 3" xfId="13770" xr:uid="{CB2A603C-50F7-46A2-91AF-6D999B3336EF}"/>
    <cellStyle name="Percent 4 2 9 4" xfId="13771" xr:uid="{07E3FE91-3F6C-4E63-9AC5-6E3F25BC465E}"/>
    <cellStyle name="Percent 4 2 9 5" xfId="13772" xr:uid="{2E97F69A-D3EE-49D4-AF35-D1DD5495D02A}"/>
    <cellStyle name="Percent 4 20" xfId="13773" xr:uid="{1E35CBF1-152F-4768-B235-9882D4DC73BC}"/>
    <cellStyle name="Percent 4 20 10" xfId="13774" xr:uid="{9B0D35F6-DAD4-4279-9752-8B9061D0C0E5}"/>
    <cellStyle name="Percent 4 20 2" xfId="13775" xr:uid="{8AF28920-E3C8-4BF8-AF5E-CE9772FC3FC5}"/>
    <cellStyle name="Percent 4 20 3" xfId="13776" xr:uid="{F1065529-4D9A-4857-AA69-7A9E3378F0F2}"/>
    <cellStyle name="Percent 4 20 4" xfId="13777" xr:uid="{F601B600-3DFA-4916-B0BA-BC979FE69335}"/>
    <cellStyle name="Percent 4 20 5" xfId="13778" xr:uid="{527B6549-1242-4265-91E2-FBDED23B709E}"/>
    <cellStyle name="Percent 4 20 6" xfId="13779" xr:uid="{1DE871CD-173C-48B6-9AE9-DCBECFBF5B6E}"/>
    <cellStyle name="Percent 4 20 7" xfId="13780" xr:uid="{912B5A66-F747-4360-B609-D9E88D5BC635}"/>
    <cellStyle name="Percent 4 20 8" xfId="13781" xr:uid="{0CA63208-C4F9-40B0-9138-80968CC809E6}"/>
    <cellStyle name="Percent 4 20 9" xfId="13782" xr:uid="{9ED3B262-BF3B-4E70-970C-9F48A709BF88}"/>
    <cellStyle name="Percent 4 21" xfId="13783" xr:uid="{DED81144-6C97-4BD1-865B-3B652932552D}"/>
    <cellStyle name="Percent 4 21 10" xfId="13784" xr:uid="{45766E2A-A66F-42A0-B06C-DE07C6B0ED62}"/>
    <cellStyle name="Percent 4 21 2" xfId="13785" xr:uid="{4764519C-27E8-40A4-90F5-927816D2586D}"/>
    <cellStyle name="Percent 4 21 3" xfId="13786" xr:uid="{D1E05F75-F49F-484C-AB90-C4B0211F5409}"/>
    <cellStyle name="Percent 4 21 4" xfId="13787" xr:uid="{04099497-A7DD-4C15-8B52-EB62EBDF67AD}"/>
    <cellStyle name="Percent 4 21 5" xfId="13788" xr:uid="{34E922BB-6EF2-4368-82F1-90EAA0AF7AA7}"/>
    <cellStyle name="Percent 4 21 6" xfId="13789" xr:uid="{F2A9BF6E-0CA4-476E-9115-06AEBAC6118C}"/>
    <cellStyle name="Percent 4 21 7" xfId="13790" xr:uid="{E96065FD-3879-4B80-A296-F3DFC00383EE}"/>
    <cellStyle name="Percent 4 21 8" xfId="13791" xr:uid="{6514B259-77A0-449F-92DD-74412B20FF13}"/>
    <cellStyle name="Percent 4 21 9" xfId="13792" xr:uid="{458234BC-AD9E-4CC8-BBCF-74CA00AA6C03}"/>
    <cellStyle name="Percent 4 22" xfId="13793" xr:uid="{33FAEA95-B998-4291-8AE1-445F08A19F89}"/>
    <cellStyle name="Percent 4 22 10" xfId="13794" xr:uid="{158790BC-661F-4438-B0AE-87360BDC917F}"/>
    <cellStyle name="Percent 4 22 2" xfId="13795" xr:uid="{6E8706D1-7F85-4AF2-86DA-93C342707599}"/>
    <cellStyle name="Percent 4 22 3" xfId="13796" xr:uid="{ECE2352D-3CF1-4899-A550-C7E083AA6E52}"/>
    <cellStyle name="Percent 4 22 4" xfId="13797" xr:uid="{7990168C-95C0-4B2A-9639-3674AC6B9EF7}"/>
    <cellStyle name="Percent 4 22 5" xfId="13798" xr:uid="{C788867A-1BF7-4CBF-AAC5-89AAFF80F636}"/>
    <cellStyle name="Percent 4 22 6" xfId="13799" xr:uid="{747A8FA0-7979-4A04-9CDB-94F6192F271A}"/>
    <cellStyle name="Percent 4 22 7" xfId="13800" xr:uid="{D7CFB235-9749-4E02-A402-5B8346157C95}"/>
    <cellStyle name="Percent 4 22 8" xfId="13801" xr:uid="{8A1F6BE7-33E0-456F-893B-75E432EA87C6}"/>
    <cellStyle name="Percent 4 22 9" xfId="13802" xr:uid="{92CDC164-7544-4FD9-8EFB-4198BD1D1FA0}"/>
    <cellStyle name="Percent 4 23" xfId="13803" xr:uid="{08E36485-2AB2-44EC-9E76-D51D6DC04861}"/>
    <cellStyle name="Percent 4 23 10" xfId="13804" xr:uid="{C5845616-5213-4888-9707-222627B48029}"/>
    <cellStyle name="Percent 4 23 2" xfId="13805" xr:uid="{997CBD58-A929-4405-B968-7077876916BD}"/>
    <cellStyle name="Percent 4 23 3" xfId="13806" xr:uid="{F6C8C2CE-D9CA-491C-A386-A0434E6B35C8}"/>
    <cellStyle name="Percent 4 23 4" xfId="13807" xr:uid="{41E60B48-9E71-4F31-B0E1-304DB9A55D47}"/>
    <cellStyle name="Percent 4 23 5" xfId="13808" xr:uid="{7E3C1867-EAAE-48C4-A0F3-59A0E862D0C6}"/>
    <cellStyle name="Percent 4 23 6" xfId="13809" xr:uid="{36AEF4DE-1B22-464A-9A45-0C9A540C74B0}"/>
    <cellStyle name="Percent 4 23 7" xfId="13810" xr:uid="{572837F6-1989-42FE-9289-5127DFFE1E68}"/>
    <cellStyle name="Percent 4 23 8" xfId="13811" xr:uid="{E655996B-17A9-44DD-83D5-F1F4F2DDA726}"/>
    <cellStyle name="Percent 4 23 9" xfId="13812" xr:uid="{4BD359F4-7FD3-4584-8AC1-8228B54988EE}"/>
    <cellStyle name="Percent 4 24" xfId="13813" xr:uid="{59C25FED-D07C-4415-9B72-8175054D9C25}"/>
    <cellStyle name="Percent 4 24 10" xfId="13814" xr:uid="{BBBF2D5A-340A-49C0-AA75-D689AC13420E}"/>
    <cellStyle name="Percent 4 24 2" xfId="13815" xr:uid="{0A600DD4-B278-40D3-9246-8084CC1C6A96}"/>
    <cellStyle name="Percent 4 24 3" xfId="13816" xr:uid="{693F4AAC-20F3-4E6F-A7ED-631CE3BBE629}"/>
    <cellStyle name="Percent 4 24 4" xfId="13817" xr:uid="{553468D4-AD83-40F5-9A6A-9F85AC523B5C}"/>
    <cellStyle name="Percent 4 24 5" xfId="13818" xr:uid="{0184FBED-D36B-4CE9-8C12-2099109985A3}"/>
    <cellStyle name="Percent 4 24 6" xfId="13819" xr:uid="{A8A635C2-E500-4B86-8AD3-5C31127DB443}"/>
    <cellStyle name="Percent 4 24 7" xfId="13820" xr:uid="{7DF87E86-27C4-458B-8514-FC0F3020EEF5}"/>
    <cellStyle name="Percent 4 24 8" xfId="13821" xr:uid="{FAF2DBB0-4523-4ED2-BD41-A617C27DD4F8}"/>
    <cellStyle name="Percent 4 24 9" xfId="13822" xr:uid="{7744245A-ADC4-4A1C-9D3C-B1098793C315}"/>
    <cellStyle name="Percent 4 25" xfId="13823" xr:uid="{C59C8CA8-7284-4687-B201-B2E9E8B608A8}"/>
    <cellStyle name="Percent 4 25 10" xfId="13824" xr:uid="{847608D1-1B3E-4DD0-8540-E22F34CDE138}"/>
    <cellStyle name="Percent 4 25 2" xfId="13825" xr:uid="{4DD204F5-DAFB-4EE2-9325-C33F7A2D191E}"/>
    <cellStyle name="Percent 4 25 3" xfId="13826" xr:uid="{63CBA7BD-365F-4CB2-A054-A80B6F2A4B44}"/>
    <cellStyle name="Percent 4 25 4" xfId="13827" xr:uid="{C6BA69FE-08E7-4BBF-9BF8-57D57265A40E}"/>
    <cellStyle name="Percent 4 25 5" xfId="13828" xr:uid="{B742B8C3-6A6F-43A3-8622-CD8373C76EBA}"/>
    <cellStyle name="Percent 4 25 6" xfId="13829" xr:uid="{9DD5A440-EF6D-423C-BD18-9C9ABF27EE5A}"/>
    <cellStyle name="Percent 4 25 7" xfId="13830" xr:uid="{6BD8576F-C4E2-401E-8DDB-6B3B17E7918C}"/>
    <cellStyle name="Percent 4 25 8" xfId="13831" xr:uid="{113E2E6B-24AF-4F0C-A64D-0C79641CE992}"/>
    <cellStyle name="Percent 4 25 9" xfId="13832" xr:uid="{30693514-28EF-4264-B1CB-21B60684410D}"/>
    <cellStyle name="Percent 4 26" xfId="13833" xr:uid="{9E7B16E9-2A64-4FA8-AE1C-4175FD79BEE5}"/>
    <cellStyle name="Percent 4 26 10" xfId="13834" xr:uid="{866A4E56-BD51-404D-A854-DA215EF85EDB}"/>
    <cellStyle name="Percent 4 26 2" xfId="13835" xr:uid="{2D514919-8E4C-43C7-ACE9-AEDDAC52D029}"/>
    <cellStyle name="Percent 4 26 3" xfId="13836" xr:uid="{FB7495C3-626F-47B6-A283-F75EC338AA07}"/>
    <cellStyle name="Percent 4 26 4" xfId="13837" xr:uid="{21A9F9AA-5340-4C49-8E94-F231FED16E80}"/>
    <cellStyle name="Percent 4 26 5" xfId="13838" xr:uid="{7044C4D4-CA6B-4BDD-9403-6AD654CC0CE7}"/>
    <cellStyle name="Percent 4 26 6" xfId="13839" xr:uid="{AE4003E3-343E-4883-A525-0C7CFBA2F958}"/>
    <cellStyle name="Percent 4 26 7" xfId="13840" xr:uid="{6D891DF7-E4A1-41FA-84C7-DE728DA7D617}"/>
    <cellStyle name="Percent 4 26 8" xfId="13841" xr:uid="{131DAE53-3FA1-42D6-A553-9EE58F37B3A1}"/>
    <cellStyle name="Percent 4 26 9" xfId="13842" xr:uid="{E412647A-F057-46C3-9416-68B06837C6FA}"/>
    <cellStyle name="Percent 4 27" xfId="13843" xr:uid="{1A5E341E-4BA9-432F-88F9-1E70ABADDF23}"/>
    <cellStyle name="Percent 4 27 10" xfId="13844" xr:uid="{CE11DC75-CA04-4650-9C77-7B4E82CF3D75}"/>
    <cellStyle name="Percent 4 27 2" xfId="13845" xr:uid="{74DE871B-91E6-4D95-A7E2-91FF29500425}"/>
    <cellStyle name="Percent 4 27 3" xfId="13846" xr:uid="{77C9DD46-CE35-4357-9267-D5C3837D84D4}"/>
    <cellStyle name="Percent 4 27 4" xfId="13847" xr:uid="{7104B8F2-BAA7-4DE0-B9A4-65A134A60F0F}"/>
    <cellStyle name="Percent 4 27 5" xfId="13848" xr:uid="{4D9E1704-3B81-41E4-BE48-D880B29E560B}"/>
    <cellStyle name="Percent 4 27 6" xfId="13849" xr:uid="{B4055E45-1EF8-41D0-9BB0-784674C39BEA}"/>
    <cellStyle name="Percent 4 27 7" xfId="13850" xr:uid="{699FB71A-D7A3-4199-82E3-9C7A871C2CBB}"/>
    <cellStyle name="Percent 4 27 8" xfId="13851" xr:uid="{852E361D-AE73-47F5-8ADB-157D9FA61CA1}"/>
    <cellStyle name="Percent 4 27 9" xfId="13852" xr:uid="{0A03DEB5-6A76-49EA-B956-222A4253F0BA}"/>
    <cellStyle name="Percent 4 28" xfId="13853" xr:uid="{285E672E-B0B1-407B-9158-F5AF45D91826}"/>
    <cellStyle name="Percent 4 28 10" xfId="13854" xr:uid="{A43EA7EF-491F-4B99-8B9E-0FE8B19ADDFD}"/>
    <cellStyle name="Percent 4 28 2" xfId="13855" xr:uid="{88A9D93B-EC01-41EF-B538-01D65F20D41D}"/>
    <cellStyle name="Percent 4 28 3" xfId="13856" xr:uid="{E242320E-05B2-48B0-9D00-E0C15A1DB8DF}"/>
    <cellStyle name="Percent 4 28 4" xfId="13857" xr:uid="{B0166D28-F241-4BC1-BB65-4685923FBBEA}"/>
    <cellStyle name="Percent 4 28 5" xfId="13858" xr:uid="{A39D45CF-7B1D-44F8-ADAB-B106016FD766}"/>
    <cellStyle name="Percent 4 28 6" xfId="13859" xr:uid="{B13A2C81-7BBE-471F-BC32-F3BFE09C1DCD}"/>
    <cellStyle name="Percent 4 28 7" xfId="13860" xr:uid="{348A757B-3CE2-4F97-84A4-ED7B374DAED8}"/>
    <cellStyle name="Percent 4 28 8" xfId="13861" xr:uid="{673FD4B3-A28C-4A31-9F6A-97D9FED994C8}"/>
    <cellStyle name="Percent 4 28 9" xfId="13862" xr:uid="{482E9087-8BC4-4E3F-A9C3-0E842D78F138}"/>
    <cellStyle name="Percent 4 29" xfId="13863" xr:uid="{A79C176A-C20E-4B7A-90D1-7709BF1780A4}"/>
    <cellStyle name="Percent 4 29 10" xfId="13864" xr:uid="{6DCB8BCB-1458-4F93-9B75-903DF902B34B}"/>
    <cellStyle name="Percent 4 29 2" xfId="13865" xr:uid="{503B04B0-CBE8-41BE-8173-8BBD5F2694BF}"/>
    <cellStyle name="Percent 4 29 2 2" xfId="13866" xr:uid="{78BABFA6-A565-4C52-84F8-F63491AB08DC}"/>
    <cellStyle name="Percent 4 29 2 3" xfId="13867" xr:uid="{73732C40-263F-4366-87A9-7520D720CEBA}"/>
    <cellStyle name="Percent 4 29 2 4" xfId="13868" xr:uid="{46F42D70-8BBA-4EBB-BE84-9029E0641AF0}"/>
    <cellStyle name="Percent 4 29 2 5" xfId="13869" xr:uid="{A4EC6D62-EB0F-4FA7-9EC3-BA6D21BF1427}"/>
    <cellStyle name="Percent 4 29 3" xfId="13870" xr:uid="{8FD5348A-1A2C-42D5-BA5B-512ACCE85514}"/>
    <cellStyle name="Percent 4 29 3 2" xfId="13871" xr:uid="{617389DD-83A2-4613-A605-EB9EAF360935}"/>
    <cellStyle name="Percent 4 29 3 2 2" xfId="13872" xr:uid="{9D2B3093-9184-4863-8B0E-6A906F29C583}"/>
    <cellStyle name="Percent 4 29 3 2 2 2" xfId="13873" xr:uid="{641A40A3-9817-4DA7-BB6A-035708AFC70C}"/>
    <cellStyle name="Percent 4 29 3 2 3" xfId="13874" xr:uid="{E8857738-0F8B-497D-814D-82DC786C0CD0}"/>
    <cellStyle name="Percent 4 29 3 3" xfId="13875" xr:uid="{B2F47676-3918-4E40-B2E5-3BC07C3A349F}"/>
    <cellStyle name="Percent 4 29 3 3 2" xfId="13876" xr:uid="{7F372276-8391-4503-AEF5-58AFAD1E8546}"/>
    <cellStyle name="Percent 4 29 3 3 2 2" xfId="13877" xr:uid="{1C787265-0183-452A-BE89-14A249BE5F08}"/>
    <cellStyle name="Percent 4 29 3 3 3" xfId="13878" xr:uid="{0266EEC5-9ADE-4817-96B2-C8B87B9A32F6}"/>
    <cellStyle name="Percent 4 29 3 4" xfId="13879" xr:uid="{2F218E7C-756D-4091-BAC5-974BFDD846F3}"/>
    <cellStyle name="Percent 4 29 3 4 2" xfId="13880" xr:uid="{D5A8F387-4FE5-4600-B998-58392EB68005}"/>
    <cellStyle name="Percent 4 29 3 5" xfId="13881" xr:uid="{2E6118D2-1CFC-4F7F-902D-7EDA6C14E203}"/>
    <cellStyle name="Percent 4 29 3 6" xfId="13882" xr:uid="{23C8FBFA-DD5B-4C4C-8F5E-26805D244B39}"/>
    <cellStyle name="Percent 4 29 3 7" xfId="13883" xr:uid="{876A273C-7EE5-4587-AC83-7FADE05166D4}"/>
    <cellStyle name="Percent 4 29 3 8" xfId="13884" xr:uid="{6A46805A-5E4A-4CAE-8881-E4185FEDAEAB}"/>
    <cellStyle name="Percent 4 29 4" xfId="13885" xr:uid="{E336C5DF-AAA5-439F-890B-362DD5DA6B3F}"/>
    <cellStyle name="Percent 4 29 4 2" xfId="13886" xr:uid="{CC7406F1-6F79-4415-A9BE-7680AE57F6A7}"/>
    <cellStyle name="Percent 4 29 4 2 2" xfId="13887" xr:uid="{FA8629F8-0E8A-4774-8E3C-9D86B0283989}"/>
    <cellStyle name="Percent 4 29 4 3" xfId="13888" xr:uid="{D9BE7DB2-9F3E-4E19-A6BA-1B0F426B41EB}"/>
    <cellStyle name="Percent 4 29 4 4" xfId="13889" xr:uid="{312436B5-B9C6-4789-B01A-DF0111576D7E}"/>
    <cellStyle name="Percent 4 29 5" xfId="13890" xr:uid="{0DDCD0B6-65D8-4A48-A7C2-74920AC781B1}"/>
    <cellStyle name="Percent 4 29 5 2" xfId="13891" xr:uid="{5BE285A1-293F-447B-AD2D-621223D89B44}"/>
    <cellStyle name="Percent 4 29 5 2 2" xfId="13892" xr:uid="{186C6160-81C5-4D19-860E-6CA65F249308}"/>
    <cellStyle name="Percent 4 29 5 3" xfId="13893" xr:uid="{CE86E747-DAE7-42B2-8CA9-F4223C792D86}"/>
    <cellStyle name="Percent 4 29 5 4" xfId="13894" xr:uid="{BD264983-4CB7-4D6B-A48A-1DF03305371C}"/>
    <cellStyle name="Percent 4 29 6" xfId="13895" xr:uid="{D28A7774-2332-4BDB-A744-079DB544C6DD}"/>
    <cellStyle name="Percent 4 29 6 2" xfId="13896" xr:uid="{0DC9AEE5-0B0D-4BCA-97B6-DED80D48CC35}"/>
    <cellStyle name="Percent 4 29 6 3" xfId="13897" xr:uid="{9464337A-E615-4449-B8C5-E60BB43A5422}"/>
    <cellStyle name="Percent 4 29 7" xfId="13898" xr:uid="{9463C173-CE79-4127-9643-E40A88DA73D6}"/>
    <cellStyle name="Percent 4 29 8" xfId="13899" xr:uid="{3F6D2E19-EF1D-4E55-B31A-83FCA98B7C84}"/>
    <cellStyle name="Percent 4 29 9" xfId="13900" xr:uid="{9859F6E1-0516-41B7-B116-D39FB90F29B5}"/>
    <cellStyle name="Percent 4 3" xfId="13901" xr:uid="{895755A3-6B7D-49E7-9D4C-08C9704BB205}"/>
    <cellStyle name="Percent 4 3 10" xfId="13902" xr:uid="{12537556-990A-491A-AB86-B20BC0645EF5}"/>
    <cellStyle name="Percent 4 3 11" xfId="13903" xr:uid="{25BA86CA-1706-4F1C-A9C0-2A727715183E}"/>
    <cellStyle name="Percent 4 3 12" xfId="13904" xr:uid="{304CC1E1-9B95-4491-8C5C-D6614B3E5DE8}"/>
    <cellStyle name="Percent 4 3 13" xfId="13905" xr:uid="{86AA0110-5376-4B18-9B0C-6A250D51F054}"/>
    <cellStyle name="Percent 4 3 14" xfId="13906" xr:uid="{E1708F01-79FC-48ED-B7BB-AFDC58750ADA}"/>
    <cellStyle name="Percent 4 3 15" xfId="13907" xr:uid="{F5B50E98-ECB0-4C80-B216-6CF3264C337C}"/>
    <cellStyle name="Percent 4 3 16" xfId="13908" xr:uid="{D17F10BE-C89C-4569-9786-BA4ABFDEBC03}"/>
    <cellStyle name="Percent 4 3 17" xfId="13909" xr:uid="{EEC113AE-3341-465A-BBBB-F4F2B1E5F083}"/>
    <cellStyle name="Percent 4 3 2" xfId="13910" xr:uid="{FEE3D7A2-D235-44A3-B9C4-5E697CF02589}"/>
    <cellStyle name="Percent 4 3 2 2" xfId="13911" xr:uid="{DCFA60A6-940F-489E-8760-97C66B761F9A}"/>
    <cellStyle name="Percent 4 3 2 3" xfId="13912" xr:uid="{1607E428-9005-4C70-8495-A97C1D3D2F1D}"/>
    <cellStyle name="Percent 4 3 2 4" xfId="13913" xr:uid="{2623FD72-E154-45F7-9F1D-D62BC3BCFFE1}"/>
    <cellStyle name="Percent 4 3 2 5" xfId="13914" xr:uid="{C96087B1-233F-4300-AF6E-4F76345911D3}"/>
    <cellStyle name="Percent 4 3 2 6" xfId="13915" xr:uid="{DB040D3E-5CA4-499D-8EBF-F3487E227790}"/>
    <cellStyle name="Percent 4 3 2 7" xfId="13916" xr:uid="{22C487BE-6B8E-4F24-B3E7-905E41A0826A}"/>
    <cellStyle name="Percent 4 3 2 8" xfId="13917" xr:uid="{5A9FE937-AEA2-454F-BCE1-985C722BDEE7}"/>
    <cellStyle name="Percent 4 3 2 9" xfId="13918" xr:uid="{309E8F74-7F9B-46AF-8381-CD10A5F2403F}"/>
    <cellStyle name="Percent 4 3 3" xfId="13919" xr:uid="{BFA8BC5B-BC91-49A2-8A0A-55C3A14FF735}"/>
    <cellStyle name="Percent 4 3 3 2" xfId="13920" xr:uid="{D426FCF4-B0E7-47B5-AFCB-CBA8B577ACDA}"/>
    <cellStyle name="Percent 4 3 3 3" xfId="13921" xr:uid="{E3D6E8D0-7FB2-42BD-BA6B-D4E9E26127AC}"/>
    <cellStyle name="Percent 4 3 3 4" xfId="13922" xr:uid="{583484A6-22A7-4FFA-A395-475D1E8886C0}"/>
    <cellStyle name="Percent 4 3 3 5" xfId="13923" xr:uid="{325878F8-3A27-4FD4-A835-3370191E7689}"/>
    <cellStyle name="Percent 4 3 3 6" xfId="13924" xr:uid="{A8609C3C-EBE7-47E1-B3FD-AEFD80B7C879}"/>
    <cellStyle name="Percent 4 3 3 7" xfId="13925" xr:uid="{BFE276B9-F183-44A8-B390-0854056772F8}"/>
    <cellStyle name="Percent 4 3 3 8" xfId="13926" xr:uid="{AF342A66-0514-41CF-B646-3C01162F2012}"/>
    <cellStyle name="Percent 4 3 3 9" xfId="13927" xr:uid="{C96C2DBD-741E-41DB-B50F-E2C8844FD423}"/>
    <cellStyle name="Percent 4 3 4" xfId="13928" xr:uid="{12928842-6E78-47F0-A352-3CC4689FF9BD}"/>
    <cellStyle name="Percent 4 3 4 2" xfId="13929" xr:uid="{A8CF2E5F-28C5-473C-ADB6-05CF17D3A054}"/>
    <cellStyle name="Percent 4 3 4 3" xfId="13930" xr:uid="{794BE885-5288-4838-AA8E-55E4214C1616}"/>
    <cellStyle name="Percent 4 3 4 4" xfId="13931" xr:uid="{9A63C480-88A1-4AC3-A30D-97965B984D24}"/>
    <cellStyle name="Percent 4 3 4 5" xfId="13932" xr:uid="{0B0EB594-58CC-4C07-9809-D78B44F9D6EB}"/>
    <cellStyle name="Percent 4 3 4 6" xfId="13933" xr:uid="{9CFF389D-B485-4DA2-96DC-365D8BBFEF37}"/>
    <cellStyle name="Percent 4 3 4 7" xfId="13934" xr:uid="{191925A0-B991-4A45-A416-7A85C91C4600}"/>
    <cellStyle name="Percent 4 3 4 8" xfId="13935" xr:uid="{5024C43D-6B52-4756-97B5-8E2B9830681D}"/>
    <cellStyle name="Percent 4 3 4 9" xfId="13936" xr:uid="{0CCEC927-1207-4431-AF48-393213F4CD68}"/>
    <cellStyle name="Percent 4 3 5" xfId="13937" xr:uid="{C4A985A7-3D27-4C3C-B6C2-1B0CE39B8070}"/>
    <cellStyle name="Percent 4 3 5 2" xfId="13938" xr:uid="{B564A908-DD10-4D6A-BC4D-A52C5460E821}"/>
    <cellStyle name="Percent 4 3 5 3" xfId="13939" xr:uid="{AAA6EE5B-8EE0-4FD2-8AB4-6D0291173EA9}"/>
    <cellStyle name="Percent 4 3 5 4" xfId="13940" xr:uid="{B27B292B-7CE2-47C7-BF93-36192C80C4FB}"/>
    <cellStyle name="Percent 4 3 5 5" xfId="13941" xr:uid="{CD08CEFA-773B-4BBA-A396-DB8CC39995C0}"/>
    <cellStyle name="Percent 4 3 5 6" xfId="13942" xr:uid="{DA1E0FDD-6458-43CC-9454-372A9F5A2896}"/>
    <cellStyle name="Percent 4 3 5 7" xfId="13943" xr:uid="{3A75DF6B-FAFA-4A20-848C-7CBE3223991F}"/>
    <cellStyle name="Percent 4 3 5 8" xfId="13944" xr:uid="{66C0092C-D655-40B7-88DC-918FA4AB3F90}"/>
    <cellStyle name="Percent 4 3 5 9" xfId="13945" xr:uid="{BE01629E-26D9-4868-B4E3-48DC4082243E}"/>
    <cellStyle name="Percent 4 3 6" xfId="13946" xr:uid="{EAD7C180-BC90-488C-9092-FB778B131B6D}"/>
    <cellStyle name="Percent 4 3 6 2" xfId="13947" xr:uid="{630058CC-3B71-49B0-8D4D-59FC5BEF4BD4}"/>
    <cellStyle name="Percent 4 3 6 3" xfId="13948" xr:uid="{178F7856-5B49-43E7-8643-165DC3B774EC}"/>
    <cellStyle name="Percent 4 3 6 4" xfId="13949" xr:uid="{5BE90121-6CA7-473C-977F-D7C1E1ABFC6A}"/>
    <cellStyle name="Percent 4 3 6 5" xfId="13950" xr:uid="{3A209137-38FF-44E7-8626-EAFBB6D101DB}"/>
    <cellStyle name="Percent 4 3 6 6" xfId="13951" xr:uid="{82547992-49BB-450B-8918-75C5EEEC39C8}"/>
    <cellStyle name="Percent 4 3 6 7" xfId="13952" xr:uid="{778CC0A8-4956-4C5D-9695-7EAF9FFA5CB0}"/>
    <cellStyle name="Percent 4 3 6 8" xfId="13953" xr:uid="{DE6ADB7C-4676-4933-9D01-09F548FBDFE9}"/>
    <cellStyle name="Percent 4 3 6 9" xfId="13954" xr:uid="{22629439-E214-4F7C-BF47-4A0B95E93788}"/>
    <cellStyle name="Percent 4 3 7" xfId="13955" xr:uid="{19389775-4DF0-44C6-A050-BD75BD537546}"/>
    <cellStyle name="Percent 4 3 7 2" xfId="13956" xr:uid="{1402431A-1721-400F-A338-6E9414197E1C}"/>
    <cellStyle name="Percent 4 3 7 3" xfId="13957" xr:uid="{0C9ADC86-CB78-4E66-A361-E9D9E3ED778E}"/>
    <cellStyle name="Percent 4 3 7 4" xfId="13958" xr:uid="{A422CB72-7E88-4BB6-BDF3-BCA68AA76268}"/>
    <cellStyle name="Percent 4 3 7 5" xfId="13959" xr:uid="{BE8A50D0-2E8B-4569-9BE8-EB6A2203DA78}"/>
    <cellStyle name="Percent 4 3 7 6" xfId="13960" xr:uid="{55A63793-2254-4BAC-B3D3-CD1AAD12FF3F}"/>
    <cellStyle name="Percent 4 3 7 7" xfId="13961" xr:uid="{B6E1CAB2-33CD-47F2-8FE7-70D669C32DDC}"/>
    <cellStyle name="Percent 4 3 7 8" xfId="13962" xr:uid="{EE0F6B0D-C34F-46C8-B473-0BAE390E8D4E}"/>
    <cellStyle name="Percent 4 3 7 9" xfId="13963" xr:uid="{F20ACC4F-4D26-404B-ADFF-BB315A714385}"/>
    <cellStyle name="Percent 4 3 8" xfId="13964" xr:uid="{BEF85647-8818-4F13-B7D1-028ED41D8B64}"/>
    <cellStyle name="Percent 4 3 8 2" xfId="13965" xr:uid="{7D62375F-67A9-45CF-9462-E60E8F6B856E}"/>
    <cellStyle name="Percent 4 3 8 3" xfId="13966" xr:uid="{02358B25-42CA-4A58-8E97-EC6023869E36}"/>
    <cellStyle name="Percent 4 3 8 4" xfId="13967" xr:uid="{BF71D18D-DAFF-4F3D-ACC0-F9A47C95D841}"/>
    <cellStyle name="Percent 4 3 8 5" xfId="13968" xr:uid="{C858629E-6108-4172-944F-B6CA187C8E31}"/>
    <cellStyle name="Percent 4 3 8 6" xfId="13969" xr:uid="{6225B953-60FD-447F-B49B-E083C1847C7B}"/>
    <cellStyle name="Percent 4 3 8 7" xfId="13970" xr:uid="{315DB047-B5EB-4CFC-B014-0B2B35EE214E}"/>
    <cellStyle name="Percent 4 3 8 8" xfId="13971" xr:uid="{88CBD350-1619-4DC5-AEC3-154123EC95FA}"/>
    <cellStyle name="Percent 4 3 8 9" xfId="13972" xr:uid="{344ADB61-22E9-4DDE-905A-AE09D918F196}"/>
    <cellStyle name="Percent 4 3 9" xfId="13973" xr:uid="{B026400D-0533-49A7-807C-02CC8EED50C1}"/>
    <cellStyle name="Percent 4 30" xfId="13974" xr:uid="{FDFBF4FF-907A-42B1-8801-51912191D639}"/>
    <cellStyle name="Percent 4 30 2" xfId="13975" xr:uid="{42EDF2EB-D915-4090-A9F8-7686D43858DD}"/>
    <cellStyle name="Percent 4 30 3" xfId="13976" xr:uid="{012550D9-9B40-4E8F-ABAC-F1D12E485C18}"/>
    <cellStyle name="Percent 4 30 4" xfId="13977" xr:uid="{F0577005-E2AD-4E73-BB83-144CDD2CF963}"/>
    <cellStyle name="Percent 4 30 5" xfId="13978" xr:uid="{CF5F4089-AB5A-4DEC-B89F-0D76890AD425}"/>
    <cellStyle name="Percent 4 31" xfId="13979" xr:uid="{9DA73B91-B11A-4D7A-A7A5-B9B4EBEC7780}"/>
    <cellStyle name="Percent 4 31 2" xfId="13980" xr:uid="{CC23C34B-E35D-49E8-9625-B99CA4C095E5}"/>
    <cellStyle name="Percent 4 31 3" xfId="13981" xr:uid="{2DFBDC52-AA29-46A7-B701-66E9280C3A4E}"/>
    <cellStyle name="Percent 4 31 4" xfId="13982" xr:uid="{EE3AF2DF-B46E-4EEF-ACF6-6412E3DCA995}"/>
    <cellStyle name="Percent 4 31 5" xfId="13983" xr:uid="{3CBDD740-A580-4060-AA51-4501102969B4}"/>
    <cellStyle name="Percent 4 32" xfId="13984" xr:uid="{D89D8EEC-0BE8-4C86-A992-EB491062D8A1}"/>
    <cellStyle name="Percent 4 33" xfId="13985" xr:uid="{46DBBBDB-6CD0-424F-A667-FD505861D450}"/>
    <cellStyle name="Percent 4 34" xfId="13986" xr:uid="{7D188789-EB37-4EA0-A8BF-F0313FC25418}"/>
    <cellStyle name="Percent 4 35" xfId="13987" xr:uid="{78F745F2-1573-49B0-927A-70611019F656}"/>
    <cellStyle name="Percent 4 36" xfId="13988" xr:uid="{7DD778F7-466A-47A1-BEAD-0D6949CE5689}"/>
    <cellStyle name="Percent 4 37" xfId="13989" xr:uid="{525BD914-490B-4D52-B43C-A0E434B3EDE4}"/>
    <cellStyle name="Percent 4 38" xfId="13990" xr:uid="{244EA3A2-688C-416A-B817-2F1D874F8E24}"/>
    <cellStyle name="Percent 4 39" xfId="13991" xr:uid="{6FB2D39F-9B1C-4798-BCB0-150B055A4351}"/>
    <cellStyle name="Percent 4 4" xfId="13992" xr:uid="{93A74751-E300-409E-AAE1-6DCB9F930831}"/>
    <cellStyle name="Percent 4 4 10" xfId="13993" xr:uid="{30AB4040-066A-4B9A-B37E-C7897D326C60}"/>
    <cellStyle name="Percent 4 4 11" xfId="13994" xr:uid="{52C3BEE7-BAAE-4ADA-A0EF-BD94AA4BEB07}"/>
    <cellStyle name="Percent 4 4 12" xfId="13995" xr:uid="{100D1ED9-6370-411E-932C-9C5D5BE082DB}"/>
    <cellStyle name="Percent 4 4 13" xfId="13996" xr:uid="{16F90F68-13AB-49AB-8B3E-4AAF32C294C5}"/>
    <cellStyle name="Percent 4 4 14" xfId="13997" xr:uid="{06F5FB39-2B81-4CD9-9AEC-339E869D4974}"/>
    <cellStyle name="Percent 4 4 15" xfId="13998" xr:uid="{637AACCD-8787-49C4-8023-FFF188F1569B}"/>
    <cellStyle name="Percent 4 4 16" xfId="13999" xr:uid="{93168425-D33E-4993-B9C8-449B5F585BB2}"/>
    <cellStyle name="Percent 4 4 17" xfId="14000" xr:uid="{42A2BEDD-B601-4336-9D23-3C18B49F9304}"/>
    <cellStyle name="Percent 4 4 18" xfId="14001" xr:uid="{6E6B6158-DD59-43F4-97CD-92101F896204}"/>
    <cellStyle name="Percent 4 4 2" xfId="14002" xr:uid="{31B0A075-012E-409F-945C-EB0C9E3B5D29}"/>
    <cellStyle name="Percent 4 4 2 2" xfId="14003" xr:uid="{E8A4E818-4DDD-4908-AAB0-01917684FEE9}"/>
    <cellStyle name="Percent 4 4 2 3" xfId="14004" xr:uid="{B4447D01-620F-4338-A6AE-F1FA24CFED53}"/>
    <cellStyle name="Percent 4 4 2 4" xfId="14005" xr:uid="{D45132B2-6D7A-4FF4-9FFC-367A9F638DE7}"/>
    <cellStyle name="Percent 4 4 2 5" xfId="14006" xr:uid="{1595F8BB-59E2-4BC2-AAA5-20B63A7CA669}"/>
    <cellStyle name="Percent 4 4 2 6" xfId="14007" xr:uid="{4F7751A4-BE05-46B6-899D-344D0539FF74}"/>
    <cellStyle name="Percent 4 4 2 7" xfId="14008" xr:uid="{5E6DF69C-778C-4962-B678-ED2D1A4E0C1B}"/>
    <cellStyle name="Percent 4 4 2 8" xfId="14009" xr:uid="{DD005D95-2F3B-4C9E-BA8F-4ACE89B422DA}"/>
    <cellStyle name="Percent 4 4 2 9" xfId="14010" xr:uid="{6168C718-01D2-4EE9-9FD7-877F61A6560D}"/>
    <cellStyle name="Percent 4 4 3" xfId="14011" xr:uid="{3B8DD1F4-62DB-4E6E-ABA4-2A3E21E57942}"/>
    <cellStyle name="Percent 4 4 3 2" xfId="14012" xr:uid="{800548F5-DF2A-41E5-B527-3E8020A0824E}"/>
    <cellStyle name="Percent 4 4 3 3" xfId="14013" xr:uid="{88F1388B-4E0C-4552-8618-140B66FAF1A5}"/>
    <cellStyle name="Percent 4 4 3 4" xfId="14014" xr:uid="{D6D64972-C2E2-48E8-B6E5-52214E0A6965}"/>
    <cellStyle name="Percent 4 4 3 5" xfId="14015" xr:uid="{16B5E8DB-AD4B-4CFD-B573-A2CEC7696A5C}"/>
    <cellStyle name="Percent 4 4 3 6" xfId="14016" xr:uid="{3AD23607-0C1B-43BC-93D8-793FF4B68CAA}"/>
    <cellStyle name="Percent 4 4 3 7" xfId="14017" xr:uid="{170F9F67-E9D2-435A-8E3D-5F10001FDAC2}"/>
    <cellStyle name="Percent 4 4 3 8" xfId="14018" xr:uid="{90C8E729-34D3-45F9-8C77-12D85C5A05BA}"/>
    <cellStyle name="Percent 4 4 3 9" xfId="14019" xr:uid="{FE054069-41CD-46B9-A23F-572BE3F92513}"/>
    <cellStyle name="Percent 4 4 4" xfId="14020" xr:uid="{07AD7054-4AE3-4CC8-82A0-0821FAC44EE6}"/>
    <cellStyle name="Percent 4 4 4 2" xfId="14021" xr:uid="{8B120444-94F0-4BA3-8BAB-FAEBB6139EB1}"/>
    <cellStyle name="Percent 4 4 4 3" xfId="14022" xr:uid="{2CB45B4F-EC9C-4149-99E9-48DD7B929956}"/>
    <cellStyle name="Percent 4 4 4 4" xfId="14023" xr:uid="{FB07C8C6-560B-4922-BAF9-C83EF0A6572F}"/>
    <cellStyle name="Percent 4 4 4 5" xfId="14024" xr:uid="{47A67073-4512-4D6F-ACB6-0491760881F1}"/>
    <cellStyle name="Percent 4 4 4 6" xfId="14025" xr:uid="{C4E3B147-D9DB-418A-BAE2-340B2A94CCB8}"/>
    <cellStyle name="Percent 4 4 4 7" xfId="14026" xr:uid="{DC651BCE-5D98-4496-B4E7-45194278DE0F}"/>
    <cellStyle name="Percent 4 4 4 8" xfId="14027" xr:uid="{312FE04F-BA25-438D-AD1A-3050C9BFCFFC}"/>
    <cellStyle name="Percent 4 4 4 9" xfId="14028" xr:uid="{F1901078-6AB5-4CA2-A1A1-F77320729560}"/>
    <cellStyle name="Percent 4 4 5" xfId="14029" xr:uid="{5E055098-1457-4904-A516-E1FFB816C49A}"/>
    <cellStyle name="Percent 4 4 5 2" xfId="14030" xr:uid="{B75486A8-4554-442F-913B-D968B5E03482}"/>
    <cellStyle name="Percent 4 4 5 3" xfId="14031" xr:uid="{6EFA51C7-6F64-4CBC-AEA9-F85E3503A43C}"/>
    <cellStyle name="Percent 4 4 5 4" xfId="14032" xr:uid="{12E6761E-7842-411D-B80A-E3C92EA41650}"/>
    <cellStyle name="Percent 4 4 5 5" xfId="14033" xr:uid="{2408B254-F3A7-4201-B15B-AF54A5730619}"/>
    <cellStyle name="Percent 4 4 5 6" xfId="14034" xr:uid="{0B779D0B-AA8B-44A0-BF07-D2418D0F01BA}"/>
    <cellStyle name="Percent 4 4 5 7" xfId="14035" xr:uid="{EDCE2988-C07B-45E7-9F37-F30C46FD18FE}"/>
    <cellStyle name="Percent 4 4 5 8" xfId="14036" xr:uid="{1F79E804-3B04-478D-A12D-54DFC3340E33}"/>
    <cellStyle name="Percent 4 4 5 9" xfId="14037" xr:uid="{78E691D7-13A0-483A-BAFF-BF823C846331}"/>
    <cellStyle name="Percent 4 4 6" xfId="14038" xr:uid="{DF27E801-735E-4441-9894-C73C994B179B}"/>
    <cellStyle name="Percent 4 4 6 2" xfId="14039" xr:uid="{E206F01A-D217-4FFB-9341-189835AFE065}"/>
    <cellStyle name="Percent 4 4 6 3" xfId="14040" xr:uid="{703D7B6D-EC99-4848-8A96-E1A7B59C33CE}"/>
    <cellStyle name="Percent 4 4 6 4" xfId="14041" xr:uid="{673D9493-2116-4642-8286-C3073AD437C4}"/>
    <cellStyle name="Percent 4 4 6 5" xfId="14042" xr:uid="{1C750CBA-43DF-4EF5-B46F-938CE861EF89}"/>
    <cellStyle name="Percent 4 4 6 6" xfId="14043" xr:uid="{B808753B-3568-4AD8-8F34-8D2FD406329F}"/>
    <cellStyle name="Percent 4 4 6 7" xfId="14044" xr:uid="{A8E680F3-B52B-48D0-9B91-164CD631915F}"/>
    <cellStyle name="Percent 4 4 6 8" xfId="14045" xr:uid="{E8861CF0-FA4B-47B9-9182-FD4A907DADAC}"/>
    <cellStyle name="Percent 4 4 6 9" xfId="14046" xr:uid="{461C0C49-0F75-459E-9D63-9AE4B8D6DAC8}"/>
    <cellStyle name="Percent 4 4 7" xfId="14047" xr:uid="{00026B4F-AC9B-44AF-808C-5A65C9362727}"/>
    <cellStyle name="Percent 4 4 7 2" xfId="14048" xr:uid="{99C002AA-AECE-4A64-9DA6-EFAE2FEF9CB7}"/>
    <cellStyle name="Percent 4 4 7 3" xfId="14049" xr:uid="{BE7E66CA-2997-4445-9143-ADA3F1D5405D}"/>
    <cellStyle name="Percent 4 4 7 4" xfId="14050" xr:uid="{A3EDCB5B-4E9C-42F2-AF10-7EA3C126997D}"/>
    <cellStyle name="Percent 4 4 7 5" xfId="14051" xr:uid="{5B4B8831-A00B-46E5-94FE-5532A0EF342C}"/>
    <cellStyle name="Percent 4 4 7 6" xfId="14052" xr:uid="{3CBB9605-F150-470C-A76F-638779A86EFB}"/>
    <cellStyle name="Percent 4 4 7 7" xfId="14053" xr:uid="{6FE93C0A-B478-4BAF-95A8-D6A65E7DC4C0}"/>
    <cellStyle name="Percent 4 4 7 8" xfId="14054" xr:uid="{C676CD63-63F4-4B26-B0B4-C469DF1A1259}"/>
    <cellStyle name="Percent 4 4 7 9" xfId="14055" xr:uid="{55F2B2AB-5A08-4D71-8048-FC65474A7C39}"/>
    <cellStyle name="Percent 4 4 8" xfId="14056" xr:uid="{A87F77EF-7899-408B-8D0E-3DD9189069CC}"/>
    <cellStyle name="Percent 4 4 8 2" xfId="14057" xr:uid="{42F4E03D-E1BE-4BF9-BB7C-44951E9379A8}"/>
    <cellStyle name="Percent 4 4 8 3" xfId="14058" xr:uid="{57A0A914-8FE4-4ADA-AF8C-6FECC3EA2FCA}"/>
    <cellStyle name="Percent 4 4 8 4" xfId="14059" xr:uid="{00EB1ABD-F3E1-4F5F-B97F-A77D08B777AD}"/>
    <cellStyle name="Percent 4 4 8 5" xfId="14060" xr:uid="{87C23F23-F540-4DEA-B40B-A4CC3F2C92A3}"/>
    <cellStyle name="Percent 4 4 8 6" xfId="14061" xr:uid="{096A880E-4C21-4E98-9639-54EF89222E4F}"/>
    <cellStyle name="Percent 4 4 8 7" xfId="14062" xr:uid="{07861C0B-4D98-4794-80E8-380938008CC1}"/>
    <cellStyle name="Percent 4 4 8 8" xfId="14063" xr:uid="{825FB780-76F3-4ADB-8E05-A4C1108AA2E7}"/>
    <cellStyle name="Percent 4 4 8 9" xfId="14064" xr:uid="{90EB175B-1B14-47F6-A06D-661EA066BA14}"/>
    <cellStyle name="Percent 4 4 9" xfId="14065" xr:uid="{00E6A707-A363-4ACD-BE33-EA7D97CB2827}"/>
    <cellStyle name="Percent 4 4 9 2" xfId="14066" xr:uid="{6E90B55E-9436-42FC-BB0E-0847F2F85489}"/>
    <cellStyle name="Percent 4 4 9 3" xfId="14067" xr:uid="{3457C585-7678-48E6-8617-F2F2209BD317}"/>
    <cellStyle name="Percent 4 4 9 4" xfId="14068" xr:uid="{0E46134B-4210-430F-9BDA-4F993AFBEC2F}"/>
    <cellStyle name="Percent 4 4 9 5" xfId="14069" xr:uid="{389AEB29-0DFE-45AC-90D4-E0542B993F58}"/>
    <cellStyle name="Percent 4 5" xfId="14070" xr:uid="{BBBF121B-6348-4C1F-8E1A-6121F2A0F9DD}"/>
    <cellStyle name="Percent 4 5 10" xfId="14071" xr:uid="{E84390D9-8C46-46F8-9145-C904FC834A52}"/>
    <cellStyle name="Percent 4 5 11" xfId="14072" xr:uid="{B10945C7-6011-44C8-8644-850A0607F81C}"/>
    <cellStyle name="Percent 4 5 12" xfId="14073" xr:uid="{80BAAB4E-EB28-4709-9FD8-922497B61325}"/>
    <cellStyle name="Percent 4 5 13" xfId="14074" xr:uid="{30D31CB6-FFFD-4AB1-80F4-DCC2C34F579F}"/>
    <cellStyle name="Percent 4 5 14" xfId="14075" xr:uid="{B0BB66E2-7221-4FD4-94FE-6746C5A17593}"/>
    <cellStyle name="Percent 4 5 15" xfId="14076" xr:uid="{8E85AC59-42DD-4792-A560-7B10ADB60B9E}"/>
    <cellStyle name="Percent 4 5 16" xfId="14077" xr:uid="{9EB684AD-EA3D-4958-898A-69EE845BBD11}"/>
    <cellStyle name="Percent 4 5 17" xfId="14078" xr:uid="{5B3E547C-0286-4C34-A63E-DB0250D6BF67}"/>
    <cellStyle name="Percent 4 5 18" xfId="14079" xr:uid="{8D036B8A-6AF0-43F7-B2EE-186746BD6DC6}"/>
    <cellStyle name="Percent 4 5 2" xfId="14080" xr:uid="{B89CE8A6-3A6C-4D0A-866D-8CFE23AC4021}"/>
    <cellStyle name="Percent 4 5 2 2" xfId="14081" xr:uid="{0193BC80-9387-48BB-BD09-5FB34C630D08}"/>
    <cellStyle name="Percent 4 5 2 3" xfId="14082" xr:uid="{D720A168-B12F-428F-8D90-1F7E601FA20D}"/>
    <cellStyle name="Percent 4 5 2 4" xfId="14083" xr:uid="{7B7A4AAF-36E4-4186-B197-EEA558041FEA}"/>
    <cellStyle name="Percent 4 5 2 5" xfId="14084" xr:uid="{4D791D74-3678-4A74-9FF5-C34F9E55BB3F}"/>
    <cellStyle name="Percent 4 5 2 6" xfId="14085" xr:uid="{CC553594-41B5-4B75-865D-6B828EE58AC2}"/>
    <cellStyle name="Percent 4 5 2 7" xfId="14086" xr:uid="{E18E67A2-BF66-4E94-8459-59B82E170E93}"/>
    <cellStyle name="Percent 4 5 2 8" xfId="14087" xr:uid="{915EFBC5-BED5-4228-A2CF-2E84537E08A1}"/>
    <cellStyle name="Percent 4 5 2 9" xfId="14088" xr:uid="{B8F3A7DF-70DF-49A0-9D2C-FE5A7A37BD9C}"/>
    <cellStyle name="Percent 4 5 3" xfId="14089" xr:uid="{A252E716-A702-4903-BB3B-E0EDA7CB3517}"/>
    <cellStyle name="Percent 4 5 3 2" xfId="14090" xr:uid="{43676F91-D7C8-426F-A4CC-8E10886052B8}"/>
    <cellStyle name="Percent 4 5 3 3" xfId="14091" xr:uid="{2EF963F4-848A-4F28-B5DB-14012C65C68D}"/>
    <cellStyle name="Percent 4 5 3 4" xfId="14092" xr:uid="{36707BAF-E9AD-4EA0-848A-3DBFF14BACD1}"/>
    <cellStyle name="Percent 4 5 3 5" xfId="14093" xr:uid="{0DCC397F-B055-4FF1-ABA5-89B98B93D93C}"/>
    <cellStyle name="Percent 4 5 3 6" xfId="14094" xr:uid="{4C3C0365-A3C6-48A0-A465-1E5568AC581B}"/>
    <cellStyle name="Percent 4 5 3 7" xfId="14095" xr:uid="{4BA69CF8-408A-4AFF-9D01-384E7B086D8D}"/>
    <cellStyle name="Percent 4 5 3 8" xfId="14096" xr:uid="{5BC58854-8060-40D1-958A-3E626BDEB79D}"/>
    <cellStyle name="Percent 4 5 3 9" xfId="14097" xr:uid="{62D11840-2632-4ADE-B464-2F7CC80D4AA6}"/>
    <cellStyle name="Percent 4 5 4" xfId="14098" xr:uid="{D022C951-9E6C-4099-A743-DBC2B20E2A27}"/>
    <cellStyle name="Percent 4 5 4 2" xfId="14099" xr:uid="{D4F33120-6B2E-4B7C-83DF-C23804BC2A36}"/>
    <cellStyle name="Percent 4 5 4 3" xfId="14100" xr:uid="{E07867BE-127B-46A4-85DB-2A5DD4A76795}"/>
    <cellStyle name="Percent 4 5 4 4" xfId="14101" xr:uid="{21AAD848-B4F3-4882-A982-FD35B60A12B6}"/>
    <cellStyle name="Percent 4 5 4 5" xfId="14102" xr:uid="{B24EAF65-1884-4F7D-9B57-0D18A233A645}"/>
    <cellStyle name="Percent 4 5 4 6" xfId="14103" xr:uid="{89D24234-27B6-437B-AAAD-5B4EE24D038A}"/>
    <cellStyle name="Percent 4 5 4 7" xfId="14104" xr:uid="{729C1B20-8C60-4BE8-86DA-3B831AF8D300}"/>
    <cellStyle name="Percent 4 5 4 8" xfId="14105" xr:uid="{5852698E-00CA-4BC8-BD80-861AD452AD77}"/>
    <cellStyle name="Percent 4 5 4 9" xfId="14106" xr:uid="{F35045C9-B19E-4DC0-9F00-BC490BAA349A}"/>
    <cellStyle name="Percent 4 5 5" xfId="14107" xr:uid="{4E580FF4-F5B3-4ECF-B750-0D839E55FAB6}"/>
    <cellStyle name="Percent 4 5 5 2" xfId="14108" xr:uid="{81642772-B04D-4489-B459-AC8BFF4DEE0D}"/>
    <cellStyle name="Percent 4 5 5 3" xfId="14109" xr:uid="{14847FBA-CD04-4E2B-A378-12BE1F873DA6}"/>
    <cellStyle name="Percent 4 5 5 4" xfId="14110" xr:uid="{4C933A68-498E-43E7-B94E-18BBC7C25D76}"/>
    <cellStyle name="Percent 4 5 5 5" xfId="14111" xr:uid="{3913386E-E7A7-4D3D-A7F7-D2C5F522E330}"/>
    <cellStyle name="Percent 4 5 5 6" xfId="14112" xr:uid="{36396F19-B271-44E6-8F2B-14AAA38D1170}"/>
    <cellStyle name="Percent 4 5 5 7" xfId="14113" xr:uid="{6CB9B1A1-4CD9-44C3-A73C-047BCCB59F0B}"/>
    <cellStyle name="Percent 4 5 5 8" xfId="14114" xr:uid="{DEDBCF69-5C58-42DB-86E8-56BA3AF2FC39}"/>
    <cellStyle name="Percent 4 5 5 9" xfId="14115" xr:uid="{267DABC6-EC2F-4E68-9D67-64D197EB6657}"/>
    <cellStyle name="Percent 4 5 6" xfId="14116" xr:uid="{D0A67EF3-4676-4248-816C-4CE5C16B9B90}"/>
    <cellStyle name="Percent 4 5 6 2" xfId="14117" xr:uid="{F969EA58-EF27-4E35-931A-C1EEEE93017F}"/>
    <cellStyle name="Percent 4 5 6 3" xfId="14118" xr:uid="{F0C190D5-2D3C-4977-9D3A-C63E4D1B2223}"/>
    <cellStyle name="Percent 4 5 6 4" xfId="14119" xr:uid="{68056969-FD8F-42DE-A256-455923361E43}"/>
    <cellStyle name="Percent 4 5 6 5" xfId="14120" xr:uid="{891BA8E1-6E95-4288-8FD5-A9C9FC212ABD}"/>
    <cellStyle name="Percent 4 5 6 6" xfId="14121" xr:uid="{4A6E1A5D-020B-463B-B029-4B9137550193}"/>
    <cellStyle name="Percent 4 5 6 7" xfId="14122" xr:uid="{C36D8C81-BEBF-4373-9CE3-223C41B917CD}"/>
    <cellStyle name="Percent 4 5 6 8" xfId="14123" xr:uid="{5BE4E86B-2080-4A4C-ADB2-2C8F8BE6F577}"/>
    <cellStyle name="Percent 4 5 6 9" xfId="14124" xr:uid="{8C6D0E15-41BF-44F2-8B1A-989E1413160F}"/>
    <cellStyle name="Percent 4 5 7" xfId="14125" xr:uid="{583ABB8E-45D7-45B3-A005-9E9CB8BE6643}"/>
    <cellStyle name="Percent 4 5 7 2" xfId="14126" xr:uid="{B3ECAE05-A1AC-443E-ADD5-0161F0DE8B65}"/>
    <cellStyle name="Percent 4 5 7 3" xfId="14127" xr:uid="{B3DB5858-012F-4F8E-B69E-5AFF5A71C91C}"/>
    <cellStyle name="Percent 4 5 7 4" xfId="14128" xr:uid="{80C95C38-9109-4C7F-8006-C988A32BBB87}"/>
    <cellStyle name="Percent 4 5 7 5" xfId="14129" xr:uid="{34BABBA1-E236-4893-B715-59F55D5A6A87}"/>
    <cellStyle name="Percent 4 5 7 6" xfId="14130" xr:uid="{0864876A-5D1A-41F4-9FE0-34A92EE38807}"/>
    <cellStyle name="Percent 4 5 7 7" xfId="14131" xr:uid="{699E4773-B142-486E-9548-6F4C14A03C70}"/>
    <cellStyle name="Percent 4 5 7 8" xfId="14132" xr:uid="{E0B87304-41D8-4AB9-9973-3152A63A82C3}"/>
    <cellStyle name="Percent 4 5 7 9" xfId="14133" xr:uid="{CC3A8F64-14FB-40C2-BC75-41D7C15808B7}"/>
    <cellStyle name="Percent 4 5 8" xfId="14134" xr:uid="{56BED1E0-AA4F-4ED9-A60E-FC079E515A43}"/>
    <cellStyle name="Percent 4 5 8 2" xfId="14135" xr:uid="{003CC8D6-D12E-4ED6-933C-51F22CBAD9B5}"/>
    <cellStyle name="Percent 4 5 8 3" xfId="14136" xr:uid="{C860C413-74A9-4A9C-9585-86754C480DDB}"/>
    <cellStyle name="Percent 4 5 8 4" xfId="14137" xr:uid="{93361FCC-051C-4881-8DB3-C63F0FA9FE65}"/>
    <cellStyle name="Percent 4 5 8 5" xfId="14138" xr:uid="{5B17AA12-8825-4252-B166-E64918157590}"/>
    <cellStyle name="Percent 4 5 8 6" xfId="14139" xr:uid="{FB7EEAAB-6DBE-4CC4-92FD-50902EC99273}"/>
    <cellStyle name="Percent 4 5 8 7" xfId="14140" xr:uid="{30909826-4857-4E46-9237-E502C2392FC4}"/>
    <cellStyle name="Percent 4 5 8 8" xfId="14141" xr:uid="{3C0D167E-58AF-4742-978E-5B8102552473}"/>
    <cellStyle name="Percent 4 5 8 9" xfId="14142" xr:uid="{0683F50F-3D1B-4F62-9671-7EDD367E21AB}"/>
    <cellStyle name="Percent 4 5 9" xfId="14143" xr:uid="{40066006-189A-41FB-8DBA-98B91B24F834}"/>
    <cellStyle name="Percent 4 5 9 2" xfId="14144" xr:uid="{944F3844-A609-44CB-8A95-0CC564152203}"/>
    <cellStyle name="Percent 4 5 9 3" xfId="14145" xr:uid="{4CE54FEA-0421-42F8-84D6-DD5ACE840E36}"/>
    <cellStyle name="Percent 4 5 9 4" xfId="14146" xr:uid="{F9BDDCBB-DB4F-4AED-9A67-2540985155A9}"/>
    <cellStyle name="Percent 4 5 9 5" xfId="14147" xr:uid="{E1F614D3-7B09-4ACF-B5DB-C54A88D4A878}"/>
    <cellStyle name="Percent 4 6" xfId="14148" xr:uid="{DD1B2D36-B115-4D5B-A891-71CE47512087}"/>
    <cellStyle name="Percent 4 6 10" xfId="14149" xr:uid="{7BB8F943-0E38-4298-9A7E-2717FBC50DC6}"/>
    <cellStyle name="Percent 4 6 11" xfId="14150" xr:uid="{CFC4C4A0-9A04-4A32-9732-50ACB8CC6CCE}"/>
    <cellStyle name="Percent 4 6 12" xfId="14151" xr:uid="{7128FA32-05ED-4730-B450-1A6EB3CEBCF2}"/>
    <cellStyle name="Percent 4 6 13" xfId="14152" xr:uid="{9C77AE40-6EBC-49D6-A864-75124F16BB64}"/>
    <cellStyle name="Percent 4 6 14" xfId="14153" xr:uid="{246560FC-CBD0-4B93-B0AC-3029E6EC00CF}"/>
    <cellStyle name="Percent 4 6 15" xfId="14154" xr:uid="{DB8ED55E-E30F-48A2-AA84-7E71135463DD}"/>
    <cellStyle name="Percent 4 6 16" xfId="14155" xr:uid="{DEB1D760-4C27-4776-AFEE-84AEE288BC46}"/>
    <cellStyle name="Percent 4 6 17" xfId="14156" xr:uid="{6E32ABE2-3B95-450F-BCA9-3976C89FA505}"/>
    <cellStyle name="Percent 4 6 2" xfId="14157" xr:uid="{09C4A3FD-04CD-4A6C-AE2A-B240BA4788A3}"/>
    <cellStyle name="Percent 4 6 2 2" xfId="14158" xr:uid="{82570FE8-0AC4-4E5A-8C4F-D87AC00B2797}"/>
    <cellStyle name="Percent 4 6 2 3" xfId="14159" xr:uid="{9464EF56-CEA0-46B6-8038-AF051150F45C}"/>
    <cellStyle name="Percent 4 6 2 4" xfId="14160" xr:uid="{3B613EC5-2447-48BA-A607-7AD09BDBB812}"/>
    <cellStyle name="Percent 4 6 2 5" xfId="14161" xr:uid="{6E0ED911-7F77-4517-A4BC-738FA1CC6614}"/>
    <cellStyle name="Percent 4 6 2 6" xfId="14162" xr:uid="{D8C64E6F-B5C4-43D3-92D2-DD8EA33F8E51}"/>
    <cellStyle name="Percent 4 6 2 7" xfId="14163" xr:uid="{DD810AAA-5B84-48D0-961F-F9DB53F1CBF4}"/>
    <cellStyle name="Percent 4 6 2 8" xfId="14164" xr:uid="{26B1FE31-2CB0-486D-84B7-104FF848968C}"/>
    <cellStyle name="Percent 4 6 2 9" xfId="14165" xr:uid="{95B30B5D-D6BC-4BD7-8F21-EB1EF7D67ED3}"/>
    <cellStyle name="Percent 4 6 3" xfId="14166" xr:uid="{323510A8-DD14-46EB-BAE7-46E351AF71D1}"/>
    <cellStyle name="Percent 4 6 3 2" xfId="14167" xr:uid="{71D8CFF5-7852-4B60-B7E2-CA17EC5E89FE}"/>
    <cellStyle name="Percent 4 6 3 3" xfId="14168" xr:uid="{A192AB02-AC47-462B-9E22-D193E1DB7BD0}"/>
    <cellStyle name="Percent 4 6 3 4" xfId="14169" xr:uid="{3D9AD42A-BF3A-4293-97FF-900F53892C15}"/>
    <cellStyle name="Percent 4 6 3 5" xfId="14170" xr:uid="{0D15C89A-BDCD-4ED5-AC3D-6CF221F00B4A}"/>
    <cellStyle name="Percent 4 6 3 6" xfId="14171" xr:uid="{8F9D1CAB-1883-48FE-8645-618EA8DE85BC}"/>
    <cellStyle name="Percent 4 6 3 7" xfId="14172" xr:uid="{39C1DD3B-22F6-4597-BC6D-DAA5C769268C}"/>
    <cellStyle name="Percent 4 6 3 8" xfId="14173" xr:uid="{04C5C0EF-CA46-402D-87C1-69C11B5C19A6}"/>
    <cellStyle name="Percent 4 6 3 9" xfId="14174" xr:uid="{82D23733-5874-4AC7-B2E2-6BA82AC71142}"/>
    <cellStyle name="Percent 4 6 4" xfId="14175" xr:uid="{B49AEFEB-BFBA-4F96-8687-DF5AA34E398F}"/>
    <cellStyle name="Percent 4 6 4 2" xfId="14176" xr:uid="{D5810EB5-6FEC-4B7C-8F34-9B00AA588320}"/>
    <cellStyle name="Percent 4 6 4 3" xfId="14177" xr:uid="{7C62E6E0-06A0-44BF-8E24-B88C5213BE35}"/>
    <cellStyle name="Percent 4 6 4 4" xfId="14178" xr:uid="{F13AA4A5-DC51-4AA4-89A1-915D36A741BC}"/>
    <cellStyle name="Percent 4 6 4 5" xfId="14179" xr:uid="{D496184C-632A-4CB4-AF19-D858DE3BD62C}"/>
    <cellStyle name="Percent 4 6 4 6" xfId="14180" xr:uid="{19FFDBFC-5A26-4061-BBE3-8F53A8A727E4}"/>
    <cellStyle name="Percent 4 6 4 7" xfId="14181" xr:uid="{09067EA1-6FBE-4C46-9AA3-9DB36012B76B}"/>
    <cellStyle name="Percent 4 6 4 8" xfId="14182" xr:uid="{8AD0D0EA-3297-4EF1-9AEA-CF24CA6DBCFA}"/>
    <cellStyle name="Percent 4 6 4 9" xfId="14183" xr:uid="{F64EDE8A-69FF-483B-928E-7C6A4B345386}"/>
    <cellStyle name="Percent 4 6 5" xfId="14184" xr:uid="{749433F1-0E60-4151-B9E9-E7B3A9F9C173}"/>
    <cellStyle name="Percent 4 6 5 2" xfId="14185" xr:uid="{327902AD-8913-4230-B940-E8E2BF910191}"/>
    <cellStyle name="Percent 4 6 5 3" xfId="14186" xr:uid="{DE078370-4FF0-4CEB-A10F-41898F478A24}"/>
    <cellStyle name="Percent 4 6 5 4" xfId="14187" xr:uid="{971528C7-D6C4-405C-B41D-50E64189491E}"/>
    <cellStyle name="Percent 4 6 5 5" xfId="14188" xr:uid="{DB368605-CB79-4ED5-9C50-9A4B3168D7D5}"/>
    <cellStyle name="Percent 4 6 5 6" xfId="14189" xr:uid="{AE3A5AE2-D997-42A1-9C38-44D51F60425C}"/>
    <cellStyle name="Percent 4 6 5 7" xfId="14190" xr:uid="{79143062-3AF6-43AD-A87C-56518E5D967F}"/>
    <cellStyle name="Percent 4 6 5 8" xfId="14191" xr:uid="{50758863-592E-4AD3-90ED-161F4D616C8F}"/>
    <cellStyle name="Percent 4 6 5 9" xfId="14192" xr:uid="{1AE7F94B-734F-47F9-B199-34E03E00E50B}"/>
    <cellStyle name="Percent 4 6 6" xfId="14193" xr:uid="{1C94AEA3-EBAE-4BDD-A89E-C58D6559FA79}"/>
    <cellStyle name="Percent 4 6 6 2" xfId="14194" xr:uid="{AB90AF16-CD2E-47AA-B8DE-C882C14148B0}"/>
    <cellStyle name="Percent 4 6 6 3" xfId="14195" xr:uid="{4DE57053-F798-4D9D-92A1-BAF7477E6BEA}"/>
    <cellStyle name="Percent 4 6 6 4" xfId="14196" xr:uid="{93D915F2-C684-4870-8B1A-0292B5570A24}"/>
    <cellStyle name="Percent 4 6 6 5" xfId="14197" xr:uid="{5DC4C8E1-E198-44D1-8B4E-23A6F78E60CA}"/>
    <cellStyle name="Percent 4 6 6 6" xfId="14198" xr:uid="{8821FC57-1404-4726-9A30-010E1827AD76}"/>
    <cellStyle name="Percent 4 6 6 7" xfId="14199" xr:uid="{F794BFAB-9101-4457-9EFD-E38B1BA2560C}"/>
    <cellStyle name="Percent 4 6 6 8" xfId="14200" xr:uid="{69F82934-5260-43C8-AEF2-4AEEE08C48D4}"/>
    <cellStyle name="Percent 4 6 6 9" xfId="14201" xr:uid="{B64F09D1-9B71-4300-85B6-106795924818}"/>
    <cellStyle name="Percent 4 6 7" xfId="14202" xr:uid="{8E8D39DA-6684-45D6-A97B-F23761FB8ACF}"/>
    <cellStyle name="Percent 4 6 7 2" xfId="14203" xr:uid="{FF30F584-B03F-45E6-87CD-AC1221B51A3C}"/>
    <cellStyle name="Percent 4 6 7 3" xfId="14204" xr:uid="{5A852D3B-F360-4195-9FC1-F328D51A56B4}"/>
    <cellStyle name="Percent 4 6 7 4" xfId="14205" xr:uid="{0C30E9A4-3BDC-4721-8327-7EC96FD7FEF0}"/>
    <cellStyle name="Percent 4 6 7 5" xfId="14206" xr:uid="{20A4AD46-EDCB-44C3-A101-61A3CC3D7530}"/>
    <cellStyle name="Percent 4 6 7 6" xfId="14207" xr:uid="{D5E62DEC-E77B-4FFF-847D-DA6382766DB4}"/>
    <cellStyle name="Percent 4 6 7 7" xfId="14208" xr:uid="{2D601754-EDD3-4DE1-A3C5-7EB31568076D}"/>
    <cellStyle name="Percent 4 6 7 8" xfId="14209" xr:uid="{3D566DEB-9391-43A6-8790-BC47A75FEEF1}"/>
    <cellStyle name="Percent 4 6 7 9" xfId="14210" xr:uid="{D8400CDB-625C-4758-8850-A4206C6C9795}"/>
    <cellStyle name="Percent 4 6 8" xfId="14211" xr:uid="{50F6A437-247C-418C-824B-B5D9C0034AB8}"/>
    <cellStyle name="Percent 4 6 8 2" xfId="14212" xr:uid="{3E53D81C-9ACF-4153-9260-125CA6CEBBEE}"/>
    <cellStyle name="Percent 4 6 8 3" xfId="14213" xr:uid="{3F272F8F-608F-42A6-AA45-121403D1F6BF}"/>
    <cellStyle name="Percent 4 6 8 4" xfId="14214" xr:uid="{522BBCF7-9144-4BE6-A5BC-9F102E0AC19D}"/>
    <cellStyle name="Percent 4 6 8 5" xfId="14215" xr:uid="{E1249AA1-3E65-4CFE-B06F-9627627F8EA5}"/>
    <cellStyle name="Percent 4 6 8 6" xfId="14216" xr:uid="{FD4C7B2A-D4E7-4905-B316-6C2BDB5DEA15}"/>
    <cellStyle name="Percent 4 6 8 7" xfId="14217" xr:uid="{6078470E-EA49-4429-93C3-B037DFD2EDF7}"/>
    <cellStyle name="Percent 4 6 8 8" xfId="14218" xr:uid="{38E5D40A-5634-4331-9295-6971926A46E4}"/>
    <cellStyle name="Percent 4 6 8 9" xfId="14219" xr:uid="{7EE064B7-B3F8-45B2-A482-5726D578A447}"/>
    <cellStyle name="Percent 4 6 9" xfId="14220" xr:uid="{4D86AF3C-BD19-4C05-8E0B-1C6927C865F1}"/>
    <cellStyle name="Percent 4 7" xfId="14221" xr:uid="{C4E55142-5514-4B17-B937-821A4734F621}"/>
    <cellStyle name="Percent 4 7 10" xfId="14222" xr:uid="{BF98C507-BD4A-4A9C-A9FE-EA87FAB8FC10}"/>
    <cellStyle name="Percent 4 7 2" xfId="14223" xr:uid="{4EE6258D-3301-40D4-B515-2EC01E4E8302}"/>
    <cellStyle name="Percent 4 7 3" xfId="14224" xr:uid="{37D0C122-5143-4D30-BA6E-2DC92351C14F}"/>
    <cellStyle name="Percent 4 7 4" xfId="14225" xr:uid="{7558A042-13DB-4ECA-8F05-EB763651C43C}"/>
    <cellStyle name="Percent 4 7 5" xfId="14226" xr:uid="{EC118B82-EB4C-458C-8AC8-1FF335818B63}"/>
    <cellStyle name="Percent 4 7 6" xfId="14227" xr:uid="{F5304AD8-8E98-413E-8B9E-CEF2DB439BD4}"/>
    <cellStyle name="Percent 4 7 7" xfId="14228" xr:uid="{A9959083-F234-4BEE-A798-807B134F410B}"/>
    <cellStyle name="Percent 4 7 8" xfId="14229" xr:uid="{366CAF0C-AF9A-40DE-B06F-4380DCB38854}"/>
    <cellStyle name="Percent 4 7 9" xfId="14230" xr:uid="{3BB1289D-A67F-44EE-BEDF-ADC04C499222}"/>
    <cellStyle name="Percent 4 8" xfId="14231" xr:uid="{F3E4FA35-E6FC-47ED-8DB6-D74C0085816D}"/>
    <cellStyle name="Percent 4 8 10" xfId="14232" xr:uid="{0DFE20D7-E07A-483C-B4D3-36F3CFCB4895}"/>
    <cellStyle name="Percent 4 8 2" xfId="14233" xr:uid="{29F1E244-9974-4C36-9B06-AC08EFAB3D27}"/>
    <cellStyle name="Percent 4 8 3" xfId="14234" xr:uid="{57B5DC17-07F3-491B-99CB-F3A9ED7B7F89}"/>
    <cellStyle name="Percent 4 8 4" xfId="14235" xr:uid="{893E3DBC-31A6-45D4-9224-454B59E1E598}"/>
    <cellStyle name="Percent 4 8 5" xfId="14236" xr:uid="{2D81EF9B-9418-4222-B339-F59572792588}"/>
    <cellStyle name="Percent 4 8 6" xfId="14237" xr:uid="{FE06BFBE-425B-490A-949E-5E97A81BC416}"/>
    <cellStyle name="Percent 4 8 7" xfId="14238" xr:uid="{63EB4C89-2F98-428D-85A8-D24B8DD5B237}"/>
    <cellStyle name="Percent 4 8 8" xfId="14239" xr:uid="{59C6CDC9-3B37-4CC2-98E5-9FB4B2AE2A3A}"/>
    <cellStyle name="Percent 4 8 9" xfId="14240" xr:uid="{15C66F6E-7C5E-4F4E-8D46-5ED0BAF0E359}"/>
    <cellStyle name="Percent 4 9" xfId="14241" xr:uid="{33207166-AF3F-4423-8A28-4AC0E825DB73}"/>
    <cellStyle name="Percent 4 9 10" xfId="14242" xr:uid="{01370AFF-9E17-42CD-8F4E-56CF8D26706E}"/>
    <cellStyle name="Percent 4 9 2" xfId="14243" xr:uid="{19D86235-9877-4F6F-A563-0B636F5BDC8D}"/>
    <cellStyle name="Percent 4 9 3" xfId="14244" xr:uid="{537763B2-066A-4D4F-A267-CA49F08AB94E}"/>
    <cellStyle name="Percent 4 9 4" xfId="14245" xr:uid="{C5003943-F680-4C72-A02A-B77697150EAE}"/>
    <cellStyle name="Percent 4 9 5" xfId="14246" xr:uid="{01A9C919-3E3D-4042-B23E-D00367FEE9FF}"/>
    <cellStyle name="Percent 4 9 6" xfId="14247" xr:uid="{3CFC961E-F9D7-46C6-BDE9-EDD5C4138EFF}"/>
    <cellStyle name="Percent 4 9 7" xfId="14248" xr:uid="{2A969ED2-8829-47CF-A869-049E6BE832C3}"/>
    <cellStyle name="Percent 4 9 8" xfId="14249" xr:uid="{8170919A-3957-4727-84CA-31FA25F12EA9}"/>
    <cellStyle name="Percent 4 9 9" xfId="14250" xr:uid="{08087E6E-130C-4DB1-9778-CC6F098707ED}"/>
    <cellStyle name="Percent 5" xfId="14251" xr:uid="{2B45A2D6-6B25-41D4-9D65-6144D0D958A9}"/>
    <cellStyle name="Percent 5 10" xfId="14252" xr:uid="{A10CCDF3-A599-4CCC-8973-F6A482A3AADB}"/>
    <cellStyle name="Percent 5 10 2" xfId="14253" xr:uid="{F5EEDD3F-BDD0-4A7B-AAB9-06CD82B1DADE}"/>
    <cellStyle name="Percent 5 10 3" xfId="14254" xr:uid="{3238EC7B-CA63-4B1A-BC22-3BB6FFE9CC2F}"/>
    <cellStyle name="Percent 5 10 4" xfId="14255" xr:uid="{0B7CD649-CEE0-48C9-88B5-0622F65C16F4}"/>
    <cellStyle name="Percent 5 10 5" xfId="14256" xr:uid="{06D2B7E1-CB76-427D-9002-96367FE66C19}"/>
    <cellStyle name="Percent 5 11" xfId="14257" xr:uid="{8FADBF08-736B-4862-9434-7533298191ED}"/>
    <cellStyle name="Percent 5 11 2" xfId="14258" xr:uid="{D548ADD5-5654-44D7-8CDE-F6A1C3103B30}"/>
    <cellStyle name="Percent 5 11 2 2" xfId="14259" xr:uid="{078C87F9-FD42-4ECC-8BEA-09618217E193}"/>
    <cellStyle name="Percent 5 11 2 2 2" xfId="14260" xr:uid="{92FBB6B9-8F5C-411C-AAE0-53CF366D3C7E}"/>
    <cellStyle name="Percent 5 11 2 2 2 2" xfId="14261" xr:uid="{0287CB6F-5060-4295-9B7F-DE1F9D9C3445}"/>
    <cellStyle name="Percent 5 11 2 2 3" xfId="14262" xr:uid="{7E706379-F12E-498C-88C6-856A1EF41BD6}"/>
    <cellStyle name="Percent 5 11 2 3" xfId="14263" xr:uid="{A4932FE6-A17A-4D5F-8590-BF636F49590F}"/>
    <cellStyle name="Percent 5 11 2 3 2" xfId="14264" xr:uid="{F2304D2A-2FDD-4ABE-AB78-9D829FE5C4AB}"/>
    <cellStyle name="Percent 5 11 2 3 2 2" xfId="14265" xr:uid="{594F0F0D-DCF5-4339-905E-EE6EF8659B71}"/>
    <cellStyle name="Percent 5 11 2 3 3" xfId="14266" xr:uid="{03DB0E70-AACC-4498-BD6D-62273DD05EEC}"/>
    <cellStyle name="Percent 5 11 2 4" xfId="14267" xr:uid="{15EB38E5-8E73-4BCB-9390-CDD3F38B39C9}"/>
    <cellStyle name="Percent 5 11 2 4 2" xfId="14268" xr:uid="{C22C6936-8140-4129-83AB-0C845FBC2D05}"/>
    <cellStyle name="Percent 5 11 2 5" xfId="14269" xr:uid="{8664183B-0845-4295-AA02-DD14272ACDDE}"/>
    <cellStyle name="Percent 5 11 2 6" xfId="14270" xr:uid="{73ECD9CB-91B2-44AA-9550-7808B17B9E2D}"/>
    <cellStyle name="Percent 5 11 2 7" xfId="14271" xr:uid="{7D643E07-8362-4DC5-980D-0E50E1F119A4}"/>
    <cellStyle name="Percent 5 11 2 8" xfId="14272" xr:uid="{EB0B1EC2-BDC9-40B3-9467-20B3E9BD4E02}"/>
    <cellStyle name="Percent 5 11 3" xfId="14273" xr:uid="{030E1976-49C0-4A67-962E-AC5048214C6A}"/>
    <cellStyle name="Percent 5 11 3 2" xfId="14274" xr:uid="{7853D252-C859-4482-BC3B-A488920474D9}"/>
    <cellStyle name="Percent 5 11 3 2 2" xfId="14275" xr:uid="{034F6835-61C5-450B-85B7-5816F073DA3F}"/>
    <cellStyle name="Percent 5 11 3 3" xfId="14276" xr:uid="{1C006208-0954-4F80-981D-A836C9045E99}"/>
    <cellStyle name="Percent 5 11 4" xfId="14277" xr:uid="{EB4D38E9-F872-401F-8176-BC91565FCA04}"/>
    <cellStyle name="Percent 5 11 4 2" xfId="14278" xr:uid="{00AAE2B6-372C-41A4-B704-6D915F627CCC}"/>
    <cellStyle name="Percent 5 11 4 2 2" xfId="14279" xr:uid="{16A76208-2F7E-4170-993F-03C6AA486C5B}"/>
    <cellStyle name="Percent 5 11 4 3" xfId="14280" xr:uid="{CD461DD7-FFC3-452A-B4DE-AD29EE083969}"/>
    <cellStyle name="Percent 5 11 5" xfId="14281" xr:uid="{6FF3F029-C1AE-4846-9E8A-15FE63B442C4}"/>
    <cellStyle name="Percent 5 11 5 2" xfId="14282" xr:uid="{2ADE45A2-2DED-47F8-B161-13AAA9D1494F}"/>
    <cellStyle name="Percent 5 11 6" xfId="14283" xr:uid="{601590D2-F03D-455A-8E55-71E93FFEE613}"/>
    <cellStyle name="Percent 5 11 7" xfId="14284" xr:uid="{F1E74188-88DF-4142-B121-66A7DA954A81}"/>
    <cellStyle name="Percent 5 11 8" xfId="14285" xr:uid="{66A1F054-5462-4981-9B70-67100302B58E}"/>
    <cellStyle name="Percent 5 12" xfId="14286" xr:uid="{C99C5B69-35C6-4E1B-A7CE-24A51550D5F8}"/>
    <cellStyle name="Percent 5 13" xfId="14287" xr:uid="{625F3281-72EA-48BF-B1F6-1E32CA79A1B1}"/>
    <cellStyle name="Percent 5 14" xfId="14288" xr:uid="{97239092-0B63-424B-82E1-E9109784D740}"/>
    <cellStyle name="Percent 5 15" xfId="14289" xr:uid="{5EFAF1FC-E68A-4684-B2DF-F01197A1189E}"/>
    <cellStyle name="Percent 5 16" xfId="14290" xr:uid="{150F6383-ACFB-4E26-9AAC-0846577C893A}"/>
    <cellStyle name="Percent 5 17" xfId="14291" xr:uid="{5AFF4841-5A24-4FFE-B491-741797022612}"/>
    <cellStyle name="Percent 5 18" xfId="14292" xr:uid="{3A840C4C-FF58-4981-BCF9-F8C9814EAEFC}"/>
    <cellStyle name="Percent 5 2" xfId="14293" xr:uid="{FF23230F-E3A0-4533-BAC4-16C5E9D21F6B}"/>
    <cellStyle name="Percent 5 2 2" xfId="14294" xr:uid="{4390DC17-CB60-4624-8166-B5C7CF856B69}"/>
    <cellStyle name="Percent 5 2 3" xfId="14295" xr:uid="{0F2BBB54-E326-4F45-A86C-B6C614D21E97}"/>
    <cellStyle name="Percent 5 2 4" xfId="14296" xr:uid="{15646C35-683A-41A8-A6F4-6C7D3E813698}"/>
    <cellStyle name="Percent 5 2 5" xfId="14297" xr:uid="{0845D044-9F26-442A-8E0D-6D9D2A383D0F}"/>
    <cellStyle name="Percent 5 2 6" xfId="14298" xr:uid="{DC7923CF-7613-4109-A7E7-9C16E6857C2F}"/>
    <cellStyle name="Percent 5 2 7" xfId="14299" xr:uid="{001299A8-606C-4A30-BECF-490C4AD62689}"/>
    <cellStyle name="Percent 5 2 8" xfId="14300" xr:uid="{6A344A56-3FE7-4E23-AC36-7C9A9B46BB40}"/>
    <cellStyle name="Percent 5 2 9" xfId="14301" xr:uid="{3160110D-9297-4D93-84AC-DEE0375247CD}"/>
    <cellStyle name="Percent 5 3" xfId="14302" xr:uid="{D1D20F0C-A050-4D24-8526-E7A6908C4D02}"/>
    <cellStyle name="Percent 5 3 10" xfId="14303" xr:uid="{1296EDE8-688C-4BE8-AF1A-9D0634F238C7}"/>
    <cellStyle name="Percent 5 3 2" xfId="14304" xr:uid="{D0824FE6-3F36-464B-92C4-4AF6B59B4053}"/>
    <cellStyle name="Percent 5 3 2 2" xfId="14305" xr:uid="{5CDB45B0-91D6-4834-9B0A-B173BACE541D}"/>
    <cellStyle name="Percent 5 3 2 3" xfId="14306" xr:uid="{038B8249-D524-4067-95A1-00494A3EE886}"/>
    <cellStyle name="Percent 5 3 2 4" xfId="14307" xr:uid="{C999692F-B2E1-446A-84B5-3E7302912B9F}"/>
    <cellStyle name="Percent 5 3 2 5" xfId="14308" xr:uid="{D0458581-8DE1-4A79-A42C-470A42E75382}"/>
    <cellStyle name="Percent 5 3 2 6" xfId="14309" xr:uid="{DF10F9D0-2C55-43F0-A687-29009A1207C2}"/>
    <cellStyle name="Percent 5 3 2 7" xfId="14310" xr:uid="{C54736E3-23FC-4F24-91BF-63E1019EEF98}"/>
    <cellStyle name="Percent 5 3 2 8" xfId="14311" xr:uid="{F881982D-FF7F-4C4D-87E8-0DBAAF7E9397}"/>
    <cellStyle name="Percent 5 3 2 9" xfId="14312" xr:uid="{E8F66B35-09BE-4B0C-89B8-14B0AF2DFB32}"/>
    <cellStyle name="Percent 5 3 3" xfId="14313" xr:uid="{433A3E04-EE81-4E17-8FF3-9FCAA1AD7E88}"/>
    <cellStyle name="Percent 5 3 4" xfId="14314" xr:uid="{9C804736-469D-40C8-8639-7549401C9E49}"/>
    <cellStyle name="Percent 5 3 5" xfId="14315" xr:uid="{1E55018D-B45A-4DB4-B6BB-4C3BBA0B0BA8}"/>
    <cellStyle name="Percent 5 3 6" xfId="14316" xr:uid="{8CAAEFE1-BA7B-4CAC-BF98-92C517506104}"/>
    <cellStyle name="Percent 5 3 7" xfId="14317" xr:uid="{C6BEFD21-9C84-4EEB-98B5-373CE4996E16}"/>
    <cellStyle name="Percent 5 3 8" xfId="14318" xr:uid="{0C9405AB-2C19-4B60-956C-861E5E908ADD}"/>
    <cellStyle name="Percent 5 3 9" xfId="14319" xr:uid="{A5507735-D2C4-45B7-ABC9-1B278C8D3A75}"/>
    <cellStyle name="Percent 5 4" xfId="14320" xr:uid="{E87F5716-7594-4F79-8AF0-5830DA55B079}"/>
    <cellStyle name="Percent 5 4 2" xfId="14321" xr:uid="{5AF7D380-68F1-427F-A290-DAABFFD13B47}"/>
    <cellStyle name="Percent 5 4 2 2" xfId="14322" xr:uid="{F254ABA8-4C31-431A-8AEA-94C24519BFC5}"/>
    <cellStyle name="Percent 5 4 2 3" xfId="14323" xr:uid="{EB2672D7-691D-45B5-AC99-3850B4ADC9FA}"/>
    <cellStyle name="Percent 5 4 2 4" xfId="14324" xr:uid="{B6D24823-1788-42F6-A492-900CC12F0213}"/>
    <cellStyle name="Percent 5 4 2 5" xfId="14325" xr:uid="{C3DD2254-821F-4840-B8BE-EE656DD7FC05}"/>
    <cellStyle name="Percent 5 4 3" xfId="14326" xr:uid="{D518342A-39A7-444D-A28D-8422321A1DF0}"/>
    <cellStyle name="Percent 5 4 4" xfId="14327" xr:uid="{12DA82F8-0B8F-46F0-9FEB-708C4D6EC520}"/>
    <cellStyle name="Percent 5 4 5" xfId="14328" xr:uid="{16F08652-495D-4E16-8EF3-48065E347716}"/>
    <cellStyle name="Percent 5 4 6" xfId="14329" xr:uid="{9710BE97-29E0-462E-969B-381E212598F1}"/>
    <cellStyle name="Percent 5 4 7" xfId="14330" xr:uid="{F768E1E0-8058-4F67-9FF0-860DA95C3D43}"/>
    <cellStyle name="Percent 5 4 8" xfId="14331" xr:uid="{328EBDC2-765E-4079-93D5-B3DCA0CE4CB3}"/>
    <cellStyle name="Percent 5 4 9" xfId="14332" xr:uid="{6675D28C-44C4-4E16-A6D9-79FEADD303EA}"/>
    <cellStyle name="Percent 5 5" xfId="14333" xr:uid="{EEFEED99-75B9-418F-8983-2C22E07D20CD}"/>
    <cellStyle name="Percent 5 5 10" xfId="14334" xr:uid="{663B5054-5B2F-46DA-AAEF-4DD0CD6A8860}"/>
    <cellStyle name="Percent 5 5 2" xfId="14335" xr:uid="{0477D297-9843-490A-91D8-C41006EE6940}"/>
    <cellStyle name="Percent 5 5 2 2" xfId="14336" xr:uid="{7C250B78-3ADD-4376-844B-339451CD2103}"/>
    <cellStyle name="Percent 5 5 2 3" xfId="14337" xr:uid="{6D49F1AE-DAC6-4E13-9344-396B199E3825}"/>
    <cellStyle name="Percent 5 5 2 4" xfId="14338" xr:uid="{FA8D4B96-8059-43BF-A653-1161A83D7F84}"/>
    <cellStyle name="Percent 5 5 2 5" xfId="14339" xr:uid="{7B63670D-FC9F-4617-AE1F-FF23EB18248E}"/>
    <cellStyle name="Percent 5 5 3" xfId="14340" xr:uid="{70DC983D-AA0B-469E-92C3-84507EADB17A}"/>
    <cellStyle name="Percent 5 5 3 2" xfId="14341" xr:uid="{6C3417C1-9171-4016-968F-85E0AB120795}"/>
    <cellStyle name="Percent 5 5 3 3" xfId="14342" xr:uid="{9B1B1737-51E3-428C-B20C-F1FFE40DD5C7}"/>
    <cellStyle name="Percent 5 5 3 4" xfId="14343" xr:uid="{D56A2AF4-DB58-4335-8B64-6FC2AC02C743}"/>
    <cellStyle name="Percent 5 5 3 5" xfId="14344" xr:uid="{4D1FADFA-78AA-473D-9CCF-7B1D4EF07AEA}"/>
    <cellStyle name="Percent 5 5 4" xfId="14345" xr:uid="{B8C05847-4A28-4310-9BE8-273EC3A7588B}"/>
    <cellStyle name="Percent 5 5 5" xfId="14346" xr:uid="{D552BB3E-BE9F-4272-A981-012A8DC9B01A}"/>
    <cellStyle name="Percent 5 5 6" xfId="14347" xr:uid="{897F1467-DDCD-4818-B967-070FE3B8629F}"/>
    <cellStyle name="Percent 5 5 7" xfId="14348" xr:uid="{9B76937C-5007-4DEA-8987-3439097890EF}"/>
    <cellStyle name="Percent 5 5 8" xfId="14349" xr:uid="{5757451C-2FD0-4D44-86DF-C7CE930F9A9B}"/>
    <cellStyle name="Percent 5 5 9" xfId="14350" xr:uid="{0E59122C-1310-4114-AC7A-3721E49359DE}"/>
    <cellStyle name="Percent 5 6" xfId="14351" xr:uid="{F5DB2823-18CF-4B14-9103-1C69BBB86265}"/>
    <cellStyle name="Percent 5 6 2" xfId="14352" xr:uid="{60E16A5A-549C-4112-8CEB-D48E43F8243A}"/>
    <cellStyle name="Percent 5 6 3" xfId="14353" xr:uid="{7358222E-9455-4C52-B95B-45CF32B81BE1}"/>
    <cellStyle name="Percent 5 6 4" xfId="14354" xr:uid="{65FEF393-D7D8-4636-AF09-EAED4D1FA25F}"/>
    <cellStyle name="Percent 5 6 5" xfId="14355" xr:uid="{58B1F396-C8E3-4EA1-85CD-A0C1AED39137}"/>
    <cellStyle name="Percent 5 6 6" xfId="14356" xr:uid="{968CB981-BCEB-49E4-A512-B0ECDE6A72FF}"/>
    <cellStyle name="Percent 5 6 7" xfId="14357" xr:uid="{866746C8-DC9B-4239-81D5-D365B5CC4AC8}"/>
    <cellStyle name="Percent 5 6 8" xfId="14358" xr:uid="{4867C39E-7D93-45D7-BFC1-908ED66E5DBC}"/>
    <cellStyle name="Percent 5 6 9" xfId="14359" xr:uid="{F6AE296F-B3E4-4BEE-AB64-EC4E93FB3F5D}"/>
    <cellStyle name="Percent 5 7" xfId="14360" xr:uid="{423256ED-9DC1-4426-B788-9BC8E470CDE2}"/>
    <cellStyle name="Percent 5 7 2" xfId="14361" xr:uid="{A60DC57C-6FD0-4BD4-B719-B73FF12DF390}"/>
    <cellStyle name="Percent 5 7 3" xfId="14362" xr:uid="{5F166611-F435-4BA3-89A7-5B29DA2F33A0}"/>
    <cellStyle name="Percent 5 7 4" xfId="14363" xr:uid="{5344F7D6-7871-4FC6-A312-678F38EE6BAA}"/>
    <cellStyle name="Percent 5 7 5" xfId="14364" xr:uid="{4E0FF761-A514-4E4A-B2A4-73FCF69F0CA5}"/>
    <cellStyle name="Percent 5 7 6" xfId="14365" xr:uid="{CDD669DB-C613-4B32-8B91-7786A9D441B8}"/>
    <cellStyle name="Percent 5 7 7" xfId="14366" xr:uid="{39CA1DDE-D1D6-47B6-B61A-59D081D96BEA}"/>
    <cellStyle name="Percent 5 7 8" xfId="14367" xr:uid="{32A8DA87-E5FB-49AF-B0A5-DC30FAD3B343}"/>
    <cellStyle name="Percent 5 7 9" xfId="14368" xr:uid="{91996BEE-7C91-4103-8EDB-3702F891E723}"/>
    <cellStyle name="Percent 5 8" xfId="14369" xr:uid="{5E04D9C6-1E71-44A5-830C-2AA2E16FE356}"/>
    <cellStyle name="Percent 5 8 2" xfId="14370" xr:uid="{C2DA6C4E-0EEA-449A-A636-32F729AAECF2}"/>
    <cellStyle name="Percent 5 8 3" xfId="14371" xr:uid="{DC235A0D-7F17-4CED-9D84-DBD001163612}"/>
    <cellStyle name="Percent 5 8 4" xfId="14372" xr:uid="{F0BAA3CD-55ED-4761-ADCA-A0FFFA6919E1}"/>
    <cellStyle name="Percent 5 8 5" xfId="14373" xr:uid="{C73EC357-3751-4784-82C8-A0FDE028D9ED}"/>
    <cellStyle name="Percent 5 8 6" xfId="14374" xr:uid="{7447EAA8-4B9F-45FC-BF74-46021AC6F79B}"/>
    <cellStyle name="Percent 5 8 7" xfId="14375" xr:uid="{974B79B3-2BF4-4A64-BE49-A636F67CEC18}"/>
    <cellStyle name="Percent 5 8 8" xfId="14376" xr:uid="{16B858A6-A105-4451-9F12-146A9870D66E}"/>
    <cellStyle name="Percent 5 8 9" xfId="14377" xr:uid="{075657C4-123D-4892-AF07-4CDA7EA2D14F}"/>
    <cellStyle name="Percent 5 9" xfId="14378" xr:uid="{A835BBCC-C286-41C1-96C1-2CAAB2FF1BCA}"/>
    <cellStyle name="Percent 5 9 2" xfId="14379" xr:uid="{28D4A83E-1C10-4F96-A664-68D348A918FA}"/>
    <cellStyle name="Percent 5 9 2 2" xfId="14380" xr:uid="{02347472-A6E0-4D33-822D-65C851BA6D87}"/>
    <cellStyle name="Percent 5 9 2 2 2" xfId="14381" xr:uid="{EA809525-5C50-4E95-ABE7-75CF45C3630C}"/>
    <cellStyle name="Percent 5 9 2 2 3" xfId="14382" xr:uid="{AC9C771F-AE25-4D8F-B62B-9F8458B8A9CC}"/>
    <cellStyle name="Percent 5 9 2 3" xfId="14383" xr:uid="{296ADD67-BE1B-46A7-BE26-CE66E722842F}"/>
    <cellStyle name="Percent 5 9 2 4" xfId="14384" xr:uid="{572AB578-A44D-4853-B90A-A5B06FB0B6F4}"/>
    <cellStyle name="Percent 5 9 2 5" xfId="14385" xr:uid="{958546EF-15FE-4C19-ADF4-6DF869E475D8}"/>
    <cellStyle name="Percent 5 9 2 6" xfId="14386" xr:uid="{AD1EFEA2-C4CF-4E88-AF38-C69FF5EA3FAB}"/>
    <cellStyle name="Percent 5 9 2 7" xfId="14387" xr:uid="{E06677BA-C5CE-4E88-A64F-0CDF8EA067C9}"/>
    <cellStyle name="Percent 5 9 3" xfId="14388" xr:uid="{92766EE9-0A51-43B8-AB28-BD682C60A810}"/>
    <cellStyle name="Percent 5 9 3 2" xfId="14389" xr:uid="{1002A019-617F-4DE5-B53D-510498187FA1}"/>
    <cellStyle name="Percent 5 9 3 3" xfId="14390" xr:uid="{1E59F166-DB28-4D9A-B81E-0841EE51DC2A}"/>
    <cellStyle name="Percent 5 9 4" xfId="14391" xr:uid="{EF860651-5BF8-4436-81E4-2E34821E0A7B}"/>
    <cellStyle name="Percent 5 9 4 2" xfId="14392" xr:uid="{4D1ABD2D-9E46-42AD-BE8B-8FFDA4B16768}"/>
    <cellStyle name="Percent 5 9 4 2 2" xfId="14393" xr:uid="{97432426-48EA-4AAB-8E38-950E8651810F}"/>
    <cellStyle name="Percent 5 9 4 3" xfId="14394" xr:uid="{C3D9EF00-72FB-420B-A69D-F57311BD7C7B}"/>
    <cellStyle name="Percent 5 9 4 4" xfId="14395" xr:uid="{4CC38682-0F28-488A-96B9-DAA89E73C93C}"/>
    <cellStyle name="Percent 5 9 5" xfId="14396" xr:uid="{3CA9C6B8-89E9-4E5C-B9A2-73AAD961F533}"/>
    <cellStyle name="Percent 5 9 6" xfId="14397" xr:uid="{1A4DDD28-DDB0-43B5-BE9F-52C8A51A8E75}"/>
    <cellStyle name="Percent 5 9 7" xfId="14398" xr:uid="{CF32FFF2-DDC7-4A70-B2AF-694EA6D9D1C8}"/>
    <cellStyle name="Percent 5 9 8" xfId="14399" xr:uid="{5D3B0636-2E1F-41D1-B800-223E697B0F13}"/>
    <cellStyle name="Percent 5 9 9" xfId="14400" xr:uid="{34837532-9BFC-4F0F-9AEA-E0E618D084CD}"/>
    <cellStyle name="Percent 6" xfId="14401" xr:uid="{83C51BA8-B7DC-4C6B-AC04-48174331C752}"/>
    <cellStyle name="Percent 6 10" xfId="14402" xr:uid="{703CB9A4-F043-4AF7-8341-1037599EAC09}"/>
    <cellStyle name="Percent 6 10 2" xfId="14403" xr:uid="{B1FB37C2-E2E4-479D-9BA7-F13083FDE158}"/>
    <cellStyle name="Percent 6 10 2 2" xfId="14404" xr:uid="{5DF9605D-1BE2-465D-9015-9A3AB989FF12}"/>
    <cellStyle name="Percent 6 10 2 2 2" xfId="14405" xr:uid="{A5EABB8F-2281-4459-9DA3-FC78E5C44544}"/>
    <cellStyle name="Percent 6 10 2 3" xfId="14406" xr:uid="{1AD4C7B5-8768-43B2-BA64-04162656024C}"/>
    <cellStyle name="Percent 6 10 3" xfId="14407" xr:uid="{6CDB0B81-5C44-4E33-AAB1-F3A3117D4678}"/>
    <cellStyle name="Percent 6 10 3 2" xfId="14408" xr:uid="{95976F27-8FC4-4656-B896-4F3DF6B8970A}"/>
    <cellStyle name="Percent 6 10 4" xfId="14409" xr:uid="{2D620C0C-6F55-4C57-A005-E3AC9CEF0336}"/>
    <cellStyle name="Percent 6 10 5" xfId="14410" xr:uid="{A9C9F2C4-59AC-4A8D-810D-F5243F67A6CD}"/>
    <cellStyle name="Percent 6 10 6" xfId="14411" xr:uid="{A842B35A-11A5-4B5C-965D-2D821EF57DF1}"/>
    <cellStyle name="Percent 6 10 7" xfId="14412" xr:uid="{1A1DE085-C8F1-4F28-B3BC-09BE96C294DB}"/>
    <cellStyle name="Percent 6 11" xfId="14413" xr:uid="{005D0708-5F55-468B-A3BE-A709DD4B2D19}"/>
    <cellStyle name="Percent 6 11 2" xfId="14414" xr:uid="{0AA888BB-04CC-4BC8-8D36-4A89FD1C2325}"/>
    <cellStyle name="Percent 6 11 3" xfId="14415" xr:uid="{E6FF5F61-B03F-47EE-BA88-FFC885C2012B}"/>
    <cellStyle name="Percent 6 12" xfId="14416" xr:uid="{6AB0BAFD-85FE-4ACF-90B4-800E7665FCBF}"/>
    <cellStyle name="Percent 6 13" xfId="14417" xr:uid="{D8F58F17-0DE9-4C60-AEB0-BE0CD58852F4}"/>
    <cellStyle name="Percent 6 14" xfId="14418" xr:uid="{465CFA30-CA9B-427B-AE2D-CC16D627C011}"/>
    <cellStyle name="Percent 6 15" xfId="14419" xr:uid="{39726BC1-CAD7-4570-BCAE-0E46C7438CC5}"/>
    <cellStyle name="Percent 6 16" xfId="14420" xr:uid="{6F1E6C26-09E2-4DC8-B837-3E350355CA7A}"/>
    <cellStyle name="Percent 6 17" xfId="14421" xr:uid="{68DEFFE5-A6A6-4311-97B8-F56747B45740}"/>
    <cellStyle name="Percent 6 18" xfId="14422" xr:uid="{FD8AD7AF-7710-4AED-81CE-5CC56BF34ABB}"/>
    <cellStyle name="Percent 6 19" xfId="14423" xr:uid="{42010672-4559-49D4-997D-9F84C933A019}"/>
    <cellStyle name="Percent 6 2" xfId="14424" xr:uid="{A8394536-6699-4980-9EEB-E14C3B8CA4E7}"/>
    <cellStyle name="Percent 6 2 2" xfId="14425" xr:uid="{7C0357C7-4AE4-4C8C-8025-5D2EA6DB8DE9}"/>
    <cellStyle name="Percent 6 2 3" xfId="14426" xr:uid="{5A29E18B-3493-4FD6-B4AC-CDE40DD67B70}"/>
    <cellStyle name="Percent 6 2 4" xfId="14427" xr:uid="{3531093C-17A8-4A8B-903E-A0315057E6CC}"/>
    <cellStyle name="Percent 6 2 5" xfId="14428" xr:uid="{C673E8E1-92D1-496A-A1AF-483C0640E819}"/>
    <cellStyle name="Percent 6 2 6" xfId="14429" xr:uid="{6CBFCE90-588E-42A6-A787-747E2B467E5E}"/>
    <cellStyle name="Percent 6 2 7" xfId="14430" xr:uid="{D4CE9BA3-CA41-4B64-AFDB-E5FA4BC35BCA}"/>
    <cellStyle name="Percent 6 2 8" xfId="14431" xr:uid="{753F391F-CF8C-4B5C-8ACE-104D928458F4}"/>
    <cellStyle name="Percent 6 2 9" xfId="14432" xr:uid="{6E7CDEAB-1E25-44D7-8BAF-59ABFDF31F3D}"/>
    <cellStyle name="Percent 6 3" xfId="14433" xr:uid="{367993FE-EB3E-4957-A850-1016C655D3D5}"/>
    <cellStyle name="Percent 6 3 10" xfId="14434" xr:uid="{0D458ED6-42DE-4741-AA72-34667E079981}"/>
    <cellStyle name="Percent 6 3 2" xfId="14435" xr:uid="{FF08E644-3611-4C28-A0F7-11C398FD5EAA}"/>
    <cellStyle name="Percent 6 3 2 2" xfId="14436" xr:uid="{DFEE3215-A747-436D-BADC-FBE4A33A1BA1}"/>
    <cellStyle name="Percent 6 3 2 3" xfId="14437" xr:uid="{B2459AED-1962-4427-8D01-1F6834CF2E19}"/>
    <cellStyle name="Percent 6 3 2 4" xfId="14438" xr:uid="{9AFD71E6-9B88-4107-A094-C9D553D99E9D}"/>
    <cellStyle name="Percent 6 3 2 5" xfId="14439" xr:uid="{3DFD8529-A7CF-4360-84B9-E96CC51D3A0E}"/>
    <cellStyle name="Percent 6 3 3" xfId="14440" xr:uid="{E3C6C076-E85A-4F6B-8D09-C633F2661923}"/>
    <cellStyle name="Percent 6 3 3 2" xfId="14441" xr:uid="{E42AF3BE-F3BD-4B2C-95BB-7D0622A0DE9A}"/>
    <cellStyle name="Percent 6 3 3 3" xfId="14442" xr:uid="{8BF57D96-DBD4-454B-8546-18A50E449924}"/>
    <cellStyle name="Percent 6 3 3 4" xfId="14443" xr:uid="{92C99714-DFD4-495A-8BD6-E624EACB3D05}"/>
    <cellStyle name="Percent 6 3 3 5" xfId="14444" xr:uid="{578E5CF4-05B7-4DBF-B793-18BFE6A51CE0}"/>
    <cellStyle name="Percent 6 3 4" xfId="14445" xr:uid="{4529B4FC-F780-4D8A-A38F-F56CA6022CB3}"/>
    <cellStyle name="Percent 6 3 5" xfId="14446" xr:uid="{64FB3027-AC0B-417F-B4A4-D03CA036FB3C}"/>
    <cellStyle name="Percent 6 3 6" xfId="14447" xr:uid="{E693E6D7-D7A3-40DD-B2A8-A7BEDCEB80C8}"/>
    <cellStyle name="Percent 6 3 7" xfId="14448" xr:uid="{D69FD05D-61A7-4596-8424-F7B5B576F7D0}"/>
    <cellStyle name="Percent 6 3 8" xfId="14449" xr:uid="{ACA3440D-9D40-45A4-85AA-13B890D90624}"/>
    <cellStyle name="Percent 6 3 9" xfId="14450" xr:uid="{46057677-B446-415C-9ED4-1878112FFC48}"/>
    <cellStyle name="Percent 6 4" xfId="14451" xr:uid="{F243E4F1-A575-4CDD-8FA7-EDEA20FF059D}"/>
    <cellStyle name="Percent 6 4 2" xfId="14452" xr:uid="{146E0449-C7FB-4499-9C1B-94A6B45D132D}"/>
    <cellStyle name="Percent 6 4 3" xfId="14453" xr:uid="{09F472B6-3347-4813-BA85-990246DEC3A7}"/>
    <cellStyle name="Percent 6 4 4" xfId="14454" xr:uid="{764D7C65-4AC3-4A8F-8B59-FE7A01418747}"/>
    <cellStyle name="Percent 6 4 5" xfId="14455" xr:uid="{3316DC3B-AE44-4AC7-8327-EE6756AA70F8}"/>
    <cellStyle name="Percent 6 4 6" xfId="14456" xr:uid="{702747DD-4B0A-4D59-ADFB-F762C87D3E79}"/>
    <cellStyle name="Percent 6 4 7" xfId="14457" xr:uid="{A01CE4B4-546D-4BCD-A075-43861D9C9446}"/>
    <cellStyle name="Percent 6 4 8" xfId="14458" xr:uid="{2B6C96CB-1A4C-46E2-95B9-0D41C3646697}"/>
    <cellStyle name="Percent 6 4 9" xfId="14459" xr:uid="{56D97E87-51FF-4D64-A219-9694C8B80602}"/>
    <cellStyle name="Percent 6 5" xfId="14460" xr:uid="{6DECCB01-950A-44D9-AC95-91634A389FF0}"/>
    <cellStyle name="Percent 6 5 2" xfId="14461" xr:uid="{05A01022-8B5F-486A-AC36-760FDCD65279}"/>
    <cellStyle name="Percent 6 5 3" xfId="14462" xr:uid="{9519C8FC-77DB-487E-91FB-554302E95DA6}"/>
    <cellStyle name="Percent 6 5 4" xfId="14463" xr:uid="{DA40D417-431C-4522-9DD9-985B4DF9B0AD}"/>
    <cellStyle name="Percent 6 5 5" xfId="14464" xr:uid="{F98E297C-FB12-471B-967E-B58ADC144619}"/>
    <cellStyle name="Percent 6 5 6" xfId="14465" xr:uid="{16C198B8-8CC9-4F4F-9B39-705962762E9C}"/>
    <cellStyle name="Percent 6 5 7" xfId="14466" xr:uid="{7D0DE61D-DD89-4C11-8096-06F06109E3F9}"/>
    <cellStyle name="Percent 6 5 8" xfId="14467" xr:uid="{D612DBA9-2AD4-4399-888F-6EB94FE901F0}"/>
    <cellStyle name="Percent 6 5 9" xfId="14468" xr:uid="{B1EB6893-023A-4DDC-83D5-AC21A570AF37}"/>
    <cellStyle name="Percent 6 6" xfId="14469" xr:uid="{CD2D158E-7AF0-4AF4-8B82-2F1F5DE87AE7}"/>
    <cellStyle name="Percent 6 6 2" xfId="14470" xr:uid="{2B8E758B-8ECE-4BFF-817A-478534E695AB}"/>
    <cellStyle name="Percent 6 6 3" xfId="14471" xr:uid="{4C595BA1-52E3-47EC-B662-686C7B9B0F95}"/>
    <cellStyle name="Percent 6 6 4" xfId="14472" xr:uid="{079EE7D8-A4BB-4894-B1AE-DDEDA8EB0360}"/>
    <cellStyle name="Percent 6 6 5" xfId="14473" xr:uid="{DB5D1E74-2C60-4B0E-8C5F-7583269B5FF2}"/>
    <cellStyle name="Percent 6 6 6" xfId="14474" xr:uid="{B9FF73D6-1EE9-4A07-9984-89696877AFA9}"/>
    <cellStyle name="Percent 6 6 7" xfId="14475" xr:uid="{3ACBBB2B-D569-43E2-8AD8-0816C73F0080}"/>
    <cellStyle name="Percent 6 6 8" xfId="14476" xr:uid="{351BADA1-2AE3-4587-9DB0-5204BBA732C1}"/>
    <cellStyle name="Percent 6 6 9" xfId="14477" xr:uid="{4905F387-6CB0-4C8E-82DF-ADC939458D64}"/>
    <cellStyle name="Percent 6 7" xfId="14478" xr:uid="{A7B19AB3-7E91-491C-B00A-77212B53C8D3}"/>
    <cellStyle name="Percent 6 7 2" xfId="14479" xr:uid="{2355E584-4C98-409A-B6D2-4DF9114521A0}"/>
    <cellStyle name="Percent 6 7 3" xfId="14480" xr:uid="{5B2FBE88-5399-48FF-898F-EE8A35823FDC}"/>
    <cellStyle name="Percent 6 7 4" xfId="14481" xr:uid="{02424928-B70F-4272-AF55-EBD9396842C5}"/>
    <cellStyle name="Percent 6 7 5" xfId="14482" xr:uid="{2996EF4B-100D-4590-91E1-F96654120728}"/>
    <cellStyle name="Percent 6 7 6" xfId="14483" xr:uid="{E5A367F9-84D6-45B4-B4BB-02506B40BAF9}"/>
    <cellStyle name="Percent 6 7 7" xfId="14484" xr:uid="{579AA8A1-0E40-42BB-88A1-869172C39A3C}"/>
    <cellStyle name="Percent 6 7 8" xfId="14485" xr:uid="{3C21A8AF-FD34-4C00-84B1-04299ED550B5}"/>
    <cellStyle name="Percent 6 7 9" xfId="14486" xr:uid="{F440AB79-3F28-49C4-BEF9-BB19A657F889}"/>
    <cellStyle name="Percent 6 8" xfId="14487" xr:uid="{4E680CB0-7BB4-4078-84F2-090CA8DCC464}"/>
    <cellStyle name="Percent 6 8 2" xfId="14488" xr:uid="{5F22CB65-834C-447B-AAE4-A4BBCBDCED6E}"/>
    <cellStyle name="Percent 6 8 3" xfId="14489" xr:uid="{0E33C5F1-A56B-4DBE-8440-A714CEA0B05E}"/>
    <cellStyle name="Percent 6 8 4" xfId="14490" xr:uid="{6EE71A99-734B-4672-B244-37C87B13B71A}"/>
    <cellStyle name="Percent 6 8 5" xfId="14491" xr:uid="{7BBE19E6-4F4A-400D-B84A-F2674FEA1D13}"/>
    <cellStyle name="Percent 6 8 6" xfId="14492" xr:uid="{21A43630-230C-4E64-8B8C-EFA2A63F01B5}"/>
    <cellStyle name="Percent 6 8 7" xfId="14493" xr:uid="{7A72C59C-57FC-47CE-A4FA-B0018FA6C76E}"/>
    <cellStyle name="Percent 6 8 8" xfId="14494" xr:uid="{1C63A06D-8F2D-4540-91B0-CA55321D927F}"/>
    <cellStyle name="Percent 6 8 9" xfId="14495" xr:uid="{47284BE5-CA0C-493D-8431-1599B4817419}"/>
    <cellStyle name="Percent 6 9" xfId="14496" xr:uid="{A40938B0-EA92-4B4A-BF2F-0EAB32A12F10}"/>
    <cellStyle name="Percent 6 9 2" xfId="14497" xr:uid="{BD79F4A0-417C-469A-AB2B-07430E36B7D1}"/>
    <cellStyle name="Percent 6 9 2 2" xfId="14498" xr:uid="{44C52168-F0DE-4D64-8D01-0ECEFAD6619D}"/>
    <cellStyle name="Percent 6 9 2 2 2" xfId="14499" xr:uid="{664EC47D-A52C-45D5-98D5-08B6D0B4469A}"/>
    <cellStyle name="Percent 6 9 2 3" xfId="14500" xr:uid="{52C769EA-5CB1-4C23-B6D6-F28F0F383524}"/>
    <cellStyle name="Percent 6 9 2 4" xfId="14501" xr:uid="{8C47D664-96C3-434B-A18C-712205688EB5}"/>
    <cellStyle name="Percent 6 9 3" xfId="14502" xr:uid="{531885A6-6ABA-4F13-BBB4-0BE89B5D2166}"/>
    <cellStyle name="Percent 6 9 3 2" xfId="14503" xr:uid="{55CAC313-C3ED-48E2-B6D5-5F3F7CC57ABB}"/>
    <cellStyle name="Percent 6 9 3 2 2" xfId="14504" xr:uid="{0A3546CA-AE64-4700-8992-5E160BFBD839}"/>
    <cellStyle name="Percent 6 9 3 3" xfId="14505" xr:uid="{F550FA73-81DF-4F61-BE5F-8103A490B121}"/>
    <cellStyle name="Percent 6 9 3 4" xfId="14506" xr:uid="{CF6200B2-A739-4B97-B82C-23304C0F688D}"/>
    <cellStyle name="Percent 6 9 4" xfId="14507" xr:uid="{8E3E891E-0410-4AD5-8999-185D68919B4C}"/>
    <cellStyle name="Percent 6 9 4 2" xfId="14508" xr:uid="{CFB4F244-6425-4FBD-A1CF-4CE039969EDC}"/>
    <cellStyle name="Percent 6 9 4 3" xfId="14509" xr:uid="{4A578411-145B-448D-AC42-074C47AD4362}"/>
    <cellStyle name="Percent 6 9 5" xfId="14510" xr:uid="{CEEB086A-E1B9-43E1-AE9B-7654250D107E}"/>
    <cellStyle name="Percent 6 9 6" xfId="14511" xr:uid="{8261C565-EA38-435E-9D96-F33968AE8CA8}"/>
    <cellStyle name="Percent 6 9 7" xfId="14512" xr:uid="{FCE32F2B-AA05-4D87-ABE6-F1FEDC183C2E}"/>
    <cellStyle name="Percent 6 9 8" xfId="14513" xr:uid="{8099CA2F-A431-49B5-9CE7-0F377B2E8EFF}"/>
    <cellStyle name="Percent 6 9 9" xfId="14514" xr:uid="{91C3B2FF-6E2F-4520-8C04-A39CD4024BDE}"/>
    <cellStyle name="Percent 7" xfId="14515" xr:uid="{E3D26F3E-614D-4382-8563-1F4134F812CC}"/>
    <cellStyle name="Percent 7 10" xfId="14516" xr:uid="{2891D82C-4610-4648-B05D-87DB7EF489C2}"/>
    <cellStyle name="Percent 7 10 2" xfId="14517" xr:uid="{6CEB93DD-1324-4FAA-BB5E-8DF2475DD996}"/>
    <cellStyle name="Percent 7 10 2 2" xfId="14518" xr:uid="{0CBF7497-DD81-4512-BA14-5914306BE3A3}"/>
    <cellStyle name="Percent 7 10 2 2 2" xfId="14519" xr:uid="{A8F5BE37-457E-4D43-8D37-BC7EA1A3EBF6}"/>
    <cellStyle name="Percent 7 10 2 3" xfId="14520" xr:uid="{EB1F5103-5E4B-47F8-A80D-CC56179708D6}"/>
    <cellStyle name="Percent 7 10 3" xfId="14521" xr:uid="{E060E06D-0966-4A89-8787-10A03668564F}"/>
    <cellStyle name="Percent 7 10 3 2" xfId="14522" xr:uid="{BE373F66-1C21-4BC8-9A7B-17938FA7A0BE}"/>
    <cellStyle name="Percent 7 10 4" xfId="14523" xr:uid="{31843DC7-4906-4E91-8169-0E055553C31E}"/>
    <cellStyle name="Percent 7 10 5" xfId="14524" xr:uid="{F04ECE8B-D5F7-4500-A5A7-8A28C619FD24}"/>
    <cellStyle name="Percent 7 10 6" xfId="14525" xr:uid="{12E8C4BD-FF10-454B-9C47-51D5F6C816F8}"/>
    <cellStyle name="Percent 7 10 7" xfId="14526" xr:uid="{7D35CC64-E2AB-48EC-9DE4-2CF29D5B23B9}"/>
    <cellStyle name="Percent 7 11" xfId="14527" xr:uid="{96E1F40B-4723-44AC-8A60-2B8C8756FAD8}"/>
    <cellStyle name="Percent 7 11 2" xfId="14528" xr:uid="{BB9B684F-B598-4CB0-B093-A1DF86C3B7FA}"/>
    <cellStyle name="Percent 7 11 3" xfId="14529" xr:uid="{C59B67B0-0212-4A9C-81CC-F56E8E7C341B}"/>
    <cellStyle name="Percent 7 12" xfId="14530" xr:uid="{F940B732-EB7B-4F87-AC57-090363FF9AE2}"/>
    <cellStyle name="Percent 7 13" xfId="14531" xr:uid="{23AC33D4-D9CC-46E1-98FE-FF99A6F2B5EA}"/>
    <cellStyle name="Percent 7 14" xfId="14532" xr:uid="{BE682C00-7514-458A-97B1-B76E1655CE85}"/>
    <cellStyle name="Percent 7 15" xfId="14533" xr:uid="{BA7921ED-0DDB-4363-BD5D-3752AFB1914F}"/>
    <cellStyle name="Percent 7 16" xfId="14534" xr:uid="{4388DC1A-5938-46EC-A2FC-6AB1F0525863}"/>
    <cellStyle name="Percent 7 17" xfId="14535" xr:uid="{CD8CBC02-A647-4CFC-B962-8672A8181B29}"/>
    <cellStyle name="Percent 7 18" xfId="14536" xr:uid="{59EDE9FA-5312-402A-9CA2-1BD69BE834A3}"/>
    <cellStyle name="Percent 7 19" xfId="14537" xr:uid="{4D8B42C6-CEF8-44E9-A342-6C2F26241E4C}"/>
    <cellStyle name="Percent 7 2" xfId="14538" xr:uid="{76CE62A2-ADB5-41CD-9C80-ADA1416F3E67}"/>
    <cellStyle name="Percent 7 2 2" xfId="14539" xr:uid="{36CAEB77-D71B-449E-980A-8E5175429723}"/>
    <cellStyle name="Percent 7 2 3" xfId="14540" xr:uid="{BF7EA7F7-004E-4AFD-A7B5-B59ECD09E55C}"/>
    <cellStyle name="Percent 7 2 4" xfId="14541" xr:uid="{A3D504B1-1C5C-4B37-A564-E76502DE95EF}"/>
    <cellStyle name="Percent 7 2 5" xfId="14542" xr:uid="{3FF0DEA4-6DC0-4ED9-BAC7-FA1D531A28AD}"/>
    <cellStyle name="Percent 7 2 6" xfId="14543" xr:uid="{E3D4AA92-CD28-40E5-9A50-04B97031A814}"/>
    <cellStyle name="Percent 7 2 7" xfId="14544" xr:uid="{654CAB1C-4FB6-4B79-8255-7DACC1435BB4}"/>
    <cellStyle name="Percent 7 2 8" xfId="14545" xr:uid="{B6DEFC2F-A4A4-4CA9-96EF-1C6267C754D9}"/>
    <cellStyle name="Percent 7 2 9" xfId="14546" xr:uid="{5219099D-CC90-457A-A1ED-7632F799B78C}"/>
    <cellStyle name="Percent 7 3" xfId="14547" xr:uid="{52419784-A696-4CBE-B950-019A90A369AD}"/>
    <cellStyle name="Percent 7 3 2" xfId="14548" xr:uid="{0591035B-EDB5-4245-BA27-BC1AFAA810A5}"/>
    <cellStyle name="Percent 7 3 3" xfId="14549" xr:uid="{F7CF7D65-6828-48B3-8729-3709E701073B}"/>
    <cellStyle name="Percent 7 3 4" xfId="14550" xr:uid="{52BD063B-E074-4939-B955-24E438197C6C}"/>
    <cellStyle name="Percent 7 3 5" xfId="14551" xr:uid="{94BAC92A-31F3-468B-A23B-18D6498E6506}"/>
    <cellStyle name="Percent 7 3 6" xfId="14552" xr:uid="{4FD2D648-2A13-4EBB-8359-AC7952CA563C}"/>
    <cellStyle name="Percent 7 3 7" xfId="14553" xr:uid="{DC5E5739-9F2E-4EF6-A54A-C42869533537}"/>
    <cellStyle name="Percent 7 3 8" xfId="14554" xr:uid="{BBDC01B2-6686-467E-A387-2E54491000DD}"/>
    <cellStyle name="Percent 7 3 9" xfId="14555" xr:uid="{5086681E-43B5-4504-B8BB-DC6EE2E0F9CC}"/>
    <cellStyle name="Percent 7 4" xfId="14556" xr:uid="{1863B99A-A747-4C2B-9BF3-CD684D70E535}"/>
    <cellStyle name="Percent 7 4 2" xfId="14557" xr:uid="{99ED52A7-96AF-4E7F-A77F-AE97CE9E62C2}"/>
    <cellStyle name="Percent 7 4 3" xfId="14558" xr:uid="{01537585-966C-4152-BC7E-B88348224AD2}"/>
    <cellStyle name="Percent 7 4 4" xfId="14559" xr:uid="{C8C660EF-0B85-41FD-8BEF-83417CE4A007}"/>
    <cellStyle name="Percent 7 4 5" xfId="14560" xr:uid="{D57E2154-D467-4FFA-8BA2-B297D47D74BA}"/>
    <cellStyle name="Percent 7 4 6" xfId="14561" xr:uid="{A017082D-1F73-4F1A-BC7F-C3BF1B63EFEE}"/>
    <cellStyle name="Percent 7 4 7" xfId="14562" xr:uid="{8F83E6AE-25D9-4FE3-8D7F-A2353E12C610}"/>
    <cellStyle name="Percent 7 4 8" xfId="14563" xr:uid="{3F1932E0-8C6E-4F86-B2BD-D8A86B5E28B1}"/>
    <cellStyle name="Percent 7 4 9" xfId="14564" xr:uid="{F50D42AF-0396-450F-8C2B-8D736CDD94A5}"/>
    <cellStyle name="Percent 7 5" xfId="14565" xr:uid="{B5710424-E17C-4E54-AE2C-766B3B52FFCD}"/>
    <cellStyle name="Percent 7 5 2" xfId="14566" xr:uid="{69E1DC46-4C97-4D48-99A2-DC0D54935384}"/>
    <cellStyle name="Percent 7 5 3" xfId="14567" xr:uid="{165BCFC6-5A09-484B-9C4C-3D152E27E83B}"/>
    <cellStyle name="Percent 7 5 4" xfId="14568" xr:uid="{2AAC0270-63FA-432A-B2AC-009C445BA4B0}"/>
    <cellStyle name="Percent 7 5 5" xfId="14569" xr:uid="{A4252E56-4587-45DD-9BEF-337CC8537C10}"/>
    <cellStyle name="Percent 7 5 6" xfId="14570" xr:uid="{0AE2F6FD-2176-49EF-9AC9-467AEADCC03C}"/>
    <cellStyle name="Percent 7 5 7" xfId="14571" xr:uid="{DED17021-B189-4FD7-BB1F-EFC042560AC0}"/>
    <cellStyle name="Percent 7 5 8" xfId="14572" xr:uid="{1CB53A19-67D3-4F08-9B25-9100AB55A068}"/>
    <cellStyle name="Percent 7 5 9" xfId="14573" xr:uid="{26505B3B-6959-46B3-BB40-80C970C8ADD3}"/>
    <cellStyle name="Percent 7 6" xfId="14574" xr:uid="{70B7D64F-98B5-459A-8B3C-74909DEB3501}"/>
    <cellStyle name="Percent 7 6 2" xfId="14575" xr:uid="{E904E51F-24B7-434C-A40D-8E1A114FE17B}"/>
    <cellStyle name="Percent 7 6 3" xfId="14576" xr:uid="{8FC0A591-1FEC-4E32-AF6F-2A50DFB0B391}"/>
    <cellStyle name="Percent 7 6 4" xfId="14577" xr:uid="{A0B42E5A-15D9-4CFC-9C85-583DFF4D7822}"/>
    <cellStyle name="Percent 7 6 5" xfId="14578" xr:uid="{D0F6A2AA-3745-44D6-A74E-1991B8441B73}"/>
    <cellStyle name="Percent 7 6 6" xfId="14579" xr:uid="{6806C2FA-ADDE-452D-A93C-8345FB896E54}"/>
    <cellStyle name="Percent 7 6 7" xfId="14580" xr:uid="{EB02885E-E868-48DF-9709-54962C0FFA05}"/>
    <cellStyle name="Percent 7 6 8" xfId="14581" xr:uid="{1EA831AE-BA0B-45B5-A937-5BCDE5533B74}"/>
    <cellStyle name="Percent 7 6 9" xfId="14582" xr:uid="{DF2BBF50-D9D4-4F46-BF94-4C5CB2910065}"/>
    <cellStyle name="Percent 7 7" xfId="14583" xr:uid="{B5C71D59-5376-4802-9A9A-91256CC5A373}"/>
    <cellStyle name="Percent 7 7 2" xfId="14584" xr:uid="{B90D52F2-2B3E-4DCF-B88D-7C4F7A672686}"/>
    <cellStyle name="Percent 7 7 3" xfId="14585" xr:uid="{AF52D1B3-B42A-47FA-9595-4E4B7456FEDF}"/>
    <cellStyle name="Percent 7 7 4" xfId="14586" xr:uid="{A781F950-E0A2-4AA0-A8FA-1EECF9A0E2CE}"/>
    <cellStyle name="Percent 7 7 5" xfId="14587" xr:uid="{B40D09FF-FD15-4D96-B57B-4032A08BE2D3}"/>
    <cellStyle name="Percent 7 7 6" xfId="14588" xr:uid="{A20EF658-F4C4-42C4-85C1-E6AF99A24E0E}"/>
    <cellStyle name="Percent 7 7 7" xfId="14589" xr:uid="{F17A38BF-BCEF-4456-BDAF-1CFB6F882A6C}"/>
    <cellStyle name="Percent 7 7 8" xfId="14590" xr:uid="{C5DC03FC-5585-4320-B819-6C18CC2B234D}"/>
    <cellStyle name="Percent 7 7 9" xfId="14591" xr:uid="{8E0FFFFB-932C-41E4-8A15-0892389CD767}"/>
    <cellStyle name="Percent 7 8" xfId="14592" xr:uid="{E79EC2B3-CCC1-471F-82D0-45E8DACFFE1F}"/>
    <cellStyle name="Percent 7 8 2" xfId="14593" xr:uid="{DF63D9B1-1D40-4E53-A1DA-48FE69C4F3C9}"/>
    <cellStyle name="Percent 7 8 3" xfId="14594" xr:uid="{9EA3F2D9-A2B6-4D81-99C6-AAF1408931AC}"/>
    <cellStyle name="Percent 7 8 4" xfId="14595" xr:uid="{6E213512-877C-42BD-89A5-D8F8E01806A8}"/>
    <cellStyle name="Percent 7 8 5" xfId="14596" xr:uid="{24C3DE94-2938-47F0-98AC-66B66BB08763}"/>
    <cellStyle name="Percent 7 8 6" xfId="14597" xr:uid="{030597DA-9CCF-4DBE-8D46-21EA96C425EA}"/>
    <cellStyle name="Percent 7 8 7" xfId="14598" xr:uid="{78AF7905-0C21-4A37-9753-718F09E48E14}"/>
    <cellStyle name="Percent 7 8 8" xfId="14599" xr:uid="{FE74A8FD-3AAF-4FB4-A3B8-2C80E36A3800}"/>
    <cellStyle name="Percent 7 8 9" xfId="14600" xr:uid="{0A0810EB-3EF9-4121-A4D8-FF9F0B98AADD}"/>
    <cellStyle name="Percent 7 9" xfId="14601" xr:uid="{95575F2D-2E70-4A12-867B-F1EC8787238B}"/>
    <cellStyle name="Percent 7 9 2" xfId="14602" xr:uid="{F92D2851-0E39-4D12-87C5-0BABF0279328}"/>
    <cellStyle name="Percent 7 9 2 2" xfId="14603" xr:uid="{51C5DF40-8535-40D7-9067-325D4FF78D5C}"/>
    <cellStyle name="Percent 7 9 2 2 2" xfId="14604" xr:uid="{8A8760C3-F1B9-4621-8709-D45FCBDAE5F6}"/>
    <cellStyle name="Percent 7 9 2 3" xfId="14605" xr:uid="{BBDE4B9F-CB50-4575-9489-08A2E823D7B0}"/>
    <cellStyle name="Percent 7 9 2 4" xfId="14606" xr:uid="{DB0860FF-2A34-48E8-B285-3F1B230F96BE}"/>
    <cellStyle name="Percent 7 9 3" xfId="14607" xr:uid="{CF08B606-5A63-43BA-A2DA-0D5D666C7473}"/>
    <cellStyle name="Percent 7 9 3 2" xfId="14608" xr:uid="{AEB7C4CC-C705-48C4-BA0B-C1E80A78C866}"/>
    <cellStyle name="Percent 7 9 3 2 2" xfId="14609" xr:uid="{2A37BFC0-02A5-415F-BFA4-D1E645F0E0DF}"/>
    <cellStyle name="Percent 7 9 3 3" xfId="14610" xr:uid="{8B46C38B-E97F-44DB-ADF9-FD6E32D7D015}"/>
    <cellStyle name="Percent 7 9 3 4" xfId="14611" xr:uid="{8103B4FC-35E5-41A9-BAEB-EDA66288C4DD}"/>
    <cellStyle name="Percent 7 9 4" xfId="14612" xr:uid="{E69058E2-AEB5-4714-BF7E-5C2627B4096A}"/>
    <cellStyle name="Percent 7 9 4 2" xfId="14613" xr:uid="{E1E08ADC-0AF3-46D3-8A5A-1960CA2A95FF}"/>
    <cellStyle name="Percent 7 9 4 3" xfId="14614" xr:uid="{B807FFCE-4361-42D0-BF97-2DEC77751A37}"/>
    <cellStyle name="Percent 7 9 5" xfId="14615" xr:uid="{2EF45FD0-D915-4AFA-A1D0-32E9F08531F3}"/>
    <cellStyle name="Percent 7 9 6" xfId="14616" xr:uid="{F0D18CDC-F201-4B15-ACB8-DBAEA3CD0139}"/>
    <cellStyle name="Percent 7 9 7" xfId="14617" xr:uid="{E73FF418-D722-4220-A2A8-D017E799F5F1}"/>
    <cellStyle name="Percent 7 9 8" xfId="14618" xr:uid="{2FEDAF5F-AB3F-4D8F-BFDE-145F0FD54E1E}"/>
    <cellStyle name="Percent 7 9 9" xfId="14619" xr:uid="{33708EF3-FCFA-42B4-AC67-CE01A6A5BA19}"/>
    <cellStyle name="Percent 8" xfId="14620" xr:uid="{8CDB6371-2363-470A-8B77-3EEE3AED6196}"/>
    <cellStyle name="Percent 8 10" xfId="14621" xr:uid="{C71D1504-EF11-45B3-AAAA-F0F6322FDB1E}"/>
    <cellStyle name="Percent 8 11" xfId="14622" xr:uid="{E85BB46A-3A90-4EC5-B0B1-ADB75535CF4A}"/>
    <cellStyle name="Percent 8 12" xfId="14623" xr:uid="{F01733F6-B5B1-400D-8A4C-1367925A2F54}"/>
    <cellStyle name="Percent 8 13" xfId="14624" xr:uid="{2853986A-4399-4032-AB08-7A1F660F8ECC}"/>
    <cellStyle name="Percent 8 14" xfId="14625" xr:uid="{61CCA6B0-BFB4-4160-A1C8-195CBFD7DEBE}"/>
    <cellStyle name="Percent 8 15" xfId="14626" xr:uid="{20188BA2-C9A4-43AC-8159-FA2EC21FDA87}"/>
    <cellStyle name="Percent 8 16" xfId="14627" xr:uid="{5735049A-655A-4FB2-9A53-10503E62E887}"/>
    <cellStyle name="Percent 8 2" xfId="14628" xr:uid="{BFA33F87-3222-41AC-A718-8EBBFC9E6BBE}"/>
    <cellStyle name="Percent 8 2 2" xfId="14629" xr:uid="{6AFD2991-AE35-4BCD-9B08-337DBF666AA9}"/>
    <cellStyle name="Percent 8 2 3" xfId="14630" xr:uid="{E63E0330-E487-4681-92C1-6349A4D41703}"/>
    <cellStyle name="Percent 8 2 4" xfId="14631" xr:uid="{0AA22E4A-3E70-4C74-82CF-EE3353FAD9E0}"/>
    <cellStyle name="Percent 8 2 5" xfId="14632" xr:uid="{44F66D13-4B71-4BCE-BDB5-F117C7907C1C}"/>
    <cellStyle name="Percent 8 2 6" xfId="14633" xr:uid="{A4135EB0-CC57-45A8-B28E-5F9BC8DD5634}"/>
    <cellStyle name="Percent 8 2 7" xfId="14634" xr:uid="{226C099D-0BF3-45CA-A117-18722C68C48D}"/>
    <cellStyle name="Percent 8 2 8" xfId="14635" xr:uid="{AD94AAB9-A525-4F18-85A7-FACEF28C89C5}"/>
    <cellStyle name="Percent 8 2 9" xfId="14636" xr:uid="{64DAAAD2-6F87-470F-BEEB-5FE7D2C83922}"/>
    <cellStyle name="Percent 8 3" xfId="14637" xr:uid="{4EE6D734-038C-44A4-A48C-F163335F97F1}"/>
    <cellStyle name="Percent 8 3 2" xfId="14638" xr:uid="{C9C2AEA3-B2C1-415E-B0D2-FFD343BCEE66}"/>
    <cellStyle name="Percent 8 3 3" xfId="14639" xr:uid="{25E12729-0336-4C83-8C81-FB93B51FFFB4}"/>
    <cellStyle name="Percent 8 3 4" xfId="14640" xr:uid="{54B3030B-698E-497F-9290-62250FA3E68C}"/>
    <cellStyle name="Percent 8 3 5" xfId="14641" xr:uid="{34F1C8B4-C17E-4BF6-86AF-6560B4469FE4}"/>
    <cellStyle name="Percent 8 3 6" xfId="14642" xr:uid="{13CB47F7-139E-4ADE-8A05-720346600753}"/>
    <cellStyle name="Percent 8 3 7" xfId="14643" xr:uid="{5C92CC00-8CF4-4120-80BB-414E2794963E}"/>
    <cellStyle name="Percent 8 3 8" xfId="14644" xr:uid="{901E0E73-E4D1-48A4-8B70-EE92DF1404C5}"/>
    <cellStyle name="Percent 8 3 9" xfId="14645" xr:uid="{C21EC5CA-9D7F-4044-B101-7210592161F6}"/>
    <cellStyle name="Percent 8 4" xfId="14646" xr:uid="{447C4260-3D6E-4E8D-AA2C-E66372C6463C}"/>
    <cellStyle name="Percent 8 4 2" xfId="14647" xr:uid="{178A3188-F65D-4518-B8AA-ACD43FC6B6C4}"/>
    <cellStyle name="Percent 8 4 3" xfId="14648" xr:uid="{B43FEB05-0AE6-458A-9A38-B6232A1A93C8}"/>
    <cellStyle name="Percent 8 4 4" xfId="14649" xr:uid="{7C239B36-C7EE-42C0-8543-9EAF7F0ECDB7}"/>
    <cellStyle name="Percent 8 4 5" xfId="14650" xr:uid="{EEE2388A-964A-4905-B7E6-63D2CBA7CDD6}"/>
    <cellStyle name="Percent 8 4 6" xfId="14651" xr:uid="{22FC3BC3-1E23-4663-8CE3-415570137717}"/>
    <cellStyle name="Percent 8 4 7" xfId="14652" xr:uid="{2A240A46-0B40-45D3-8A79-11C1B5A18135}"/>
    <cellStyle name="Percent 8 4 8" xfId="14653" xr:uid="{0CC8CC81-3D8F-42A4-95B9-BDB91D143FB7}"/>
    <cellStyle name="Percent 8 4 9" xfId="14654" xr:uid="{FDCFC79E-5D43-4AF2-A024-BD2862B07A05}"/>
    <cellStyle name="Percent 8 5" xfId="14655" xr:uid="{8423EC32-17AD-4174-BAA8-13FCC068E61E}"/>
    <cellStyle name="Percent 8 5 2" xfId="14656" xr:uid="{BF06A808-8B1F-4CE0-8198-178A22BC67F5}"/>
    <cellStyle name="Percent 8 5 3" xfId="14657" xr:uid="{0110DF98-F936-41A6-A1DA-33BD001C01CE}"/>
    <cellStyle name="Percent 8 5 4" xfId="14658" xr:uid="{3A2A5732-AB3A-48AD-82A1-639CA4337EF5}"/>
    <cellStyle name="Percent 8 5 5" xfId="14659" xr:uid="{C78C24E1-419F-4955-A952-0F1E398D3092}"/>
    <cellStyle name="Percent 8 5 6" xfId="14660" xr:uid="{1B13153E-1C98-41D5-A5A1-9F4D3497FC95}"/>
    <cellStyle name="Percent 8 5 7" xfId="14661" xr:uid="{ACD7B80F-9860-4610-936D-FF1B1F3AA9F2}"/>
    <cellStyle name="Percent 8 5 8" xfId="14662" xr:uid="{23C4EE19-72B7-432A-B9FF-146744AE8F82}"/>
    <cellStyle name="Percent 8 5 9" xfId="14663" xr:uid="{628190AD-E87E-4A7B-9001-7D4F613B8149}"/>
    <cellStyle name="Percent 8 6" xfId="14664" xr:uid="{5F8E3D78-4880-4BB1-8599-277B44FC6CF0}"/>
    <cellStyle name="Percent 8 6 2" xfId="14665" xr:uid="{45999196-BA20-4618-AD6D-92607946B903}"/>
    <cellStyle name="Percent 8 6 3" xfId="14666" xr:uid="{12FE4876-4801-4AC7-92D2-3458F12A724D}"/>
    <cellStyle name="Percent 8 6 4" xfId="14667" xr:uid="{620D3CAB-5B90-41C3-9B3C-CCC916AA2438}"/>
    <cellStyle name="Percent 8 6 5" xfId="14668" xr:uid="{2E5EBF29-432D-4619-A5CA-DD254D145FF0}"/>
    <cellStyle name="Percent 8 6 6" xfId="14669" xr:uid="{7B26C3D2-FE2D-43AA-9360-A4DE0C8AA24F}"/>
    <cellStyle name="Percent 8 6 7" xfId="14670" xr:uid="{232D2084-2E69-42D4-B56E-32EC9D7E6D62}"/>
    <cellStyle name="Percent 8 6 8" xfId="14671" xr:uid="{9F53858C-F6FB-46E0-A2B2-24A9F2D2EF2C}"/>
    <cellStyle name="Percent 8 6 9" xfId="14672" xr:uid="{12B13A92-3136-4B13-9104-F9268840418F}"/>
    <cellStyle name="Percent 8 7" xfId="14673" xr:uid="{4477E91F-CD88-4744-966C-079DD31C676E}"/>
    <cellStyle name="Percent 8 7 2" xfId="14674" xr:uid="{23C322B1-BD10-4239-9628-A5C2FFC4E67D}"/>
    <cellStyle name="Percent 8 7 3" xfId="14675" xr:uid="{0ED04866-D862-4186-A4AD-EA6C122AF937}"/>
    <cellStyle name="Percent 8 7 4" xfId="14676" xr:uid="{AEF3C116-8949-4059-94AF-3998EF676EE6}"/>
    <cellStyle name="Percent 8 7 5" xfId="14677" xr:uid="{15F3D0BD-2A7D-47A4-B6BD-00639A3C8C0E}"/>
    <cellStyle name="Percent 8 7 6" xfId="14678" xr:uid="{BB3BB971-A377-4F29-A101-2FD204AF80C1}"/>
    <cellStyle name="Percent 8 7 7" xfId="14679" xr:uid="{CB552F5B-68BC-4B91-907A-44EA59D12784}"/>
    <cellStyle name="Percent 8 7 8" xfId="14680" xr:uid="{FFC0A1BD-3DCD-4E6D-B2DE-247FF45D257B}"/>
    <cellStyle name="Percent 8 7 9" xfId="14681" xr:uid="{3502EAA6-F99C-4D3B-ADFC-FB3F2AFBF84A}"/>
    <cellStyle name="Percent 8 8" xfId="14682" xr:uid="{4217E84F-AE8D-455B-B6AC-2DD3FAE58A64}"/>
    <cellStyle name="Percent 8 8 2" xfId="14683" xr:uid="{007DD41E-9074-4069-94F2-6DE5B32728BC}"/>
    <cellStyle name="Percent 8 8 3" xfId="14684" xr:uid="{2C7A86CA-13E6-4827-BAD9-47BC9E83C01B}"/>
    <cellStyle name="Percent 8 8 4" xfId="14685" xr:uid="{A421BA56-07B5-452B-BD03-F71B3D29EB40}"/>
    <cellStyle name="Percent 8 8 5" xfId="14686" xr:uid="{EDA20A3A-92E6-4C69-9A3F-B6A0BE436050}"/>
    <cellStyle name="Percent 8 8 6" xfId="14687" xr:uid="{51AE7F71-F27B-482B-888F-C553A65DFF55}"/>
    <cellStyle name="Percent 8 8 7" xfId="14688" xr:uid="{02AD238A-373F-421D-B7D3-B21BA933910D}"/>
    <cellStyle name="Percent 8 8 8" xfId="14689" xr:uid="{F3588655-C82F-4FDF-9210-84EED51A3548}"/>
    <cellStyle name="Percent 8 8 9" xfId="14690" xr:uid="{9DAD2394-2585-4524-A3BD-0C46B3E4BF04}"/>
    <cellStyle name="Percent 8 9" xfId="14691" xr:uid="{802007A2-BC2C-42EB-A9D8-BF1521DFD8CE}"/>
    <cellStyle name="Percent 9" xfId="14692" xr:uid="{706C6334-32AD-4806-A496-D21E2DA2AB93}"/>
    <cellStyle name="Percent 9 10" xfId="14693" xr:uid="{2CE983C0-A094-4258-AAD6-75353C2EA423}"/>
    <cellStyle name="Percent 9 10 10" xfId="14694" xr:uid="{1FF4CED1-D07C-4E6D-A73E-4D55F7FF6550}"/>
    <cellStyle name="Percent 9 10 2" xfId="14695" xr:uid="{2C4F2C70-FA39-4292-985A-6107E240A886}"/>
    <cellStyle name="Percent 9 10 3" xfId="14696" xr:uid="{BBE8A606-CA99-4A51-B34D-E040D52BCBCB}"/>
    <cellStyle name="Percent 9 10 4" xfId="14697" xr:uid="{365F86A2-F86E-467D-8B1C-9DC66B13EA23}"/>
    <cellStyle name="Percent 9 10 5" xfId="14698" xr:uid="{8370CF66-D566-43A3-AC6C-A7EB8121CE33}"/>
    <cellStyle name="Percent 9 10 6" xfId="14699" xr:uid="{67097D3D-311F-457D-A25E-2732C0CAF980}"/>
    <cellStyle name="Percent 9 10 7" xfId="14700" xr:uid="{80958F44-DA2A-449A-A627-EA9CFFBDCF1A}"/>
    <cellStyle name="Percent 9 10 8" xfId="14701" xr:uid="{971BF1C5-4E9C-4BEC-9567-27B5AF4BB8D8}"/>
    <cellStyle name="Percent 9 10 9" xfId="14702" xr:uid="{C50DEE9D-A2DD-4AEC-91A1-799B905AD97B}"/>
    <cellStyle name="Percent 9 11" xfId="14703" xr:uid="{BA5C8B27-8FD2-4A70-B736-0F7164060BC6}"/>
    <cellStyle name="Percent 9 11 10" xfId="14704" xr:uid="{D46F0839-13C4-4878-AB7D-76E87EF52390}"/>
    <cellStyle name="Percent 9 11 2" xfId="14705" xr:uid="{21450962-D89B-4E21-8844-43BFAB19D913}"/>
    <cellStyle name="Percent 9 11 3" xfId="14706" xr:uid="{6E90DFC8-2BA1-423D-AE91-DA13E7D1C2E0}"/>
    <cellStyle name="Percent 9 11 4" xfId="14707" xr:uid="{9259A2A6-5F6E-447E-AB4F-FF28C600EF48}"/>
    <cellStyle name="Percent 9 11 5" xfId="14708" xr:uid="{85F10052-A58C-4EED-A9AE-9B180005BD62}"/>
    <cellStyle name="Percent 9 11 6" xfId="14709" xr:uid="{8F3405AD-00B2-4C93-9C9B-C4ED70B8B0DB}"/>
    <cellStyle name="Percent 9 11 7" xfId="14710" xr:uid="{8C44873E-8943-4BB8-A606-43F9357E45D1}"/>
    <cellStyle name="Percent 9 11 8" xfId="14711" xr:uid="{AC7A170F-34C4-428B-B94C-2337C68B63B2}"/>
    <cellStyle name="Percent 9 11 9" xfId="14712" xr:uid="{B59EE9A4-FF81-4213-909F-744D3D2DB0A9}"/>
    <cellStyle name="Percent 9 12" xfId="14713" xr:uid="{76C0E0AF-FD81-43A3-B40D-8D05F4075535}"/>
    <cellStyle name="Percent 9 12 10" xfId="14714" xr:uid="{BD3F74C8-CD5D-47FE-9DD6-9FD209015719}"/>
    <cellStyle name="Percent 9 12 2" xfId="14715" xr:uid="{A03238BA-0853-49AD-BB99-1C3D7059B519}"/>
    <cellStyle name="Percent 9 12 3" xfId="14716" xr:uid="{2910D068-5361-49A2-8894-DBCECCBB664A}"/>
    <cellStyle name="Percent 9 12 4" xfId="14717" xr:uid="{C5239E11-1D89-452F-B96F-5543F1EF3D36}"/>
    <cellStyle name="Percent 9 12 5" xfId="14718" xr:uid="{4BD41A75-D909-41BB-A23F-3A50CA88D618}"/>
    <cellStyle name="Percent 9 12 6" xfId="14719" xr:uid="{7DD35344-B76F-4787-84B6-EB43157D4561}"/>
    <cellStyle name="Percent 9 12 7" xfId="14720" xr:uid="{1F251B96-D39F-4978-B59B-7FB6BF56986C}"/>
    <cellStyle name="Percent 9 12 8" xfId="14721" xr:uid="{A486DF6B-B9D7-4735-8AFA-8DBCC5F54387}"/>
    <cellStyle name="Percent 9 12 9" xfId="14722" xr:uid="{2D3E5B9C-E873-458A-9271-B1AE8BC725A5}"/>
    <cellStyle name="Percent 9 13" xfId="14723" xr:uid="{3EA4E1A1-1E3C-4A01-8E80-251DE6EBBC32}"/>
    <cellStyle name="Percent 9 13 10" xfId="14724" xr:uid="{4D668A10-6F83-4FF3-9593-A05EE60AED2C}"/>
    <cellStyle name="Percent 9 13 2" xfId="14725" xr:uid="{C7C6D049-7064-435E-9103-AE5D87E13EBC}"/>
    <cellStyle name="Percent 9 13 3" xfId="14726" xr:uid="{9527EECB-C6A9-49B8-89F2-646158844A39}"/>
    <cellStyle name="Percent 9 13 4" xfId="14727" xr:uid="{EE115950-98A1-4510-965A-CC7F685254A2}"/>
    <cellStyle name="Percent 9 13 5" xfId="14728" xr:uid="{B86A0F6F-2D7D-46F1-B279-FFFE45624835}"/>
    <cellStyle name="Percent 9 13 6" xfId="14729" xr:uid="{9333FBF2-636F-4072-8EE5-75D059DAFF89}"/>
    <cellStyle name="Percent 9 13 7" xfId="14730" xr:uid="{B56F41CB-8B0A-44DB-96B8-0B9B85BEEF5E}"/>
    <cellStyle name="Percent 9 13 8" xfId="14731" xr:uid="{BC642A06-8C10-4E15-AD78-0FD5CDAAF48D}"/>
    <cellStyle name="Percent 9 13 9" xfId="14732" xr:uid="{B7E9C78A-C998-4041-9704-03589B838DC4}"/>
    <cellStyle name="Percent 9 14" xfId="14733" xr:uid="{7E91F0DB-6459-44E8-84D4-D91F8F49FF1C}"/>
    <cellStyle name="Percent 9 14 10" xfId="14734" xr:uid="{D9B4E75B-3663-4D91-9DAE-6EB943ACB994}"/>
    <cellStyle name="Percent 9 14 2" xfId="14735" xr:uid="{76C02E76-A63E-4A74-8604-440D877D4252}"/>
    <cellStyle name="Percent 9 14 3" xfId="14736" xr:uid="{F0A99689-DC93-46BE-B858-9276023D34C3}"/>
    <cellStyle name="Percent 9 14 4" xfId="14737" xr:uid="{0A4B0BE8-0EED-43AB-AF51-881EED4188B8}"/>
    <cellStyle name="Percent 9 14 5" xfId="14738" xr:uid="{47A7649B-06B1-4110-8602-60D2B8ED13CF}"/>
    <cellStyle name="Percent 9 14 6" xfId="14739" xr:uid="{AD68E82B-C064-4835-A1AC-92975814E89D}"/>
    <cellStyle name="Percent 9 14 7" xfId="14740" xr:uid="{2FF6D9B3-57BF-4897-B803-496CA84329A2}"/>
    <cellStyle name="Percent 9 14 8" xfId="14741" xr:uid="{8DEF24BB-D210-4BC6-A403-50817E767404}"/>
    <cellStyle name="Percent 9 14 9" xfId="14742" xr:uid="{3C957FBE-9261-46AE-9967-C551494B8401}"/>
    <cellStyle name="Percent 9 15" xfId="14743" xr:uid="{45445499-9633-4273-9650-21C0A9D98697}"/>
    <cellStyle name="Percent 9 15 10" xfId="14744" xr:uid="{F7FC37C5-5FB3-4A34-A41F-421E6A94F645}"/>
    <cellStyle name="Percent 9 15 2" xfId="14745" xr:uid="{6E2CABD0-F6B4-4017-8E6C-89717F82DD2B}"/>
    <cellStyle name="Percent 9 15 3" xfId="14746" xr:uid="{A8DCE9A6-D866-4BBD-B034-31F15B40C065}"/>
    <cellStyle name="Percent 9 15 4" xfId="14747" xr:uid="{5BFC007D-EEF0-46D5-AA48-B3EC9188106C}"/>
    <cellStyle name="Percent 9 15 5" xfId="14748" xr:uid="{B416347D-E38A-4F1F-9155-116128903403}"/>
    <cellStyle name="Percent 9 15 6" xfId="14749" xr:uid="{2F56D7C4-E0DF-48A3-8657-FF581AEE82B2}"/>
    <cellStyle name="Percent 9 15 7" xfId="14750" xr:uid="{F39DD0C8-BE17-4D06-A1EC-067EEAD88F9B}"/>
    <cellStyle name="Percent 9 15 8" xfId="14751" xr:uid="{32505B43-7839-4204-9345-53BA83022FD5}"/>
    <cellStyle name="Percent 9 15 9" xfId="14752" xr:uid="{E29A03E8-5893-450E-A268-28C1384A17A7}"/>
    <cellStyle name="Percent 9 16" xfId="14753" xr:uid="{10485ED3-9B9F-43F8-812E-1CED27278268}"/>
    <cellStyle name="Percent 9 16 10" xfId="14754" xr:uid="{F5A316E4-D19B-4D6B-BE2C-9687DBAEE40A}"/>
    <cellStyle name="Percent 9 16 2" xfId="14755" xr:uid="{916B182F-9963-4BE8-90B7-5BEEF6D1F498}"/>
    <cellStyle name="Percent 9 16 3" xfId="14756" xr:uid="{BE4258CD-4CCF-47E3-A2D5-BBB219010C7A}"/>
    <cellStyle name="Percent 9 16 4" xfId="14757" xr:uid="{836E032A-A4B9-4982-B1FF-0C4C4B2B1613}"/>
    <cellStyle name="Percent 9 16 5" xfId="14758" xr:uid="{461639E1-353F-4FFA-A9CF-0F8A66CEEBE2}"/>
    <cellStyle name="Percent 9 16 6" xfId="14759" xr:uid="{A165965A-F9DF-4FD7-8F5C-71553EA45BCE}"/>
    <cellStyle name="Percent 9 16 7" xfId="14760" xr:uid="{40C82A4A-30D5-421E-9991-9E4D154E3F59}"/>
    <cellStyle name="Percent 9 16 8" xfId="14761" xr:uid="{A147344E-CA15-4F05-A1D5-F1C9DB0B6E1B}"/>
    <cellStyle name="Percent 9 16 9" xfId="14762" xr:uid="{CA284A4D-230F-4848-A384-E64C3CCE8EB8}"/>
    <cellStyle name="Percent 9 17" xfId="14763" xr:uid="{BE28BDBF-4EEB-4A5B-810C-8CBCB911CC8A}"/>
    <cellStyle name="Percent 9 17 10" xfId="14764" xr:uid="{E9A85367-064D-41C4-968A-B7FEADD79389}"/>
    <cellStyle name="Percent 9 17 2" xfId="14765" xr:uid="{ECE200DE-CDAA-4DD1-A944-D0A263FE22C9}"/>
    <cellStyle name="Percent 9 17 3" xfId="14766" xr:uid="{E4A50140-D006-41A8-A310-AADD8E9F75F4}"/>
    <cellStyle name="Percent 9 17 4" xfId="14767" xr:uid="{9ECEB8C4-9CA3-4798-A0CB-E27A47430629}"/>
    <cellStyle name="Percent 9 17 5" xfId="14768" xr:uid="{2AC94214-5E07-49D0-B276-B8FC747973D7}"/>
    <cellStyle name="Percent 9 17 6" xfId="14769" xr:uid="{92637F8D-BF75-40D1-98F1-0A1FF1C6D6A5}"/>
    <cellStyle name="Percent 9 17 7" xfId="14770" xr:uid="{BF3A131D-C59E-457F-88AC-3E70CF4CE918}"/>
    <cellStyle name="Percent 9 17 8" xfId="14771" xr:uid="{BF0533A5-4F38-4AC4-B7C5-30A6AD2473A8}"/>
    <cellStyle name="Percent 9 17 9" xfId="14772" xr:uid="{26E9C84A-02CB-41E5-A442-A39D8757C6BB}"/>
    <cellStyle name="Percent 9 18" xfId="14773" xr:uid="{8257252D-39A8-4772-845E-0109AE1386C0}"/>
    <cellStyle name="Percent 9 18 10" xfId="14774" xr:uid="{6FE2AE1C-5EF2-409A-9C03-3CB0925FF4B7}"/>
    <cellStyle name="Percent 9 18 2" xfId="14775" xr:uid="{7324F4EC-7A5C-4FEA-A6A7-EBBA2DC2916D}"/>
    <cellStyle name="Percent 9 18 3" xfId="14776" xr:uid="{DC0631C2-14D0-4847-B9CE-5BCA48758AA5}"/>
    <cellStyle name="Percent 9 18 4" xfId="14777" xr:uid="{88CA0B04-2260-4381-AE25-D5B4B0010A53}"/>
    <cellStyle name="Percent 9 18 5" xfId="14778" xr:uid="{A6DB1BE2-7CA5-4AEF-AD4E-50FB5A3FD46F}"/>
    <cellStyle name="Percent 9 18 6" xfId="14779" xr:uid="{6324493B-204F-40F0-959F-93496E2F91A8}"/>
    <cellStyle name="Percent 9 18 7" xfId="14780" xr:uid="{230076E1-DB1D-4468-916A-B2FADDFA1C99}"/>
    <cellStyle name="Percent 9 18 8" xfId="14781" xr:uid="{181752D5-8563-4969-A813-6F05A9B0A35E}"/>
    <cellStyle name="Percent 9 18 9" xfId="14782" xr:uid="{50032648-1CBE-484A-A1CC-9D728B701BC9}"/>
    <cellStyle name="Percent 9 19" xfId="14783" xr:uid="{54698518-5136-4058-8EFC-0D1226720CF5}"/>
    <cellStyle name="Percent 9 19 10" xfId="14784" xr:uid="{3F47579B-882E-407A-90C1-E6F386208B70}"/>
    <cellStyle name="Percent 9 19 2" xfId="14785" xr:uid="{37B74517-D6C7-4AC0-8B8F-BCF8E33025E9}"/>
    <cellStyle name="Percent 9 19 3" xfId="14786" xr:uid="{6DBF41BA-2C5B-4A59-BA1E-F7900C49ACFD}"/>
    <cellStyle name="Percent 9 19 4" xfId="14787" xr:uid="{18C4E190-EDE4-4CAC-9FD4-6D59E8EF7CAD}"/>
    <cellStyle name="Percent 9 19 5" xfId="14788" xr:uid="{7D4EC858-F268-40F5-82CA-5DB4E6144995}"/>
    <cellStyle name="Percent 9 19 6" xfId="14789" xr:uid="{CA0AFC9C-8C01-4A5C-BE1D-D7039022A995}"/>
    <cellStyle name="Percent 9 19 7" xfId="14790" xr:uid="{C6C96FE0-DF8F-4C4E-9CC2-1F32E0DD14F0}"/>
    <cellStyle name="Percent 9 19 8" xfId="14791" xr:uid="{A07FA5A4-249B-42E2-AAEC-042C297D7821}"/>
    <cellStyle name="Percent 9 19 9" xfId="14792" xr:uid="{3CD3F2FB-D311-42B1-BB2D-A46AACE10642}"/>
    <cellStyle name="Percent 9 2" xfId="14793" xr:uid="{751615A4-F8A2-46D7-9FFF-A3CEF260A876}"/>
    <cellStyle name="Percent 9 2 10" xfId="14794" xr:uid="{1323A480-29AD-4B9B-B099-D1C229BB7477}"/>
    <cellStyle name="Percent 9 2 11" xfId="14795" xr:uid="{BB13E4FC-ABC6-47AF-B010-02BD179C1575}"/>
    <cellStyle name="Percent 9 2 12" xfId="14796" xr:uid="{06D0D2DF-5D79-42D5-8F8F-656C464A7BF3}"/>
    <cellStyle name="Percent 9 2 2" xfId="14797" xr:uid="{CE230D4C-7DF3-454D-89A3-F89C70251829}"/>
    <cellStyle name="Percent 9 2 2 2" xfId="14798" xr:uid="{096DA850-BFB4-4E9C-9E75-0F3A208FC760}"/>
    <cellStyle name="Percent 9 2 2 3" xfId="14799" xr:uid="{9EF43CF6-0E9B-485D-A688-F9857D2ABF32}"/>
    <cellStyle name="Percent 9 2 2 4" xfId="14800" xr:uid="{E4EBA7A1-2B9F-4E6D-9AD0-8B7E79719389}"/>
    <cellStyle name="Percent 9 2 2 5" xfId="14801" xr:uid="{AE81D41B-F382-4144-8553-D2DBC74A1A4A}"/>
    <cellStyle name="Percent 9 2 2 6" xfId="14802" xr:uid="{7DC57BDF-0F50-437C-8150-5DC3B5E7A3CB}"/>
    <cellStyle name="Percent 9 2 2 7" xfId="14803" xr:uid="{1074415F-BFE0-425D-8E0E-A6E2183E1056}"/>
    <cellStyle name="Percent 9 2 2 8" xfId="14804" xr:uid="{9F1E8976-B951-45F6-968D-4EE44EE544A1}"/>
    <cellStyle name="Percent 9 2 2 9" xfId="14805" xr:uid="{B9486903-79E4-4031-9224-112FF92E8B4E}"/>
    <cellStyle name="Percent 9 2 3" xfId="14806" xr:uid="{BE5F52E0-0892-48EF-BD83-EB2CC90D5D9C}"/>
    <cellStyle name="Percent 9 2 3 2" xfId="14807" xr:uid="{934138A7-743B-4A09-A6F2-AE8926345FEB}"/>
    <cellStyle name="Percent 9 2 3 3" xfId="14808" xr:uid="{49B16F47-F364-4793-8C58-68D90024AA9E}"/>
    <cellStyle name="Percent 9 2 3 4" xfId="14809" xr:uid="{B667ED1F-4D57-4DCD-B296-A6C0A89C0B0C}"/>
    <cellStyle name="Percent 9 2 3 5" xfId="14810" xr:uid="{D545D7DC-556B-4C36-8735-5023857ED798}"/>
    <cellStyle name="Percent 9 2 4" xfId="14811" xr:uid="{2F22866D-4B23-4C44-9BDB-C7813E95A542}"/>
    <cellStyle name="Percent 9 2 5" xfId="14812" xr:uid="{DD89D9D0-37C1-4F68-916C-B52B05731547}"/>
    <cellStyle name="Percent 9 2 6" xfId="14813" xr:uid="{471F68CF-0849-409A-ADE5-94A3A24BA8F8}"/>
    <cellStyle name="Percent 9 2 7" xfId="14814" xr:uid="{5BA2CEA7-6D8E-4A29-A72C-0FA3E5EAF422}"/>
    <cellStyle name="Percent 9 2 8" xfId="14815" xr:uid="{A8D2D204-18DD-48ED-8DD8-7EA2CFCB67D1}"/>
    <cellStyle name="Percent 9 2 9" xfId="14816" xr:uid="{798FE998-35CD-4A4D-B3A8-B9170B8BEABD}"/>
    <cellStyle name="Percent 9 20" xfId="14817" xr:uid="{4C892B44-E590-4867-BC2D-EE51CE0E2E30}"/>
    <cellStyle name="Percent 9 20 10" xfId="14818" xr:uid="{E70AFC92-56C7-49C2-A28E-1A588A799F25}"/>
    <cellStyle name="Percent 9 20 2" xfId="14819" xr:uid="{B765A293-A10D-435C-99AD-F7F7B0860163}"/>
    <cellStyle name="Percent 9 20 3" xfId="14820" xr:uid="{8D7F317E-7A45-46E2-938E-A48CB5702A6F}"/>
    <cellStyle name="Percent 9 20 4" xfId="14821" xr:uid="{2A373310-CEED-4098-9F34-537CB3D95543}"/>
    <cellStyle name="Percent 9 20 5" xfId="14822" xr:uid="{C828350E-1909-46F2-8655-43F3890527B9}"/>
    <cellStyle name="Percent 9 20 6" xfId="14823" xr:uid="{1108686C-BFA9-4DD5-9EC4-2C1B01EB8399}"/>
    <cellStyle name="Percent 9 20 7" xfId="14824" xr:uid="{D0CABED8-74DB-4FAB-8A03-BFEFCE78BD35}"/>
    <cellStyle name="Percent 9 20 8" xfId="14825" xr:uid="{1F8466D3-1D85-4562-A97E-37465247E6FB}"/>
    <cellStyle name="Percent 9 20 9" xfId="14826" xr:uid="{4452BFC2-E71C-42BE-9E4F-EDF102AA2ECF}"/>
    <cellStyle name="Percent 9 21" xfId="14827" xr:uid="{E36248B7-9BB7-4644-98AB-8070816C61AF}"/>
    <cellStyle name="Percent 9 21 2" xfId="14828" xr:uid="{184E7F3F-3F33-407F-9C43-9F3A0C489600}"/>
    <cellStyle name="Percent 9 21 3" xfId="14829" xr:uid="{6EE82DFA-4BDB-4A31-AB4B-7E3B62457429}"/>
    <cellStyle name="Percent 9 21 4" xfId="14830" xr:uid="{61894DE5-0F80-41B8-95C8-96F9C1A7C8E9}"/>
    <cellStyle name="Percent 9 21 5" xfId="14831" xr:uid="{8396CFBE-66B5-475F-B9FC-A76BA1DA40B6}"/>
    <cellStyle name="Percent 9 22" xfId="14832" xr:uid="{4DDCEA0B-1FDE-4FA9-861F-800B1EF39A91}"/>
    <cellStyle name="Percent 9 22 2" xfId="14833" xr:uid="{32721DB9-9B03-4049-8575-B76DF1D0DB18}"/>
    <cellStyle name="Percent 9 22 3" xfId="14834" xr:uid="{17993031-233B-456E-97C5-FE679D4EE192}"/>
    <cellStyle name="Percent 9 22 4" xfId="14835" xr:uid="{54CCE17B-F31A-4AA0-8B8A-50C75DF4E9D3}"/>
    <cellStyle name="Percent 9 22 5" xfId="14836" xr:uid="{9C88CD91-7B3E-4B71-92CF-B0212BF607D2}"/>
    <cellStyle name="Percent 9 23" xfId="14837" xr:uid="{5F78F39F-7E8E-46A2-A0F7-C7265BCF2509}"/>
    <cellStyle name="Percent 9 24" xfId="14838" xr:uid="{E7C5E072-2588-4DD2-9012-588F35B91162}"/>
    <cellStyle name="Percent 9 25" xfId="14839" xr:uid="{76B68E11-BB46-491E-AFF4-80AC5C15B780}"/>
    <cellStyle name="Percent 9 26" xfId="14840" xr:uid="{EA21B784-D8A3-4AE7-A39B-B0519FE05725}"/>
    <cellStyle name="Percent 9 27" xfId="14841" xr:uid="{03591AF6-AEC1-49C6-A579-48F3A288475F}"/>
    <cellStyle name="Percent 9 28" xfId="14842" xr:uid="{77E694DF-ED7C-48E3-9C09-4D5822567176}"/>
    <cellStyle name="Percent 9 29" xfId="14843" xr:uid="{5E169ACA-6AE3-4D97-88B4-DAAE14457ECA}"/>
    <cellStyle name="Percent 9 3" xfId="14844" xr:uid="{CD4F8565-175F-44DF-A233-43C408A82B56}"/>
    <cellStyle name="Percent 9 3 10" xfId="14845" xr:uid="{B85CAE86-7CBF-4601-ABFE-935D8F6C9024}"/>
    <cellStyle name="Percent 9 3 11" xfId="14846" xr:uid="{D827E700-0C97-4BAE-B52F-0FF6D87BCB72}"/>
    <cellStyle name="Percent 9 3 12" xfId="14847" xr:uid="{B694F652-F1A6-4BD9-AA6E-961BADD793D5}"/>
    <cellStyle name="Percent 9 3 2" xfId="14848" xr:uid="{C0F57A02-6178-42A4-BEC6-704B132A235D}"/>
    <cellStyle name="Percent 9 3 2 2" xfId="14849" xr:uid="{11BF9BA8-607E-4ABE-AFED-1E3BF5233415}"/>
    <cellStyle name="Percent 9 3 2 3" xfId="14850" xr:uid="{DCA48F4A-5B2D-49AC-BE13-04B0F955A850}"/>
    <cellStyle name="Percent 9 3 2 4" xfId="14851" xr:uid="{84723102-8012-4E7D-BF1A-AD29192F1A57}"/>
    <cellStyle name="Percent 9 3 2 5" xfId="14852" xr:uid="{3AB9EBA5-543A-4144-AA9A-FA3164D059C0}"/>
    <cellStyle name="Percent 9 3 2 6" xfId="14853" xr:uid="{325EBAA4-2DFE-4C59-AA39-4823F760F36E}"/>
    <cellStyle name="Percent 9 3 2 7" xfId="14854" xr:uid="{7F6199EB-D2CF-41C9-AF27-900325F52809}"/>
    <cellStyle name="Percent 9 3 2 8" xfId="14855" xr:uid="{61D23570-0241-4717-9AB2-7E06FC06236D}"/>
    <cellStyle name="Percent 9 3 2 9" xfId="14856" xr:uid="{E7F54913-18A8-43E2-B68F-9FF5B4848A45}"/>
    <cellStyle name="Percent 9 3 3" xfId="14857" xr:uid="{870DEF33-E99A-4EC1-ACB4-9C770105C247}"/>
    <cellStyle name="Percent 9 3 3 2" xfId="14858" xr:uid="{A0630588-C729-4EB9-A8B1-D3EE8A589B3D}"/>
    <cellStyle name="Percent 9 3 3 3" xfId="14859" xr:uid="{385B8F48-53A6-4E47-90D2-8A9ED92DF0CD}"/>
    <cellStyle name="Percent 9 3 3 4" xfId="14860" xr:uid="{73C8970E-2293-402E-9AB4-AF925A65D628}"/>
    <cellStyle name="Percent 9 3 3 5" xfId="14861" xr:uid="{0F9B622E-8475-4E93-A8CF-FD21AB546893}"/>
    <cellStyle name="Percent 9 3 4" xfId="14862" xr:uid="{CDF71ED5-E585-4B58-A757-93870D78AD42}"/>
    <cellStyle name="Percent 9 3 5" xfId="14863" xr:uid="{D0796C77-771C-470F-B0F0-DE10A3E730D3}"/>
    <cellStyle name="Percent 9 3 6" xfId="14864" xr:uid="{406A2A64-CAE4-41FE-90EF-443AD5316C2C}"/>
    <cellStyle name="Percent 9 3 7" xfId="14865" xr:uid="{7F1ADE76-B986-427C-A3B8-23CA12BD0F4B}"/>
    <cellStyle name="Percent 9 3 8" xfId="14866" xr:uid="{3E415178-854F-46CE-A66C-B495D5BA2202}"/>
    <cellStyle name="Percent 9 3 9" xfId="14867" xr:uid="{D80A15FE-46CC-47B4-B65A-EF9CE5763F55}"/>
    <cellStyle name="Percent 9 4" xfId="14868" xr:uid="{7EC74501-2C05-4EE9-8379-9DA60FA13D26}"/>
    <cellStyle name="Percent 9 4 10" xfId="14869" xr:uid="{212C043D-5D4A-4938-A99F-F277A7BCE502}"/>
    <cellStyle name="Percent 9 4 11" xfId="14870" xr:uid="{BAA1CE10-74A3-4DAE-A0EB-B5355A6F5018}"/>
    <cellStyle name="Percent 9 4 12" xfId="14871" xr:uid="{9EFDC2CD-C5F7-418F-91A2-8CC4658822C3}"/>
    <cellStyle name="Percent 9 4 2" xfId="14872" xr:uid="{B828555E-FAB2-4AFF-BDDF-4EDFDC251814}"/>
    <cellStyle name="Percent 9 4 2 2" xfId="14873" xr:uid="{B2DF4739-AC35-46E2-9520-94C55B55905F}"/>
    <cellStyle name="Percent 9 4 2 3" xfId="14874" xr:uid="{C71ED7C3-CAC3-48F3-AE9E-240EA220A391}"/>
    <cellStyle name="Percent 9 4 2 4" xfId="14875" xr:uid="{FCA6C767-36A8-4196-8428-0177FCD4EBD1}"/>
    <cellStyle name="Percent 9 4 2 5" xfId="14876" xr:uid="{10A953CD-3F15-4A87-AEB7-A72638FE6C5D}"/>
    <cellStyle name="Percent 9 4 2 6" xfId="14877" xr:uid="{63289C3C-7E54-4F58-821F-E23F054AAF41}"/>
    <cellStyle name="Percent 9 4 2 7" xfId="14878" xr:uid="{056230CF-D1AB-47C4-AB2F-FDD6605823CD}"/>
    <cellStyle name="Percent 9 4 2 8" xfId="14879" xr:uid="{F2A49716-8E6C-42E5-9EAD-EBEBC0466BD7}"/>
    <cellStyle name="Percent 9 4 2 9" xfId="14880" xr:uid="{154AD9CC-B10A-4902-8299-EC7DACA0F0A4}"/>
    <cellStyle name="Percent 9 4 3" xfId="14881" xr:uid="{864816F7-D7C0-47A6-86AF-C967A395AD26}"/>
    <cellStyle name="Percent 9 4 3 2" xfId="14882" xr:uid="{EBB46530-FC79-4C58-B8E6-AA2C4FFC8C91}"/>
    <cellStyle name="Percent 9 4 3 3" xfId="14883" xr:uid="{300041C6-3772-46EE-9D28-A1BA6A44FC6F}"/>
    <cellStyle name="Percent 9 4 3 4" xfId="14884" xr:uid="{B777ED9E-255D-493A-AD3D-05413DDAD327}"/>
    <cellStyle name="Percent 9 4 3 5" xfId="14885" xr:uid="{E6DC2EF3-1EB5-4C3D-9771-6E97902885DD}"/>
    <cellStyle name="Percent 9 4 4" xfId="14886" xr:uid="{9DFF67DF-8D16-4EF4-A105-CFEB9B32E5AA}"/>
    <cellStyle name="Percent 9 4 5" xfId="14887" xr:uid="{AE1F0C7D-9D1B-4AFC-84E6-5972B247F530}"/>
    <cellStyle name="Percent 9 4 6" xfId="14888" xr:uid="{402CC6A0-C151-49E5-9A41-F501E21FAF22}"/>
    <cellStyle name="Percent 9 4 7" xfId="14889" xr:uid="{182C40CE-351F-4D18-86A5-1B7A497E51FE}"/>
    <cellStyle name="Percent 9 4 8" xfId="14890" xr:uid="{6900276F-FD1D-440B-B135-4BCA04843252}"/>
    <cellStyle name="Percent 9 4 9" xfId="14891" xr:uid="{A6AD176B-D513-4953-89D5-9E0F0FED72FD}"/>
    <cellStyle name="Percent 9 5" xfId="14892" xr:uid="{51748212-35B3-4136-AB8C-FA1F2B56A7EB}"/>
    <cellStyle name="Percent 9 5 10" xfId="14893" xr:uid="{29500250-716F-4449-B828-DEB28F78365A}"/>
    <cellStyle name="Percent 9 5 11" xfId="14894" xr:uid="{8E1402E9-D967-412E-BFA9-0E5332A8ECCC}"/>
    <cellStyle name="Percent 9 5 12" xfId="14895" xr:uid="{D6372B4C-EA83-4E0C-9326-DE220A79033F}"/>
    <cellStyle name="Percent 9 5 2" xfId="14896" xr:uid="{495C9441-72F9-4EEB-B818-473AADCD9D71}"/>
    <cellStyle name="Percent 9 5 2 2" xfId="14897" xr:uid="{0E7D6DEF-98CF-4FCF-B4B5-AE768319AA77}"/>
    <cellStyle name="Percent 9 5 2 3" xfId="14898" xr:uid="{BA3B00EB-F879-4AEE-AA9A-AC4DE9395518}"/>
    <cellStyle name="Percent 9 5 2 4" xfId="14899" xr:uid="{69CC9110-4B0B-49E9-B961-679412749DA2}"/>
    <cellStyle name="Percent 9 5 2 5" xfId="14900" xr:uid="{3FFD8BA9-0A45-42E8-8146-C603C8D78EBC}"/>
    <cellStyle name="Percent 9 5 2 6" xfId="14901" xr:uid="{A4BAA63D-6637-4F0E-A3E6-FD487D9967A2}"/>
    <cellStyle name="Percent 9 5 2 7" xfId="14902" xr:uid="{DD84C197-C6EA-4EED-8937-67AC84DD6C56}"/>
    <cellStyle name="Percent 9 5 2 8" xfId="14903" xr:uid="{7C68368C-AEB7-4BC9-90F5-2583EF2C7798}"/>
    <cellStyle name="Percent 9 5 2 9" xfId="14904" xr:uid="{64B6F145-D23F-4C22-AC6D-295033571854}"/>
    <cellStyle name="Percent 9 5 3" xfId="14905" xr:uid="{31DDCAF3-D945-4CB4-9CF9-BECBFABF9BE4}"/>
    <cellStyle name="Percent 9 5 3 2" xfId="14906" xr:uid="{9F77FFF5-860A-4C90-A7DD-3E52C6D90452}"/>
    <cellStyle name="Percent 9 5 3 3" xfId="14907" xr:uid="{60FD55E6-08A7-4F6C-97A5-F61446665F6A}"/>
    <cellStyle name="Percent 9 5 3 4" xfId="14908" xr:uid="{01FADE48-6775-459A-8D9B-98165DD2696F}"/>
    <cellStyle name="Percent 9 5 3 5" xfId="14909" xr:uid="{64101824-690C-4AB6-96DE-0915DC4637E7}"/>
    <cellStyle name="Percent 9 5 4" xfId="14910" xr:uid="{DBB86D18-5062-452C-86D5-00E09B41BE36}"/>
    <cellStyle name="Percent 9 5 5" xfId="14911" xr:uid="{81BD458B-8957-474D-A715-5CBA99E866E5}"/>
    <cellStyle name="Percent 9 5 6" xfId="14912" xr:uid="{AF965ADC-129B-4EB2-A358-605E5BF74048}"/>
    <cellStyle name="Percent 9 5 7" xfId="14913" xr:uid="{6BEE8D71-0BE5-4739-862D-3634470455C8}"/>
    <cellStyle name="Percent 9 5 8" xfId="14914" xr:uid="{8B3B6667-2979-4CCE-AAF7-4CD16886E52F}"/>
    <cellStyle name="Percent 9 5 9" xfId="14915" xr:uid="{EEDB556C-E3C9-4844-8C42-C354A2FD9B8B}"/>
    <cellStyle name="Percent 9 6" xfId="14916" xr:uid="{D02F5037-BCA8-4D0D-8796-1CFD230926F5}"/>
    <cellStyle name="Percent 9 6 10" xfId="14917" xr:uid="{DFE3382E-F9DB-42F0-9CB6-6F1E5D92BB2D}"/>
    <cellStyle name="Percent 9 6 11" xfId="14918" xr:uid="{AE1A25C9-801A-4F1E-847C-438C8379FC93}"/>
    <cellStyle name="Percent 9 6 12" xfId="14919" xr:uid="{3859A97C-39A2-4614-932A-97E5CD7C601B}"/>
    <cellStyle name="Percent 9 6 2" xfId="14920" xr:uid="{1C21BA93-A82A-4293-A44D-7104E5DB3C03}"/>
    <cellStyle name="Percent 9 6 2 2" xfId="14921" xr:uid="{A0560944-59E0-4624-9D6F-8DDF6DD97C3C}"/>
    <cellStyle name="Percent 9 6 2 3" xfId="14922" xr:uid="{B8504CF8-4B07-494B-BB3A-42C0DF1E971E}"/>
    <cellStyle name="Percent 9 6 2 4" xfId="14923" xr:uid="{C5587F34-1776-42EC-8121-91BCDE830BBC}"/>
    <cellStyle name="Percent 9 6 2 5" xfId="14924" xr:uid="{A716D079-011F-4153-BD92-87ED558D5CC1}"/>
    <cellStyle name="Percent 9 6 2 6" xfId="14925" xr:uid="{777A1B13-3670-41C9-B60D-04372CF3D824}"/>
    <cellStyle name="Percent 9 6 2 7" xfId="14926" xr:uid="{866EA07E-69D4-4261-B391-E7E19B0CED78}"/>
    <cellStyle name="Percent 9 6 2 8" xfId="14927" xr:uid="{45CF22A9-5792-44EA-B937-186AF0933507}"/>
    <cellStyle name="Percent 9 6 2 9" xfId="14928" xr:uid="{5B8B7F94-C32A-471C-A645-43DD360DB957}"/>
    <cellStyle name="Percent 9 6 3" xfId="14929" xr:uid="{1D0FC5DC-8E84-4214-83FA-98F595307B7B}"/>
    <cellStyle name="Percent 9 6 3 2" xfId="14930" xr:uid="{AB2889A2-1B71-4E3B-859E-A05D3F0F11E9}"/>
    <cellStyle name="Percent 9 6 3 3" xfId="14931" xr:uid="{15609080-FAFB-4DD2-AF1D-4732D6B7B70A}"/>
    <cellStyle name="Percent 9 6 3 4" xfId="14932" xr:uid="{00830F8B-1FE5-4DD6-A34C-A7954DAEE62A}"/>
    <cellStyle name="Percent 9 6 3 5" xfId="14933" xr:uid="{0A3CF301-A9D0-44CA-9C7A-865A8A3D5C63}"/>
    <cellStyle name="Percent 9 6 4" xfId="14934" xr:uid="{EE25253F-DF9D-40DC-BD8E-E5035410736E}"/>
    <cellStyle name="Percent 9 6 5" xfId="14935" xr:uid="{24F2E3BA-4494-4463-9892-F814073108E0}"/>
    <cellStyle name="Percent 9 6 6" xfId="14936" xr:uid="{0BF4B300-D102-4FD2-BDB5-580C202DA43B}"/>
    <cellStyle name="Percent 9 6 7" xfId="14937" xr:uid="{AE1EFE2D-BF0A-40D8-B274-44476382E7E3}"/>
    <cellStyle name="Percent 9 6 8" xfId="14938" xr:uid="{CF041FC5-1571-459B-9211-FA2A0B94DC52}"/>
    <cellStyle name="Percent 9 6 9" xfId="14939" xr:uid="{0A5B12D6-E066-446C-B5D3-9BBF193DA50B}"/>
    <cellStyle name="Percent 9 7" xfId="14940" xr:uid="{0CA0FB2E-A792-42B7-BA29-AF908B528B4D}"/>
    <cellStyle name="Percent 9 7 10" xfId="14941" xr:uid="{B93C780C-83BE-4B03-81D0-774FEE6868A2}"/>
    <cellStyle name="Percent 9 7 11" xfId="14942" xr:uid="{575BD9A0-0F7B-4899-8F3C-88AE01AC84E3}"/>
    <cellStyle name="Percent 9 7 12" xfId="14943" xr:uid="{62F7E56B-FD86-4FD8-A1E5-1D381F7DE306}"/>
    <cellStyle name="Percent 9 7 13" xfId="14944" xr:uid="{BF6DEE03-A5D7-4956-BFF9-246E6A8DADD1}"/>
    <cellStyle name="Percent 9 7 14" xfId="14945" xr:uid="{3CBF2B7E-D8BD-4756-955F-7117A7AF97EA}"/>
    <cellStyle name="Percent 9 7 2" xfId="14946" xr:uid="{3648AC2D-A380-461D-A1CD-0FF9DE78D464}"/>
    <cellStyle name="Percent 9 7 2 10" xfId="14947" xr:uid="{46BFB9E5-C79F-4DE9-A969-A2E1C96FA36F}"/>
    <cellStyle name="Percent 9 7 2 2" xfId="14948" xr:uid="{F9BA478E-4541-45D8-A16F-2448303816DD}"/>
    <cellStyle name="Percent 9 7 2 3" xfId="14949" xr:uid="{BD08DA32-DBD8-4AC6-8655-CA484E0C74AC}"/>
    <cellStyle name="Percent 9 7 2 4" xfId="14950" xr:uid="{1DA333FF-AA26-44B9-9E34-53CB9101FD3E}"/>
    <cellStyle name="Percent 9 7 2 5" xfId="14951" xr:uid="{E1AEA5D2-F488-47B9-8544-8B2ED915C70D}"/>
    <cellStyle name="Percent 9 7 2 6" xfId="14952" xr:uid="{6BAD3C2A-5558-4B1A-BAE5-4A039D318ED8}"/>
    <cellStyle name="Percent 9 7 2 7" xfId="14953" xr:uid="{9BE2967D-62DC-457B-A471-8D33327358C7}"/>
    <cellStyle name="Percent 9 7 2 8" xfId="14954" xr:uid="{04626E64-A45D-48C2-B501-47ED2FBF7371}"/>
    <cellStyle name="Percent 9 7 2 9" xfId="14955" xr:uid="{5B4B5877-7302-4AD7-8CEE-7623BAB921A6}"/>
    <cellStyle name="Percent 9 7 3" xfId="14956" xr:uid="{DE1EE29A-723B-4FB7-9F3A-072CE8BAF2E2}"/>
    <cellStyle name="Percent 9 7 3 10" xfId="14957" xr:uid="{2175BE8F-FBEA-4D28-873F-10E9879ECB27}"/>
    <cellStyle name="Percent 9 7 3 2" xfId="14958" xr:uid="{93604223-FE51-4F6C-853B-274510B0FA26}"/>
    <cellStyle name="Percent 9 7 3 3" xfId="14959" xr:uid="{A121BAB4-AEAB-4257-9E77-5E536BD0EF4F}"/>
    <cellStyle name="Percent 9 7 3 4" xfId="14960" xr:uid="{3C13C4B5-41C5-455A-BE3A-6FDCB901D1CE}"/>
    <cellStyle name="Percent 9 7 3 5" xfId="14961" xr:uid="{FC833C65-FDA4-45C4-AAE6-E1001515F9A2}"/>
    <cellStyle name="Percent 9 7 3 6" xfId="14962" xr:uid="{40EC7A2D-EF6A-4DC3-8EAB-907DF35D8B16}"/>
    <cellStyle name="Percent 9 7 3 7" xfId="14963" xr:uid="{8C347FEF-C5CB-4E79-BD9E-10F70940F532}"/>
    <cellStyle name="Percent 9 7 3 8" xfId="14964" xr:uid="{155DD4D2-3645-4988-8844-3196A1CA1645}"/>
    <cellStyle name="Percent 9 7 3 9" xfId="14965" xr:uid="{667259E3-E250-498D-AA79-BB54B436A247}"/>
    <cellStyle name="Percent 9 7 4" xfId="14966" xr:uid="{7CFB4A46-E893-4CA3-9624-A1E9B897C20E}"/>
    <cellStyle name="Percent 9 7 4 2" xfId="14967" xr:uid="{1597CE29-9972-479E-99F7-680FECB1181A}"/>
    <cellStyle name="Percent 9 7 4 3" xfId="14968" xr:uid="{13A555FF-8391-4E18-98C6-198F9E033B5C}"/>
    <cellStyle name="Percent 9 7 4 4" xfId="14969" xr:uid="{385ADDD7-0BA4-4126-B0A6-5385D0D51614}"/>
    <cellStyle name="Percent 9 7 4 5" xfId="14970" xr:uid="{FC8D2A81-E978-40FA-BF7E-D2AA2C6E0C72}"/>
    <cellStyle name="Percent 9 7 4 6" xfId="14971" xr:uid="{D1CEFBC3-BD99-4D69-8FDA-41E251427126}"/>
    <cellStyle name="Percent 9 7 4 7" xfId="14972" xr:uid="{1B5798A0-45EE-4519-9945-F41E4DC1D396}"/>
    <cellStyle name="Percent 9 7 4 8" xfId="14973" xr:uid="{5E82095C-25AD-478A-8B6A-D4796D86E46C}"/>
    <cellStyle name="Percent 9 7 4 9" xfId="14974" xr:uid="{4A270A51-345D-4DC1-AEB7-833A22FCD073}"/>
    <cellStyle name="Percent 9 7 5" xfId="14975" xr:uid="{FB9B8567-0760-4B2E-8DF6-0C7626827CAD}"/>
    <cellStyle name="Percent 9 7 5 2" xfId="14976" xr:uid="{8E3261FB-637D-42FA-AB03-4BBB46DA752E}"/>
    <cellStyle name="Percent 9 7 5 3" xfId="14977" xr:uid="{6D441BA4-8C02-4E81-BFC6-FC25C722E168}"/>
    <cellStyle name="Percent 9 7 5 4" xfId="14978" xr:uid="{F9B4D7E7-3628-43FB-A7E1-FEFF79EE62B9}"/>
    <cellStyle name="Percent 9 7 5 5" xfId="14979" xr:uid="{396C1F80-9FD0-4C85-9416-4963D707AC9C}"/>
    <cellStyle name="Percent 9 7 6" xfId="14980" xr:uid="{463DF78B-70CA-4D19-9824-A03563623C80}"/>
    <cellStyle name="Percent 9 7 7" xfId="14981" xr:uid="{E68EC2EF-2ABD-4BDA-8E61-C8B418E0495F}"/>
    <cellStyle name="Percent 9 7 8" xfId="14982" xr:uid="{962A480E-D4E1-4E0F-ABDB-158AB4E98509}"/>
    <cellStyle name="Percent 9 7 9" xfId="14983" xr:uid="{4A52D81B-EF98-40DB-AFAC-B26EB2999831}"/>
    <cellStyle name="Percent 9 8" xfId="14984" xr:uid="{10A84496-8B2E-41EB-B888-F9CF7DD3D6F3}"/>
    <cellStyle name="Percent 9 8 10" xfId="14985" xr:uid="{07044B5E-A908-40C8-ABF2-42188599E23D}"/>
    <cellStyle name="Percent 9 8 11" xfId="14986" xr:uid="{D3758BE6-D79A-468C-8B42-46933C7AE15B}"/>
    <cellStyle name="Percent 9 8 12" xfId="14987" xr:uid="{334273F1-BE86-45D6-9FBD-7B3AAF605742}"/>
    <cellStyle name="Percent 9 8 2" xfId="14988" xr:uid="{1BC3BEFB-C05A-41AA-925F-37444CA2E037}"/>
    <cellStyle name="Percent 9 8 2 2" xfId="14989" xr:uid="{C97986D0-18A9-4916-A6A3-5C69A5FD7BE9}"/>
    <cellStyle name="Percent 9 8 2 3" xfId="14990" xr:uid="{035D9865-9BC3-4BB3-A2B3-69BD30296AEF}"/>
    <cellStyle name="Percent 9 8 2 4" xfId="14991" xr:uid="{211388A3-0254-479C-89B1-EB314D444119}"/>
    <cellStyle name="Percent 9 8 2 5" xfId="14992" xr:uid="{80FEF8D3-9B2B-4D98-89AB-DF37C3A1D1E0}"/>
    <cellStyle name="Percent 9 8 2 6" xfId="14993" xr:uid="{F751AD13-CD8E-411E-A997-F187F3FC3F00}"/>
    <cellStyle name="Percent 9 8 2 7" xfId="14994" xr:uid="{7F38D7A2-8A80-4222-B462-06D1EE6C9DA7}"/>
    <cellStyle name="Percent 9 8 2 8" xfId="14995" xr:uid="{22ECBF59-AE46-49CD-9298-EEA6BB35B373}"/>
    <cellStyle name="Percent 9 8 2 9" xfId="14996" xr:uid="{A61A9F0F-1E88-4D34-A997-0B8785DE1F26}"/>
    <cellStyle name="Percent 9 8 3" xfId="14997" xr:uid="{00DF5C26-9CCB-43C5-A424-6D1F36945542}"/>
    <cellStyle name="Percent 9 8 3 2" xfId="14998" xr:uid="{C7A5EB8C-87F5-4BFD-86AB-A609C15A146F}"/>
    <cellStyle name="Percent 9 8 3 3" xfId="14999" xr:uid="{FEC61981-B130-4BD9-9F25-D0933CCC8DDB}"/>
    <cellStyle name="Percent 9 8 3 4" xfId="15000" xr:uid="{02C53226-0C21-4528-9E5E-71418A50F194}"/>
    <cellStyle name="Percent 9 8 3 5" xfId="15001" xr:uid="{0D5EA7A1-984A-4C2E-AA4F-EF67C106DF3A}"/>
    <cellStyle name="Percent 9 8 4" xfId="15002" xr:uid="{CED60F4B-DD95-4798-A4D0-DAE19ED97472}"/>
    <cellStyle name="Percent 9 8 5" xfId="15003" xr:uid="{24530893-90F0-4DA5-B9BF-653F3C48A66E}"/>
    <cellStyle name="Percent 9 8 6" xfId="15004" xr:uid="{A424D313-A163-4502-87C4-88BDCE6C1321}"/>
    <cellStyle name="Percent 9 8 7" xfId="15005" xr:uid="{32598C10-6A30-4B3E-8E08-D22A2EFF0FB7}"/>
    <cellStyle name="Percent 9 8 8" xfId="15006" xr:uid="{372B7CB1-881F-41BA-AEA5-9EE49B07901C}"/>
    <cellStyle name="Percent 9 8 9" xfId="15007" xr:uid="{4B06BC93-D7E3-4876-8532-D10A3337F7A4}"/>
    <cellStyle name="Percent 9 9" xfId="15008" xr:uid="{5A065AE8-B8A2-4E11-A13D-61BB1911C1E7}"/>
    <cellStyle name="Percent 9 9 10" xfId="15009" xr:uid="{58B805F0-B400-4D0C-AB70-73B959F446FE}"/>
    <cellStyle name="Percent 9 9 2" xfId="15010" xr:uid="{094A9BF0-052E-4D76-ADB0-AA7643204774}"/>
    <cellStyle name="Percent 9 9 3" xfId="15011" xr:uid="{77CCA5AF-63EF-430A-A370-64BF5BF1425F}"/>
    <cellStyle name="Percent 9 9 4" xfId="15012" xr:uid="{DFB67D11-4A07-4A32-90B4-5D636934BB86}"/>
    <cellStyle name="Percent 9 9 5" xfId="15013" xr:uid="{EBC09C93-ACFE-4193-8A80-EF327E58C906}"/>
    <cellStyle name="Percent 9 9 6" xfId="15014" xr:uid="{511BD0AB-B786-44FE-A283-A57E2A94946A}"/>
    <cellStyle name="Percent 9 9 7" xfId="15015" xr:uid="{B393C9A3-31FF-4BDD-848A-FE0D62DBCBA2}"/>
    <cellStyle name="Percent 9 9 8" xfId="15016" xr:uid="{2B1BAED7-8D24-4A6F-9378-69A09B7D9B1F}"/>
    <cellStyle name="Percent 9 9 9" xfId="15017" xr:uid="{840B8405-4F3D-4DA3-BA3F-53E47E912702}"/>
    <cellStyle name="Percentagem 2 2" xfId="15018" xr:uid="{036F34C9-2DE6-49F2-94F6-DE29FC7DBD87}"/>
    <cellStyle name="Percentagem 2 2 10" xfId="15019" xr:uid="{DE43DD8D-99EF-4E28-ADDB-3842D4292EC5}"/>
    <cellStyle name="Percentagem 2 2 2" xfId="15020" xr:uid="{9106A348-8E46-4075-A42D-0EA65F156FEF}"/>
    <cellStyle name="Percentagem 2 2 3" xfId="15021" xr:uid="{30789C9C-3381-45BC-9F0A-795C03A8F46D}"/>
    <cellStyle name="Percentagem 2 2 4" xfId="15022" xr:uid="{6B319E81-DB58-453E-9E11-33EF2F2C9B59}"/>
    <cellStyle name="Percentagem 2 2 5" xfId="15023" xr:uid="{36275477-92CF-4BEE-B10A-092390E0AF1E}"/>
    <cellStyle name="Percentagem 2 2 6" xfId="15024" xr:uid="{56008247-BA6B-417E-B541-9E1C60DA9CA7}"/>
    <cellStyle name="Percentagem 2 2 7" xfId="15025" xr:uid="{219CD0A6-466A-418A-AC12-3732D02F19F5}"/>
    <cellStyle name="Percentagem 2 2 8" xfId="15026" xr:uid="{9939A6AF-93B8-4879-A6F7-D98B609DD0FD}"/>
    <cellStyle name="Percentagem 2 2 9" xfId="15027" xr:uid="{BACC5D93-1C54-4B50-A4AC-C347A61ECADF}"/>
    <cellStyle name="Percentagem 2 3" xfId="15028" xr:uid="{1E5DAC06-9763-4D4E-B46A-3A49D207C7B2}"/>
    <cellStyle name="Percentagem 2 3 10" xfId="15029" xr:uid="{EC0032C1-AC30-4809-819D-1D76980C7048}"/>
    <cellStyle name="Percentagem 2 3 2" xfId="15030" xr:uid="{DE31467E-9BD9-4E0C-AF3F-68220E8C1E5A}"/>
    <cellStyle name="Percentagem 2 3 3" xfId="15031" xr:uid="{CC935673-9ADD-4AC7-A784-08EFC15C2127}"/>
    <cellStyle name="Percentagem 2 3 4" xfId="15032" xr:uid="{5BE55CB4-AE1B-48FC-A567-EF282E89BE32}"/>
    <cellStyle name="Percentagem 2 3 5" xfId="15033" xr:uid="{A98A8E7D-4C24-4D91-85D5-6A9F6B4AAEB9}"/>
    <cellStyle name="Percentagem 2 3 6" xfId="15034" xr:uid="{756DF18A-DFF8-4E08-8C81-C187E60E8A47}"/>
    <cellStyle name="Percentagem 2 3 7" xfId="15035" xr:uid="{020B2499-B6CA-4C24-B659-BE90115F1BDE}"/>
    <cellStyle name="Percentagem 2 3 8" xfId="15036" xr:uid="{D59CD61F-1681-4DF9-A1C6-79F4C022C10A}"/>
    <cellStyle name="Percentagem 2 3 9" xfId="15037" xr:uid="{B42CA73B-7F80-4E78-AD12-762EA8C507B3}"/>
    <cellStyle name="Pilkku_Layo9704" xfId="15038" xr:uid="{7DB23280-B36E-4F58-A9E4-B1C7CDCD2E16}"/>
    <cellStyle name="Pyör. luku_Layo9704" xfId="15039" xr:uid="{D7E48DE7-BAC2-4B60-B2CD-CAA3727FA99D}"/>
    <cellStyle name="Pyör. valuutta_Layo9704" xfId="15040" xr:uid="{F2D39B68-6F10-4657-AEBB-9C86E7FDC7F2}"/>
    <cellStyle name="Schlecht" xfId="15041" xr:uid="{30D1B061-14B5-459B-AA9A-0763D52CCF29}"/>
    <cellStyle name="Schlecht 10" xfId="15042" xr:uid="{5B2F3746-A056-41F2-8077-A66E172CA3B0}"/>
    <cellStyle name="Schlecht 2" xfId="15043" xr:uid="{4B6220B8-D658-47F5-905F-533C8786B61C}"/>
    <cellStyle name="Schlecht 3" xfId="15044" xr:uid="{08AF1690-2F12-4C09-8287-ED31C0763C97}"/>
    <cellStyle name="Schlecht 4" xfId="15045" xr:uid="{368570B9-12DE-4A77-975C-423D6BBC6CB1}"/>
    <cellStyle name="Schlecht 5" xfId="15046" xr:uid="{9D1C1291-0E63-4801-86E9-A49E2A537B8A}"/>
    <cellStyle name="Schlecht 6" xfId="15047" xr:uid="{419C3B62-8FAF-4D1E-B32F-31E930A617A6}"/>
    <cellStyle name="Schlecht 7" xfId="15048" xr:uid="{1C37CCFE-EDBC-41DA-A005-146D8195765F}"/>
    <cellStyle name="Schlecht 8" xfId="15049" xr:uid="{3B58FD77-793B-4CA6-9010-6BD4DBF56EA6}"/>
    <cellStyle name="Schlecht 9" xfId="15050" xr:uid="{C5CCC893-58B5-403F-90A0-89F4914ABCD3}"/>
    <cellStyle name="Section Break" xfId="23" xr:uid="{00000000-0005-0000-0000-00001B000000}"/>
    <cellStyle name="Section Break: parent row" xfId="24" xr:uid="{00000000-0005-0000-0000-00001C000000}"/>
    <cellStyle name="Shade" xfId="15051" xr:uid="{6FAA8197-F7F6-42A8-AB2F-7393A02B6052}"/>
    <cellStyle name="Shade 10" xfId="15052" xr:uid="{C142EF8A-DFAE-45BD-A8D2-2F3DBE2AAEDF}"/>
    <cellStyle name="Shade 2" xfId="15053" xr:uid="{2ABBEA4F-05EC-4BE4-A7EF-D7C33B9839E5}"/>
    <cellStyle name="Shade 3" xfId="15054" xr:uid="{A094F510-154D-44BB-B492-1C3D4979194D}"/>
    <cellStyle name="Shade 4" xfId="15055" xr:uid="{CAEBA800-DF80-413E-A678-A792592790E3}"/>
    <cellStyle name="Shade 5" xfId="15056" xr:uid="{F3163263-C448-43DD-A91A-C9FACCB19519}"/>
    <cellStyle name="Shade 6" xfId="15057" xr:uid="{914B7CDA-432B-4DDB-AC96-5E48041BBF02}"/>
    <cellStyle name="Shade 7" xfId="15058" xr:uid="{02ACF780-40B8-4763-B83F-C7DCA5954B2E}"/>
    <cellStyle name="Shade 8" xfId="15059" xr:uid="{60ED1869-C2DE-47D4-B662-4D9FDD7DB002}"/>
    <cellStyle name="Shade 9" xfId="15060" xr:uid="{FFD6BC73-E9B7-4ED4-ABC7-115CDB2F5641}"/>
    <cellStyle name="source" xfId="15061" xr:uid="{E31B3856-FD2F-41C9-BD47-AF8390DEBAA0}"/>
    <cellStyle name="source 10" xfId="15062" xr:uid="{8D68A5C2-91BC-4EB6-B4C7-77035637454C}"/>
    <cellStyle name="source 2" xfId="15063" xr:uid="{FD64BCB4-D223-4E87-B99C-7E0306B79D86}"/>
    <cellStyle name="source 2 2" xfId="15064" xr:uid="{9664616F-C15F-429A-A109-78926D1CF922}"/>
    <cellStyle name="source 2 3" xfId="15065" xr:uid="{2A5D4BE6-EAE4-4ED4-8B5B-4ED9B70F4DC6}"/>
    <cellStyle name="source 2 4" xfId="15066" xr:uid="{2E074B4D-2DD3-461C-B5C7-5D871325564F}"/>
    <cellStyle name="source 2 5" xfId="15067" xr:uid="{31C2CF69-05D4-467E-B0FE-23FE915B7D1B}"/>
    <cellStyle name="source 3" xfId="15068" xr:uid="{894F0086-0BD8-4F9A-BEFC-2F88101CA00B}"/>
    <cellStyle name="source 4" xfId="15069" xr:uid="{A66632E2-9D6B-427D-8F7E-4B52033C5389}"/>
    <cellStyle name="source 5" xfId="15070" xr:uid="{062093B8-341F-45D7-8369-96E04582F2E8}"/>
    <cellStyle name="source 6" xfId="15071" xr:uid="{3A3F3871-9E54-4862-BBFB-FAE80C1FD0E0}"/>
    <cellStyle name="source 7" xfId="15072" xr:uid="{A2BD6001-7AE8-4ACE-86FD-13687759030F}"/>
    <cellStyle name="source 8" xfId="15073" xr:uid="{9F7333F7-EEED-4FB7-8458-2BE30FEA479C}"/>
    <cellStyle name="source 9" xfId="15074" xr:uid="{AE3C1201-69CF-46BC-B7F7-8157919091E3}"/>
    <cellStyle name="Standaard_Blad1" xfId="15075" xr:uid="{442EEDCB-0467-4245-8E41-5E85E1980D4C}"/>
    <cellStyle name="Standard 2" xfId="15076" xr:uid="{BBEEB08A-CCA3-46B4-9E39-6C8D23E7E481}"/>
    <cellStyle name="Standard 2 2" xfId="15077" xr:uid="{B22F7A4B-F313-4C50-AA95-D0DAC98B11E5}"/>
    <cellStyle name="Standard 2 3" xfId="15078" xr:uid="{78686FB6-6E84-4935-9238-7CB74386E82F}"/>
    <cellStyle name="Standard 2 4" xfId="15079" xr:uid="{9A4890E1-DA65-4DF0-B4F2-74D93C774D93}"/>
    <cellStyle name="Standard 2 5" xfId="15080" xr:uid="{CF707040-FB2F-425D-AB16-6BCBD623C061}"/>
    <cellStyle name="Standard 2 6" xfId="15081" xr:uid="{581980F5-3F64-4D18-8580-87C0CFF0CBB7}"/>
    <cellStyle name="Standard 2 7" xfId="15082" xr:uid="{F59F3B31-20E4-4A15-ACAB-29500742C720}"/>
    <cellStyle name="Standard 3" xfId="15083" xr:uid="{6C18C520-CA21-4515-AABC-4005C5883B27}"/>
    <cellStyle name="Standard 3 2" xfId="15084" xr:uid="{2B709432-C400-45D9-92C3-74B641268195}"/>
    <cellStyle name="Standard 3 3" xfId="15085" xr:uid="{8B3B8C20-4330-4D6F-82A8-21387147B58B}"/>
    <cellStyle name="Standard 3 4" xfId="15086" xr:uid="{6B528565-41AD-49F8-B309-9B8B63147E24}"/>
    <cellStyle name="Standard 3 5" xfId="15087" xr:uid="{5CAC7C3E-2912-4507-AB06-C354CAB2E3BA}"/>
    <cellStyle name="Standard 3 6" xfId="15088" xr:uid="{361DE587-B745-4D73-9991-53A53C1C9DC5}"/>
    <cellStyle name="Standard 3 7" xfId="15089" xr:uid="{0F6463B7-F80A-4FBF-B339-41A66F849EA5}"/>
    <cellStyle name="Standard_Sce_D_Extraction" xfId="15090" xr:uid="{61DCA556-69EF-4236-A9A4-6DC144A1FD99}"/>
    <cellStyle name="Style 1" xfId="15091" xr:uid="{295A7CE9-218E-4946-AD6B-AA6BC879B275}"/>
    <cellStyle name="Style 1 10" xfId="15092" xr:uid="{0E92F597-B9CB-4540-95CE-FDEF3FBA729D}"/>
    <cellStyle name="Style 1 2" xfId="15093" xr:uid="{7BF8B458-BDC1-4551-B580-917B2F4689E3}"/>
    <cellStyle name="Style 1 3" xfId="15094" xr:uid="{1C0411DC-4FC9-4039-AC3A-6A3FEC061C8C}"/>
    <cellStyle name="Style 1 4" xfId="15095" xr:uid="{BE60079A-10ED-4E9F-A285-04CF1BB2C789}"/>
    <cellStyle name="Style 1 5" xfId="15096" xr:uid="{66F6BD50-A1D2-4722-BAC2-442BE92C98E8}"/>
    <cellStyle name="Style 1 6" xfId="15097" xr:uid="{91372CD4-71AA-4198-98BD-4A66125DE83E}"/>
    <cellStyle name="Style 1 7" xfId="15098" xr:uid="{86E2B6BB-D6FA-4E19-AC90-06FF856EB5FC}"/>
    <cellStyle name="Style 1 8" xfId="15099" xr:uid="{FC2CAFB9-98E1-4A89-A439-1F113F3AC98B}"/>
    <cellStyle name="Style 1 9" xfId="15100" xr:uid="{14ABA551-2A04-4F84-A04A-C28FF039791C}"/>
    <cellStyle name="Style 103" xfId="15101" xr:uid="{370FA19D-F0C7-4D9E-89FC-A59A8857DFFA}"/>
    <cellStyle name="Style 103 2" xfId="15102" xr:uid="{9663095E-5B79-4D6E-BBCF-4B3E0084AF65}"/>
    <cellStyle name="Style 103 2 2" xfId="15103" xr:uid="{DA203077-22CE-4D38-940C-8B13B8E486DA}"/>
    <cellStyle name="Style 103 2 3" xfId="15104" xr:uid="{2728CB8D-15DA-428F-86C0-7B1D61E293A9}"/>
    <cellStyle name="Style 103 2 4" xfId="15105" xr:uid="{61A4A43B-AC7B-417C-A0B1-8451889921CA}"/>
    <cellStyle name="Style 103 2 5" xfId="15106" xr:uid="{8580F3B6-C2FB-4441-8B72-22FA32B97B60}"/>
    <cellStyle name="Style 103 3" xfId="15107" xr:uid="{A99806AF-9217-4418-9BB4-D3722CCA77E9}"/>
    <cellStyle name="Style 103 3 2" xfId="15108" xr:uid="{C0B013CA-FDB0-4EEF-AA59-3B5DF21E1D73}"/>
    <cellStyle name="Style 103 3 3" xfId="15109" xr:uid="{283D89DB-4BA4-4E5A-B445-5158745367F2}"/>
    <cellStyle name="Style 103 3 4" xfId="15110" xr:uid="{0D6377F3-1F6A-4D24-B95A-F8F53D8C9C02}"/>
    <cellStyle name="Style 103 3 5" xfId="15111" xr:uid="{D0B38131-DA4F-4625-B50F-F471DF81E322}"/>
    <cellStyle name="Style 103 4" xfId="15112" xr:uid="{C8A42477-F566-4B9B-9F47-BFAB50C36442}"/>
    <cellStyle name="Style 103 5" xfId="15113" xr:uid="{1E02143A-26E1-4B3E-B908-0BA0E846306E}"/>
    <cellStyle name="Style 103 6" xfId="15114" xr:uid="{6C5FE055-C580-4CA7-87A0-07310453C63C}"/>
    <cellStyle name="Style 103 7" xfId="15115" xr:uid="{7AF092B8-ECFD-41E8-86A7-C1B776897CCC}"/>
    <cellStyle name="Style 104" xfId="15116" xr:uid="{A3F5CAE7-C5C2-423A-BE8B-919D5FF58994}"/>
    <cellStyle name="Style 104 2" xfId="15117" xr:uid="{CE4AD3AA-6441-41E1-922F-92F0B08DE327}"/>
    <cellStyle name="Style 104 2 2" xfId="15118" xr:uid="{04270B79-6907-4193-80F0-C7A8B4E9C9CD}"/>
    <cellStyle name="Style 104 2 3" xfId="15119" xr:uid="{37AEB995-AEA0-4BFF-BC89-9B7A2566FB0D}"/>
    <cellStyle name="Style 104 2 4" xfId="15120" xr:uid="{AF374B21-E81D-4C0B-BA99-A2D6D409B335}"/>
    <cellStyle name="Style 104 2 5" xfId="15121" xr:uid="{8AE6EA4B-4FAC-4CB8-BDDC-341449CD82E5}"/>
    <cellStyle name="Style 104 3" xfId="15122" xr:uid="{687B70FE-F647-41BE-B550-3CB6C8AF6AF8}"/>
    <cellStyle name="Style 104 3 2" xfId="15123" xr:uid="{943F0FA4-D3CD-415F-B50C-D4D8DA3D2125}"/>
    <cellStyle name="Style 104 3 3" xfId="15124" xr:uid="{1CBC3B26-81ED-41D0-98FF-2B1AC4A0985D}"/>
    <cellStyle name="Style 104 3 4" xfId="15125" xr:uid="{E1BAA063-0750-4A31-A814-223C88481BDF}"/>
    <cellStyle name="Style 104 3 5" xfId="15126" xr:uid="{34ED15A3-4E5D-4C37-9D8A-8D3A10964A7B}"/>
    <cellStyle name="Style 104 4" xfId="15127" xr:uid="{EB439B5A-9EA9-46A4-A29E-5047B10C39CE}"/>
    <cellStyle name="Style 104 5" xfId="15128" xr:uid="{CE3F753B-3841-4F5A-80F1-E83CAC4263D4}"/>
    <cellStyle name="Style 104 6" xfId="15129" xr:uid="{E237ECFB-A3E2-40F7-82CD-22B9E055C85C}"/>
    <cellStyle name="Style 104 7" xfId="15130" xr:uid="{5C1EDF8D-0908-42E6-9FDF-DF4E9136EF8A}"/>
    <cellStyle name="Style 105" xfId="15131" xr:uid="{590F764F-9DC4-4A06-87A5-49CF83CDECD2}"/>
    <cellStyle name="Style 105 2" xfId="15132" xr:uid="{22B52D88-D16F-40CB-91B6-68052F5788E7}"/>
    <cellStyle name="Style 105 2 2" xfId="15133" xr:uid="{367637D1-05C7-4610-9287-F4A2C54A5159}"/>
    <cellStyle name="Style 105 2 3" xfId="15134" xr:uid="{D98D8935-1A8B-4FE0-87AD-E43828B1FF8F}"/>
    <cellStyle name="Style 105 2 4" xfId="15135" xr:uid="{3DE3F156-B141-4C51-B414-0F9E4813A450}"/>
    <cellStyle name="Style 105 2 5" xfId="15136" xr:uid="{D2AA8E12-46B4-4C24-A10E-A4709C08E8C9}"/>
    <cellStyle name="Style 105 3" xfId="15137" xr:uid="{B3F34A09-6D8D-4FF7-8519-BE54DF6AD817}"/>
    <cellStyle name="Style 105 4" xfId="15138" xr:uid="{B0CD9553-E60E-429E-9C01-BF703382561E}"/>
    <cellStyle name="Style 105 5" xfId="15139" xr:uid="{42C5504E-93A7-4C86-9246-BE902CBA4B7E}"/>
    <cellStyle name="Style 105 6" xfId="15140" xr:uid="{44EE3F2A-81D3-4941-9C15-A80437014213}"/>
    <cellStyle name="Style 106" xfId="15141" xr:uid="{50E39CB6-600F-4D3A-BD86-B44049F8F180}"/>
    <cellStyle name="Style 106 2" xfId="15142" xr:uid="{9A7A3F73-60B9-44FE-836A-CC9B8E83EB21}"/>
    <cellStyle name="Style 106 2 2" xfId="15143" xr:uid="{F7EBB4D4-CCB9-4307-B4BE-F9ACA72D9CEC}"/>
    <cellStyle name="Style 106 2 3" xfId="15144" xr:uid="{A6C21620-19AF-4C39-B88D-B622EFD8CE7E}"/>
    <cellStyle name="Style 106 2 4" xfId="15145" xr:uid="{DA492059-6976-454B-A518-BACF117E7CBE}"/>
    <cellStyle name="Style 106 2 5" xfId="15146" xr:uid="{A7205E9E-C295-4CE2-A47B-3888F31A65A6}"/>
    <cellStyle name="Style 106 3" xfId="15147" xr:uid="{C433CDBE-F1B3-483D-99F5-2EC7A713F711}"/>
    <cellStyle name="Style 106 4" xfId="15148" xr:uid="{FA457987-09A0-47B3-AFF4-DA52F2075815}"/>
    <cellStyle name="Style 106 5" xfId="15149" xr:uid="{9573C9DA-AB69-40B9-B502-7D833EB19840}"/>
    <cellStyle name="Style 106 6" xfId="15150" xr:uid="{12C6D801-7222-4683-A37F-B3C3351BB88F}"/>
    <cellStyle name="Style 107" xfId="15151" xr:uid="{3FD03107-04A1-46F6-9380-9F19DB9CB0DB}"/>
    <cellStyle name="Style 107 2" xfId="15152" xr:uid="{E95EC500-8497-48BC-B421-C9E41CB9F4B8}"/>
    <cellStyle name="Style 107 2 2" xfId="15153" xr:uid="{8D4F764E-F9B3-454C-8B6A-6AC40F8BA613}"/>
    <cellStyle name="Style 107 2 3" xfId="15154" xr:uid="{447B0B27-FA6E-4492-A637-CC6F6C5E3CFE}"/>
    <cellStyle name="Style 107 2 4" xfId="15155" xr:uid="{AFCEFCC0-9A7B-4F77-B24B-738E9A18F156}"/>
    <cellStyle name="Style 107 2 5" xfId="15156" xr:uid="{F1A36CE3-073F-45E5-89EE-BB13660D7FD3}"/>
    <cellStyle name="Style 107 3" xfId="15157" xr:uid="{D0CB9923-3FA3-48E9-B5DC-99B84FF4ED20}"/>
    <cellStyle name="Style 107 4" xfId="15158" xr:uid="{F3B88259-24F8-4A2F-A853-79B23860489A}"/>
    <cellStyle name="Style 107 5" xfId="15159" xr:uid="{E812ABDA-37FF-4EAB-B9DE-ABF30020BB85}"/>
    <cellStyle name="Style 107 6" xfId="15160" xr:uid="{CE79F117-B843-4BF3-BE85-4F06E360ED30}"/>
    <cellStyle name="Style 108" xfId="15161" xr:uid="{9FBD65D5-7334-4303-A872-903C9909AC10}"/>
    <cellStyle name="Style 108 2" xfId="15162" xr:uid="{C0E57368-275F-45D7-8992-DAFB940D996E}"/>
    <cellStyle name="Style 108 2 2" xfId="15163" xr:uid="{8FE20C75-21AE-4FB2-97FC-58EEE088084B}"/>
    <cellStyle name="Style 108 2 3" xfId="15164" xr:uid="{666E33EC-C9B4-4D72-8DFC-06028332D730}"/>
    <cellStyle name="Style 108 2 4" xfId="15165" xr:uid="{3D212BE2-00F4-4144-8458-8ED8DDB284D4}"/>
    <cellStyle name="Style 108 2 5" xfId="15166" xr:uid="{641617FA-3F13-4D15-BF8F-114362DC7CC0}"/>
    <cellStyle name="Style 108 3" xfId="15167" xr:uid="{ACC951BD-9A6F-4BCA-AA4B-A37254BF9D5F}"/>
    <cellStyle name="Style 108 3 2" xfId="15168" xr:uid="{3F11BA37-172B-4D7A-A051-0B906F5C5C6E}"/>
    <cellStyle name="Style 108 3 3" xfId="15169" xr:uid="{F864E36C-391D-41C0-81D0-CD1C6A9B0752}"/>
    <cellStyle name="Style 108 3 4" xfId="15170" xr:uid="{8C166573-23A3-4FAA-9DEF-E0D0BEAF5336}"/>
    <cellStyle name="Style 108 3 5" xfId="15171" xr:uid="{F89AFEE7-8A9C-4EE9-A307-3936D9AF72BC}"/>
    <cellStyle name="Style 108 4" xfId="15172" xr:uid="{3CA44AEA-40B6-48F9-A980-DB09639B0FF4}"/>
    <cellStyle name="Style 108 5" xfId="15173" xr:uid="{9AFC0718-FA54-4E44-A04A-3C8A77D39896}"/>
    <cellStyle name="Style 108 6" xfId="15174" xr:uid="{4D48E074-B1B5-4983-8464-8B6C79EF7E4D}"/>
    <cellStyle name="Style 108 7" xfId="15175" xr:uid="{E9809E0C-1B49-44CF-8846-178BCE20A613}"/>
    <cellStyle name="Style 109" xfId="15176" xr:uid="{95409BA2-E002-4D1E-AA00-501256AD0B75}"/>
    <cellStyle name="Style 109 2" xfId="15177" xr:uid="{236453E0-85EC-4057-AA1C-3FBD47103B4B}"/>
    <cellStyle name="Style 109 2 2" xfId="15178" xr:uid="{FAB4710F-67D5-402B-A981-5492179716ED}"/>
    <cellStyle name="Style 109 2 3" xfId="15179" xr:uid="{98E034E3-F9B6-44A5-A7DF-FB0379C541CA}"/>
    <cellStyle name="Style 109 2 4" xfId="15180" xr:uid="{62A3A655-491A-4B3E-A5F2-ACAE0CAF5BC0}"/>
    <cellStyle name="Style 109 2 5" xfId="15181" xr:uid="{21726617-83B0-42AE-A166-F45D7EAF5842}"/>
    <cellStyle name="Style 109 3" xfId="15182" xr:uid="{FA503BD1-8B9F-4B22-9A5A-910667F7C04A}"/>
    <cellStyle name="Style 109 4" xfId="15183" xr:uid="{DEA99349-4F88-4D20-B635-0822097486CD}"/>
    <cellStyle name="Style 109 5" xfId="15184" xr:uid="{E50B3F01-C1B9-4486-B36F-5DDCF3C14BF7}"/>
    <cellStyle name="Style 109 6" xfId="15185" xr:uid="{3FCB9193-A5A4-4A76-80CB-573ABE2B368B}"/>
    <cellStyle name="Style 110" xfId="15186" xr:uid="{7970AA0D-E742-497E-8D66-2E02E407DD74}"/>
    <cellStyle name="Style 110 2" xfId="15187" xr:uid="{54B44A4B-E7E6-4674-8346-6AACCCA3C2B7}"/>
    <cellStyle name="Style 110 2 2" xfId="15188" xr:uid="{23D0EAEB-63F2-465A-84CD-B4E0B4F50998}"/>
    <cellStyle name="Style 110 2 3" xfId="15189" xr:uid="{D2D79D32-FD84-420C-A5C8-23B33D823CA0}"/>
    <cellStyle name="Style 110 2 4" xfId="15190" xr:uid="{5E691348-7EF6-4910-B0D9-497C8614B17D}"/>
    <cellStyle name="Style 110 2 5" xfId="15191" xr:uid="{19D4DCC6-699A-4814-AABA-31F7F6E3DC37}"/>
    <cellStyle name="Style 110 3" xfId="15192" xr:uid="{D7209D6A-DF84-46C4-B3F2-59AE07A7FEA1}"/>
    <cellStyle name="Style 110 4" xfId="15193" xr:uid="{A73729AE-A075-43A5-9500-C9450F10EC98}"/>
    <cellStyle name="Style 110 5" xfId="15194" xr:uid="{1CBA19FD-17D0-41F0-B285-339BFD56061F}"/>
    <cellStyle name="Style 110 6" xfId="15195" xr:uid="{3CF11C42-4FBA-4D7B-BD9F-521F3D8B724B}"/>
    <cellStyle name="Style 114" xfId="15196" xr:uid="{41108A8A-D2DA-47C4-A6BD-6A6B40C31B3A}"/>
    <cellStyle name="Style 114 2" xfId="15197" xr:uid="{CA7254A5-E39C-43D2-9C7C-3EC0680B40DC}"/>
    <cellStyle name="Style 114 2 2" xfId="15198" xr:uid="{B10118AF-0809-4B6D-82A6-E59BDA54FAB4}"/>
    <cellStyle name="Style 114 2 3" xfId="15199" xr:uid="{C3406590-DA3A-425B-B3D3-CCFB283AADD7}"/>
    <cellStyle name="Style 114 2 4" xfId="15200" xr:uid="{72DC4AB3-8B6F-4407-BB56-5C2138BC316C}"/>
    <cellStyle name="Style 114 2 5" xfId="15201" xr:uid="{59138BF8-192E-4495-8F70-EA2FBF9C10E4}"/>
    <cellStyle name="Style 114 3" xfId="15202" xr:uid="{A491F69D-B81A-4A42-944B-00E0F0E0FE52}"/>
    <cellStyle name="Style 114 3 2" xfId="15203" xr:uid="{3B852A48-EF95-448B-8C53-2D9277AE4959}"/>
    <cellStyle name="Style 114 3 3" xfId="15204" xr:uid="{6B149CD4-B2C5-4FD9-9FB6-E8673968A065}"/>
    <cellStyle name="Style 114 3 4" xfId="15205" xr:uid="{3B94D8D9-E3AB-40A4-B20A-E224EE8B75C4}"/>
    <cellStyle name="Style 114 3 5" xfId="15206" xr:uid="{9648881B-320A-482F-A9FB-1F02E5DAD408}"/>
    <cellStyle name="Style 114 4" xfId="15207" xr:uid="{BCCD753C-08F0-46EA-93BB-DC394606B90E}"/>
    <cellStyle name="Style 114 5" xfId="15208" xr:uid="{200A0549-C348-4529-968E-9CC61A665470}"/>
    <cellStyle name="Style 114 6" xfId="15209" xr:uid="{76B5D88D-6021-43CB-8C2A-AA2FBCFC65BA}"/>
    <cellStyle name="Style 114 7" xfId="15210" xr:uid="{2A313051-94D4-4B73-83CB-4C93E702B81C}"/>
    <cellStyle name="Style 115" xfId="15211" xr:uid="{998B9E41-BDF4-4531-A16E-10BEBC983B22}"/>
    <cellStyle name="Style 115 2" xfId="15212" xr:uid="{84D4AD7D-81A1-4274-9E6D-B089BB2C8C1E}"/>
    <cellStyle name="Style 115 2 2" xfId="15213" xr:uid="{D247654B-3B8D-4711-8DDB-350D657495AA}"/>
    <cellStyle name="Style 115 2 3" xfId="15214" xr:uid="{4E0F4D4D-7E7B-4092-9120-CE8D44834FED}"/>
    <cellStyle name="Style 115 2 4" xfId="15215" xr:uid="{9A4287DD-1DD4-441B-8F23-572987E3CA7C}"/>
    <cellStyle name="Style 115 2 5" xfId="15216" xr:uid="{CE0035CB-D05B-486E-945D-97F391CCD745}"/>
    <cellStyle name="Style 115 3" xfId="15217" xr:uid="{7EF0F506-2839-4BE4-87EC-CB3541A744DD}"/>
    <cellStyle name="Style 115 3 2" xfId="15218" xr:uid="{4975F47D-8345-47E2-BF21-7D481A58CA39}"/>
    <cellStyle name="Style 115 3 3" xfId="15219" xr:uid="{53CDCECD-0431-4AC5-AA8D-B4917633766F}"/>
    <cellStyle name="Style 115 3 4" xfId="15220" xr:uid="{3A570ACF-4DF9-4BBB-B871-3E29221402EF}"/>
    <cellStyle name="Style 115 3 5" xfId="15221" xr:uid="{19DCE66B-312A-4F07-A528-E31FE66D68AD}"/>
    <cellStyle name="Style 115 4" xfId="15222" xr:uid="{995553AA-014A-4DE1-A177-B6EA3DCF2555}"/>
    <cellStyle name="Style 115 5" xfId="15223" xr:uid="{27E3BA9F-8C4C-45A8-BC49-54523B681B3F}"/>
    <cellStyle name="Style 115 6" xfId="15224" xr:uid="{18F6A4E7-7544-4BE6-BD91-4D88D191D74E}"/>
    <cellStyle name="Style 115 7" xfId="15225" xr:uid="{31AB62F5-5A10-48A8-AECC-4D56170BFC1A}"/>
    <cellStyle name="Style 116" xfId="15226" xr:uid="{A274BDF0-725C-46F4-BF46-97A94DD063A9}"/>
    <cellStyle name="Style 116 2" xfId="15227" xr:uid="{346342B3-F911-4F2A-8ED3-8E9D322AE5E6}"/>
    <cellStyle name="Style 116 2 2" xfId="15228" xr:uid="{6D393D0E-F1B2-44B4-80F4-FF0189F93CC5}"/>
    <cellStyle name="Style 116 2 3" xfId="15229" xr:uid="{F50AFF71-62C7-42F6-B9E8-27A919C291A0}"/>
    <cellStyle name="Style 116 2 4" xfId="15230" xr:uid="{ED4AE03E-A410-45B6-97F9-FD2481C5045C}"/>
    <cellStyle name="Style 116 2 5" xfId="15231" xr:uid="{377EBAB8-F2C6-470B-B319-B1536C0E4877}"/>
    <cellStyle name="Style 116 3" xfId="15232" xr:uid="{C3BC16D8-70A9-479B-BD6D-50BDE855D50D}"/>
    <cellStyle name="Style 116 4" xfId="15233" xr:uid="{7515A176-A253-41F2-B59C-45E0897AC293}"/>
    <cellStyle name="Style 116 5" xfId="15234" xr:uid="{4C450BD4-5A26-4691-8E4C-62D2FEC12CA1}"/>
    <cellStyle name="Style 116 6" xfId="15235" xr:uid="{88204B62-090C-4E1C-9732-958049FAE433}"/>
    <cellStyle name="Style 117" xfId="15236" xr:uid="{A2F492DF-1CCE-4A98-AF60-143B9853DF11}"/>
    <cellStyle name="Style 117 2" xfId="15237" xr:uid="{5BF33A68-AFDF-4544-9B83-4E8ED1C3950E}"/>
    <cellStyle name="Style 117 2 2" xfId="15238" xr:uid="{B936256D-8D06-4343-91CE-FB92948B9821}"/>
    <cellStyle name="Style 117 2 3" xfId="15239" xr:uid="{4B11669A-63F7-494B-A261-D783811CCCFE}"/>
    <cellStyle name="Style 117 2 4" xfId="15240" xr:uid="{4E467D1F-C3AA-4063-8FEE-5DCB5129D97B}"/>
    <cellStyle name="Style 117 2 5" xfId="15241" xr:uid="{267BAC61-B811-4883-B81E-930E63745D5B}"/>
    <cellStyle name="Style 117 3" xfId="15242" xr:uid="{3D4A9AEF-BB85-4C06-9843-80E63644DFA9}"/>
    <cellStyle name="Style 117 4" xfId="15243" xr:uid="{EABCA39C-F7EA-46FB-AAD9-63AED974E216}"/>
    <cellStyle name="Style 117 5" xfId="15244" xr:uid="{35205A46-8840-41D3-BA8D-BD2F1F2E3586}"/>
    <cellStyle name="Style 117 6" xfId="15245" xr:uid="{0FE86CE4-5A41-4261-B435-C09F9EFB76C7}"/>
    <cellStyle name="Style 118" xfId="15246" xr:uid="{DCCAE268-2A01-454D-91BB-9F3AEE750155}"/>
    <cellStyle name="Style 118 2" xfId="15247" xr:uid="{48BD53BF-91F8-4EDE-A060-A79D940776A9}"/>
    <cellStyle name="Style 118 2 2" xfId="15248" xr:uid="{DA0026C3-B01A-4551-8765-C24A7A44AA89}"/>
    <cellStyle name="Style 118 2 3" xfId="15249" xr:uid="{A9EA9307-8F99-4724-8BC4-43565B950D7B}"/>
    <cellStyle name="Style 118 2 4" xfId="15250" xr:uid="{F7F8AB30-74DD-4F4A-B6BF-2581C8D92E17}"/>
    <cellStyle name="Style 118 2 5" xfId="15251" xr:uid="{9870C0F7-8BCF-4851-9B13-A0D33E34ACFF}"/>
    <cellStyle name="Style 118 3" xfId="15252" xr:uid="{01FC526B-D29F-42FC-BBF0-2998E50B54BF}"/>
    <cellStyle name="Style 118 4" xfId="15253" xr:uid="{AF397F6E-8F3F-4A2B-8A59-3E489BC458F3}"/>
    <cellStyle name="Style 118 5" xfId="15254" xr:uid="{7A44BCC3-E459-4E2F-889B-C5698D02F8E3}"/>
    <cellStyle name="Style 118 6" xfId="15255" xr:uid="{4136374C-28BE-4AB9-9F33-01768565E455}"/>
    <cellStyle name="Style 119" xfId="15256" xr:uid="{28117792-3C37-4DCB-9C12-DD864E049089}"/>
    <cellStyle name="Style 119 2" xfId="15257" xr:uid="{ADEA6252-B53D-495E-A0DE-A8DD6B368CE9}"/>
    <cellStyle name="Style 119 2 2" xfId="15258" xr:uid="{EE980CC2-C8D4-42CF-8E19-9D18F7644C3C}"/>
    <cellStyle name="Style 119 2 3" xfId="15259" xr:uid="{CBCA5686-2C1C-4727-9372-110483F9430D}"/>
    <cellStyle name="Style 119 2 4" xfId="15260" xr:uid="{5CF7F100-E62A-4925-8A48-09F5956BC7FA}"/>
    <cellStyle name="Style 119 2 5" xfId="15261" xr:uid="{CD43AEED-5614-49D9-9608-8E17D29FC90C}"/>
    <cellStyle name="Style 119 3" xfId="15262" xr:uid="{36E14E77-8975-4123-A370-C15E54CB373D}"/>
    <cellStyle name="Style 119 3 2" xfId="15263" xr:uid="{13AB087E-6272-4EE4-A561-0C41E22BE444}"/>
    <cellStyle name="Style 119 3 3" xfId="15264" xr:uid="{6F20F0E5-CD56-4B74-9407-555688EA9DAE}"/>
    <cellStyle name="Style 119 3 4" xfId="15265" xr:uid="{1B0336CB-17FE-43C7-A6CB-EEF14C07C0B5}"/>
    <cellStyle name="Style 119 3 5" xfId="15266" xr:uid="{918B74DB-5B65-49D5-BC07-1973C1230F48}"/>
    <cellStyle name="Style 119 4" xfId="15267" xr:uid="{A3C4999A-E3BC-435F-A045-1F9307E610E9}"/>
    <cellStyle name="Style 119 5" xfId="15268" xr:uid="{4F5DC11E-E314-4128-AF8A-084482F906B6}"/>
    <cellStyle name="Style 119 6" xfId="15269" xr:uid="{513DE1C2-FF76-442D-9CBE-C2578DABB9F2}"/>
    <cellStyle name="Style 119 7" xfId="15270" xr:uid="{2DDF6483-82F7-457B-A9C5-8E81BAF7785C}"/>
    <cellStyle name="Style 120" xfId="15271" xr:uid="{5128AB3C-322F-4CF4-BBE2-0DB73CCE04F1}"/>
    <cellStyle name="Style 120 2" xfId="15272" xr:uid="{BEC25215-3DD4-46F2-8551-3EEF3D5DEDA7}"/>
    <cellStyle name="Style 120 2 2" xfId="15273" xr:uid="{A1A9C939-1147-4B26-B30A-603CDBD8B08D}"/>
    <cellStyle name="Style 120 2 3" xfId="15274" xr:uid="{B98C7FE8-B0D8-445F-9F64-24AA9FA41EBC}"/>
    <cellStyle name="Style 120 2 4" xfId="15275" xr:uid="{E72CF2C8-2F90-4B21-93C5-EDEC2EA67164}"/>
    <cellStyle name="Style 120 2 5" xfId="15276" xr:uid="{5153BB2D-30A0-4EFD-A7DC-A25637EF66A3}"/>
    <cellStyle name="Style 120 3" xfId="15277" xr:uid="{3C2C7576-7C8A-4273-985E-97C4332349A2}"/>
    <cellStyle name="Style 120 4" xfId="15278" xr:uid="{D6BB7C3C-8C91-49B8-B000-3DA1926C0CD5}"/>
    <cellStyle name="Style 120 5" xfId="15279" xr:uid="{C9F5433C-E065-44DA-A92B-65ADEBB50568}"/>
    <cellStyle name="Style 120 6" xfId="15280" xr:uid="{CB1873BE-B328-4689-947A-DF1026E04D2E}"/>
    <cellStyle name="Style 121" xfId="15281" xr:uid="{378DAC4E-C1A0-4D87-8576-994E36A01AEC}"/>
    <cellStyle name="Style 121 2" xfId="15282" xr:uid="{05F8DF10-8ADE-4CFE-A830-9C5866E3D7A0}"/>
    <cellStyle name="Style 121 2 2" xfId="15283" xr:uid="{ABCC1530-08BD-4067-9E01-D8E29F8D6C20}"/>
    <cellStyle name="Style 121 2 3" xfId="15284" xr:uid="{F8666677-8694-4C47-A60B-151EB5C0EBA1}"/>
    <cellStyle name="Style 121 2 4" xfId="15285" xr:uid="{49807816-8018-4D91-9C0F-136F5230DC68}"/>
    <cellStyle name="Style 121 2 5" xfId="15286" xr:uid="{76D2D5AF-B4E3-4A37-99E8-0BDB1AF26080}"/>
    <cellStyle name="Style 121 3" xfId="15287" xr:uid="{2D807967-74CC-461A-9F4D-E1B8B63A889A}"/>
    <cellStyle name="Style 121 4" xfId="15288" xr:uid="{EADD7B1B-1F29-4041-BD35-8EB36A4A6B0E}"/>
    <cellStyle name="Style 121 5" xfId="15289" xr:uid="{2BC70FCE-5F61-479F-8DA0-2F3A000D9E31}"/>
    <cellStyle name="Style 121 6" xfId="15290" xr:uid="{66242F28-A715-4DF2-9296-A38BA6CA99EE}"/>
    <cellStyle name="Style 126" xfId="15291" xr:uid="{C1C2C17D-35C4-476A-B551-722C8C325D37}"/>
    <cellStyle name="Style 126 2" xfId="15292" xr:uid="{F598C09E-881C-492D-AA10-E4FCFFE87B57}"/>
    <cellStyle name="Style 126 2 2" xfId="15293" xr:uid="{D26356AE-80D1-4BEB-A30E-7E540CBD6F04}"/>
    <cellStyle name="Style 126 2 3" xfId="15294" xr:uid="{0A1BF648-35FA-47C3-9AF0-5DC292CF3117}"/>
    <cellStyle name="Style 126 2 4" xfId="15295" xr:uid="{4BEB5BDC-D7AB-460A-840A-6D636B4CEF56}"/>
    <cellStyle name="Style 126 2 5" xfId="15296" xr:uid="{94403F84-91B6-4871-BAE3-267BA83C781F}"/>
    <cellStyle name="Style 126 3" xfId="15297" xr:uid="{E86E37F1-A3A0-4334-901C-31C40D2EA6F0}"/>
    <cellStyle name="Style 126 3 2" xfId="15298" xr:uid="{E5F0B691-6BF1-4A26-893A-7D3408E76BF3}"/>
    <cellStyle name="Style 126 3 3" xfId="15299" xr:uid="{13254A2F-2913-4398-B5DE-D61BCA6CC811}"/>
    <cellStyle name="Style 126 3 4" xfId="15300" xr:uid="{5A6D4390-1633-4202-A157-48A5B2ECCC3F}"/>
    <cellStyle name="Style 126 3 5" xfId="15301" xr:uid="{25C916C1-B978-4499-93E5-3593FE7B2924}"/>
    <cellStyle name="Style 126 4" xfId="15302" xr:uid="{C73816C9-367F-4019-A1CE-D6838A14AF63}"/>
    <cellStyle name="Style 126 5" xfId="15303" xr:uid="{7D9A23FC-D8DB-419B-A798-5FD8A7EA2D3D}"/>
    <cellStyle name="Style 126 6" xfId="15304" xr:uid="{4895E891-6A66-4D60-92F4-4C02CFC4BDB5}"/>
    <cellStyle name="Style 126 7" xfId="15305" xr:uid="{10421A5A-C5F3-44AD-8E21-8A98E5800EDB}"/>
    <cellStyle name="Style 127" xfId="15306" xr:uid="{5B8350A9-1DDA-4181-9042-F40BBF106E54}"/>
    <cellStyle name="Style 127 2" xfId="15307" xr:uid="{ECBC45C8-4EA8-4574-BEB9-2E172734B388}"/>
    <cellStyle name="Style 127 2 2" xfId="15308" xr:uid="{4EC79AFF-36B8-469A-8DD5-037CA8AF6AAB}"/>
    <cellStyle name="Style 127 2 3" xfId="15309" xr:uid="{6AEDDEC8-11A6-4DD8-837D-487443CB104C}"/>
    <cellStyle name="Style 127 2 4" xfId="15310" xr:uid="{552CD690-F706-40E6-A07D-F828BA1A30FB}"/>
    <cellStyle name="Style 127 2 5" xfId="15311" xr:uid="{7604672E-8A21-45AE-9DEC-DBAF4D30EA95}"/>
    <cellStyle name="Style 127 3" xfId="15312" xr:uid="{FFE16013-9818-4B71-BE7B-B12DD2049BE2}"/>
    <cellStyle name="Style 127 4" xfId="15313" xr:uid="{424141E9-3A94-488E-81A7-A445C5FBF790}"/>
    <cellStyle name="Style 127 5" xfId="15314" xr:uid="{B6B2910E-BF0C-4528-94C7-0E92204FBF16}"/>
    <cellStyle name="Style 127 6" xfId="15315" xr:uid="{A5A6AD06-5EC6-4EF6-832A-D037FCCE7A71}"/>
    <cellStyle name="Style 128" xfId="15316" xr:uid="{AD8A6884-E69B-4436-BB37-DDC2E6CF0782}"/>
    <cellStyle name="Style 128 2" xfId="15317" xr:uid="{5E862B85-0F93-4599-8783-80AED85B95A5}"/>
    <cellStyle name="Style 128 2 2" xfId="15318" xr:uid="{6BA0FADE-2341-4E08-8D10-01FD7D4A7331}"/>
    <cellStyle name="Style 128 2 3" xfId="15319" xr:uid="{01958A15-3152-4E39-B1A4-75B4F3C3F7C2}"/>
    <cellStyle name="Style 128 2 4" xfId="15320" xr:uid="{E2C76C53-BBAB-4856-8E56-3CCF09E2CA3D}"/>
    <cellStyle name="Style 128 2 5" xfId="15321" xr:uid="{B386B8E9-14D5-4284-A717-930071006229}"/>
    <cellStyle name="Style 128 3" xfId="15322" xr:uid="{C0B5A58A-BBB7-4A7C-85FE-0FE863E1BFB0}"/>
    <cellStyle name="Style 128 4" xfId="15323" xr:uid="{0557496C-CF9D-42F9-8F84-542748FBEDE0}"/>
    <cellStyle name="Style 128 5" xfId="15324" xr:uid="{F957E754-78D6-4AFD-8651-163F62BEBE47}"/>
    <cellStyle name="Style 128 6" xfId="15325" xr:uid="{2EE8C3FA-B2C0-4128-8874-977A464710B3}"/>
    <cellStyle name="Style 129" xfId="15326" xr:uid="{9E24772C-6C8E-4F10-B5C3-5159803A1F95}"/>
    <cellStyle name="Style 129 2" xfId="15327" xr:uid="{4B05E29A-C9CC-44AC-9C77-CE2313C3DFB2}"/>
    <cellStyle name="Style 129 2 2" xfId="15328" xr:uid="{84DD2260-C002-4F40-8271-3B0ED48B0FB1}"/>
    <cellStyle name="Style 129 2 3" xfId="15329" xr:uid="{DF192458-7D77-475D-B322-38F571E04D6A}"/>
    <cellStyle name="Style 129 2 4" xfId="15330" xr:uid="{039ED225-B3C8-4E25-BE0B-02315FBC8FCD}"/>
    <cellStyle name="Style 129 2 5" xfId="15331" xr:uid="{8F4FCEC9-9B3D-41A7-AD5A-447CDC84EDEB}"/>
    <cellStyle name="Style 129 3" xfId="15332" xr:uid="{58CC8268-B0EB-41DC-8DFB-4986AD070905}"/>
    <cellStyle name="Style 129 4" xfId="15333" xr:uid="{7531FA47-5A30-4E49-AD60-9DD7C4FACC8A}"/>
    <cellStyle name="Style 129 5" xfId="15334" xr:uid="{C7B14E29-EAF0-4A93-BF5E-4A2500C867E8}"/>
    <cellStyle name="Style 129 6" xfId="15335" xr:uid="{1D1AF169-8611-42DE-9300-6F7706E57BB9}"/>
    <cellStyle name="Style 130" xfId="15336" xr:uid="{B2EB726A-DA9E-42C4-8EAD-5DF31DEF9CB5}"/>
    <cellStyle name="Style 130 2" xfId="15337" xr:uid="{1D6D2383-B44F-4D39-900E-DEC0FD933200}"/>
    <cellStyle name="Style 130 2 2" xfId="15338" xr:uid="{FEFD5772-78AA-4DDC-8D62-844E8D03C7C3}"/>
    <cellStyle name="Style 130 2 3" xfId="15339" xr:uid="{EE005763-9125-4026-A900-3C1F87D48029}"/>
    <cellStyle name="Style 130 2 4" xfId="15340" xr:uid="{C8B4DE9E-0DE9-4EF9-829C-D21BAD8F9032}"/>
    <cellStyle name="Style 130 2 5" xfId="15341" xr:uid="{6C67EA30-B14F-4351-A7C9-BE5A18E805AC}"/>
    <cellStyle name="Style 130 3" xfId="15342" xr:uid="{1ABE2FE3-11FE-4FFA-9E22-A0A9243D0F49}"/>
    <cellStyle name="Style 130 3 2" xfId="15343" xr:uid="{0F0018B2-65DE-47D0-A981-D9CE49695A1B}"/>
    <cellStyle name="Style 130 3 3" xfId="15344" xr:uid="{AF615071-A829-4B77-86A4-F529FB223396}"/>
    <cellStyle name="Style 130 3 4" xfId="15345" xr:uid="{02E52EE3-3CCC-4791-B0E3-20843B6F714C}"/>
    <cellStyle name="Style 130 3 5" xfId="15346" xr:uid="{2EE84150-D83C-4E63-877C-3F0BC46379EA}"/>
    <cellStyle name="Style 130 4" xfId="15347" xr:uid="{087BD523-AD50-46CB-A82E-CE76DF59AFD3}"/>
    <cellStyle name="Style 130 5" xfId="15348" xr:uid="{2C22F1CA-464C-45F9-88EF-46C4F2CE4FEE}"/>
    <cellStyle name="Style 130 6" xfId="15349" xr:uid="{8255AB9D-6E6D-49AA-ABBA-09DFD7EC57AE}"/>
    <cellStyle name="Style 130 7" xfId="15350" xr:uid="{DA8E275C-BB5C-4D7A-8F70-7CEAF2D23E24}"/>
    <cellStyle name="Style 131" xfId="15351" xr:uid="{64A238CD-2126-48E2-959F-91B933F90021}"/>
    <cellStyle name="Style 131 2" xfId="15352" xr:uid="{FC2E6EC8-7866-4117-A5C1-400AB093ADA9}"/>
    <cellStyle name="Style 131 2 2" xfId="15353" xr:uid="{BEFE56DF-21A0-445F-9A10-1E6B49A78E7F}"/>
    <cellStyle name="Style 131 2 3" xfId="15354" xr:uid="{2B7A878F-0A67-44A0-B831-8D71BDE85C77}"/>
    <cellStyle name="Style 131 2 4" xfId="15355" xr:uid="{23597874-465E-45F4-8CFC-3C4547541C23}"/>
    <cellStyle name="Style 131 2 5" xfId="15356" xr:uid="{95245AB1-C5A9-4767-AF29-A031E89E30EF}"/>
    <cellStyle name="Style 131 3" xfId="15357" xr:uid="{89B3A554-DC8B-4134-AEF7-5038DE191AA4}"/>
    <cellStyle name="Style 131 4" xfId="15358" xr:uid="{9565DE4D-016D-4F89-8667-7986E9A1914C}"/>
    <cellStyle name="Style 131 5" xfId="15359" xr:uid="{A030CA27-DD53-4C43-9570-930FF06F2F31}"/>
    <cellStyle name="Style 131 6" xfId="15360" xr:uid="{BFFEEA0C-AD7D-4B14-89C6-D08795DFEBDA}"/>
    <cellStyle name="Style 132" xfId="15361" xr:uid="{25B43BCE-2498-4C01-BF9E-558C841BD97A}"/>
    <cellStyle name="Style 132 2" xfId="15362" xr:uid="{8A0E12DE-CE31-493C-99C2-D47BF5600375}"/>
    <cellStyle name="Style 132 2 2" xfId="15363" xr:uid="{B4A3618F-B0B7-4DEF-A37B-482CD0568D19}"/>
    <cellStyle name="Style 132 2 3" xfId="15364" xr:uid="{92F2AA38-35AA-4F3A-8C21-B1E60DB4B3F1}"/>
    <cellStyle name="Style 132 2 4" xfId="15365" xr:uid="{03C1FC75-7488-4F89-99EE-C0D1F6CEF1A5}"/>
    <cellStyle name="Style 132 2 5" xfId="15366" xr:uid="{CCC15B5F-A50F-4867-A732-B0B43F964AF1}"/>
    <cellStyle name="Style 132 3" xfId="15367" xr:uid="{61C5829B-CB19-4DAF-836E-E0A458C517B5}"/>
    <cellStyle name="Style 132 4" xfId="15368" xr:uid="{88B2A33E-B79A-4A9E-BEA3-20945904A7E9}"/>
    <cellStyle name="Style 132 5" xfId="15369" xr:uid="{4D91084E-3760-4D49-823F-8CEBA571E4CA}"/>
    <cellStyle name="Style 132 6" xfId="15370" xr:uid="{33AEA45D-8019-4CC7-9E92-9EBC6E2BED20}"/>
    <cellStyle name="Style 137" xfId="15371" xr:uid="{72432026-AE1D-4BF1-BC63-B191A888F6D4}"/>
    <cellStyle name="Style 137 2" xfId="15372" xr:uid="{980BF80A-9260-49B8-990F-9AB0643DF0D4}"/>
    <cellStyle name="Style 137 2 2" xfId="15373" xr:uid="{AF1612D2-9B90-4395-8F51-DBDE838D1855}"/>
    <cellStyle name="Style 137 2 3" xfId="15374" xr:uid="{16D3D956-1DD9-4A97-8276-72F80ACF73B2}"/>
    <cellStyle name="Style 137 2 4" xfId="15375" xr:uid="{D0740704-7D57-49DF-965E-69F0DA2E65E6}"/>
    <cellStyle name="Style 137 2 5" xfId="15376" xr:uid="{D4AD95E4-F488-415F-AD6D-804F4F7AA362}"/>
    <cellStyle name="Style 137 3" xfId="15377" xr:uid="{B6908D32-7699-4752-BD20-5DD3807D18B9}"/>
    <cellStyle name="Style 137 3 2" xfId="15378" xr:uid="{225BEC43-0651-41D4-A28C-B2D4D919901C}"/>
    <cellStyle name="Style 137 3 3" xfId="15379" xr:uid="{65D00A4D-C0F2-4EFD-B07E-B42C1C4B5708}"/>
    <cellStyle name="Style 137 3 4" xfId="15380" xr:uid="{A4C81C59-8E30-49B9-A8FD-E8E42FDEA26C}"/>
    <cellStyle name="Style 137 3 5" xfId="15381" xr:uid="{1AD351C7-8AF9-437E-934E-F379474B59D1}"/>
    <cellStyle name="Style 137 4" xfId="15382" xr:uid="{A7EE2871-F76D-46B1-946E-D9AD288FCADC}"/>
    <cellStyle name="Style 137 5" xfId="15383" xr:uid="{0B54D20B-0EBB-47CF-89A0-0E7F0D305720}"/>
    <cellStyle name="Style 137 6" xfId="15384" xr:uid="{FA24935D-2997-49F6-9C36-92EF0393E655}"/>
    <cellStyle name="Style 137 7" xfId="15385" xr:uid="{B8D27738-2C37-4258-9B56-D387E2A0B705}"/>
    <cellStyle name="Style 138" xfId="15386" xr:uid="{EFBEF86F-EC90-40B8-8529-0157464CAF04}"/>
    <cellStyle name="Style 138 2" xfId="15387" xr:uid="{CD9D4983-30BC-44B9-BAD4-58E89EBD147D}"/>
    <cellStyle name="Style 138 2 2" xfId="15388" xr:uid="{AFDFB05C-4461-4A05-ADF9-8672D4110D23}"/>
    <cellStyle name="Style 138 2 3" xfId="15389" xr:uid="{1BEBC26F-7195-4769-99AF-D7D34FD5F845}"/>
    <cellStyle name="Style 138 2 4" xfId="15390" xr:uid="{77481D83-9121-4B2D-A5EF-8C2A041142B5}"/>
    <cellStyle name="Style 138 2 5" xfId="15391" xr:uid="{0847D33F-88F0-4F9C-AF24-A3F6CF576E88}"/>
    <cellStyle name="Style 138 3" xfId="15392" xr:uid="{8DE07016-04F8-4313-9D09-2DA60653F993}"/>
    <cellStyle name="Style 138 4" xfId="15393" xr:uid="{0A10411E-8982-4E6F-B4E8-816DAFC01E16}"/>
    <cellStyle name="Style 138 5" xfId="15394" xr:uid="{B528DD39-316E-4184-A3F9-D821E9DD137F}"/>
    <cellStyle name="Style 138 6" xfId="15395" xr:uid="{722EB418-B5BB-4874-A442-D6B74FB78945}"/>
    <cellStyle name="Style 139" xfId="15396" xr:uid="{A012D16C-1224-4612-A58D-AD145BF603A9}"/>
    <cellStyle name="Style 139 2" xfId="15397" xr:uid="{F6B1ABB7-3D00-4093-BE44-C88AC0F33E8A}"/>
    <cellStyle name="Style 139 2 2" xfId="15398" xr:uid="{26097405-2A54-4B03-AAA4-9E3B4BA226E6}"/>
    <cellStyle name="Style 139 2 3" xfId="15399" xr:uid="{31808F1D-1360-4225-99B7-BEBFD8A663D2}"/>
    <cellStyle name="Style 139 2 4" xfId="15400" xr:uid="{D688324E-7E1B-402B-881E-C13A3F6B1D1D}"/>
    <cellStyle name="Style 139 2 5" xfId="15401" xr:uid="{78BC7ACD-76B6-4BDD-AE9A-794074515CD4}"/>
    <cellStyle name="Style 139 3" xfId="15402" xr:uid="{4F74EE66-9950-4A0E-915D-C22022BDB52B}"/>
    <cellStyle name="Style 139 4" xfId="15403" xr:uid="{DF06C7EF-ECEB-4C87-8EAA-1E2D82EB37B8}"/>
    <cellStyle name="Style 139 5" xfId="15404" xr:uid="{E226B038-8F5A-4419-8EA0-F390C4E7D792}"/>
    <cellStyle name="Style 139 6" xfId="15405" xr:uid="{DE2F07E8-3831-428E-83D1-377079FC1CB3}"/>
    <cellStyle name="Style 140" xfId="15406" xr:uid="{12D9818B-477F-41F7-9DA1-48B01F375E53}"/>
    <cellStyle name="Style 140 2" xfId="15407" xr:uid="{6BED148C-9E48-429C-8B0D-02F3B9549362}"/>
    <cellStyle name="Style 140 2 2" xfId="15408" xr:uid="{5FEEFE5B-131F-4C49-AACD-A406E5D5D9B0}"/>
    <cellStyle name="Style 140 2 3" xfId="15409" xr:uid="{C5CECB55-B4A4-4F41-8CEF-8E0B56341ACC}"/>
    <cellStyle name="Style 140 2 4" xfId="15410" xr:uid="{6BF8898C-0141-4BE8-A8C0-31077C46AF80}"/>
    <cellStyle name="Style 140 2 5" xfId="15411" xr:uid="{B8887E33-6922-42CD-ADF3-8F56417C691F}"/>
    <cellStyle name="Style 140 3" xfId="15412" xr:uid="{F39B8591-8852-495E-BF64-D9813D19206F}"/>
    <cellStyle name="Style 140 4" xfId="15413" xr:uid="{9AA1FF03-D2D3-4F22-B80F-EA432891FA44}"/>
    <cellStyle name="Style 140 5" xfId="15414" xr:uid="{3AFCF9CF-4402-4FB5-B809-AE1B0A8E2749}"/>
    <cellStyle name="Style 140 6" xfId="15415" xr:uid="{AA1B22F2-0ABB-485A-98AF-D41BF1242B3A}"/>
    <cellStyle name="Style 141" xfId="15416" xr:uid="{5831C84A-F3CF-460A-A1BB-4C00F66E52A0}"/>
    <cellStyle name="Style 141 2" xfId="15417" xr:uid="{71760800-FEE2-4B30-8EA4-F2F601F83FCE}"/>
    <cellStyle name="Style 141 2 2" xfId="15418" xr:uid="{7DA2B90E-6504-437C-A54A-D8165A3DB674}"/>
    <cellStyle name="Style 141 2 3" xfId="15419" xr:uid="{8675FFAF-D3A3-44E7-8F98-1D9C279DB871}"/>
    <cellStyle name="Style 141 2 4" xfId="15420" xr:uid="{603EA1D1-649A-4C32-A005-69A0EADDA6EE}"/>
    <cellStyle name="Style 141 2 5" xfId="15421" xr:uid="{D97AF4BD-BC22-454A-A3F0-ADD1847543B4}"/>
    <cellStyle name="Style 141 3" xfId="15422" xr:uid="{DF032959-C43F-4B77-A96A-A1893CF4079D}"/>
    <cellStyle name="Style 141 3 2" xfId="15423" xr:uid="{046DF2B9-4912-4FD2-AD45-3AFD85058DE6}"/>
    <cellStyle name="Style 141 3 3" xfId="15424" xr:uid="{07BEE474-FF52-4D8E-BD61-499FE2A0CE26}"/>
    <cellStyle name="Style 141 3 4" xfId="15425" xr:uid="{EE664AAE-692E-437C-98A0-DE8792E94196}"/>
    <cellStyle name="Style 141 3 5" xfId="15426" xr:uid="{A34ADE95-4763-414A-B237-D6CAB2F480C6}"/>
    <cellStyle name="Style 141 4" xfId="15427" xr:uid="{E34C2A93-E7E2-427B-89E3-A133BE2547F8}"/>
    <cellStyle name="Style 141 5" xfId="15428" xr:uid="{8571BFD7-18D9-464C-ADB4-CA3995E0CCB3}"/>
    <cellStyle name="Style 141 6" xfId="15429" xr:uid="{AEA79BC7-0A16-47DF-A44E-3812D084F4AC}"/>
    <cellStyle name="Style 141 7" xfId="15430" xr:uid="{C1F5F02D-7794-42F5-857F-71E4FE4A659E}"/>
    <cellStyle name="Style 142" xfId="15431" xr:uid="{880226EF-4057-40AE-AA52-891A2F9F2703}"/>
    <cellStyle name="Style 142 2" xfId="15432" xr:uid="{8B4FB154-3E72-4732-9674-F476AF8FFEE7}"/>
    <cellStyle name="Style 142 2 2" xfId="15433" xr:uid="{A43343B8-CF09-42C6-8F93-2F26AA7AA020}"/>
    <cellStyle name="Style 142 2 3" xfId="15434" xr:uid="{1BDFDFCC-19FD-4718-906F-80D37A2A663F}"/>
    <cellStyle name="Style 142 2 4" xfId="15435" xr:uid="{2ABFB70F-305C-4708-BF92-AEFB4BB73252}"/>
    <cellStyle name="Style 142 2 5" xfId="15436" xr:uid="{39D1DCD3-9C7D-4836-B000-C525369EA27B}"/>
    <cellStyle name="Style 142 3" xfId="15437" xr:uid="{92A0AD17-ACA6-4BEA-B3CD-FDEAE7A5B131}"/>
    <cellStyle name="Style 142 4" xfId="15438" xr:uid="{6C315120-5A83-4C1C-8692-3973D9F2C5CD}"/>
    <cellStyle name="Style 142 5" xfId="15439" xr:uid="{8B14CF23-96EF-47B4-94BD-B353C52D03F6}"/>
    <cellStyle name="Style 142 6" xfId="15440" xr:uid="{199C825C-DB50-45A3-B631-E8468EC3CE1D}"/>
    <cellStyle name="Style 143" xfId="15441" xr:uid="{5E530E1B-883D-4FE0-8F6A-D0C5D156BF0C}"/>
    <cellStyle name="Style 143 2" xfId="15442" xr:uid="{7BAB857F-5BC0-44AB-A34D-2AFB944DE8DE}"/>
    <cellStyle name="Style 143 2 2" xfId="15443" xr:uid="{A0CFCFA7-E5B7-40C1-8FFA-CE843892818A}"/>
    <cellStyle name="Style 143 2 3" xfId="15444" xr:uid="{204A1108-2B18-4456-8A5F-C541C330FEED}"/>
    <cellStyle name="Style 143 2 4" xfId="15445" xr:uid="{519DA718-D773-4223-A9EA-8D2B4B84F585}"/>
    <cellStyle name="Style 143 2 5" xfId="15446" xr:uid="{5FF20011-5BF1-4468-A25E-029446E2EFBE}"/>
    <cellStyle name="Style 143 3" xfId="15447" xr:uid="{31D304A4-C410-4F36-A4D9-1911BA70223F}"/>
    <cellStyle name="Style 143 4" xfId="15448" xr:uid="{1A1B2F7C-2100-4AEC-B181-80661A5F1598}"/>
    <cellStyle name="Style 143 5" xfId="15449" xr:uid="{8856DFC2-6EDC-4997-8319-112CAC964336}"/>
    <cellStyle name="Style 143 6" xfId="15450" xr:uid="{07B61D4D-95B3-411C-87E8-F6525810D2BB}"/>
    <cellStyle name="Style 148" xfId="15451" xr:uid="{17865EF7-ADD6-4201-BF23-F725464FC938}"/>
    <cellStyle name="Style 148 2" xfId="15452" xr:uid="{18460D6C-B239-476D-948F-4035B6990E4E}"/>
    <cellStyle name="Style 148 2 2" xfId="15453" xr:uid="{83621ACD-7B41-41CC-8D58-5DEF57BF3D2C}"/>
    <cellStyle name="Style 148 2 3" xfId="15454" xr:uid="{AF56EEEB-94B7-4090-9D65-52528AED3A19}"/>
    <cellStyle name="Style 148 2 4" xfId="15455" xr:uid="{91E290C0-871F-4469-9B8D-1D7E19860C51}"/>
    <cellStyle name="Style 148 2 5" xfId="15456" xr:uid="{AB992D5E-C124-462A-BF7F-252E8D15273F}"/>
    <cellStyle name="Style 148 3" xfId="15457" xr:uid="{79533267-5B23-410E-A936-4FF45FAB996B}"/>
    <cellStyle name="Style 148 3 2" xfId="15458" xr:uid="{5F25C20E-9E74-4C86-853E-EB58FFD32683}"/>
    <cellStyle name="Style 148 3 3" xfId="15459" xr:uid="{3133B767-B58E-4072-A8DF-E03B21733AEB}"/>
    <cellStyle name="Style 148 3 4" xfId="15460" xr:uid="{558C30C3-EF2C-492F-8191-CB4208555720}"/>
    <cellStyle name="Style 148 3 5" xfId="15461" xr:uid="{4EF173A6-6BCC-4592-946F-FD10D8666CBF}"/>
    <cellStyle name="Style 148 4" xfId="15462" xr:uid="{6AB8B3EA-C133-4727-AFED-035044570F2A}"/>
    <cellStyle name="Style 148 5" xfId="15463" xr:uid="{B2D4143F-4ECB-49E0-8184-00EC5A7A50B2}"/>
    <cellStyle name="Style 148 6" xfId="15464" xr:uid="{DF3357F2-96CF-418E-9597-EC465920B787}"/>
    <cellStyle name="Style 148 7" xfId="15465" xr:uid="{FECA1081-140D-4EEE-87D0-27F44FF0FA83}"/>
    <cellStyle name="Style 149" xfId="15466" xr:uid="{2CE688D8-F26C-49D1-AC01-AF6DCA08904D}"/>
    <cellStyle name="Style 149 2" xfId="15467" xr:uid="{7BC25F92-4ADF-4582-9AEB-7A3CC5BB84CF}"/>
    <cellStyle name="Style 149 2 2" xfId="15468" xr:uid="{6543558B-A6A2-4B76-8BBB-1998CF4A1F2E}"/>
    <cellStyle name="Style 149 2 3" xfId="15469" xr:uid="{D71CBE8A-037A-46DC-B64C-F1C6075B6C97}"/>
    <cellStyle name="Style 149 2 4" xfId="15470" xr:uid="{B0CD9A66-09C4-4F2B-BA82-5C6F01762B8A}"/>
    <cellStyle name="Style 149 2 5" xfId="15471" xr:uid="{EA15B2CA-E64E-4EEA-A8A1-3E000DDB5DBC}"/>
    <cellStyle name="Style 149 3" xfId="15472" xr:uid="{C716DD4B-218F-400A-A91B-61594E91BA87}"/>
    <cellStyle name="Style 149 4" xfId="15473" xr:uid="{B32B34B0-F628-4C3C-8415-6879813949E2}"/>
    <cellStyle name="Style 149 5" xfId="15474" xr:uid="{B649BCE3-FB97-4073-B17F-10F24645E4AB}"/>
    <cellStyle name="Style 149 6" xfId="15475" xr:uid="{9F5255B2-5CD3-4F81-9D75-7800CC30095A}"/>
    <cellStyle name="Style 150" xfId="15476" xr:uid="{4B3B5463-42C3-411D-9F11-D8263E41CBB0}"/>
    <cellStyle name="Style 150 2" xfId="15477" xr:uid="{BE3EB701-CB49-4FB5-9760-918C3A9E7DEE}"/>
    <cellStyle name="Style 150 2 2" xfId="15478" xr:uid="{2910CF6A-2447-4F14-AECD-2FD92545C3B4}"/>
    <cellStyle name="Style 150 2 3" xfId="15479" xr:uid="{F643D896-D111-4AFE-AD29-C7EC256227DA}"/>
    <cellStyle name="Style 150 2 4" xfId="15480" xr:uid="{FEF6EFB9-D78C-4888-90D0-E1F6AAFED32C}"/>
    <cellStyle name="Style 150 2 5" xfId="15481" xr:uid="{3B38F294-E251-450F-B2FA-C910D87DD8B1}"/>
    <cellStyle name="Style 150 3" xfId="15482" xr:uid="{CEF5CAD9-7992-4841-AAA4-A6E5E9C28587}"/>
    <cellStyle name="Style 150 4" xfId="15483" xr:uid="{90639550-9681-4375-8B7F-97A28794E783}"/>
    <cellStyle name="Style 150 5" xfId="15484" xr:uid="{3A2A13B1-978B-4379-9D31-C10652D21B7A}"/>
    <cellStyle name="Style 150 6" xfId="15485" xr:uid="{A24DF223-4205-4330-A573-F26815040B03}"/>
    <cellStyle name="Style 151" xfId="15486" xr:uid="{0F7DA58F-65BB-47B3-A027-CD34F15AA84D}"/>
    <cellStyle name="Style 151 2" xfId="15487" xr:uid="{5A73FC1B-A647-4EF8-9D6F-E75291637BDE}"/>
    <cellStyle name="Style 151 2 2" xfId="15488" xr:uid="{36A5F1F9-C648-4F44-9C29-47DB8E6CEF4C}"/>
    <cellStyle name="Style 151 2 3" xfId="15489" xr:uid="{B3A98678-F8D6-4400-B01B-435695EE7D3E}"/>
    <cellStyle name="Style 151 2 4" xfId="15490" xr:uid="{A0C22820-CDB1-4CAF-B755-58034F6FF8C1}"/>
    <cellStyle name="Style 151 2 5" xfId="15491" xr:uid="{681E8705-3B90-4BF5-94E3-E8F44CAF1ADB}"/>
    <cellStyle name="Style 151 3" xfId="15492" xr:uid="{02EE5851-450A-4C74-A011-0F98D5024876}"/>
    <cellStyle name="Style 151 4" xfId="15493" xr:uid="{E18D2A75-211F-4FDD-B61C-4D4CA204B1A4}"/>
    <cellStyle name="Style 151 5" xfId="15494" xr:uid="{5B5C4D2E-27FA-452E-8B34-67E26AB54790}"/>
    <cellStyle name="Style 151 6" xfId="15495" xr:uid="{267341D9-E39F-4DBC-B3E4-7695D2A290AF}"/>
    <cellStyle name="Style 152" xfId="15496" xr:uid="{DA4FC8A4-590C-4E3A-8D34-8EB47C6D922D}"/>
    <cellStyle name="Style 152 2" xfId="15497" xr:uid="{C975FE92-7483-41FB-A702-849DE5F79875}"/>
    <cellStyle name="Style 152 2 2" xfId="15498" xr:uid="{1F6A7E9B-B4B1-4296-95A1-655BD442D5FD}"/>
    <cellStyle name="Style 152 2 3" xfId="15499" xr:uid="{1751E7BF-64C4-473A-BAA8-CB1FFD033E0A}"/>
    <cellStyle name="Style 152 2 4" xfId="15500" xr:uid="{A1D1C6DB-D611-4D0C-8A5F-561FA2507338}"/>
    <cellStyle name="Style 152 2 5" xfId="15501" xr:uid="{4F3E96B3-C3AC-4538-8F4B-B983E5122EC3}"/>
    <cellStyle name="Style 152 3" xfId="15502" xr:uid="{4F2DAB8E-EDC7-492B-962D-51FE3108A4E4}"/>
    <cellStyle name="Style 152 3 2" xfId="15503" xr:uid="{3159C1E2-502C-4EF8-B0DB-1A90D65E688A}"/>
    <cellStyle name="Style 152 3 3" xfId="15504" xr:uid="{F2FBBF9F-C201-4FD4-AD43-0D8DD200E687}"/>
    <cellStyle name="Style 152 3 4" xfId="15505" xr:uid="{8283EA9D-C5F6-4D98-BDF5-480416CEEA38}"/>
    <cellStyle name="Style 152 3 5" xfId="15506" xr:uid="{C71D4E0F-CE08-49A5-9344-21E052329D57}"/>
    <cellStyle name="Style 152 4" xfId="15507" xr:uid="{54C7524A-FEE0-4A76-B032-0F8C20263759}"/>
    <cellStyle name="Style 152 5" xfId="15508" xr:uid="{AC645D95-F435-435D-81A4-72F7A68CC01C}"/>
    <cellStyle name="Style 152 6" xfId="15509" xr:uid="{6975831A-8E26-4A1E-BB04-8C59A1CB833E}"/>
    <cellStyle name="Style 152 7" xfId="15510" xr:uid="{D1C46BF6-2BD8-4046-8FDE-D8B52C2111C8}"/>
    <cellStyle name="Style 153" xfId="15511" xr:uid="{545E0536-48B4-4722-B609-C11C7AB1AE99}"/>
    <cellStyle name="Style 153 2" xfId="15512" xr:uid="{5138F16A-1523-4795-9E2B-43A1D6111A0C}"/>
    <cellStyle name="Style 153 2 2" xfId="15513" xr:uid="{3A56E02D-CEDF-47D0-BC1F-D7F2E9481BC3}"/>
    <cellStyle name="Style 153 2 3" xfId="15514" xr:uid="{04F26AC9-5077-4E5F-8D58-528AF1697D57}"/>
    <cellStyle name="Style 153 2 4" xfId="15515" xr:uid="{115CE098-D068-44F3-9B14-E304CF00BF25}"/>
    <cellStyle name="Style 153 2 5" xfId="15516" xr:uid="{29FD42BC-A99F-40AE-B8EA-B050D1F66FB5}"/>
    <cellStyle name="Style 153 3" xfId="15517" xr:uid="{E71C43CB-93BB-4B66-8250-096F1BD4E7D7}"/>
    <cellStyle name="Style 153 4" xfId="15518" xr:uid="{0DC0E324-7700-49DC-950D-EA65705808F2}"/>
    <cellStyle name="Style 153 5" xfId="15519" xr:uid="{132D0099-3F81-48E5-96A0-555B10DA8407}"/>
    <cellStyle name="Style 153 6" xfId="15520" xr:uid="{62BBAF0F-C4BD-42CE-9125-81D9BBC6BCD2}"/>
    <cellStyle name="Style 154" xfId="15521" xr:uid="{AA3D9804-99C0-4C51-8C28-60C0B79946C3}"/>
    <cellStyle name="Style 154 2" xfId="15522" xr:uid="{95CEC4D0-088B-42EF-8AD2-ABF9AF67F69B}"/>
    <cellStyle name="Style 154 2 2" xfId="15523" xr:uid="{86A83526-EA50-4A0E-8010-163A1F3B72E5}"/>
    <cellStyle name="Style 154 2 3" xfId="15524" xr:uid="{71556C51-FF5C-4971-85C0-48F65D98890B}"/>
    <cellStyle name="Style 154 2 4" xfId="15525" xr:uid="{7A3C3254-3BD9-4B61-98E8-E33A59E885AC}"/>
    <cellStyle name="Style 154 2 5" xfId="15526" xr:uid="{9869C670-27E2-4C46-9D04-B6A0BC6EA716}"/>
    <cellStyle name="Style 154 3" xfId="15527" xr:uid="{B6B5D223-82D7-4382-98F5-C8331DA8D357}"/>
    <cellStyle name="Style 154 4" xfId="15528" xr:uid="{256A7853-AC73-4763-8433-6962266319AE}"/>
    <cellStyle name="Style 154 5" xfId="15529" xr:uid="{C9E378C7-4AB1-42BD-AC76-203A220F7170}"/>
    <cellStyle name="Style 154 6" xfId="15530" xr:uid="{D858BCE8-D5DF-4B96-A3CA-4053D9737E95}"/>
    <cellStyle name="Style 159" xfId="15531" xr:uid="{28B45E3C-06FE-498D-91F1-BAD09AFCAA79}"/>
    <cellStyle name="Style 159 2" xfId="15532" xr:uid="{A0E4B8AB-B619-48DC-8CCF-7A7E69B1BA6B}"/>
    <cellStyle name="Style 159 2 2" xfId="15533" xr:uid="{4273B492-35DC-4E5B-B53F-478C1FE56487}"/>
    <cellStyle name="Style 159 2 3" xfId="15534" xr:uid="{F65C7E6D-5696-408C-A67F-6FAC818CF712}"/>
    <cellStyle name="Style 159 2 4" xfId="15535" xr:uid="{865A2C9B-75D4-4F37-ACC8-2C056A6C5283}"/>
    <cellStyle name="Style 159 2 5" xfId="15536" xr:uid="{E8B179D2-CD71-4B1E-8E14-B4744766AEC8}"/>
    <cellStyle name="Style 159 3" xfId="15537" xr:uid="{2B18C1F6-FF3E-422D-9E3C-480DAEA06BC8}"/>
    <cellStyle name="Style 159 3 2" xfId="15538" xr:uid="{F7ACD25E-A0CF-44B6-99EE-60C084E4AF89}"/>
    <cellStyle name="Style 159 3 3" xfId="15539" xr:uid="{AC408BEC-43F1-45B3-9596-0C10E506457F}"/>
    <cellStyle name="Style 159 3 4" xfId="15540" xr:uid="{D439A0E9-D384-493D-AF4E-1CF58AD665B9}"/>
    <cellStyle name="Style 159 3 5" xfId="15541" xr:uid="{70CB57AD-36C5-4401-A085-7E4929343AD1}"/>
    <cellStyle name="Style 159 4" xfId="15542" xr:uid="{8B9BB1B1-5DCC-4B48-9371-E691E393D3C2}"/>
    <cellStyle name="Style 159 5" xfId="15543" xr:uid="{ADBBA099-7F02-4DFB-B7C7-619707DD334D}"/>
    <cellStyle name="Style 159 6" xfId="15544" xr:uid="{6CB2E0CB-EEBC-4550-9CF5-2C799E621683}"/>
    <cellStyle name="Style 159 7" xfId="15545" xr:uid="{3E4D7B9A-F59E-4366-BC72-521BFAD9BBB1}"/>
    <cellStyle name="Style 160" xfId="15546" xr:uid="{D97B859D-8298-4555-9755-5B97539D34A3}"/>
    <cellStyle name="Style 160 2" xfId="15547" xr:uid="{37732D9F-1605-4D48-9EB5-44987F094517}"/>
    <cellStyle name="Style 160 2 2" xfId="15548" xr:uid="{A51D3C34-EBEF-46EF-8532-C659A64BD4AC}"/>
    <cellStyle name="Style 160 2 3" xfId="15549" xr:uid="{C5EA41DA-D0FA-4597-B53A-6A22175B5D36}"/>
    <cellStyle name="Style 160 2 4" xfId="15550" xr:uid="{A24C72C3-15C1-4E51-945A-3F08858EFDB1}"/>
    <cellStyle name="Style 160 2 5" xfId="15551" xr:uid="{0571C281-CDF1-4112-8B82-7905394958F4}"/>
    <cellStyle name="Style 160 3" xfId="15552" xr:uid="{08280DE5-A023-48A5-B6F2-903ACA7D95A5}"/>
    <cellStyle name="Style 160 4" xfId="15553" xr:uid="{4323EC73-DB13-4BF2-BB2F-E50AEF242432}"/>
    <cellStyle name="Style 160 5" xfId="15554" xr:uid="{73C74699-6794-456F-9BB9-BC27F1C52569}"/>
    <cellStyle name="Style 160 6" xfId="15555" xr:uid="{37921F4C-76C8-4589-9285-EC34CEEEB54D}"/>
    <cellStyle name="Style 161" xfId="15556" xr:uid="{DBB8B839-6F53-426C-9353-5A67A10B1C5D}"/>
    <cellStyle name="Style 161 2" xfId="15557" xr:uid="{9895CCF4-18C6-4972-81F9-CB427F47050B}"/>
    <cellStyle name="Style 161 2 2" xfId="15558" xr:uid="{B89A312D-5258-47B2-91C1-875153C7B5DE}"/>
    <cellStyle name="Style 161 2 3" xfId="15559" xr:uid="{2AB4F2CA-F874-47F2-92C9-D319CD912FE1}"/>
    <cellStyle name="Style 161 2 4" xfId="15560" xr:uid="{BB652D05-958A-46E9-B13D-643EFBBAE73B}"/>
    <cellStyle name="Style 161 2 5" xfId="15561" xr:uid="{74723928-9976-4A92-B4BC-33F64EA6A3EE}"/>
    <cellStyle name="Style 161 3" xfId="15562" xr:uid="{2E1C7D8D-AD09-4039-B584-F20E6F2A93F8}"/>
    <cellStyle name="Style 161 4" xfId="15563" xr:uid="{A8951697-3D25-4887-90E8-B7274C131D5C}"/>
    <cellStyle name="Style 161 5" xfId="15564" xr:uid="{96412FF9-62B4-4D36-A6E7-9AF89A4C90E5}"/>
    <cellStyle name="Style 161 6" xfId="15565" xr:uid="{1C1B3C41-209A-4C57-BAE6-137620B0252D}"/>
    <cellStyle name="Style 162" xfId="15566" xr:uid="{581208B1-63CD-4925-A438-315648059FF5}"/>
    <cellStyle name="Style 162 2" xfId="15567" xr:uid="{7EC0958C-0A9E-43EE-AEBD-B1BC0136AA95}"/>
    <cellStyle name="Style 162 2 2" xfId="15568" xr:uid="{8774AB49-7289-45BD-8729-6F27BFA026F1}"/>
    <cellStyle name="Style 162 2 3" xfId="15569" xr:uid="{7E8EC05D-1F87-4053-B1D5-C26ECEF7201B}"/>
    <cellStyle name="Style 162 2 4" xfId="15570" xr:uid="{8DCB42D4-8852-4E2A-9382-0838A3BD2BB1}"/>
    <cellStyle name="Style 162 2 5" xfId="15571" xr:uid="{308214C8-2675-4BF2-954B-391CA353E135}"/>
    <cellStyle name="Style 162 3" xfId="15572" xr:uid="{F1B74A13-2DE1-42EE-96F6-7B53D3BE67F8}"/>
    <cellStyle name="Style 162 4" xfId="15573" xr:uid="{1783016B-A25D-4C5B-8693-4D4F90045BFB}"/>
    <cellStyle name="Style 162 5" xfId="15574" xr:uid="{F81D20E2-0492-487A-BEA7-AD6AD323DBE1}"/>
    <cellStyle name="Style 162 6" xfId="15575" xr:uid="{6B731C63-A444-4067-B2D4-89061D6DDB19}"/>
    <cellStyle name="Style 163" xfId="15576" xr:uid="{93AA6E90-6415-43B5-86A4-7BA90EDFED44}"/>
    <cellStyle name="Style 163 2" xfId="15577" xr:uid="{40296181-18EC-4E21-8254-67EA37A286F2}"/>
    <cellStyle name="Style 163 2 2" xfId="15578" xr:uid="{B2C71328-2330-4B2B-82D9-C7A8B409E62F}"/>
    <cellStyle name="Style 163 2 3" xfId="15579" xr:uid="{0075C597-A300-4008-A5A2-07DA51D10F98}"/>
    <cellStyle name="Style 163 2 4" xfId="15580" xr:uid="{0CE1D13E-DDFF-4139-AFFB-4819E329BE00}"/>
    <cellStyle name="Style 163 2 5" xfId="15581" xr:uid="{38DB1EAD-C114-413C-A6B9-615F9DE8EA79}"/>
    <cellStyle name="Style 163 3" xfId="15582" xr:uid="{D9501DF1-B1A9-4D92-9515-EFDB7F12E3CB}"/>
    <cellStyle name="Style 163 3 2" xfId="15583" xr:uid="{E925B1C6-9104-43DA-AD75-8D9866566231}"/>
    <cellStyle name="Style 163 3 3" xfId="15584" xr:uid="{C4A714D6-0BE4-4EBF-922C-04A9D298D19B}"/>
    <cellStyle name="Style 163 3 4" xfId="15585" xr:uid="{AAAA419A-0BFD-4230-BE5A-EC0D8893570E}"/>
    <cellStyle name="Style 163 3 5" xfId="15586" xr:uid="{A179F3FF-1229-4976-90FE-EFCB0B0A2F22}"/>
    <cellStyle name="Style 163 4" xfId="15587" xr:uid="{72278174-1CC7-4CE6-A15C-C8460D1591F3}"/>
    <cellStyle name="Style 163 5" xfId="15588" xr:uid="{87C7D4ED-EFC5-440D-A926-5EFCC49CBA67}"/>
    <cellStyle name="Style 163 6" xfId="15589" xr:uid="{0E3C140B-D545-45B7-96AF-822067A60C61}"/>
    <cellStyle name="Style 163 7" xfId="15590" xr:uid="{220ECD24-7B94-4FD1-AE74-B4B51FBCE5A9}"/>
    <cellStyle name="Style 164" xfId="15591" xr:uid="{D1DE42E2-EDBB-406E-8D0F-068A212E7A9A}"/>
    <cellStyle name="Style 164 2" xfId="15592" xr:uid="{5C9351E2-3DDE-45A6-90FD-613966E693E7}"/>
    <cellStyle name="Style 164 2 2" xfId="15593" xr:uid="{8A6EEB23-BB62-4648-BE63-78A29647F3E3}"/>
    <cellStyle name="Style 164 2 3" xfId="15594" xr:uid="{3CFE5C57-9A28-4076-B73B-F3CF53311A09}"/>
    <cellStyle name="Style 164 2 4" xfId="15595" xr:uid="{F6D2164D-0419-4AF5-B3DB-43818A51BD63}"/>
    <cellStyle name="Style 164 2 5" xfId="15596" xr:uid="{F5576689-BF64-4E9B-AEA8-4094A4C0FA25}"/>
    <cellStyle name="Style 164 3" xfId="15597" xr:uid="{99B5BA75-52FC-4103-A94F-6CA03248E85F}"/>
    <cellStyle name="Style 164 4" xfId="15598" xr:uid="{A187C661-364C-4B9F-B2D5-B748EF95211B}"/>
    <cellStyle name="Style 164 5" xfId="15599" xr:uid="{05D90E95-9608-4E77-9FB4-0F5912589895}"/>
    <cellStyle name="Style 164 6" xfId="15600" xr:uid="{10515C2A-E4BB-4D16-9FFB-CA60ACEBA5CE}"/>
    <cellStyle name="Style 165" xfId="15601" xr:uid="{0A5B235B-40C4-4D64-929E-C19507AEBEE0}"/>
    <cellStyle name="Style 165 2" xfId="15602" xr:uid="{76A91827-BB42-4E6C-B37D-DB3AA29272B2}"/>
    <cellStyle name="Style 165 2 2" xfId="15603" xr:uid="{5FF08BCE-7BBD-4D8E-B1D6-6D21DC12ED21}"/>
    <cellStyle name="Style 165 2 3" xfId="15604" xr:uid="{4CB06A14-3329-4D41-B3F5-34ED5B042BB7}"/>
    <cellStyle name="Style 165 2 4" xfId="15605" xr:uid="{89D64A9B-4308-4685-8A0C-F3643037B61A}"/>
    <cellStyle name="Style 165 2 5" xfId="15606" xr:uid="{D144C5F8-BD60-41D6-BCBB-E5C76EAEEB74}"/>
    <cellStyle name="Style 165 3" xfId="15607" xr:uid="{5B8AE387-ECA7-47D1-A331-6AB1CB7BCFEA}"/>
    <cellStyle name="Style 165 4" xfId="15608" xr:uid="{99A3ED49-437A-4865-99ED-4DE222F74FBD}"/>
    <cellStyle name="Style 165 5" xfId="15609" xr:uid="{765DECB0-C397-4F39-A4B4-F5AB02F94296}"/>
    <cellStyle name="Style 165 6" xfId="15610" xr:uid="{0DFAD1D9-0CFC-4E23-ADBB-20709367C975}"/>
    <cellStyle name="Style 21" xfId="15611" xr:uid="{C9B4ED19-7264-4DDE-B5A3-5FAA689C0CD6}"/>
    <cellStyle name="Style 21 10" xfId="15612" xr:uid="{BCBFF492-4ED5-4177-AD06-82F64127675C}"/>
    <cellStyle name="Style 21 11" xfId="15613" xr:uid="{D6A6C9DD-0848-4AFD-93DC-DA8B85624712}"/>
    <cellStyle name="Style 21 2" xfId="15614" xr:uid="{55B23AE9-F65F-4D90-869E-D570B5CA42A7}"/>
    <cellStyle name="Style 21 2 10" xfId="15615" xr:uid="{F886909C-96CA-4BA6-B2E8-5DB819418FDA}"/>
    <cellStyle name="Style 21 2 2" xfId="15616" xr:uid="{FB3E11C6-12C3-427B-9B10-C079B6DEC3C7}"/>
    <cellStyle name="Style 21 2 2 2" xfId="15617" xr:uid="{DC9BE45B-FFC4-48F3-82B9-ED16C52A01CD}"/>
    <cellStyle name="Style 21 2 2 3" xfId="15618" xr:uid="{9B714F69-4951-4CE5-81EB-9F1C602D95A6}"/>
    <cellStyle name="Style 21 2 2 4" xfId="15619" xr:uid="{91D5292C-E46E-4387-A355-C6BF0A027DD2}"/>
    <cellStyle name="Style 21 2 2 5" xfId="15620" xr:uid="{A58CD7DC-8176-42E9-A8A9-40895DCC968F}"/>
    <cellStyle name="Style 21 2 3" xfId="15621" xr:uid="{A7E22FD4-5D5A-41BB-8B06-F84D053BEF8D}"/>
    <cellStyle name="Style 21 2 3 2" xfId="15622" xr:uid="{9CFA8A77-A611-49D7-AA0E-2066BC3D43B3}"/>
    <cellStyle name="Style 21 2 3 3" xfId="15623" xr:uid="{41FBA70F-7B85-443D-B349-3CA64273D480}"/>
    <cellStyle name="Style 21 2 3 4" xfId="15624" xr:uid="{FBEA97AA-884B-4094-B508-97960951791F}"/>
    <cellStyle name="Style 21 2 3 5" xfId="15625" xr:uid="{233FC2FC-17BD-4CF9-B70E-94E72BC03D9C}"/>
    <cellStyle name="Style 21 2 4" xfId="15626" xr:uid="{1C8175A2-0F6D-4C34-8C0E-425028465AF2}"/>
    <cellStyle name="Style 21 2 5" xfId="15627" xr:uid="{C0CB1239-D544-4F37-99E3-06B59E0D5F54}"/>
    <cellStyle name="Style 21 2 6" xfId="15628" xr:uid="{6CB4E961-896B-4C27-B351-121AA5701723}"/>
    <cellStyle name="Style 21 2 7" xfId="15629" xr:uid="{18291879-9958-4EC9-80B0-56AE680BA5A6}"/>
    <cellStyle name="Style 21 2 8" xfId="15630" xr:uid="{FA91DAC1-9F3A-49AA-9DFC-8E94FC06763F}"/>
    <cellStyle name="Style 21 2 9" xfId="15631" xr:uid="{55962E5E-322B-4445-B65C-CDB12FD7D710}"/>
    <cellStyle name="Style 21 3" xfId="15632" xr:uid="{9BB99348-A926-40EB-8051-B1818CE770E6}"/>
    <cellStyle name="Style 21 3 2" xfId="15633" xr:uid="{BFD99CF2-812C-4F19-AFB5-125219CD6F51}"/>
    <cellStyle name="Style 21 3 2 2" xfId="15634" xr:uid="{E24BED67-F24A-4528-8223-B71E4103B0E4}"/>
    <cellStyle name="Style 21 3 2 3" xfId="15635" xr:uid="{283C6DFD-61DD-4F28-95B7-EA8726F02008}"/>
    <cellStyle name="Style 21 3 2 4" xfId="15636" xr:uid="{4C0CAF00-DCA8-4CF9-AF3C-C56F340464E2}"/>
    <cellStyle name="Style 21 3 2 5" xfId="15637" xr:uid="{BB5A4C35-A45E-4729-8E34-601458CCC9DD}"/>
    <cellStyle name="Style 21 3 3" xfId="15638" xr:uid="{EDE3B729-740D-4A53-A63E-D428A1779B8A}"/>
    <cellStyle name="Style 21 3 3 2" xfId="15639" xr:uid="{EDCB5648-0943-4B5B-AC90-AE02C3C66EE6}"/>
    <cellStyle name="Style 21 3 3 3" xfId="15640" xr:uid="{0237C078-74D6-43FA-BAB9-B1E22754C643}"/>
    <cellStyle name="Style 21 3 4" xfId="15641" xr:uid="{9FEC03D2-4923-408F-B2D1-093566D492D2}"/>
    <cellStyle name="Style 21 3 5" xfId="15642" xr:uid="{87076A72-7852-4610-B71F-A063152A83A2}"/>
    <cellStyle name="Style 21 3 6" xfId="15643" xr:uid="{26835707-8FB9-479A-9A71-FDBE9835E6FC}"/>
    <cellStyle name="Style 21 3 7" xfId="15644" xr:uid="{2B5A26A6-82FB-4275-8590-BE8B75626B4A}"/>
    <cellStyle name="Style 21 3 8" xfId="15645" xr:uid="{8DED2D6F-CA3C-4AB9-B220-D5EC57576F24}"/>
    <cellStyle name="Style 21 4" xfId="15646" xr:uid="{9CF98B80-FCDF-4759-9E39-6402972DC6A7}"/>
    <cellStyle name="Style 21 4 2" xfId="15647" xr:uid="{0D4A6E26-B266-4E4A-A877-5DF50E744FF7}"/>
    <cellStyle name="Style 21 4 3" xfId="15648" xr:uid="{80E7D165-008C-4087-A6F6-D0A938231905}"/>
    <cellStyle name="Style 21 4 4" xfId="15649" xr:uid="{4885CA8B-801D-4137-9BB9-DC3161344ABF}"/>
    <cellStyle name="Style 21 4 5" xfId="15650" xr:uid="{7ACEBFC5-78A4-4DEB-8D05-2BD51E395C41}"/>
    <cellStyle name="Style 21 5" xfId="15651" xr:uid="{97A0F1E8-36D3-4FFD-A174-7E6701FA85AA}"/>
    <cellStyle name="Style 21 5 2" xfId="15652" xr:uid="{0C4E38C2-1676-44E1-B63F-3D27F26511DF}"/>
    <cellStyle name="Style 21 5 3" xfId="15653" xr:uid="{411E0B79-6AEF-4E85-A179-8862A84A78FD}"/>
    <cellStyle name="Style 21 5 4" xfId="15654" xr:uid="{86069187-936F-402F-ACDB-2D223C20021F}"/>
    <cellStyle name="Style 21 5 5" xfId="15655" xr:uid="{CA2BCD41-ACAB-4066-93A4-909231372CD4}"/>
    <cellStyle name="Style 21 6" xfId="15656" xr:uid="{70DA0C7E-BBEA-4C3F-AD72-918AB11A0130}"/>
    <cellStyle name="Style 21 7" xfId="15657" xr:uid="{818E2417-6977-45FD-A892-F341C814B71A}"/>
    <cellStyle name="Style 21 8" xfId="15658" xr:uid="{72794425-F3F3-4824-8B0F-D1E86506153D}"/>
    <cellStyle name="Style 21 9" xfId="15659" xr:uid="{1D63DD80-32FA-4981-BD01-652FC5ADAE5F}"/>
    <cellStyle name="Style 22" xfId="15660" xr:uid="{FDAFEEE6-D4BF-401E-A66B-A4ED02465621}"/>
    <cellStyle name="Style 22 10" xfId="15661" xr:uid="{FD02E20A-F80A-4265-A0D8-9EDEDDEEAF5A}"/>
    <cellStyle name="Style 22 2" xfId="15662" xr:uid="{96B64D29-7DB4-462F-9301-9090E97CE4B4}"/>
    <cellStyle name="Style 22 2 2" xfId="15663" xr:uid="{213DA9F2-B362-40B8-8BB7-C6E2262906AC}"/>
    <cellStyle name="Style 22 2 3" xfId="15664" xr:uid="{2FDCE93E-C237-43E3-B43F-04E4B4A5D88B}"/>
    <cellStyle name="Style 22 2 4" xfId="15665" xr:uid="{FABBAE41-64B2-4B33-A573-52E581C7435A}"/>
    <cellStyle name="Style 22 2 5" xfId="15666" xr:uid="{3F05B292-604A-4D9E-9A22-624445A27793}"/>
    <cellStyle name="Style 22 3" xfId="15667" xr:uid="{F0D35478-B5D6-4A2E-9F0A-13649AC99B9D}"/>
    <cellStyle name="Style 22 3 2" xfId="15668" xr:uid="{0A7B21FA-9C80-49A1-97CA-714BB5CF7BA5}"/>
    <cellStyle name="Style 22 3 3" xfId="15669" xr:uid="{5AAD5642-50B4-4E17-835D-312C58061486}"/>
    <cellStyle name="Style 22 3 4" xfId="15670" xr:uid="{EBEC6BAF-036A-48D6-BFFB-C0294AFAFA42}"/>
    <cellStyle name="Style 22 3 5" xfId="15671" xr:uid="{66FA1CD4-D7F2-4C2C-BD72-002C193254C3}"/>
    <cellStyle name="Style 22 4" xfId="15672" xr:uid="{A81A1C93-22DE-40DE-A6C6-51A220F67B5F}"/>
    <cellStyle name="Style 22 5" xfId="15673" xr:uid="{66D4305A-2B25-4C88-A1A5-1C5EC20660F0}"/>
    <cellStyle name="Style 22 6" xfId="15674" xr:uid="{D7F3BED5-836F-4F62-8EEA-DDF5AAD8D112}"/>
    <cellStyle name="Style 22 7" xfId="15675" xr:uid="{A84A248F-AF9C-4706-9E6F-1B4774CF77E6}"/>
    <cellStyle name="Style 22 8" xfId="15676" xr:uid="{F2392D70-EC84-4F87-BCDD-B4264B40B6CF}"/>
    <cellStyle name="Style 22 9" xfId="15677" xr:uid="{B64A201D-E11B-4C6D-9C51-FAF8539CB35C}"/>
    <cellStyle name="Style 23" xfId="15678" xr:uid="{EB4A2A6B-0B75-4D01-9678-57025522A499}"/>
    <cellStyle name="Style 23 10" xfId="15679" xr:uid="{0CDD6831-5F59-4B46-8987-BF9D62B57CA9}"/>
    <cellStyle name="Style 23 2" xfId="15680" xr:uid="{9E01F8B7-566D-40C1-AC45-92A5C44DD3BF}"/>
    <cellStyle name="Style 23 2 2" xfId="15681" xr:uid="{97FE7A7C-9535-4046-8069-60B5252642B4}"/>
    <cellStyle name="Style 23 2 3" xfId="15682" xr:uid="{75CF8FF6-FEC9-4F55-8CB1-AF94AA34EE1A}"/>
    <cellStyle name="Style 23 2 4" xfId="15683" xr:uid="{41E760D9-C844-409F-ABCD-AABBB4B0FC72}"/>
    <cellStyle name="Style 23 2 5" xfId="15684" xr:uid="{EDAC6FCE-E4FD-479C-83A4-4A3F2B5B8E3B}"/>
    <cellStyle name="Style 23 3" xfId="15685" xr:uid="{A818303E-2C13-48F6-838E-6F67F5307A9D}"/>
    <cellStyle name="Style 23 3 2" xfId="15686" xr:uid="{73210A79-3330-4A7F-A651-CB5C2AB8F6BA}"/>
    <cellStyle name="Style 23 3 3" xfId="15687" xr:uid="{F6102455-02AC-4EDE-9819-2362C2689231}"/>
    <cellStyle name="Style 23 3 4" xfId="15688" xr:uid="{978C90F3-0B09-4CD7-A560-3B9B3A02EEB3}"/>
    <cellStyle name="Style 23 3 5" xfId="15689" xr:uid="{411800F5-FBCE-4966-A365-D5ADEFB6F98A}"/>
    <cellStyle name="Style 23 4" xfId="15690" xr:uid="{E2C535ED-FB4C-4C3B-ACB7-D88F93B69339}"/>
    <cellStyle name="Style 23 5" xfId="15691" xr:uid="{BA46CD75-92D3-463D-89C0-79249CA95075}"/>
    <cellStyle name="Style 23 6" xfId="15692" xr:uid="{66B26DC9-CD59-4DDD-A009-F5854957A610}"/>
    <cellStyle name="Style 23 7" xfId="15693" xr:uid="{B2C05391-E118-4220-AE0E-9F7814D87827}"/>
    <cellStyle name="Style 23 8" xfId="15694" xr:uid="{9ED26F72-CAFD-4794-A8B2-16EE47927CAB}"/>
    <cellStyle name="Style 23 9" xfId="15695" xr:uid="{D309C92F-9A3C-427F-8114-B8ACC2C0F912}"/>
    <cellStyle name="Style 24" xfId="15696" xr:uid="{E7842807-1EE5-4BBD-9339-97CA8B506FDB}"/>
    <cellStyle name="Style 24 10" xfId="15697" xr:uid="{29CE30E7-A3CE-4848-99C3-A52E5E331A54}"/>
    <cellStyle name="Style 24 2" xfId="15698" xr:uid="{9051F7FA-C4AA-4587-9882-55F0005E8449}"/>
    <cellStyle name="Style 24 2 2" xfId="15699" xr:uid="{6999213A-6ADD-4704-8508-278EC6589CE6}"/>
    <cellStyle name="Style 24 2 3" xfId="15700" xr:uid="{9D501A24-13E3-4CE5-84DA-32C699DAC598}"/>
    <cellStyle name="Style 24 2 4" xfId="15701" xr:uid="{DAB856F1-34D4-496A-8F79-B9584A9A5CBD}"/>
    <cellStyle name="Style 24 2 5" xfId="15702" xr:uid="{EAB0735E-0164-4B81-AA47-AA7FB6F4758E}"/>
    <cellStyle name="Style 24 3" xfId="15703" xr:uid="{B8310FF3-77BB-4768-A42E-A3345F425BAD}"/>
    <cellStyle name="Style 24 3 2" xfId="15704" xr:uid="{312C3975-35A3-47CF-8432-C8E3A52D1F71}"/>
    <cellStyle name="Style 24 3 3" xfId="15705" xr:uid="{57AA0297-7710-41B3-828D-87AB00FE2A8F}"/>
    <cellStyle name="Style 24 3 4" xfId="15706" xr:uid="{B3478572-7057-4988-A16D-4438CBB56827}"/>
    <cellStyle name="Style 24 3 5" xfId="15707" xr:uid="{A359B15A-7F4F-4D9A-B8AB-90C05290EBBE}"/>
    <cellStyle name="Style 24 4" xfId="15708" xr:uid="{7614397A-A92B-42B7-8759-7E68AAE6DB0A}"/>
    <cellStyle name="Style 24 5" xfId="15709" xr:uid="{3A21A6BF-B22C-41B9-AA47-0A273553D391}"/>
    <cellStyle name="Style 24 6" xfId="15710" xr:uid="{95841F81-16BD-4C54-98E4-2C6C1A38EF80}"/>
    <cellStyle name="Style 24 7" xfId="15711" xr:uid="{8F3B221D-6113-4312-95C1-A79FC3AFAFE1}"/>
    <cellStyle name="Style 24 8" xfId="15712" xr:uid="{BD262F41-DB5C-41B1-B593-9B4F57DE3D2F}"/>
    <cellStyle name="Style 24 9" xfId="15713" xr:uid="{32865528-3538-4F79-A85C-6D1DA88BD45E}"/>
    <cellStyle name="Style 25" xfId="15714" xr:uid="{12154616-5C83-4F1F-8F23-59AC780097AC}"/>
    <cellStyle name="Style 25 10" xfId="15715" xr:uid="{CE4FD13C-58B2-4950-842F-CD643372D2B2}"/>
    <cellStyle name="Style 25 11" xfId="15716" xr:uid="{47A51CA4-08EC-4E70-89C9-C4D4A2FD0F9B}"/>
    <cellStyle name="Style 25 2" xfId="15717" xr:uid="{E5E96FCD-C4E8-4160-A561-904416C3CE50}"/>
    <cellStyle name="Style 25 2 10" xfId="15718" xr:uid="{259D1F9E-2614-457C-A4A6-BF3E45CDB36D}"/>
    <cellStyle name="Style 25 2 2" xfId="15719" xr:uid="{03EAFE28-206E-4315-BA7C-2F0E70FFF9BB}"/>
    <cellStyle name="Style 25 2 2 2" xfId="15720" xr:uid="{5D032C5E-6CE4-41DD-B393-26B4317EAF94}"/>
    <cellStyle name="Style 25 2 2 3" xfId="15721" xr:uid="{B4EBE895-CD09-4672-A9CA-8351B69FE4FA}"/>
    <cellStyle name="Style 25 2 2 4" xfId="15722" xr:uid="{4EEE1AED-D9F3-4F18-AFEE-A8217C1BB303}"/>
    <cellStyle name="Style 25 2 2 5" xfId="15723" xr:uid="{526BE167-892C-41CC-9798-FBDE7DF09BCA}"/>
    <cellStyle name="Style 25 2 3" xfId="15724" xr:uid="{81E31FDC-241E-4C25-A73F-812F4CD9A342}"/>
    <cellStyle name="Style 25 2 4" xfId="15725" xr:uid="{F00EF520-2746-4B4C-9C9B-EEE9C5F4B3B5}"/>
    <cellStyle name="Style 25 2 5" xfId="15726" xr:uid="{318A8641-CE21-4BB3-802F-84C565EB79E2}"/>
    <cellStyle name="Style 25 2 6" xfId="15727" xr:uid="{C759FE6D-4760-4753-A3C4-4932C573A94A}"/>
    <cellStyle name="Style 25 2 7" xfId="15728" xr:uid="{7FF45E9D-C7D3-4884-B012-2F271E2DF694}"/>
    <cellStyle name="Style 25 2 8" xfId="15729" xr:uid="{B3498097-F6E4-413F-BC69-72058556C295}"/>
    <cellStyle name="Style 25 2 9" xfId="15730" xr:uid="{F08AA3D8-B181-4814-A6B4-30EA9B75D24E}"/>
    <cellStyle name="Style 25 3" xfId="15731" xr:uid="{FAB75588-2471-40BD-B88B-3AFBC03910F2}"/>
    <cellStyle name="Style 25 3 2" xfId="15732" xr:uid="{D77885FC-B9FF-4BEC-BB93-24B46C36FC47}"/>
    <cellStyle name="Style 25 3 2 2" xfId="15733" xr:uid="{BBFA89ED-23E0-4D28-8AC2-77F47B14EFAA}"/>
    <cellStyle name="Style 25 3 2 3" xfId="15734" xr:uid="{6776ADC0-10EB-4213-BEB1-2581B3CD4DA0}"/>
    <cellStyle name="Style 25 3 2 4" xfId="15735" xr:uid="{B49AEE34-38AC-4C2E-9309-4B77C7A3667F}"/>
    <cellStyle name="Style 25 3 2 5" xfId="15736" xr:uid="{4F927071-59C8-4CB3-9B63-5C9A21608B1F}"/>
    <cellStyle name="Style 25 3 3" xfId="15737" xr:uid="{854AF1D9-7FE9-4BC8-B34E-F6206A7B7016}"/>
    <cellStyle name="Style 25 3 3 2" xfId="15738" xr:uid="{20A0160B-8B0B-4177-B6F4-8F1920A4A19F}"/>
    <cellStyle name="Style 25 3 3 3" xfId="15739" xr:uid="{EA3698A6-5BD6-4286-8503-494F8B59D050}"/>
    <cellStyle name="Style 25 3 4" xfId="15740" xr:uid="{125B549B-DD9D-4443-8DBD-621C1907713B}"/>
    <cellStyle name="Style 25 3 5" xfId="15741" xr:uid="{35E9FAE1-855C-415E-9FB8-FCC94A66EEAE}"/>
    <cellStyle name="Style 25 3 6" xfId="15742" xr:uid="{ABECE0B0-CEF5-4D45-AEAF-64017E22C034}"/>
    <cellStyle name="Style 25 3 7" xfId="15743" xr:uid="{419EA31F-B8F7-4E5C-B75A-101642920705}"/>
    <cellStyle name="Style 25 3 8" xfId="15744" xr:uid="{F77E94D9-6468-4405-AF75-9D6A0C904810}"/>
    <cellStyle name="Style 25 4" xfId="15745" xr:uid="{5634D056-6B1F-4222-9B1A-15FEDB50AE29}"/>
    <cellStyle name="Style 25 4 2" xfId="15746" xr:uid="{C4884DCC-7B53-4EC6-8BDF-510CBDC947C2}"/>
    <cellStyle name="Style 25 4 3" xfId="15747" xr:uid="{1123D389-9EB2-4E6F-A109-C29B6FD19254}"/>
    <cellStyle name="Style 25 4 4" xfId="15748" xr:uid="{A64F955C-56AE-4D35-ADF0-519AFDCEDB75}"/>
    <cellStyle name="Style 25 4 5" xfId="15749" xr:uid="{6F8B8AB4-8C64-4609-B6DF-0C1036A516FA}"/>
    <cellStyle name="Style 25 5" xfId="15750" xr:uid="{2923F987-5040-4D00-9920-1C4997AC04C9}"/>
    <cellStyle name="Style 25 6" xfId="15751" xr:uid="{D1EB90E4-BE1D-4347-BABE-DD8C76D637BE}"/>
    <cellStyle name="Style 25 7" xfId="15752" xr:uid="{27FC9BBC-B308-484E-BB51-188FC7710B14}"/>
    <cellStyle name="Style 25 8" xfId="15753" xr:uid="{2526461F-B973-4A36-B95C-4E0A0ED04D7C}"/>
    <cellStyle name="Style 25 9" xfId="15754" xr:uid="{1E766F29-CAA1-413C-A7A5-BEAFDF45E47B}"/>
    <cellStyle name="Style 26" xfId="15755" xr:uid="{AABD7A5B-B135-4CB3-9877-F4E0B7D23B0E}"/>
    <cellStyle name="Style 26 10" xfId="15756" xr:uid="{F0CB1916-E98D-41A1-9D15-88E63858432F}"/>
    <cellStyle name="Style 26 2" xfId="15757" xr:uid="{49D94CF5-4DA6-48A1-AFB2-47AFB75DAE82}"/>
    <cellStyle name="Style 26 2 2" xfId="15758" xr:uid="{650D156B-9010-4AE3-AAB7-2BD2BA7158D3}"/>
    <cellStyle name="Style 26 2 3" xfId="15759" xr:uid="{1A5CF87D-39F7-409E-9F92-D3F202399BD4}"/>
    <cellStyle name="Style 26 2 4" xfId="15760" xr:uid="{B9EC2C3B-D948-4BC5-B855-9C816DCAD18A}"/>
    <cellStyle name="Style 26 2 5" xfId="15761" xr:uid="{1E12D3FC-51F8-4AD2-A249-92CB9A6D517E}"/>
    <cellStyle name="Style 26 3" xfId="15762" xr:uid="{E5CB6C62-C37B-4A88-A03C-0D2B881003D4}"/>
    <cellStyle name="Style 26 3 2" xfId="15763" xr:uid="{80805B92-5D55-433C-BF51-3E4938CF8995}"/>
    <cellStyle name="Style 26 3 3" xfId="15764" xr:uid="{890E27C4-EEA0-4AF6-8E90-BBDF3E8F4B2B}"/>
    <cellStyle name="Style 26 3 4" xfId="15765" xr:uid="{95F1943A-F0BF-4F0A-A904-D6F5CDF391CE}"/>
    <cellStyle name="Style 26 3 5" xfId="15766" xr:uid="{C1DCBF96-CCF6-400A-AFB0-D00CDBDB7EF9}"/>
    <cellStyle name="Style 26 4" xfId="15767" xr:uid="{7BB16E12-B75B-488C-9FF3-BE5CD6E55150}"/>
    <cellStyle name="Style 26 5" xfId="15768" xr:uid="{872E6D4F-B42E-4E03-A147-A7F50766B18D}"/>
    <cellStyle name="Style 26 6" xfId="15769" xr:uid="{9FB8B3A9-6F09-4489-97CC-84F8303ED87B}"/>
    <cellStyle name="Style 26 7" xfId="15770" xr:uid="{6839E6CE-B574-4AB1-B2AC-99FEC0F4B903}"/>
    <cellStyle name="Style 26 8" xfId="15771" xr:uid="{95BD2968-A8EC-43E1-ADA1-05D16FEE0DBF}"/>
    <cellStyle name="Style 26 9" xfId="15772" xr:uid="{2791DB45-D4C0-42A5-91BA-130632B89DC0}"/>
    <cellStyle name="Style 27" xfId="15773" xr:uid="{0A3EDC4D-F5C9-404D-B1CC-5D2F8C3AFF58}"/>
    <cellStyle name="Style 27 2" xfId="15774" xr:uid="{CC9241A1-D536-4D88-B7DA-1BEE2D31D341}"/>
    <cellStyle name="Style 27 2 2" xfId="15775" xr:uid="{4F8F4B93-4829-462D-B8FB-5AB43B46DD9C}"/>
    <cellStyle name="Style 27 2 3" xfId="15776" xr:uid="{1276B2AE-6D21-449C-BE5D-D31D90A8AC0E}"/>
    <cellStyle name="Style 27 2 4" xfId="15777" xr:uid="{3DF8A212-A585-429B-B567-F42EE75FB88C}"/>
    <cellStyle name="Style 27 2 5" xfId="15778" xr:uid="{0FDD7464-3242-43B5-8B6B-6FAF24A60E71}"/>
    <cellStyle name="Style 27 3" xfId="15779" xr:uid="{863C76FD-6B26-479E-8954-5563DA1EF3D6}"/>
    <cellStyle name="Style 27 4" xfId="15780" xr:uid="{AFC4118B-3EB7-4B82-AB76-5BB78FEEB507}"/>
    <cellStyle name="Style 27 5" xfId="15781" xr:uid="{4BFC78A3-B285-4086-AAF6-1E595F05EE61}"/>
    <cellStyle name="Style 27 6" xfId="15782" xr:uid="{8D8EA15F-2CC4-438D-8355-1C213BD71484}"/>
    <cellStyle name="Style 35" xfId="15783" xr:uid="{C11AB44C-8082-47D1-9D0C-35C3C75CE122}"/>
    <cellStyle name="Style 35 2" xfId="15784" xr:uid="{81BEA65A-082F-4B17-B139-BE704EA34585}"/>
    <cellStyle name="Style 35 2 2" xfId="15785" xr:uid="{B732F18D-078D-4B27-A4F4-9D14382D5878}"/>
    <cellStyle name="Style 35 2 3" xfId="15786" xr:uid="{2B950087-75CA-4291-9599-C452C35F98E9}"/>
    <cellStyle name="Style 35 2 4" xfId="15787" xr:uid="{C699FEC4-E905-48F0-97F4-0DED856B2033}"/>
    <cellStyle name="Style 35 2 5" xfId="15788" xr:uid="{A302BE85-7B05-4D14-A0BC-949CC31C389D}"/>
    <cellStyle name="Style 35 3" xfId="15789" xr:uid="{D6B36EB0-8797-436E-BB9D-8200173BACF8}"/>
    <cellStyle name="Style 35 3 2" xfId="15790" xr:uid="{6FF29D01-42CC-4A08-8CF6-7430D99E0865}"/>
    <cellStyle name="Style 35 3 3" xfId="15791" xr:uid="{39870746-F5EC-4CF0-B0CE-404D69371565}"/>
    <cellStyle name="Style 35 3 4" xfId="15792" xr:uid="{2B3B89CF-1813-4AF7-93D4-F848D4CA8E39}"/>
    <cellStyle name="Style 35 3 5" xfId="15793" xr:uid="{0A5355D0-EF48-4F0D-A8D6-601DB4A0F450}"/>
    <cellStyle name="Style 35 4" xfId="15794" xr:uid="{BB894F6A-3997-4706-8B71-8A94CF514B74}"/>
    <cellStyle name="Style 35 5" xfId="15795" xr:uid="{2E7EDD4E-AAEE-4C83-98F6-FBB4079D703F}"/>
    <cellStyle name="Style 35 6" xfId="15796" xr:uid="{86039A39-FDA0-48D9-AC0B-C9232CCE56B4}"/>
    <cellStyle name="Style 35 7" xfId="15797" xr:uid="{29951AD3-BF44-4C54-8CB4-DDB348340750}"/>
    <cellStyle name="Style 36" xfId="15798" xr:uid="{89675525-42AB-4539-BADA-B00E33C1E065}"/>
    <cellStyle name="Style 36 2" xfId="15799" xr:uid="{A8DB33C8-7085-4069-840E-48A4A83CD6ED}"/>
    <cellStyle name="Style 36 2 2" xfId="15800" xr:uid="{C9CA6589-A412-4969-9E6F-B17653FCEE63}"/>
    <cellStyle name="Style 36 2 3" xfId="15801" xr:uid="{FD9A6F7A-6275-4664-BD5C-E8E905A3CB5D}"/>
    <cellStyle name="Style 36 2 4" xfId="15802" xr:uid="{9CA8B342-DCFC-48B8-87EB-63F3D3FBD363}"/>
    <cellStyle name="Style 36 2 5" xfId="15803" xr:uid="{5C3ACF06-28D8-4FCA-8259-CBD7DDF5F410}"/>
    <cellStyle name="Style 36 3" xfId="15804" xr:uid="{DA1042E8-13A5-49E1-A46D-C32F5CEA1E84}"/>
    <cellStyle name="Style 36 4" xfId="15805" xr:uid="{6DABC73B-34EB-466B-94D1-046217812044}"/>
    <cellStyle name="Style 36 5" xfId="15806" xr:uid="{18C238BE-2345-4D76-AEC7-7E155B0924C9}"/>
    <cellStyle name="Style 36 6" xfId="15807" xr:uid="{58720C26-6F83-4A99-83CB-0E61171F6EE7}"/>
    <cellStyle name="Style 37" xfId="15808" xr:uid="{9A2E51A8-DC1C-4266-8EE3-010EFC1EDBED}"/>
    <cellStyle name="Style 37 2" xfId="15809" xr:uid="{F9844417-9C4F-4A3B-AC15-EA5A71E28243}"/>
    <cellStyle name="Style 37 2 2" xfId="15810" xr:uid="{8D94373C-C93C-466B-842D-EC09D84C43D4}"/>
    <cellStyle name="Style 37 2 3" xfId="15811" xr:uid="{9E4A4CB1-8EEE-49B7-944D-0B13DD7CC879}"/>
    <cellStyle name="Style 37 2 4" xfId="15812" xr:uid="{176CE5D5-AA7A-422B-A156-7AD2D910CE7D}"/>
    <cellStyle name="Style 37 2 5" xfId="15813" xr:uid="{2495B8F4-3E96-4672-BC5F-2B15C56A7A97}"/>
    <cellStyle name="Style 37 3" xfId="15814" xr:uid="{2663AE6D-6DEB-40E8-98E9-3DE338F95F0C}"/>
    <cellStyle name="Style 37 4" xfId="15815" xr:uid="{8776E59B-0AB5-4E06-A1DD-D7BD175FB5B0}"/>
    <cellStyle name="Style 37 5" xfId="15816" xr:uid="{D68BDC4B-B349-4516-809C-9A93A9AAF691}"/>
    <cellStyle name="Style 37 6" xfId="15817" xr:uid="{DB15E337-3F31-48DF-BACB-D5BA2696575C}"/>
    <cellStyle name="Style 38" xfId="15818" xr:uid="{ABCC661C-BFBF-459B-A4DE-46C71072CA97}"/>
    <cellStyle name="Style 38 2" xfId="15819" xr:uid="{969522FA-35CD-4B19-9443-7B05BCFFF408}"/>
    <cellStyle name="Style 38 2 2" xfId="15820" xr:uid="{CE891B1C-0BAE-45E4-ACEC-27204A4DDF2A}"/>
    <cellStyle name="Style 38 2 3" xfId="15821" xr:uid="{F816C0B1-0FFE-487C-B25C-DF8C974F3EFF}"/>
    <cellStyle name="Style 38 2 4" xfId="15822" xr:uid="{F2C3929D-3D49-42BA-B4F1-3B4E0BD8F4E5}"/>
    <cellStyle name="Style 38 2 5" xfId="15823" xr:uid="{0F56F9DB-BBA8-4F62-BB6B-A0D7DC31BAC1}"/>
    <cellStyle name="Style 38 3" xfId="15824" xr:uid="{3B0F4CFE-68A8-4349-957E-59428F4D5504}"/>
    <cellStyle name="Style 38 4" xfId="15825" xr:uid="{E4E55C38-3A8E-4E60-94E8-5E636EB0D847}"/>
    <cellStyle name="Style 38 5" xfId="15826" xr:uid="{38782F28-68C5-4B75-A968-A8F952961815}"/>
    <cellStyle name="Style 38 6" xfId="15827" xr:uid="{8DA3A82F-355B-4532-9548-1DA08A967D41}"/>
    <cellStyle name="Style 39" xfId="15828" xr:uid="{5C434BBD-3CB7-4AED-9159-97FD42F7C404}"/>
    <cellStyle name="Style 39 2" xfId="15829" xr:uid="{91F04671-C7BE-4D5F-A678-3CEA3EDB6604}"/>
    <cellStyle name="Style 39 2 2" xfId="15830" xr:uid="{B2963D6E-E6C0-4749-AED0-11EDD5053805}"/>
    <cellStyle name="Style 39 2 3" xfId="15831" xr:uid="{AED2DFF9-AC81-4460-AC8D-F11D41BFEC0B}"/>
    <cellStyle name="Style 39 2 4" xfId="15832" xr:uid="{EF1D3675-09DF-4F8B-B778-3FAC8C8D0322}"/>
    <cellStyle name="Style 39 2 5" xfId="15833" xr:uid="{1CF15CEC-6FB3-4C78-A546-F915C2D0940F}"/>
    <cellStyle name="Style 39 3" xfId="15834" xr:uid="{1C4FBF2E-E997-4B3D-8806-1647B308AE1C}"/>
    <cellStyle name="Style 39 3 2" xfId="15835" xr:uid="{5EC652E7-E222-4F39-8ABE-797BFA71114D}"/>
    <cellStyle name="Style 39 3 3" xfId="15836" xr:uid="{8342B7AC-C087-4DFB-BB4B-2D0153EC1023}"/>
    <cellStyle name="Style 39 3 4" xfId="15837" xr:uid="{A9821052-C8FD-4FBA-A886-28E5AB36B343}"/>
    <cellStyle name="Style 39 3 5" xfId="15838" xr:uid="{58099B1F-2F0C-4FCE-AECA-25B30DD3220B}"/>
    <cellStyle name="Style 39 4" xfId="15839" xr:uid="{84BB0BD9-359E-4600-B562-2F5B6C597EAA}"/>
    <cellStyle name="Style 39 5" xfId="15840" xr:uid="{0E637E45-8AD7-41E7-8F5D-063777558271}"/>
    <cellStyle name="Style 39 6" xfId="15841" xr:uid="{90D0413D-E0D7-43B8-9CCA-9ED64E7D0A7D}"/>
    <cellStyle name="Style 39 7" xfId="15842" xr:uid="{7930B596-6F06-4857-8FB9-9B7FA7194110}"/>
    <cellStyle name="Style 40" xfId="15843" xr:uid="{6839DB37-5B7D-4458-A23E-34E3409EDACC}"/>
    <cellStyle name="Style 40 2" xfId="15844" xr:uid="{BA568034-8F4C-4FCF-9916-2423271F95B7}"/>
    <cellStyle name="Style 40 2 2" xfId="15845" xr:uid="{8778B6E6-FFCE-44DF-9756-79E8DF49165A}"/>
    <cellStyle name="Style 40 2 3" xfId="15846" xr:uid="{CCA21A9F-90DB-4660-91B5-0A877765B805}"/>
    <cellStyle name="Style 40 2 4" xfId="15847" xr:uid="{E9DD3CD2-192E-4A22-A357-7FFCE3AF2676}"/>
    <cellStyle name="Style 40 2 5" xfId="15848" xr:uid="{9E8FC4F8-3E3A-4462-A488-DABCA5F6CC13}"/>
    <cellStyle name="Style 40 3" xfId="15849" xr:uid="{F978C2DD-F861-489E-8E2F-1F3931F86475}"/>
    <cellStyle name="Style 40 4" xfId="15850" xr:uid="{33AB8F87-0FD4-453D-9290-A093C656A29A}"/>
    <cellStyle name="Style 40 5" xfId="15851" xr:uid="{29075AFF-3AE9-4872-87C2-824BC4A386D0}"/>
    <cellStyle name="Style 40 6" xfId="15852" xr:uid="{0A750A29-A4AA-4908-8B5D-180AC1D646CF}"/>
    <cellStyle name="Style 41" xfId="15853" xr:uid="{48D1BD64-65B0-4211-AD2C-B845A6EDA69F}"/>
    <cellStyle name="Style 41 2" xfId="15854" xr:uid="{964FA340-6DDB-49C8-8852-A1FB48564453}"/>
    <cellStyle name="Style 41 2 2" xfId="15855" xr:uid="{5F430422-E2A5-4ACA-BA94-12AD070EF23B}"/>
    <cellStyle name="Style 41 2 3" xfId="15856" xr:uid="{8FF5CA21-25EA-4955-A7B9-644FD1C2FD56}"/>
    <cellStyle name="Style 41 2 4" xfId="15857" xr:uid="{315A742A-F3D2-4A47-B5A0-65C78ABB31AC}"/>
    <cellStyle name="Style 41 2 5" xfId="15858" xr:uid="{076ED0B6-7F61-4ADB-9418-72C4FEE97287}"/>
    <cellStyle name="Style 41 3" xfId="15859" xr:uid="{CDA02F3B-4C2E-40E3-9033-F39354A12CF4}"/>
    <cellStyle name="Style 41 4" xfId="15860" xr:uid="{1B18A722-2043-4809-853E-7BE65D78D716}"/>
    <cellStyle name="Style 41 5" xfId="15861" xr:uid="{91D65781-4094-489D-90DF-F208A81312E1}"/>
    <cellStyle name="Style 41 6" xfId="15862" xr:uid="{66962A01-E46C-4DB9-9717-02CBAC2A4FB1}"/>
    <cellStyle name="Style 46" xfId="15863" xr:uid="{B47FFBA3-60BA-46A4-9A38-4699A0087847}"/>
    <cellStyle name="Style 46 2" xfId="15864" xr:uid="{3BCC5474-F7F2-4C99-B2DF-5EF412B1DCD6}"/>
    <cellStyle name="Style 46 2 2" xfId="15865" xr:uid="{B3C972F4-39FA-4FDF-87F0-E701CFB5D98D}"/>
    <cellStyle name="Style 46 2 3" xfId="15866" xr:uid="{C06F9F87-7410-4EE4-AB28-FB53AF0CAEDF}"/>
    <cellStyle name="Style 46 2 4" xfId="15867" xr:uid="{ED95A2AB-704D-48A3-99D7-0C2238CB8139}"/>
    <cellStyle name="Style 46 2 5" xfId="15868" xr:uid="{F19A4783-A433-4DA0-82EE-9709399CF013}"/>
    <cellStyle name="Style 46 3" xfId="15869" xr:uid="{48A94402-A33F-4A82-9875-DC12AFD7F828}"/>
    <cellStyle name="Style 46 3 2" xfId="15870" xr:uid="{EC903658-B527-4692-AA26-1FD91CC0F6A6}"/>
    <cellStyle name="Style 46 3 3" xfId="15871" xr:uid="{AB783B9D-A8E9-4320-8E41-0CEE5DA0C5CB}"/>
    <cellStyle name="Style 46 3 4" xfId="15872" xr:uid="{D1033DAC-E328-435B-BE34-CA56CD684492}"/>
    <cellStyle name="Style 46 3 5" xfId="15873" xr:uid="{411E02E0-6CBE-4018-BA53-8AFCE3018347}"/>
    <cellStyle name="Style 46 4" xfId="15874" xr:uid="{732F1A72-5448-45B4-B3C1-FCDD8AA44D45}"/>
    <cellStyle name="Style 46 5" xfId="15875" xr:uid="{E1863C27-088F-4620-A9E0-042B88D7ED8E}"/>
    <cellStyle name="Style 46 6" xfId="15876" xr:uid="{68411AEE-9E5A-4FA0-8D5B-097A470AA043}"/>
    <cellStyle name="Style 46 7" xfId="15877" xr:uid="{425CC774-D0B2-4DC5-8109-C5C8B896AE10}"/>
    <cellStyle name="Style 47" xfId="15878" xr:uid="{EC27A46F-CF5E-456D-8374-E51D4A8520BB}"/>
    <cellStyle name="Style 47 2" xfId="15879" xr:uid="{F3EB0CF3-185B-4C68-8E68-4713AFDBAD8C}"/>
    <cellStyle name="Style 47 2 2" xfId="15880" xr:uid="{F31DD2FA-03E5-454C-AE9A-8BA033117FA2}"/>
    <cellStyle name="Style 47 2 3" xfId="15881" xr:uid="{1C3CC9FB-EA26-4698-9994-C0ABF246D976}"/>
    <cellStyle name="Style 47 2 4" xfId="15882" xr:uid="{DD6EF840-7CFD-4EAC-8102-75E45391E397}"/>
    <cellStyle name="Style 47 2 5" xfId="15883" xr:uid="{ADEB40A5-4AC0-498C-BC97-F185F1A59122}"/>
    <cellStyle name="Style 47 3" xfId="15884" xr:uid="{C64E096A-263A-4A3A-9DA7-7A7DC6061148}"/>
    <cellStyle name="Style 47 4" xfId="15885" xr:uid="{8D931B6F-A263-45EE-9386-8DCBE726A6FE}"/>
    <cellStyle name="Style 47 5" xfId="15886" xr:uid="{6BFFFA8E-CD85-4F0D-B6DA-96AE0C7B2C06}"/>
    <cellStyle name="Style 47 6" xfId="15887" xr:uid="{AC6C1885-7D69-4DEB-B14C-3423F7F1D0CA}"/>
    <cellStyle name="Style 48" xfId="15888" xr:uid="{ABF7BB17-903D-470B-AD81-1C5956FED980}"/>
    <cellStyle name="Style 48 2" xfId="15889" xr:uid="{3BFFD22D-F0B3-455B-B4B8-79F3730123A3}"/>
    <cellStyle name="Style 48 2 2" xfId="15890" xr:uid="{95227415-4906-4E3A-B8D6-84E4F806E25A}"/>
    <cellStyle name="Style 48 2 3" xfId="15891" xr:uid="{2B3C80D0-430A-418E-B481-E02D98A10EEB}"/>
    <cellStyle name="Style 48 2 4" xfId="15892" xr:uid="{EBED8169-6AEE-4B96-BAD1-2BF5E20E34A7}"/>
    <cellStyle name="Style 48 2 5" xfId="15893" xr:uid="{560FECD3-0286-4427-B9AC-FEEC01546F12}"/>
    <cellStyle name="Style 48 3" xfId="15894" xr:uid="{64F07160-1A11-49AD-B605-25530D7E10A3}"/>
    <cellStyle name="Style 48 4" xfId="15895" xr:uid="{E890B811-17EA-4B05-84E6-B4860CE0E391}"/>
    <cellStyle name="Style 48 5" xfId="15896" xr:uid="{E13BDAD9-BFBA-4ABE-826B-8BCA902921C8}"/>
    <cellStyle name="Style 48 6" xfId="15897" xr:uid="{6CEB4750-47FE-4776-A7F6-4AC03CBEF3E9}"/>
    <cellStyle name="Style 49" xfId="15898" xr:uid="{8748DB5F-0BDE-48B9-9236-0D5505459986}"/>
    <cellStyle name="Style 49 2" xfId="15899" xr:uid="{B2EEE81F-CEBB-4EFD-91F8-B1D77ABA693B}"/>
    <cellStyle name="Style 49 2 2" xfId="15900" xr:uid="{46E1E6F3-B386-431A-BBB7-7EC3C802E8B5}"/>
    <cellStyle name="Style 49 2 3" xfId="15901" xr:uid="{66B1C37E-77C4-459C-9DA6-55D6B7DFFB5A}"/>
    <cellStyle name="Style 49 2 4" xfId="15902" xr:uid="{037F4424-A323-4ADF-A2F0-CF31C86571A0}"/>
    <cellStyle name="Style 49 2 5" xfId="15903" xr:uid="{DBCF77BE-7EFF-468D-8AE8-BB9A2799EA80}"/>
    <cellStyle name="Style 49 3" xfId="15904" xr:uid="{36CB488E-9847-4A05-A6DC-ED9AD1FA20CD}"/>
    <cellStyle name="Style 49 4" xfId="15905" xr:uid="{4A0094DB-A0A3-4022-9B88-D44264BA939F}"/>
    <cellStyle name="Style 49 5" xfId="15906" xr:uid="{9D636B5A-76B0-4BC7-B570-E42A7B3D8C23}"/>
    <cellStyle name="Style 49 6" xfId="15907" xr:uid="{543F6704-E118-4210-971C-C76D1DF68DE0}"/>
    <cellStyle name="Style 50" xfId="15908" xr:uid="{62BB334A-7D2F-41EB-9DB6-E894577DC233}"/>
    <cellStyle name="Style 50 2" xfId="15909" xr:uid="{8B175FD3-9234-4A5A-B1CF-E54EB65F6D5D}"/>
    <cellStyle name="Style 50 2 2" xfId="15910" xr:uid="{1F148729-DE29-4A93-8121-B20C9AC84C14}"/>
    <cellStyle name="Style 50 2 3" xfId="15911" xr:uid="{453F78D9-840B-4307-A9A6-95EF348E1BFC}"/>
    <cellStyle name="Style 50 2 4" xfId="15912" xr:uid="{6DCD271D-60AF-4D6F-AB90-2D526B89906E}"/>
    <cellStyle name="Style 50 2 5" xfId="15913" xr:uid="{177DEC75-86DE-4A35-9F32-8882D2291071}"/>
    <cellStyle name="Style 50 3" xfId="15914" xr:uid="{987F74B6-3B49-45D1-B78B-1F8217761C6A}"/>
    <cellStyle name="Style 50 3 2" xfId="15915" xr:uid="{1836F596-54D5-4CD4-AFE8-40EC6FDD22CF}"/>
    <cellStyle name="Style 50 3 3" xfId="15916" xr:uid="{593E051D-D5B1-4D98-AD41-F78C973F4F7E}"/>
    <cellStyle name="Style 50 3 4" xfId="15917" xr:uid="{80212DE9-2092-4D13-B567-24721AFD5FA3}"/>
    <cellStyle name="Style 50 3 5" xfId="15918" xr:uid="{6D46714E-6EB6-464A-A1EF-E485AAD20272}"/>
    <cellStyle name="Style 50 4" xfId="15919" xr:uid="{FEF373C1-20A4-4DCD-A3D2-74D87B03DD7B}"/>
    <cellStyle name="Style 50 5" xfId="15920" xr:uid="{337A94E7-5B52-43D9-BBCE-D1DA040CA289}"/>
    <cellStyle name="Style 50 6" xfId="15921" xr:uid="{4CE82803-4DF2-4919-93AF-9B19E32A8208}"/>
    <cellStyle name="Style 50 7" xfId="15922" xr:uid="{FCE8C79F-7D67-4F2C-BDA9-498D357A99C6}"/>
    <cellStyle name="Style 51" xfId="15923" xr:uid="{DF08C871-DD25-4D05-8334-ACB50B028B3D}"/>
    <cellStyle name="Style 51 2" xfId="15924" xr:uid="{F97903E6-D806-4658-BD19-060283A973A0}"/>
    <cellStyle name="Style 51 2 2" xfId="15925" xr:uid="{3AB0D7BE-5F61-4BD8-88A5-CD65DE287B56}"/>
    <cellStyle name="Style 51 2 3" xfId="15926" xr:uid="{908D781F-4B3C-4FC2-A4DE-A9814DC3F2BD}"/>
    <cellStyle name="Style 51 2 4" xfId="15927" xr:uid="{18B6781D-0091-480B-9C7F-BACC5C68EBEA}"/>
    <cellStyle name="Style 51 2 5" xfId="15928" xr:uid="{713C4E1D-0990-4ECB-97A5-E2B31C73B639}"/>
    <cellStyle name="Style 51 3" xfId="15929" xr:uid="{E01DE684-BC05-4BD9-8B98-97861ADD2D6C}"/>
    <cellStyle name="Style 51 4" xfId="15930" xr:uid="{6FBDE668-AB43-4740-B8CF-8C91D6906354}"/>
    <cellStyle name="Style 51 5" xfId="15931" xr:uid="{8E0A2170-87FE-4BC9-B9ED-3D5A3416F858}"/>
    <cellStyle name="Style 51 6" xfId="15932" xr:uid="{5AC2F2ED-3910-4320-A5E4-18FF04D5C29F}"/>
    <cellStyle name="Style 52" xfId="15933" xr:uid="{74DF9E93-F093-482C-A695-C60FBDAD73E7}"/>
    <cellStyle name="Style 52 2" xfId="15934" xr:uid="{D73C45EE-C66C-4E11-8137-AA1A37B40CE0}"/>
    <cellStyle name="Style 52 2 2" xfId="15935" xr:uid="{3962B6C7-D685-45D9-B358-AD02FC138811}"/>
    <cellStyle name="Style 52 2 3" xfId="15936" xr:uid="{ABE1988C-F560-4A69-A985-431E047812FB}"/>
    <cellStyle name="Style 52 2 4" xfId="15937" xr:uid="{6C9C4799-70D8-45C6-BC1F-3A9CC9BFC460}"/>
    <cellStyle name="Style 52 2 5" xfId="15938" xr:uid="{54C20F96-06B1-4E18-B7BC-C6F907D6C548}"/>
    <cellStyle name="Style 52 3" xfId="15939" xr:uid="{93CFDF2D-FE8D-4D80-A28E-108D21BD702B}"/>
    <cellStyle name="Style 52 4" xfId="15940" xr:uid="{5A273342-C87A-41B4-B01F-FC6392759181}"/>
    <cellStyle name="Style 52 5" xfId="15941" xr:uid="{DBF17209-F4B2-4C0E-A37D-14B5B1F80A5E}"/>
    <cellStyle name="Style 52 6" xfId="15942" xr:uid="{B6787ED7-0BA9-492D-89F8-D76E3CA60391}"/>
    <cellStyle name="Style 58" xfId="15943" xr:uid="{5422C062-2799-4598-9299-5EC96689E0BB}"/>
    <cellStyle name="Style 58 2" xfId="15944" xr:uid="{4728C645-344C-428B-8D1F-BFACE3D89F23}"/>
    <cellStyle name="Style 58 2 2" xfId="15945" xr:uid="{70C640DD-613A-4EE5-94D3-F16ACC0DE742}"/>
    <cellStyle name="Style 58 2 3" xfId="15946" xr:uid="{615C0DDD-EDC6-4494-B7B8-0987BEFCA2FB}"/>
    <cellStyle name="Style 58 2 4" xfId="15947" xr:uid="{E5228794-5D75-415A-BCAE-EC247DDB7E7E}"/>
    <cellStyle name="Style 58 2 5" xfId="15948" xr:uid="{C8D81FB1-3236-48FE-A0C3-00A2FDD41057}"/>
    <cellStyle name="Style 58 3" xfId="15949" xr:uid="{70EA69CC-B7E7-4075-BD4B-E38776897D60}"/>
    <cellStyle name="Style 58 3 2" xfId="15950" xr:uid="{042935C1-05C0-4F10-BFAF-DA0B8A5828BB}"/>
    <cellStyle name="Style 58 3 3" xfId="15951" xr:uid="{05095229-05F3-4F46-BA13-9DDA29196BB1}"/>
    <cellStyle name="Style 58 3 4" xfId="15952" xr:uid="{3CFF5658-3975-48F1-AB9D-BE00199FB452}"/>
    <cellStyle name="Style 58 3 5" xfId="15953" xr:uid="{7C6307D3-88F1-4C45-BDD0-06514A803BF4}"/>
    <cellStyle name="Style 58 4" xfId="15954" xr:uid="{C7AAA6B2-C659-4229-9CE4-DEE7425D9010}"/>
    <cellStyle name="Style 58 5" xfId="15955" xr:uid="{BE4C9F18-149D-4617-A1E8-2C9D899C8D21}"/>
    <cellStyle name="Style 58 6" xfId="15956" xr:uid="{A89AFC18-C021-4DC7-9BA8-8834C22A83FC}"/>
    <cellStyle name="Style 58 7" xfId="15957" xr:uid="{A362AB62-A8DD-498A-83B4-FA0CFD8E1BDE}"/>
    <cellStyle name="Style 59" xfId="15958" xr:uid="{98DDAA29-DA01-4734-B7F9-52042A21E34B}"/>
    <cellStyle name="Style 59 2" xfId="15959" xr:uid="{55892F89-24F0-46FC-8C6D-C5A7B4053232}"/>
    <cellStyle name="Style 59 2 2" xfId="15960" xr:uid="{D936A329-31C8-47F1-8FDD-2C59FDEE1510}"/>
    <cellStyle name="Style 59 2 3" xfId="15961" xr:uid="{95D4C85C-5E01-486A-A5DD-41A3E1D64443}"/>
    <cellStyle name="Style 59 2 4" xfId="15962" xr:uid="{3CE7B485-B5B8-4A28-BE0D-E6B00C1C381F}"/>
    <cellStyle name="Style 59 2 5" xfId="15963" xr:uid="{1A88FC00-3E20-4F51-B96E-F0604A03B51A}"/>
    <cellStyle name="Style 59 3" xfId="15964" xr:uid="{3C83E4B7-DF37-401E-82AB-6A99393A32DA}"/>
    <cellStyle name="Style 59 4" xfId="15965" xr:uid="{61E39144-2430-4284-A847-EDBD84E0586A}"/>
    <cellStyle name="Style 59 5" xfId="15966" xr:uid="{9A3AA4C9-605B-40F9-9B01-F30277CCD3B1}"/>
    <cellStyle name="Style 59 6" xfId="15967" xr:uid="{143737EA-F94F-4BA0-87F5-264B39051BE8}"/>
    <cellStyle name="Style 60" xfId="15968" xr:uid="{E1D38E3D-EADE-4C6B-B1BA-50809A017EAB}"/>
    <cellStyle name="Style 60 2" xfId="15969" xr:uid="{8D7FAEC1-6A65-46AC-8116-03B1AE4EFC05}"/>
    <cellStyle name="Style 60 2 2" xfId="15970" xr:uid="{954279FD-BE4F-4481-914F-B6B1C6216481}"/>
    <cellStyle name="Style 60 2 3" xfId="15971" xr:uid="{CE4CC3AD-F3D4-4D65-8CBE-EDE6F7B4CEB6}"/>
    <cellStyle name="Style 60 2 4" xfId="15972" xr:uid="{C53E4409-D323-46A6-9578-E57AEE14CCA8}"/>
    <cellStyle name="Style 60 2 5" xfId="15973" xr:uid="{9118D080-FBE0-4390-B42A-D50CA3B65E2A}"/>
    <cellStyle name="Style 60 3" xfId="15974" xr:uid="{BBA204B8-F169-4403-95B7-B0776A4D56B7}"/>
    <cellStyle name="Style 60 4" xfId="15975" xr:uid="{A65AC6D7-FF49-479E-B733-2F3895A1D94C}"/>
    <cellStyle name="Style 60 5" xfId="15976" xr:uid="{DD883D37-D233-4F9B-80FA-02A8A6861823}"/>
    <cellStyle name="Style 60 6" xfId="15977" xr:uid="{62FD06A6-D867-44D5-960F-6028BA5442F4}"/>
    <cellStyle name="Style 61" xfId="15978" xr:uid="{ED15EC01-005D-4C55-9B80-586EC2DC7234}"/>
    <cellStyle name="Style 61 2" xfId="15979" xr:uid="{F98AAFD4-CB1E-40CC-B88D-88E231C98462}"/>
    <cellStyle name="Style 61 2 2" xfId="15980" xr:uid="{D5DF0D73-DFF2-4CCE-9850-8FE4D50C33DD}"/>
    <cellStyle name="Style 61 2 3" xfId="15981" xr:uid="{16BB25BB-AC9E-4AAF-A70F-A00FBC1F1AB1}"/>
    <cellStyle name="Style 61 2 4" xfId="15982" xr:uid="{65FC81D5-022B-49D6-897E-D174633DDDCB}"/>
    <cellStyle name="Style 61 2 5" xfId="15983" xr:uid="{09AD6083-A1B2-4E45-9810-16D53F87F3C3}"/>
    <cellStyle name="Style 61 3" xfId="15984" xr:uid="{26AC6F46-25D3-436A-B25D-7F298FF72BBC}"/>
    <cellStyle name="Style 61 4" xfId="15985" xr:uid="{DAB8EC91-CF8C-451A-9116-514A9A541813}"/>
    <cellStyle name="Style 61 5" xfId="15986" xr:uid="{60518B6E-C204-4515-9C37-A1E2B97C2EEB}"/>
    <cellStyle name="Style 61 6" xfId="15987" xr:uid="{3F60786B-1EB6-4F8D-99F0-8B94663C841B}"/>
    <cellStyle name="Style 62" xfId="15988" xr:uid="{4311933F-0187-42C4-9FD1-5B5F4D9A3F0C}"/>
    <cellStyle name="Style 62 2" xfId="15989" xr:uid="{F6859C73-0E45-4F76-8381-83020EF2C0E2}"/>
    <cellStyle name="Style 62 2 2" xfId="15990" xr:uid="{FA8285E5-6927-4B1F-8618-B0E8A3100F23}"/>
    <cellStyle name="Style 62 2 3" xfId="15991" xr:uid="{2E9E03FF-A8D2-4FD9-868A-C2A459B0F4D0}"/>
    <cellStyle name="Style 62 2 4" xfId="15992" xr:uid="{F35523AC-3964-48EE-B7A7-198207950C42}"/>
    <cellStyle name="Style 62 2 5" xfId="15993" xr:uid="{EB298866-A339-4D2A-9AA8-85C5CDC0CECE}"/>
    <cellStyle name="Style 62 3" xfId="15994" xr:uid="{4F61B9E6-D9F6-4D32-847F-EF737573B0FB}"/>
    <cellStyle name="Style 62 3 2" xfId="15995" xr:uid="{68720DE0-0ECF-483E-A4ED-930392E7426A}"/>
    <cellStyle name="Style 62 3 3" xfId="15996" xr:uid="{A29A2129-5ABA-4398-BE00-8D201743F236}"/>
    <cellStyle name="Style 62 3 4" xfId="15997" xr:uid="{D2EE5E09-D5D9-4259-B038-61A7BA7CC898}"/>
    <cellStyle name="Style 62 3 5" xfId="15998" xr:uid="{8DCF63F3-CAFB-4597-A5B5-19B9AAD99212}"/>
    <cellStyle name="Style 62 4" xfId="15999" xr:uid="{C04F1465-3053-43CA-9A7D-0E298E99282D}"/>
    <cellStyle name="Style 62 5" xfId="16000" xr:uid="{ABE17418-F44E-4E9B-8B74-9ACC551ADF35}"/>
    <cellStyle name="Style 62 6" xfId="16001" xr:uid="{8F8D663F-52D9-4434-978F-690465CB4D26}"/>
    <cellStyle name="Style 62 7" xfId="16002" xr:uid="{C6168E3D-946B-472C-B0CB-5F42A6A24C7C}"/>
    <cellStyle name="Style 63" xfId="16003" xr:uid="{0BF8F642-8F66-42BD-91C8-6A0D5403A70E}"/>
    <cellStyle name="Style 63 2" xfId="16004" xr:uid="{186B56E2-1D8B-4B4D-AB29-C8727CA55763}"/>
    <cellStyle name="Style 63 2 2" xfId="16005" xr:uid="{FDA1AB7C-A807-410E-9041-20FB89CAE343}"/>
    <cellStyle name="Style 63 2 3" xfId="16006" xr:uid="{1B1C86F2-CE7F-4955-BAF4-C1DA56D7DCDF}"/>
    <cellStyle name="Style 63 2 4" xfId="16007" xr:uid="{3CF4B603-C23F-432B-84F7-7E452D705F29}"/>
    <cellStyle name="Style 63 2 5" xfId="16008" xr:uid="{8F9FDE63-D11E-441E-8B0D-C25EF91FEBF9}"/>
    <cellStyle name="Style 63 3" xfId="16009" xr:uid="{27B1518C-40C3-4DEB-8A26-F7AF1304C012}"/>
    <cellStyle name="Style 63 4" xfId="16010" xr:uid="{42272FC0-DB32-40DD-896B-182DF77FB0DF}"/>
    <cellStyle name="Style 63 5" xfId="16011" xr:uid="{E1E306C5-F3D9-472D-91F6-5377B25F5522}"/>
    <cellStyle name="Style 63 6" xfId="16012" xr:uid="{32F915F1-62FE-489F-A98F-DE0183164551}"/>
    <cellStyle name="Style 64" xfId="16013" xr:uid="{26F7AD4B-6821-4937-B26E-20C7B0952527}"/>
    <cellStyle name="Style 64 2" xfId="16014" xr:uid="{D0154686-00C0-4B94-B509-5DFDD89521C6}"/>
    <cellStyle name="Style 64 2 2" xfId="16015" xr:uid="{AB4C0A80-218F-48D6-AA22-803540168CE7}"/>
    <cellStyle name="Style 64 2 3" xfId="16016" xr:uid="{CAF2CEFF-C790-4BFB-9F86-693359E98516}"/>
    <cellStyle name="Style 64 2 4" xfId="16017" xr:uid="{AD22F723-8535-4E3B-8902-B09AFDB117F0}"/>
    <cellStyle name="Style 64 2 5" xfId="16018" xr:uid="{15441F28-B527-4271-84C3-69078BEC0C5F}"/>
    <cellStyle name="Style 64 3" xfId="16019" xr:uid="{5B09064B-1750-4CB7-A6D4-2CA365832160}"/>
    <cellStyle name="Style 64 4" xfId="16020" xr:uid="{D3D33930-5B18-4EB0-ABF2-B5E76048F98C}"/>
    <cellStyle name="Style 64 5" xfId="16021" xr:uid="{80F9567D-FCC8-48F4-9F7C-70973C9D37D3}"/>
    <cellStyle name="Style 64 6" xfId="16022" xr:uid="{C1F697B5-E1FB-4777-962D-9514C5E19739}"/>
    <cellStyle name="Style 69" xfId="16023" xr:uid="{A35C296B-817F-4291-9435-0D1740575409}"/>
    <cellStyle name="Style 69 2" xfId="16024" xr:uid="{149C8D09-E6E4-443F-ABC9-78F636E8FAC4}"/>
    <cellStyle name="Style 69 2 2" xfId="16025" xr:uid="{E95BFABF-606B-48B2-A334-422CA164C5C4}"/>
    <cellStyle name="Style 69 2 3" xfId="16026" xr:uid="{48673F05-2F32-490E-A18A-2C11815667B5}"/>
    <cellStyle name="Style 69 2 4" xfId="16027" xr:uid="{FFB1E86E-4018-401D-9464-BB7811F34700}"/>
    <cellStyle name="Style 69 2 5" xfId="16028" xr:uid="{237D315F-562D-4B48-B23F-0D499EE5F011}"/>
    <cellStyle name="Style 69 3" xfId="16029" xr:uid="{32970846-72B5-4502-A9D5-80B594ACA0BF}"/>
    <cellStyle name="Style 69 3 2" xfId="16030" xr:uid="{65B7E11F-E648-4AD2-9378-61796CDA4797}"/>
    <cellStyle name="Style 69 3 3" xfId="16031" xr:uid="{45B33900-65C6-4225-90A7-BA0697DEBD3C}"/>
    <cellStyle name="Style 69 3 4" xfId="16032" xr:uid="{D802DF65-09CD-4AB6-B6CE-79663BAC216B}"/>
    <cellStyle name="Style 69 3 5" xfId="16033" xr:uid="{9200EE51-6973-43CE-B424-37494D239D10}"/>
    <cellStyle name="Style 69 4" xfId="16034" xr:uid="{D853BE4B-AC06-4781-9E1E-C26924254538}"/>
    <cellStyle name="Style 69 5" xfId="16035" xr:uid="{C3A144EE-48DB-4835-9910-11893BDE275F}"/>
    <cellStyle name="Style 69 6" xfId="16036" xr:uid="{F8D6D81E-4931-45B2-AAD7-846ED7C57061}"/>
    <cellStyle name="Style 69 7" xfId="16037" xr:uid="{320AD14A-2FAB-453D-AA3B-1185D73706DF}"/>
    <cellStyle name="Style 70" xfId="16038" xr:uid="{97508EB2-1296-4EE0-B6D5-CF133363301E}"/>
    <cellStyle name="Style 70 2" xfId="16039" xr:uid="{AA953E25-8E31-45EC-AF5D-FF5651B5C2AC}"/>
    <cellStyle name="Style 70 2 2" xfId="16040" xr:uid="{853AA570-45CD-4FC2-9C7E-B2BF2342FC44}"/>
    <cellStyle name="Style 70 2 3" xfId="16041" xr:uid="{AC20F952-F484-4C21-A1A8-48E329B76FC2}"/>
    <cellStyle name="Style 70 2 4" xfId="16042" xr:uid="{E6250D84-0A0D-4795-A377-2BCB42038871}"/>
    <cellStyle name="Style 70 2 5" xfId="16043" xr:uid="{CB72D919-4887-47C1-B2F3-C6505296F58C}"/>
    <cellStyle name="Style 70 3" xfId="16044" xr:uid="{75B065C6-4C16-45E5-A2BE-08C61A6A9884}"/>
    <cellStyle name="Style 70 4" xfId="16045" xr:uid="{55426C5C-639B-449D-BEF8-DE2F0929E454}"/>
    <cellStyle name="Style 70 5" xfId="16046" xr:uid="{01680D96-A4BC-4224-8FC3-792DBFA1E01A}"/>
    <cellStyle name="Style 70 6" xfId="16047" xr:uid="{52C74501-B4E0-4DC6-88D2-3B1CF55BF1CE}"/>
    <cellStyle name="Style 71" xfId="16048" xr:uid="{54F83297-B7D9-4730-8A77-E1240E563031}"/>
    <cellStyle name="Style 71 2" xfId="16049" xr:uid="{9BA780C4-B3FF-444B-AFB8-1A9E25727955}"/>
    <cellStyle name="Style 71 2 2" xfId="16050" xr:uid="{1B7BB6B5-89C3-4463-9541-635AC6A641C2}"/>
    <cellStyle name="Style 71 2 3" xfId="16051" xr:uid="{55CA85BF-F237-4D36-9DDC-784D3CD62B64}"/>
    <cellStyle name="Style 71 2 4" xfId="16052" xr:uid="{3266A210-7A0C-430F-A93F-106F9690F71A}"/>
    <cellStyle name="Style 71 2 5" xfId="16053" xr:uid="{7DCDDFBD-3668-4FE0-A9C1-1521F2A3B2C9}"/>
    <cellStyle name="Style 71 3" xfId="16054" xr:uid="{89E13E73-02B3-475A-A87C-8507AFD282E8}"/>
    <cellStyle name="Style 71 4" xfId="16055" xr:uid="{BF8133AC-9EA4-49CE-8B7F-5618FE28B571}"/>
    <cellStyle name="Style 71 5" xfId="16056" xr:uid="{3F65AB82-693F-4FA7-8342-5D34A812FEDA}"/>
    <cellStyle name="Style 71 6" xfId="16057" xr:uid="{656ADBC3-497A-4A88-84D5-82C9AB10FB84}"/>
    <cellStyle name="Style 72" xfId="16058" xr:uid="{45697909-EE2A-4989-9AB1-6A81E47ED0B3}"/>
    <cellStyle name="Style 72 2" xfId="16059" xr:uid="{F0A560A9-C494-4EC1-94BE-499A081639B6}"/>
    <cellStyle name="Style 72 2 2" xfId="16060" xr:uid="{AE1C0C1F-A9C6-43C5-BA4F-3A0CC5C7C980}"/>
    <cellStyle name="Style 72 2 3" xfId="16061" xr:uid="{481B862D-FE8E-4DC3-AD5D-4C3DB5F23563}"/>
    <cellStyle name="Style 72 2 4" xfId="16062" xr:uid="{52990E7B-35BE-4102-9255-922C8DC99A6E}"/>
    <cellStyle name="Style 72 2 5" xfId="16063" xr:uid="{FC9331D6-BA97-487C-95DC-BA64405CCF31}"/>
    <cellStyle name="Style 72 3" xfId="16064" xr:uid="{CC41C79E-0BBB-4767-A7AB-4A241C4249BE}"/>
    <cellStyle name="Style 72 4" xfId="16065" xr:uid="{3A155682-9B6D-4757-8D26-9B2C1825962B}"/>
    <cellStyle name="Style 72 5" xfId="16066" xr:uid="{8A5937F9-2866-46DE-8F0E-78A7199D0804}"/>
    <cellStyle name="Style 72 6" xfId="16067" xr:uid="{2F58365F-B7C8-4DD0-A0BD-8CB150479C57}"/>
    <cellStyle name="Style 73" xfId="16068" xr:uid="{6E607DA4-A6BC-473F-8F0A-8D494621FE7F}"/>
    <cellStyle name="Style 73 2" xfId="16069" xr:uid="{7E21768F-CC5E-4CF2-8DB9-7791919E95B0}"/>
    <cellStyle name="Style 73 2 2" xfId="16070" xr:uid="{83D0EEAC-CABE-48AD-9E6F-85DFA74F98D6}"/>
    <cellStyle name="Style 73 2 3" xfId="16071" xr:uid="{CD4D9E11-87D3-4998-8B31-961E1748EC2D}"/>
    <cellStyle name="Style 73 2 4" xfId="16072" xr:uid="{B643382D-C07B-499D-B194-593D6A9712E4}"/>
    <cellStyle name="Style 73 2 5" xfId="16073" xr:uid="{EBED10C1-0229-4D36-851D-AA22524DFCA2}"/>
    <cellStyle name="Style 73 3" xfId="16074" xr:uid="{C7601D62-BE1F-4005-9A87-A2DFBAF90E6F}"/>
    <cellStyle name="Style 73 3 2" xfId="16075" xr:uid="{766E8BE7-3E48-47B0-A0F4-8CF93D4CE09F}"/>
    <cellStyle name="Style 73 3 3" xfId="16076" xr:uid="{E7845DD9-E59C-4AB7-8946-084A45486FBF}"/>
    <cellStyle name="Style 73 3 4" xfId="16077" xr:uid="{64A14C6C-5156-4D59-8651-964925E414B0}"/>
    <cellStyle name="Style 73 3 5" xfId="16078" xr:uid="{15B71ED8-AAAE-4563-A9AB-9B80F2315E0F}"/>
    <cellStyle name="Style 73 4" xfId="16079" xr:uid="{7AE79AA9-EFCA-43F3-A240-84EB67847082}"/>
    <cellStyle name="Style 73 5" xfId="16080" xr:uid="{0FAB338C-BBB8-4E13-8346-8201A980855B}"/>
    <cellStyle name="Style 73 6" xfId="16081" xr:uid="{66EBEDD8-6211-4179-96BB-8A332316D034}"/>
    <cellStyle name="Style 73 7" xfId="16082" xr:uid="{69246158-21FA-4C7F-AEE8-8624E31EE4E5}"/>
    <cellStyle name="Style 74" xfId="16083" xr:uid="{77A21557-2DFD-45CA-BBC3-B6022A7B5FB1}"/>
    <cellStyle name="Style 74 2" xfId="16084" xr:uid="{67806F42-96E0-4622-A67A-F020A9C118D5}"/>
    <cellStyle name="Style 74 2 2" xfId="16085" xr:uid="{0F4243FB-B7A3-4843-BCF7-4CDDD8807454}"/>
    <cellStyle name="Style 74 2 3" xfId="16086" xr:uid="{76058123-FCE0-4EA5-8B45-9FAF30AF638F}"/>
    <cellStyle name="Style 74 2 4" xfId="16087" xr:uid="{3E65D2AC-B163-48C4-A7AC-026003040B81}"/>
    <cellStyle name="Style 74 2 5" xfId="16088" xr:uid="{94B02031-1C80-49E1-A2FB-709D5D29EEDD}"/>
    <cellStyle name="Style 74 3" xfId="16089" xr:uid="{85C649F6-99C6-44D5-BC7F-A527CED71D3C}"/>
    <cellStyle name="Style 74 4" xfId="16090" xr:uid="{E36CDEFC-4336-48B5-84E1-09CBF58BCAFE}"/>
    <cellStyle name="Style 74 5" xfId="16091" xr:uid="{5621D611-DBEB-4BAC-BCD8-272ED0910AE2}"/>
    <cellStyle name="Style 74 6" xfId="16092" xr:uid="{3ECEC0E6-9B8F-4511-88A5-FE3E73BBDB90}"/>
    <cellStyle name="Style 75" xfId="16093" xr:uid="{441EBF24-B5F1-471D-8D0D-2B98EDCAE2B6}"/>
    <cellStyle name="Style 75 2" xfId="16094" xr:uid="{9E004E9F-0A71-4FDF-9182-CDAFC953D888}"/>
    <cellStyle name="Style 75 2 2" xfId="16095" xr:uid="{9FA8109C-CCF2-499E-8CDF-AE6E801D3B5A}"/>
    <cellStyle name="Style 75 2 3" xfId="16096" xr:uid="{58EAD911-6604-4DB5-BD0B-EE69CE8A3A7B}"/>
    <cellStyle name="Style 75 2 4" xfId="16097" xr:uid="{B4020C22-09D5-490B-91A6-8E66C08A8D8E}"/>
    <cellStyle name="Style 75 2 5" xfId="16098" xr:uid="{4CEE7926-C9E8-4743-8349-809FD693C56E}"/>
    <cellStyle name="Style 75 3" xfId="16099" xr:uid="{2144A332-9B97-48BF-AC07-EBD96E01E197}"/>
    <cellStyle name="Style 75 4" xfId="16100" xr:uid="{927E1BBD-EFA9-4A50-92ED-9AA50748FC98}"/>
    <cellStyle name="Style 75 5" xfId="16101" xr:uid="{10BB2B6D-32F6-4AD2-80D0-72CB7D5390DB}"/>
    <cellStyle name="Style 75 6" xfId="16102" xr:uid="{0704968B-E8A0-4AA7-899B-9C1659CD8F00}"/>
    <cellStyle name="Style 80" xfId="16103" xr:uid="{77E51D6B-5604-45A4-8D57-7E7F33AB6B04}"/>
    <cellStyle name="Style 80 2" xfId="16104" xr:uid="{8C6FC5BD-61C6-4362-9B83-B70426755497}"/>
    <cellStyle name="Style 80 2 2" xfId="16105" xr:uid="{0F800083-704C-44C5-AADF-4DB9AF7ABFB3}"/>
    <cellStyle name="Style 80 2 3" xfId="16106" xr:uid="{6B274B5B-E7F9-431D-8951-B2D1BE20BA7F}"/>
    <cellStyle name="Style 80 2 4" xfId="16107" xr:uid="{98446BB2-EB38-4A07-9910-EA94D37E3553}"/>
    <cellStyle name="Style 80 2 5" xfId="16108" xr:uid="{581AB105-FD54-4B8D-A4C1-7975940070A8}"/>
    <cellStyle name="Style 80 3" xfId="16109" xr:uid="{000383A2-13EA-477E-AAFA-FB6C396BE98C}"/>
    <cellStyle name="Style 80 3 2" xfId="16110" xr:uid="{D1170B10-7FF0-4457-B11C-C1E17841A02F}"/>
    <cellStyle name="Style 80 3 3" xfId="16111" xr:uid="{0AE7EDCA-F6B8-4CD2-BA13-D65E9C67A0F1}"/>
    <cellStyle name="Style 80 3 4" xfId="16112" xr:uid="{98408330-DC77-44C8-9FD0-BEDE8353D83E}"/>
    <cellStyle name="Style 80 3 5" xfId="16113" xr:uid="{06464EED-C94F-4EFC-9D34-E477D96FF3E4}"/>
    <cellStyle name="Style 80 4" xfId="16114" xr:uid="{A31F35AE-F137-4407-B55D-61C14FF2924F}"/>
    <cellStyle name="Style 80 5" xfId="16115" xr:uid="{73BC3684-2638-46BA-A6DB-D966D64AB47E}"/>
    <cellStyle name="Style 80 6" xfId="16116" xr:uid="{53F1C18E-2024-4002-B889-DCBB59BF1888}"/>
    <cellStyle name="Style 80 7" xfId="16117" xr:uid="{6F23AB00-448D-4C1B-8334-E5A7921804D2}"/>
    <cellStyle name="Style 81" xfId="16118" xr:uid="{5EB2E4CC-6FA3-449C-8895-4E5330B1BCFC}"/>
    <cellStyle name="Style 81 2" xfId="16119" xr:uid="{7D24FBB8-6F32-4939-8F27-011D61AC20E6}"/>
    <cellStyle name="Style 81 2 2" xfId="16120" xr:uid="{CE63D2B3-FA3C-44CA-902C-191A7029C50F}"/>
    <cellStyle name="Style 81 2 3" xfId="16121" xr:uid="{6DECEBAB-6748-4F14-AAFB-AAB1DD55D591}"/>
    <cellStyle name="Style 81 2 4" xfId="16122" xr:uid="{04B0A6A6-E971-451D-A328-2E6028972573}"/>
    <cellStyle name="Style 81 2 5" xfId="16123" xr:uid="{9EBBCFE5-D303-4730-AAD2-CDBA76E1A399}"/>
    <cellStyle name="Style 81 3" xfId="16124" xr:uid="{3C475CDF-EA1F-44C7-8B56-16FA95AFEE76}"/>
    <cellStyle name="Style 81 3 2" xfId="16125" xr:uid="{455369E0-F52C-4868-85EC-69387D43BBFE}"/>
    <cellStyle name="Style 81 3 3" xfId="16126" xr:uid="{7CE20A51-8F7A-4991-871E-C8B6C19F28BF}"/>
    <cellStyle name="Style 81 3 4" xfId="16127" xr:uid="{A514BF17-4EB5-47BC-975F-CE9237249156}"/>
    <cellStyle name="Style 81 3 5" xfId="16128" xr:uid="{109CE0DC-5EC5-4C2F-B6F1-9017D0F812DE}"/>
    <cellStyle name="Style 81 4" xfId="16129" xr:uid="{8B9365DE-0E7D-4498-B26D-E32C1842C4DC}"/>
    <cellStyle name="Style 81 5" xfId="16130" xr:uid="{6FD84989-544C-4F09-8C7E-D3F75530A4B3}"/>
    <cellStyle name="Style 81 6" xfId="16131" xr:uid="{0B7DFEF9-C76B-4FC4-B06D-1AA40BC493D7}"/>
    <cellStyle name="Style 81 7" xfId="16132" xr:uid="{522FB660-32F3-4147-954C-949E538E6DD2}"/>
    <cellStyle name="Style 82" xfId="16133" xr:uid="{53B20FA0-4525-4DD3-9030-F893E3F8670E}"/>
    <cellStyle name="Style 82 2" xfId="16134" xr:uid="{AD8FDAB9-2680-4D40-B392-DECB246386D7}"/>
    <cellStyle name="Style 82 2 2" xfId="16135" xr:uid="{0F2E9945-9BE6-407B-BDF7-05938DA3C033}"/>
    <cellStyle name="Style 82 2 3" xfId="16136" xr:uid="{72D1B7EE-B342-4586-B7EA-A21DD8D68408}"/>
    <cellStyle name="Style 82 2 4" xfId="16137" xr:uid="{C43F1E75-61E4-4FAC-92DE-BEA798DEDEDA}"/>
    <cellStyle name="Style 82 2 5" xfId="16138" xr:uid="{ADCB4C56-78B6-45BE-8DB2-AA66DF4F50E0}"/>
    <cellStyle name="Style 82 3" xfId="16139" xr:uid="{32C83281-A5AE-44D1-84E2-53AA887237F5}"/>
    <cellStyle name="Style 82 4" xfId="16140" xr:uid="{F222B5CC-A674-40AC-939A-20F86917D200}"/>
    <cellStyle name="Style 82 5" xfId="16141" xr:uid="{B6DDCED4-210C-4C33-B870-F77BAD894EA4}"/>
    <cellStyle name="Style 82 6" xfId="16142" xr:uid="{026B9811-23F7-4CB6-88F0-AA8ADE5030A9}"/>
    <cellStyle name="Style 83" xfId="16143" xr:uid="{5602D080-26F6-4FA7-99F7-B020A11F68A8}"/>
    <cellStyle name="Style 83 2" xfId="16144" xr:uid="{ABBC4F59-AC49-46FE-804E-BA42AF48930E}"/>
    <cellStyle name="Style 83 2 2" xfId="16145" xr:uid="{81A626A1-0624-411C-9A83-6C0EDDA9F7C1}"/>
    <cellStyle name="Style 83 2 3" xfId="16146" xr:uid="{93E809D4-FA73-4312-8A4E-51157C69CBCC}"/>
    <cellStyle name="Style 83 2 4" xfId="16147" xr:uid="{70EC26AD-4D37-4CFB-A56B-88D0B230A4DA}"/>
    <cellStyle name="Style 83 2 5" xfId="16148" xr:uid="{A81106B7-FD55-4BE2-ADBC-F9D25DF216A6}"/>
    <cellStyle name="Style 83 3" xfId="16149" xr:uid="{29C89CEC-C730-4493-9800-3310FA38382B}"/>
    <cellStyle name="Style 83 4" xfId="16150" xr:uid="{53616C99-B970-4B82-A4D6-E4C71CD5F6F5}"/>
    <cellStyle name="Style 83 5" xfId="16151" xr:uid="{8C4F94C3-C5AA-42D5-AEE4-1953DF4818BB}"/>
    <cellStyle name="Style 83 6" xfId="16152" xr:uid="{BF506AB6-06DE-4CA3-AD88-3D4DECAC397F}"/>
    <cellStyle name="Style 84" xfId="16153" xr:uid="{C162CF0E-E862-4041-AE9A-7FC36E2AE459}"/>
    <cellStyle name="Style 84 2" xfId="16154" xr:uid="{58530A4B-3E99-4B8C-BB63-EC14A4682456}"/>
    <cellStyle name="Style 84 2 2" xfId="16155" xr:uid="{BD15B18B-0D28-4409-BF42-B67E63D0BB77}"/>
    <cellStyle name="Style 84 2 3" xfId="16156" xr:uid="{3198E3A8-5E18-46B8-96B7-A7CBC3E5FACD}"/>
    <cellStyle name="Style 84 2 4" xfId="16157" xr:uid="{2766DA89-333E-4FA1-B2D5-889C35B604B9}"/>
    <cellStyle name="Style 84 2 5" xfId="16158" xr:uid="{8669E29C-B501-4B5D-BECA-A776E5BC6BEF}"/>
    <cellStyle name="Style 84 3" xfId="16159" xr:uid="{DC3359AF-09AB-4739-B7B3-E01BD25EAD1A}"/>
    <cellStyle name="Style 84 4" xfId="16160" xr:uid="{BE923996-805A-4BDB-9FBD-49115FCDF68A}"/>
    <cellStyle name="Style 84 5" xfId="16161" xr:uid="{EBB6AE87-1DD1-40B2-A000-6C45A794A3CE}"/>
    <cellStyle name="Style 84 6" xfId="16162" xr:uid="{0AD21A3E-F380-43A5-8622-E7A052AB0E28}"/>
    <cellStyle name="Style 85" xfId="16163" xr:uid="{C518CF4E-EDC2-4655-B257-BA1513EE0388}"/>
    <cellStyle name="Style 85 2" xfId="16164" xr:uid="{873B3769-DD51-485B-97F2-5E545DF3726E}"/>
    <cellStyle name="Style 85 2 2" xfId="16165" xr:uid="{9AB841B0-A4A1-4419-94D7-3C48CEF3E5EB}"/>
    <cellStyle name="Style 85 2 3" xfId="16166" xr:uid="{7884E62B-2399-4350-B70F-CE41ED0C528B}"/>
    <cellStyle name="Style 85 2 4" xfId="16167" xr:uid="{81411AFE-214B-43E1-B2A6-7FC8B4F4F670}"/>
    <cellStyle name="Style 85 2 5" xfId="16168" xr:uid="{6EBF33FD-14FE-4993-8857-7FE856A263B8}"/>
    <cellStyle name="Style 85 3" xfId="16169" xr:uid="{7E263567-7B56-4631-92E8-6EFBC6CF48F4}"/>
    <cellStyle name="Style 85 3 2" xfId="16170" xr:uid="{A97101BF-64DE-4F1D-922E-BB33715C524D}"/>
    <cellStyle name="Style 85 3 3" xfId="16171" xr:uid="{3A975344-0F9C-4E7A-B802-C3808B74661B}"/>
    <cellStyle name="Style 85 3 4" xfId="16172" xr:uid="{9B233886-9717-4E0D-BFFC-F988A2C19C7C}"/>
    <cellStyle name="Style 85 3 5" xfId="16173" xr:uid="{282DA1EB-63A0-42D5-9B1C-43C4DF26FCAD}"/>
    <cellStyle name="Style 85 4" xfId="16174" xr:uid="{0E59A807-0F3F-41EF-A255-3EB4D91FC011}"/>
    <cellStyle name="Style 85 5" xfId="16175" xr:uid="{BA3DACAD-1978-4551-8EB1-2849C7E5DC1B}"/>
    <cellStyle name="Style 85 6" xfId="16176" xr:uid="{A1BD51CA-313B-4DC0-99E3-7BD9DA2B02F0}"/>
    <cellStyle name="Style 85 7" xfId="16177" xr:uid="{D12B25EE-26FC-4960-BF55-45133AE6C23C}"/>
    <cellStyle name="Style 86" xfId="16178" xr:uid="{E3E1F070-3839-4EAC-B6B0-C9A98903F814}"/>
    <cellStyle name="Style 86 2" xfId="16179" xr:uid="{57ACFCED-AEC1-4161-9503-A186ED4762F7}"/>
    <cellStyle name="Style 86 2 2" xfId="16180" xr:uid="{B0814281-47B3-47D6-A6FA-5396E7CE3ABF}"/>
    <cellStyle name="Style 86 2 3" xfId="16181" xr:uid="{20274700-8B4A-4ED7-B950-083E7DBE7129}"/>
    <cellStyle name="Style 86 2 4" xfId="16182" xr:uid="{A5E8DE78-FF34-4CB4-8C45-EF98170940EA}"/>
    <cellStyle name="Style 86 2 5" xfId="16183" xr:uid="{01355968-03AF-43CA-9983-398A4D9F8DDD}"/>
    <cellStyle name="Style 86 3" xfId="16184" xr:uid="{E1BCE76B-0727-4DA7-83C6-8236F0588D2B}"/>
    <cellStyle name="Style 86 4" xfId="16185" xr:uid="{71BD5BC3-1242-44F8-962D-1FF1676250DC}"/>
    <cellStyle name="Style 86 5" xfId="16186" xr:uid="{107B3330-438F-431B-A3C8-AABC987A45F0}"/>
    <cellStyle name="Style 86 6" xfId="16187" xr:uid="{1651F8FB-1251-44D4-A417-22A587C7DDD7}"/>
    <cellStyle name="Style 87" xfId="16188" xr:uid="{CED903A0-3F77-4696-A3A7-3301E3C1326A}"/>
    <cellStyle name="Style 87 2" xfId="16189" xr:uid="{99C60122-A216-4E67-94DF-E952E73F7D3E}"/>
    <cellStyle name="Style 87 2 2" xfId="16190" xr:uid="{4D1D3313-57BC-4775-9938-421488FEF713}"/>
    <cellStyle name="Style 87 2 3" xfId="16191" xr:uid="{E461F619-ABA7-4DD8-BCDA-393BAF3BB270}"/>
    <cellStyle name="Style 87 2 4" xfId="16192" xr:uid="{4983FA31-BC96-4D58-9333-F4FE0C32BA83}"/>
    <cellStyle name="Style 87 2 5" xfId="16193" xr:uid="{136BF366-DE9B-4607-B146-504073F28F6F}"/>
    <cellStyle name="Style 87 3" xfId="16194" xr:uid="{9DA78C72-043C-458C-B0CD-20824115F5A9}"/>
    <cellStyle name="Style 87 4" xfId="16195" xr:uid="{777BC076-6B6C-44BC-A610-6AE1C02DB4C0}"/>
    <cellStyle name="Style 87 5" xfId="16196" xr:uid="{B5A42556-8A34-4F29-A12F-B1C975DA4C8A}"/>
    <cellStyle name="Style 87 6" xfId="16197" xr:uid="{3F3E3FD3-1080-43A2-80BD-E634580B6A02}"/>
    <cellStyle name="Style 93" xfId="16198" xr:uid="{028C336D-38E9-4230-98A8-DDCFC16195A8}"/>
    <cellStyle name="Style 93 2" xfId="16199" xr:uid="{0CD40E5E-39D9-4559-ADD3-54227D5BA444}"/>
    <cellStyle name="Style 93 2 2" xfId="16200" xr:uid="{4E6078AD-BA7E-4CE6-A06F-ED458D29D15D}"/>
    <cellStyle name="Style 93 2 3" xfId="16201" xr:uid="{0CE50D7E-BCBC-4A0B-8678-16D3D18FD555}"/>
    <cellStyle name="Style 93 2 4" xfId="16202" xr:uid="{6BDC05F9-FD74-4BB3-B397-E068F69B05D6}"/>
    <cellStyle name="Style 93 2 5" xfId="16203" xr:uid="{6126CFB3-5B69-473A-ADBB-FDE63C6FFBF7}"/>
    <cellStyle name="Style 93 3" xfId="16204" xr:uid="{0093F1F6-F1AD-4AA4-A5D6-35962D0415D8}"/>
    <cellStyle name="Style 93 3 2" xfId="16205" xr:uid="{BB1A5794-75F5-4EE2-A650-6DB06F3D180F}"/>
    <cellStyle name="Style 93 3 3" xfId="16206" xr:uid="{4FEF8537-9EF7-47BB-A231-7E70B7B0A366}"/>
    <cellStyle name="Style 93 3 4" xfId="16207" xr:uid="{121D615F-BAB4-4A3B-B70D-34ED4063E303}"/>
    <cellStyle name="Style 93 3 5" xfId="16208" xr:uid="{FE2EE2AE-62A7-42AB-A71F-FF6E33751736}"/>
    <cellStyle name="Style 93 4" xfId="16209" xr:uid="{D5E9AB24-D25C-47E7-9BA4-AC899F43E7CA}"/>
    <cellStyle name="Style 93 5" xfId="16210" xr:uid="{97CEF2A7-D77B-4FAF-8753-3DBBCDBF9089}"/>
    <cellStyle name="Style 93 6" xfId="16211" xr:uid="{7FF78111-175E-4BF2-B049-8997231B630D}"/>
    <cellStyle name="Style 93 7" xfId="16212" xr:uid="{64537CE6-1DC2-45A9-A7B2-16231528F66B}"/>
    <cellStyle name="Style 94" xfId="16213" xr:uid="{5CEC7AD9-2710-4EEA-B993-D3D66346B711}"/>
    <cellStyle name="Style 94 2" xfId="16214" xr:uid="{B349B89A-7159-4E34-9FDD-14EDE9AC4DC4}"/>
    <cellStyle name="Style 94 2 2" xfId="16215" xr:uid="{D7A5E50A-D406-4845-BA4D-6B4A8FED0A5E}"/>
    <cellStyle name="Style 94 2 3" xfId="16216" xr:uid="{2D22A7B5-D07D-451C-A68F-C8F1FBDFB532}"/>
    <cellStyle name="Style 94 2 4" xfId="16217" xr:uid="{1619825C-9BCA-405B-A229-1713E07864C2}"/>
    <cellStyle name="Style 94 2 5" xfId="16218" xr:uid="{3C2FF027-2887-4A02-B5E0-8186E7582EA5}"/>
    <cellStyle name="Style 94 3" xfId="16219" xr:uid="{A1BC5CD7-116F-4650-A650-175639EA675E}"/>
    <cellStyle name="Style 94 4" xfId="16220" xr:uid="{8B9E6909-D075-43F0-956D-BBCEFCC37737}"/>
    <cellStyle name="Style 94 5" xfId="16221" xr:uid="{F02108EC-5EE5-475C-8323-F4787EA18C8C}"/>
    <cellStyle name="Style 94 6" xfId="16222" xr:uid="{325A8936-FA8F-43AF-83F5-6F1E2DA5FAC7}"/>
    <cellStyle name="Style 95" xfId="16223" xr:uid="{E84BA428-2347-4FD8-8CAD-AD513C7BCCD8}"/>
    <cellStyle name="Style 95 2" xfId="16224" xr:uid="{6AB9B5CE-FFB6-4D1C-B31A-60D40C3B157F}"/>
    <cellStyle name="Style 95 2 2" xfId="16225" xr:uid="{5B9C8561-20FE-48F6-94BA-2B7F2ABA2839}"/>
    <cellStyle name="Style 95 2 3" xfId="16226" xr:uid="{4E1F2173-3232-4DAF-A313-7647714FE848}"/>
    <cellStyle name="Style 95 2 4" xfId="16227" xr:uid="{5A6739C7-C730-4BB0-9079-925D46CE0659}"/>
    <cellStyle name="Style 95 2 5" xfId="16228" xr:uid="{679CBC52-3B52-4317-8847-7922FC0B39BB}"/>
    <cellStyle name="Style 95 3" xfId="16229" xr:uid="{CD0E3CB2-7E29-4403-B4A3-38C7B4A2E9D8}"/>
    <cellStyle name="Style 95 4" xfId="16230" xr:uid="{BD0B3EDD-9A56-4596-90F2-DA30751A258A}"/>
    <cellStyle name="Style 95 5" xfId="16231" xr:uid="{1CCB7846-C945-4D30-96F7-F8C6768F6E33}"/>
    <cellStyle name="Style 95 6" xfId="16232" xr:uid="{741AF8FF-D816-48DA-899A-BF8131F6CDC4}"/>
    <cellStyle name="Style 96" xfId="16233" xr:uid="{D5389077-F386-4884-B3E6-B92A835FFF94}"/>
    <cellStyle name="Style 96 2" xfId="16234" xr:uid="{55266DDB-06C8-4F8D-8A81-9A1FAADDEE93}"/>
    <cellStyle name="Style 96 2 2" xfId="16235" xr:uid="{AD2397B4-CB42-4C81-95C0-E404C67712A7}"/>
    <cellStyle name="Style 96 2 3" xfId="16236" xr:uid="{B740CF9E-B930-480E-A337-04786531FC52}"/>
    <cellStyle name="Style 96 2 4" xfId="16237" xr:uid="{555D92F0-6917-401F-9F54-4EEAD9B83407}"/>
    <cellStyle name="Style 96 2 5" xfId="16238" xr:uid="{A255B31A-398C-4CC5-80C0-3604400EFD47}"/>
    <cellStyle name="Style 96 3" xfId="16239" xr:uid="{FCB1C514-6462-468F-B9BB-0B95E3976A85}"/>
    <cellStyle name="Style 96 4" xfId="16240" xr:uid="{D9715F85-795C-45F7-BF20-560DE3CF8A26}"/>
    <cellStyle name="Style 96 5" xfId="16241" xr:uid="{031FDED7-3CC8-4009-AE7F-5116581BEE59}"/>
    <cellStyle name="Style 96 6" xfId="16242" xr:uid="{AEAC6E21-7EBD-4D50-8BC2-55316BC2595A}"/>
    <cellStyle name="Style 97" xfId="16243" xr:uid="{B573DA71-DFBA-499A-B0CE-597B2B720608}"/>
    <cellStyle name="Style 97 2" xfId="16244" xr:uid="{01FCF4D5-9A3B-47F0-9F47-04E4ADE3D30E}"/>
    <cellStyle name="Style 97 2 2" xfId="16245" xr:uid="{55E478ED-0122-4A6A-A57D-1AB378A5F3F3}"/>
    <cellStyle name="Style 97 2 3" xfId="16246" xr:uid="{901911F3-5631-4F3B-A586-F3912EEF8D2E}"/>
    <cellStyle name="Style 97 2 4" xfId="16247" xr:uid="{4B708EB8-5578-4F24-B778-B82BD321D64A}"/>
    <cellStyle name="Style 97 2 5" xfId="16248" xr:uid="{8B37B37C-FFF4-41A0-83A9-201714D82F19}"/>
    <cellStyle name="Style 97 3" xfId="16249" xr:uid="{0EF99067-E8F3-4337-9642-8EA6BED580BC}"/>
    <cellStyle name="Style 97 3 2" xfId="16250" xr:uid="{BE696AA0-D536-4ABD-A7CF-9732E6EA3056}"/>
    <cellStyle name="Style 97 3 3" xfId="16251" xr:uid="{F2C11A89-629D-46E0-9C0E-2FF448811C07}"/>
    <cellStyle name="Style 97 3 4" xfId="16252" xr:uid="{3C127728-0314-468F-B0B1-D9FC211EAE8B}"/>
    <cellStyle name="Style 97 3 5" xfId="16253" xr:uid="{749266F7-7653-46D6-B6B5-947B9131D674}"/>
    <cellStyle name="Style 97 4" xfId="16254" xr:uid="{F98929E5-0FA3-4CD1-BAEA-07CA49DB97E8}"/>
    <cellStyle name="Style 97 5" xfId="16255" xr:uid="{E27C411F-038A-4BDA-977E-C082535FB28B}"/>
    <cellStyle name="Style 97 6" xfId="16256" xr:uid="{FFAE82FB-0C5B-407C-8882-B67594B37ADD}"/>
    <cellStyle name="Style 97 7" xfId="16257" xr:uid="{86D71371-30D8-48B2-9D69-8BFE82CE5571}"/>
    <cellStyle name="Style 98" xfId="16258" xr:uid="{98D2433B-E39B-4C97-8DF0-3268DB2939D2}"/>
    <cellStyle name="Style 98 2" xfId="16259" xr:uid="{2E1F0B19-CF16-4B46-83F9-F32C80F72977}"/>
    <cellStyle name="Style 98 2 2" xfId="16260" xr:uid="{2305B4B9-03A0-480E-ADB5-C06C681F2C49}"/>
    <cellStyle name="Style 98 2 3" xfId="16261" xr:uid="{D8B1C1DC-ED41-418B-A13D-76D309E11FD3}"/>
    <cellStyle name="Style 98 2 4" xfId="16262" xr:uid="{D092D2FB-7F5F-4A83-B2A4-E41F8007CB30}"/>
    <cellStyle name="Style 98 2 5" xfId="16263" xr:uid="{A95B5679-A75F-413B-9CAE-368FCCB977B7}"/>
    <cellStyle name="Style 98 3" xfId="16264" xr:uid="{3790065D-347B-4540-8CE8-D7D3D39F935F}"/>
    <cellStyle name="Style 98 4" xfId="16265" xr:uid="{FC176CF7-10A2-4041-9E3F-95C0BBA53526}"/>
    <cellStyle name="Style 98 5" xfId="16266" xr:uid="{B4451EFD-D416-4E58-9BD9-9D55F26E8AA4}"/>
    <cellStyle name="Style 98 6" xfId="16267" xr:uid="{D430B453-27EB-4BA8-9108-BD723B643F82}"/>
    <cellStyle name="Style 99" xfId="16268" xr:uid="{11658AF9-4301-4B5C-94FA-365FC6B6425A}"/>
    <cellStyle name="Style 99 2" xfId="16269" xr:uid="{3929D438-7C6A-43E6-A35B-471B54C6072E}"/>
    <cellStyle name="Style 99 2 2" xfId="16270" xr:uid="{BC9ADD41-9804-44A7-A3F7-46E6FDF4AACE}"/>
    <cellStyle name="Style 99 2 3" xfId="16271" xr:uid="{EF84DD7B-1A14-4288-B3F7-4AE4B3C04D30}"/>
    <cellStyle name="Style 99 2 4" xfId="16272" xr:uid="{0F877E4D-FB45-4D3E-AFEE-786748ABEA87}"/>
    <cellStyle name="Style 99 2 5" xfId="16273" xr:uid="{E073356E-0F9A-49A9-97E1-A0E853E2500E}"/>
    <cellStyle name="Style 99 3" xfId="16274" xr:uid="{739A5DBE-1D09-40CE-A603-D9B8826642D6}"/>
    <cellStyle name="Style 99 4" xfId="16275" xr:uid="{C71EC087-AFAD-4857-BEA9-10E76E637C33}"/>
    <cellStyle name="Style 99 5" xfId="16276" xr:uid="{8E1A5587-673B-4A31-9339-CAF4658E2DD7}"/>
    <cellStyle name="Style 99 6" xfId="16277" xr:uid="{1334F6AC-9B38-45C7-B4B2-CB052F9FDEE8}"/>
    <cellStyle name="Table title" xfId="25" xr:uid="{00000000-0005-0000-0000-00001E000000}"/>
    <cellStyle name="tableau | cellule | normal | decimal 1" xfId="16278" xr:uid="{73793C2B-8752-429E-883F-3FC4F43D30C9}"/>
    <cellStyle name="tableau | cellule | normal | decimal 1 10" xfId="16279" xr:uid="{CB377BA2-ACC8-477D-A07D-9D5619152761}"/>
    <cellStyle name="tableau | cellule | normal | decimal 1 2" xfId="16280" xr:uid="{726421E6-A7AC-4C88-B038-6CEE262387CA}"/>
    <cellStyle name="tableau | cellule | normal | decimal 1 3" xfId="16281" xr:uid="{8F410CD7-1330-426C-A03A-D3FC4D11B279}"/>
    <cellStyle name="tableau | cellule | normal | decimal 1 4" xfId="16282" xr:uid="{EBCDFCA1-F519-4C65-9474-BC9E56365F5C}"/>
    <cellStyle name="tableau | cellule | normal | decimal 1 5" xfId="16283" xr:uid="{E6602AF0-2532-4611-95B2-C2A7E35C9BE8}"/>
    <cellStyle name="tableau | cellule | normal | decimal 1 6" xfId="16284" xr:uid="{CCA32A80-313E-4F10-B4FD-AA429F73C214}"/>
    <cellStyle name="tableau | cellule | normal | decimal 1 7" xfId="16285" xr:uid="{0919F38E-7FDF-48A8-A45C-FDFB47C6C67A}"/>
    <cellStyle name="tableau | cellule | normal | decimal 1 8" xfId="16286" xr:uid="{87EC17D1-8EB4-4337-B43D-58385593513B}"/>
    <cellStyle name="tableau | cellule | normal | decimal 1 9" xfId="16287" xr:uid="{D787FCAA-3D4F-4681-88B3-B04D3D0F0547}"/>
    <cellStyle name="tableau | cellule | normal | pourcentage | decimal 1" xfId="16288" xr:uid="{56A7DFF7-F41A-4A4E-A698-00BCF2201C3D}"/>
    <cellStyle name="tableau | cellule | normal | pourcentage | decimal 1 10" xfId="16289" xr:uid="{81C55610-AA04-4BF1-8369-BB7B273EE0F1}"/>
    <cellStyle name="tableau | cellule | normal | pourcentage | decimal 1 2" xfId="16290" xr:uid="{F21B3018-A6FC-49DC-8449-E65FB8F79661}"/>
    <cellStyle name="tableau | cellule | normal | pourcentage | decimal 1 3" xfId="16291" xr:uid="{C103DE0C-9536-45D8-A23E-18E60254008A}"/>
    <cellStyle name="tableau | cellule | normal | pourcentage | decimal 1 4" xfId="16292" xr:uid="{B077A947-0F06-4E56-8753-2BA5D5EB38A4}"/>
    <cellStyle name="tableau | cellule | normal | pourcentage | decimal 1 5" xfId="16293" xr:uid="{1F889C7B-8065-44C6-B759-5286B9B37E48}"/>
    <cellStyle name="tableau | cellule | normal | pourcentage | decimal 1 6" xfId="16294" xr:uid="{FBCFA85B-FAE7-47B8-8083-C6BDE1124CCC}"/>
    <cellStyle name="tableau | cellule | normal | pourcentage | decimal 1 7" xfId="16295" xr:uid="{D6D773CB-C000-4281-92A4-23F8AB98CED8}"/>
    <cellStyle name="tableau | cellule | normal | pourcentage | decimal 1 8" xfId="16296" xr:uid="{FAD026FE-018A-4C0F-80B4-10628DDEC766}"/>
    <cellStyle name="tableau | cellule | normal | pourcentage | decimal 1 9" xfId="16297" xr:uid="{D1A85D3E-B981-48E8-8E43-8C0D48C73270}"/>
    <cellStyle name="tableau | cellule | total | decimal 1" xfId="16298" xr:uid="{4BE2F4B7-0EFC-42C5-BD4C-D03E33F77CE6}"/>
    <cellStyle name="tableau | cellule | total | decimal 1 10" xfId="16299" xr:uid="{76E77049-8912-42F8-96AB-86708BFF062B}"/>
    <cellStyle name="tableau | cellule | total | decimal 1 2" xfId="16300" xr:uid="{1080EDB4-861F-48AB-8DFE-3B8B0B944FF5}"/>
    <cellStyle name="tableau | cellule | total | decimal 1 3" xfId="16301" xr:uid="{77633F68-435B-4F58-A2BA-8430D482F038}"/>
    <cellStyle name="tableau | cellule | total | decimal 1 4" xfId="16302" xr:uid="{903B6217-95A5-45E8-BD36-713DA99BA120}"/>
    <cellStyle name="tableau | cellule | total | decimal 1 5" xfId="16303" xr:uid="{98990899-563A-4ACE-A72E-834970ADAC08}"/>
    <cellStyle name="tableau | cellule | total | decimal 1 6" xfId="16304" xr:uid="{A3C41507-BCDD-438A-8895-A39B6B5315D1}"/>
    <cellStyle name="tableau | cellule | total | decimal 1 7" xfId="16305" xr:uid="{BFFEA5B2-C8FD-4635-BDDE-ED5EA05313CF}"/>
    <cellStyle name="tableau | cellule | total | decimal 1 8" xfId="16306" xr:uid="{C8C100AA-5A56-4D6E-BD86-B5A061CFF09E}"/>
    <cellStyle name="tableau | cellule | total | decimal 1 9" xfId="16307" xr:uid="{30EAF844-F616-4CE0-91A4-E0B1984E0E57}"/>
    <cellStyle name="tableau | coin superieur gauche" xfId="16308" xr:uid="{B9BDF087-BA8F-4901-BFF9-97E8F1518041}"/>
    <cellStyle name="tableau | coin superieur gauche 10" xfId="16309" xr:uid="{A946A284-66F7-4129-9397-A19758D861C3}"/>
    <cellStyle name="tableau | coin superieur gauche 2" xfId="16310" xr:uid="{01F94729-7DC3-4749-B13A-0DDFB3C45631}"/>
    <cellStyle name="tableau | coin superieur gauche 3" xfId="16311" xr:uid="{E1CBBC83-0BAA-4490-90CE-C0666EAD1F57}"/>
    <cellStyle name="tableau | coin superieur gauche 4" xfId="16312" xr:uid="{E526BFD2-F40E-48A3-BDD9-DC22120E2821}"/>
    <cellStyle name="tableau | coin superieur gauche 5" xfId="16313" xr:uid="{DEEAA9FB-93E5-4358-8F9F-3ECE9030D6E9}"/>
    <cellStyle name="tableau | coin superieur gauche 6" xfId="16314" xr:uid="{F5AAE11A-5DDC-40B3-AB0C-3D35E8A816CE}"/>
    <cellStyle name="tableau | coin superieur gauche 7" xfId="16315" xr:uid="{93339202-AE5E-4AF8-BD13-24932D991172}"/>
    <cellStyle name="tableau | coin superieur gauche 8" xfId="16316" xr:uid="{6E799A31-6383-492D-AA86-E31ADC281EE2}"/>
    <cellStyle name="tableau | coin superieur gauche 9" xfId="16317" xr:uid="{659DEBDE-568C-4799-8D44-2484B08ACC47}"/>
    <cellStyle name="tableau | entete-colonne | series" xfId="16318" xr:uid="{E36E36A1-6BCB-407B-8D1D-908C586DF777}"/>
    <cellStyle name="tableau | entete-colonne | series 10" xfId="16319" xr:uid="{AA1EBF44-9183-4BB7-AC11-C6D672F7BF38}"/>
    <cellStyle name="tableau | entete-colonne | series 2" xfId="16320" xr:uid="{936D62E5-51F4-4DE0-975B-9A2464546BAA}"/>
    <cellStyle name="tableau | entete-colonne | series 3" xfId="16321" xr:uid="{7F972A18-FA42-44C9-B47F-BE2F44024C1E}"/>
    <cellStyle name="tableau | entete-colonne | series 4" xfId="16322" xr:uid="{C9D5281C-D676-4B4A-9CD5-E0F58A9EE18D}"/>
    <cellStyle name="tableau | entete-colonne | series 5" xfId="16323" xr:uid="{A49027A0-C0B9-44EC-8E2D-9896908381AA}"/>
    <cellStyle name="tableau | entete-colonne | series 6" xfId="16324" xr:uid="{BD534F90-A11D-431C-A640-BEB7D3B910D1}"/>
    <cellStyle name="tableau | entete-colonne | series 7" xfId="16325" xr:uid="{7CD7B25B-AB07-4B93-968E-827E2141F35D}"/>
    <cellStyle name="tableau | entete-colonne | series 8" xfId="16326" xr:uid="{B5293E3A-8D51-45C8-A007-A94276227C0F}"/>
    <cellStyle name="tableau | entete-colonne | series 9" xfId="16327" xr:uid="{94ACB8BA-3E01-4743-9E88-622B7D9F376F}"/>
    <cellStyle name="tableau | entete-ligne | normal" xfId="16328" xr:uid="{CB836B54-1C99-49F3-B588-816B201BA3EB}"/>
    <cellStyle name="tableau | entete-ligne | normal 10" xfId="16329" xr:uid="{C12881CB-202C-4A2E-9FF3-260FA5307176}"/>
    <cellStyle name="tableau | entete-ligne | normal 2" xfId="16330" xr:uid="{3A2EF85A-6999-4EE0-BAD6-81D6065980F0}"/>
    <cellStyle name="tableau | entete-ligne | normal 3" xfId="16331" xr:uid="{6B9D09AB-F81D-4824-97F5-D2565835F5EE}"/>
    <cellStyle name="tableau | entete-ligne | normal 4" xfId="16332" xr:uid="{1C40EB73-C0E8-42D7-87EC-B663C1C68670}"/>
    <cellStyle name="tableau | entete-ligne | normal 5" xfId="16333" xr:uid="{D4A2821B-E06E-4586-A75E-370B51C90DFE}"/>
    <cellStyle name="tableau | entete-ligne | normal 6" xfId="16334" xr:uid="{E4DDDFB3-00C2-4D8A-A6F8-DB4E3D4818E8}"/>
    <cellStyle name="tableau | entete-ligne | normal 7" xfId="16335" xr:uid="{6DA7C8E7-036C-49E0-AFED-EA85B725C4B4}"/>
    <cellStyle name="tableau | entete-ligne | normal 8" xfId="16336" xr:uid="{EF3C51BB-C45B-4C22-A443-5A9DE5B02CC8}"/>
    <cellStyle name="tableau | entete-ligne | normal 9" xfId="16337" xr:uid="{31384FF1-95E3-44F2-AE3B-FD79219D01F4}"/>
    <cellStyle name="tableau | entete-ligne | total" xfId="16338" xr:uid="{698931BC-8B35-41A6-B6AE-8E812F45016A}"/>
    <cellStyle name="tableau | entete-ligne | total 10" xfId="16339" xr:uid="{9F6F5AFD-09C0-417B-8BCE-9A81CD34FB06}"/>
    <cellStyle name="tableau | entete-ligne | total 2" xfId="16340" xr:uid="{8C030841-4F87-4147-B036-96F69C65E4CE}"/>
    <cellStyle name="tableau | entete-ligne | total 3" xfId="16341" xr:uid="{9F5ABE42-D76B-4714-9DEC-735F7AFAF6BE}"/>
    <cellStyle name="tableau | entete-ligne | total 4" xfId="16342" xr:uid="{EA44FEE4-DEE4-4BDF-B369-00F77C40171A}"/>
    <cellStyle name="tableau | entete-ligne | total 5" xfId="16343" xr:uid="{BB5EBF74-AF29-4087-A353-A71155388F3C}"/>
    <cellStyle name="tableau | entete-ligne | total 6" xfId="16344" xr:uid="{89E45ADB-21ED-425E-8735-226EA2F01424}"/>
    <cellStyle name="tableau | entete-ligne | total 7" xfId="16345" xr:uid="{D7E395E3-E4CD-471E-8D6F-0743430CB16F}"/>
    <cellStyle name="tableau | entete-ligne | total 8" xfId="16346" xr:uid="{A489C3CA-E8FE-4289-AEB1-15B3FF1B6FE7}"/>
    <cellStyle name="tableau | entete-ligne | total 9" xfId="16347" xr:uid="{341EA60C-7E5B-48D2-ACB0-FB1F13FF5B69}"/>
    <cellStyle name="tableau | ligne-titre | niveau1" xfId="16348" xr:uid="{69A9A799-A04A-485E-88F3-5EF4C2E25A65}"/>
    <cellStyle name="tableau | ligne-titre | niveau1 10" xfId="16349" xr:uid="{4C25B471-C49B-4915-9A1D-752AB597305D}"/>
    <cellStyle name="tableau | ligne-titre | niveau1 2" xfId="16350" xr:uid="{4290CA3C-47B7-45A5-AECF-5886B8E685B7}"/>
    <cellStyle name="tableau | ligne-titre | niveau1 3" xfId="16351" xr:uid="{62E306A1-F4EC-4BAA-8824-04649CF68938}"/>
    <cellStyle name="tableau | ligne-titre | niveau1 4" xfId="16352" xr:uid="{2AB819BB-402A-4C4B-B03A-D824CF439DED}"/>
    <cellStyle name="tableau | ligne-titre | niveau1 5" xfId="16353" xr:uid="{B2A67C3C-3238-4F01-8163-F5F466A30920}"/>
    <cellStyle name="tableau | ligne-titre | niveau1 6" xfId="16354" xr:uid="{C2442622-EB98-490D-A546-67E9984B9AEA}"/>
    <cellStyle name="tableau | ligne-titre | niveau1 7" xfId="16355" xr:uid="{4817D5B7-BB23-44E6-A3FB-754F638EDF99}"/>
    <cellStyle name="tableau | ligne-titre | niveau1 8" xfId="16356" xr:uid="{56F837A7-95AA-4128-8269-51389C0F7BAD}"/>
    <cellStyle name="tableau | ligne-titre | niveau1 9" xfId="16357" xr:uid="{5C54EF0D-B5BD-418A-945B-29C53DF2629F}"/>
    <cellStyle name="tableau | ligne-titre | niveau2" xfId="16358" xr:uid="{103729D7-8C11-4A8A-A9E9-B3FEC78DBDD5}"/>
    <cellStyle name="tableau | ligne-titre | niveau2 10" xfId="16359" xr:uid="{26F0D146-010D-4403-9E6E-7E0CC65EC3E6}"/>
    <cellStyle name="tableau | ligne-titre | niveau2 2" xfId="16360" xr:uid="{30ED0D2D-EFFF-4C12-93A9-230BFF7E65C1}"/>
    <cellStyle name="tableau | ligne-titre | niveau2 3" xfId="16361" xr:uid="{43653378-ED2D-43D1-B8DD-1A35ECB2B509}"/>
    <cellStyle name="tableau | ligne-titre | niveau2 4" xfId="16362" xr:uid="{C65F340F-5548-45F0-BCB6-C6745CD57702}"/>
    <cellStyle name="tableau | ligne-titre | niveau2 5" xfId="16363" xr:uid="{F01E352D-41B1-41F0-BA8A-70BCC4594B41}"/>
    <cellStyle name="tableau | ligne-titre | niveau2 6" xfId="16364" xr:uid="{4A4DEABC-A641-48E2-83B3-D12DF5EAECFC}"/>
    <cellStyle name="tableau | ligne-titre | niveau2 7" xfId="16365" xr:uid="{6BD9488E-2489-4B08-85F5-5737FAE32DBD}"/>
    <cellStyle name="tableau | ligne-titre | niveau2 8" xfId="16366" xr:uid="{CD455A4D-7F6C-41F6-B836-AAC32071B72C}"/>
    <cellStyle name="tableau | ligne-titre | niveau2 9" xfId="16367" xr:uid="{6DE9B4C9-C670-43AE-BFF8-DEF20CADA003}"/>
    <cellStyle name="Title 10" xfId="16368" xr:uid="{FEB50576-B4E1-405C-9560-D4D387211AAB}"/>
    <cellStyle name="Title 10 10" xfId="16369" xr:uid="{10E1B2EA-54E4-416E-BE72-D79B8C5B5BF6}"/>
    <cellStyle name="Title 10 2" xfId="16370" xr:uid="{9C053577-CECF-4B9D-BB65-E28810A178D0}"/>
    <cellStyle name="Title 10 3" xfId="16371" xr:uid="{F833F06F-2956-4C9C-B48D-054CA8923A70}"/>
    <cellStyle name="Title 10 4" xfId="16372" xr:uid="{57C59480-CE6D-4B34-9F2F-D405B5680848}"/>
    <cellStyle name="Title 10 5" xfId="16373" xr:uid="{F033B866-7267-4CC7-A9B6-9B108E1E2273}"/>
    <cellStyle name="Title 10 6" xfId="16374" xr:uid="{A19D0486-9130-4773-91CE-D7A67285467F}"/>
    <cellStyle name="Title 10 7" xfId="16375" xr:uid="{D91204F6-EE6C-48E6-8B95-D9E8EB59B02D}"/>
    <cellStyle name="Title 10 8" xfId="16376" xr:uid="{B00B859F-597A-4065-A068-D9105024661A}"/>
    <cellStyle name="Title 10 9" xfId="16377" xr:uid="{327E252E-1EE1-4A16-A7FC-B3BC31E7231B}"/>
    <cellStyle name="Title 11" xfId="16378" xr:uid="{C9424A84-3469-42C8-9846-9E6EA11027E9}"/>
    <cellStyle name="Title 11 10" xfId="16379" xr:uid="{B79A3A5F-72C5-478F-80C6-8AD6097934BA}"/>
    <cellStyle name="Title 11 2" xfId="16380" xr:uid="{515170B8-B9E3-467A-B10F-7C683E81AC91}"/>
    <cellStyle name="Title 11 3" xfId="16381" xr:uid="{F50AD2D9-6D86-443B-B90F-5214638E3867}"/>
    <cellStyle name="Title 11 4" xfId="16382" xr:uid="{BD78315E-7EB5-45AC-AF32-23A5A8A43194}"/>
    <cellStyle name="Title 11 5" xfId="16383" xr:uid="{1286D12A-E211-4249-8F14-0A7EEE553732}"/>
    <cellStyle name="Title 11 6" xfId="16384" xr:uid="{BCF6A84E-6253-41EB-8474-E29CB96EB014}"/>
    <cellStyle name="Title 11 7" xfId="16385" xr:uid="{22957334-455D-433A-AC55-DC0C95C70339}"/>
    <cellStyle name="Title 11 8" xfId="16386" xr:uid="{D9663196-D86F-4DA1-8789-5E3DB2E79563}"/>
    <cellStyle name="Title 11 9" xfId="16387" xr:uid="{6EFD59B3-84E0-488D-89F1-00D0D6389EE2}"/>
    <cellStyle name="Title 12" xfId="16388" xr:uid="{7878F702-A0A9-490D-B88D-88DAD940370C}"/>
    <cellStyle name="Title 12 10" xfId="16389" xr:uid="{00734632-FC38-4EB1-8F54-6E3112081F18}"/>
    <cellStyle name="Title 12 2" xfId="16390" xr:uid="{1DA05EFC-43EB-4F89-88C9-5A84B62E02E4}"/>
    <cellStyle name="Title 12 3" xfId="16391" xr:uid="{9208FFA0-3325-405C-8DB2-EC591D0B2BAC}"/>
    <cellStyle name="Title 12 4" xfId="16392" xr:uid="{AF85AA01-7728-435A-930C-971809CD7AC8}"/>
    <cellStyle name="Title 12 5" xfId="16393" xr:uid="{6C51D1C2-6255-4CA7-A099-4FF7DC4FFFBE}"/>
    <cellStyle name="Title 12 6" xfId="16394" xr:uid="{5EF7ACE7-B3CF-475D-9A85-CF578AEECFB4}"/>
    <cellStyle name="Title 12 7" xfId="16395" xr:uid="{4F378414-8FA1-4D11-8497-9F93ACD8F9FC}"/>
    <cellStyle name="Title 12 8" xfId="16396" xr:uid="{A07DC4A1-FE84-46FB-BB9C-501CCA9DC8B3}"/>
    <cellStyle name="Title 12 9" xfId="16397" xr:uid="{8D724AFB-F3E8-40D5-A681-B82112CB891B}"/>
    <cellStyle name="Title 13" xfId="16398" xr:uid="{DC2BFA80-08B1-444A-ADC4-EB2322A6D014}"/>
    <cellStyle name="Title 13 10" xfId="16399" xr:uid="{D57C51C1-41C3-46A1-AD2C-33A956BC2D44}"/>
    <cellStyle name="Title 13 2" xfId="16400" xr:uid="{4053A892-1BD5-4C81-9B02-E318CB8487DA}"/>
    <cellStyle name="Title 13 3" xfId="16401" xr:uid="{780F12C4-5696-4275-ABF1-D88ED6867269}"/>
    <cellStyle name="Title 13 4" xfId="16402" xr:uid="{8663C1C1-CA56-4216-8C23-122540C221FD}"/>
    <cellStyle name="Title 13 5" xfId="16403" xr:uid="{FB6F8E93-CDFF-47E2-946B-99B8EB51730C}"/>
    <cellStyle name="Title 13 6" xfId="16404" xr:uid="{65E1CED0-363D-4426-859A-33BFA6238181}"/>
    <cellStyle name="Title 13 7" xfId="16405" xr:uid="{6379D657-100F-46A9-9487-4331DC10858D}"/>
    <cellStyle name="Title 13 8" xfId="16406" xr:uid="{59D974C2-B579-4740-9142-AF6924C29525}"/>
    <cellStyle name="Title 13 9" xfId="16407" xr:uid="{EED39622-94E8-4737-BBC1-2D9F6EE7CA6C}"/>
    <cellStyle name="Title 14" xfId="16408" xr:uid="{56EB8975-A1A6-434D-BBFE-FC27ECB7F5AF}"/>
    <cellStyle name="Title 14 10" xfId="16409" xr:uid="{8ADA542A-BE6A-494A-9294-09E2B7875E8B}"/>
    <cellStyle name="Title 14 2" xfId="16410" xr:uid="{6D0B2C04-FDAF-49F1-8D33-9A248AD87491}"/>
    <cellStyle name="Title 14 3" xfId="16411" xr:uid="{EAB67FA2-DED6-47F4-9A5A-CD6D8BE73B42}"/>
    <cellStyle name="Title 14 4" xfId="16412" xr:uid="{F22A28B6-D8C6-4EA9-9FA1-0D44A70A3122}"/>
    <cellStyle name="Title 14 5" xfId="16413" xr:uid="{43EEBF1B-1A72-4D52-9BBF-ABFD0A6E1756}"/>
    <cellStyle name="Title 14 6" xfId="16414" xr:uid="{C76A2A2F-774F-4A8F-99CE-3A86689F2FFB}"/>
    <cellStyle name="Title 14 7" xfId="16415" xr:uid="{D95351F9-BDC3-4B94-AEAD-5FCE7BCC6410}"/>
    <cellStyle name="Title 14 8" xfId="16416" xr:uid="{CF10A4E3-0493-4C37-835B-DABA827035FD}"/>
    <cellStyle name="Title 14 9" xfId="16417" xr:uid="{98382478-BD42-4C85-8AFA-98DACD37BB02}"/>
    <cellStyle name="Title 15" xfId="16418" xr:uid="{C90682DA-162A-4EFF-BD05-BEB916DB6B75}"/>
    <cellStyle name="Title 15 10" xfId="16419" xr:uid="{0F05E6E6-39E7-4D7A-9C91-BBF1DB4FE7E9}"/>
    <cellStyle name="Title 15 2" xfId="16420" xr:uid="{BBBEEA5D-EB6E-4678-AF1A-009BD1B98F5A}"/>
    <cellStyle name="Title 15 3" xfId="16421" xr:uid="{4AD036FA-58A9-4AAA-9D2D-7AA9EAAC97DB}"/>
    <cellStyle name="Title 15 4" xfId="16422" xr:uid="{662E8D15-79B7-4CA3-B34F-97D60C2B02B6}"/>
    <cellStyle name="Title 15 5" xfId="16423" xr:uid="{1BBD760F-64A6-4F7C-BB7D-A8344F582914}"/>
    <cellStyle name="Title 15 6" xfId="16424" xr:uid="{01BE8EF3-B79C-4468-80D3-B934C5EAE3F8}"/>
    <cellStyle name="Title 15 7" xfId="16425" xr:uid="{784DD7ED-741E-4FFD-AC40-7F58D4A104EE}"/>
    <cellStyle name="Title 15 8" xfId="16426" xr:uid="{8A479A20-BAB4-4550-B6AB-FDCC42DB7919}"/>
    <cellStyle name="Title 15 9" xfId="16427" xr:uid="{8BAEFFAC-6D16-404E-9347-A65EA8F1F03A}"/>
    <cellStyle name="Title 16" xfId="16428" xr:uid="{0E4EB07F-7138-4796-B021-5632447DE512}"/>
    <cellStyle name="Title 16 10" xfId="16429" xr:uid="{FC493DD1-010C-424B-BC72-B574368BED42}"/>
    <cellStyle name="Title 16 2" xfId="16430" xr:uid="{90451523-294A-4EC0-9632-D42826CD256F}"/>
    <cellStyle name="Title 16 3" xfId="16431" xr:uid="{6C9F72BE-323F-4FA9-9226-FA928DB858F8}"/>
    <cellStyle name="Title 16 4" xfId="16432" xr:uid="{A38FC922-D18C-4403-8B9C-14271D2810A2}"/>
    <cellStyle name="Title 16 5" xfId="16433" xr:uid="{7E5B828E-8D8C-4084-AC99-9431CED414D4}"/>
    <cellStyle name="Title 16 6" xfId="16434" xr:uid="{E525E3EB-BBDD-4A04-BD0B-784BC30065D7}"/>
    <cellStyle name="Title 16 7" xfId="16435" xr:uid="{AC7478F1-8105-4F50-BA56-59DA6D3F532A}"/>
    <cellStyle name="Title 16 8" xfId="16436" xr:uid="{872CC74E-D352-4023-AAC7-807BB4300656}"/>
    <cellStyle name="Title 16 9" xfId="16437" xr:uid="{6E0AEBD8-8A66-42B7-A31A-9E41B2C8885A}"/>
    <cellStyle name="Title 17" xfId="16438" xr:uid="{4FBBA3B8-C9D0-4D05-9874-79128D6C2C73}"/>
    <cellStyle name="Title 17 10" xfId="16439" xr:uid="{136FF762-D34D-4868-9112-8C9D924E759D}"/>
    <cellStyle name="Title 17 2" xfId="16440" xr:uid="{B729EC3B-F6BD-4494-9E39-F3F624CB147E}"/>
    <cellStyle name="Title 17 3" xfId="16441" xr:uid="{7B310771-341D-4A56-99DD-48030ACB1B3A}"/>
    <cellStyle name="Title 17 4" xfId="16442" xr:uid="{5AF309F0-6569-4DCE-B405-BFA3B67CB8DA}"/>
    <cellStyle name="Title 17 5" xfId="16443" xr:uid="{2FC1DB7B-A683-4C1E-8197-59452565CD08}"/>
    <cellStyle name="Title 17 6" xfId="16444" xr:uid="{C33EB6A2-9E8D-4175-9984-89C77E77EF87}"/>
    <cellStyle name="Title 17 7" xfId="16445" xr:uid="{74ABC407-99BC-449B-BFDE-449216E95CF2}"/>
    <cellStyle name="Title 17 8" xfId="16446" xr:uid="{F5CC2C9F-D740-42AF-AE5C-62A0806B8984}"/>
    <cellStyle name="Title 17 9" xfId="16447" xr:uid="{AC0C1DD2-4619-4B97-AD92-2D77D979C7CB}"/>
    <cellStyle name="Title 18" xfId="16448" xr:uid="{F28A2CF1-438D-47D1-A670-2C60162A5DA6}"/>
    <cellStyle name="Title 18 10" xfId="16449" xr:uid="{BFAC66EF-53D2-465E-A0E7-C2A1D4D7C137}"/>
    <cellStyle name="Title 18 2" xfId="16450" xr:uid="{DD16F9CF-77AA-48E7-928E-48772A6C6DE4}"/>
    <cellStyle name="Title 18 3" xfId="16451" xr:uid="{1516268C-4242-4184-AEDC-1ACAEAA0D158}"/>
    <cellStyle name="Title 18 4" xfId="16452" xr:uid="{72E81D9B-CEA7-4D17-A3CF-D43BBA4B31AE}"/>
    <cellStyle name="Title 18 5" xfId="16453" xr:uid="{07BDDF1C-FEB7-4CB9-B145-360DBBA5F6FD}"/>
    <cellStyle name="Title 18 6" xfId="16454" xr:uid="{0C07CA96-DEEB-477D-822C-2627279D5D07}"/>
    <cellStyle name="Title 18 7" xfId="16455" xr:uid="{BB12FB18-E60D-4826-99D7-C589ACB352D9}"/>
    <cellStyle name="Title 18 8" xfId="16456" xr:uid="{091CEE3B-6BD9-483A-BCF9-761DBC0E0EB3}"/>
    <cellStyle name="Title 18 9" xfId="16457" xr:uid="{E08C5198-2540-45C8-884C-3BD9C79540AD}"/>
    <cellStyle name="Title 19" xfId="16458" xr:uid="{7EAF0BD5-C646-4712-92FD-2CAB3D216554}"/>
    <cellStyle name="Title 19 10" xfId="16459" xr:uid="{A16921D1-423E-449C-A75F-FED5C0EF13D9}"/>
    <cellStyle name="Title 19 2" xfId="16460" xr:uid="{3DD1427A-D7DA-4F95-851D-2B625B7AB653}"/>
    <cellStyle name="Title 19 3" xfId="16461" xr:uid="{C139CA06-066C-44E2-82AD-F6362DE48FCA}"/>
    <cellStyle name="Title 19 4" xfId="16462" xr:uid="{58155576-F773-4D5C-8E4F-2A5EF0E08432}"/>
    <cellStyle name="Title 19 5" xfId="16463" xr:uid="{7A5523C8-41D9-4352-98C2-D3C9007292BE}"/>
    <cellStyle name="Title 19 6" xfId="16464" xr:uid="{7C23FF4E-70F8-44BA-B95E-3CC49D2EEFD1}"/>
    <cellStyle name="Title 19 7" xfId="16465" xr:uid="{02D3724A-68C8-427D-A9D6-DCD3C9DB9CC5}"/>
    <cellStyle name="Title 19 8" xfId="16466" xr:uid="{5CB7BDF7-ABF6-4F1F-8202-BFB280EFE9D7}"/>
    <cellStyle name="Title 19 9" xfId="16467" xr:uid="{66410688-4FF1-46B1-9C43-73DA105BD7B3}"/>
    <cellStyle name="Title 2" xfId="16468" xr:uid="{91FC0622-3052-4167-9DCC-95AE569A3918}"/>
    <cellStyle name="Title 2 10" xfId="16469" xr:uid="{D37CF44D-1DB1-42A1-BCEF-20A01D587857}"/>
    <cellStyle name="Title 2 10 2" xfId="16470" xr:uid="{3A9E28F8-E799-49DA-BA0B-CD275974B82B}"/>
    <cellStyle name="Title 2 10 3" xfId="16471" xr:uid="{FD4BCFF5-DDBC-4213-96ED-E9F3865873FF}"/>
    <cellStyle name="Title 2 10 4" xfId="16472" xr:uid="{EC320701-C19D-4238-B70D-43974F70486D}"/>
    <cellStyle name="Title 2 10 5" xfId="16473" xr:uid="{CA609DAA-FA8B-4D3A-A5E0-51034A2026DB}"/>
    <cellStyle name="Title 2 10 6" xfId="16474" xr:uid="{A1E2718E-CF58-4E38-A2B0-3B3F3CA8E127}"/>
    <cellStyle name="Title 2 10 7" xfId="16475" xr:uid="{F0C47F8F-A7F9-4594-AD99-D39C22AFC8ED}"/>
    <cellStyle name="Title 2 10 8" xfId="16476" xr:uid="{3FC809D3-E018-4B69-ACD4-36E6584524F9}"/>
    <cellStyle name="Title 2 10 9" xfId="16477" xr:uid="{778FC67F-33B0-4BA4-B5F0-957442011C27}"/>
    <cellStyle name="Title 2 11" xfId="16478" xr:uid="{28E9F92B-ABBD-47B8-B035-F52BA00FC973}"/>
    <cellStyle name="Title 2 11 2" xfId="16479" xr:uid="{C0CB2CDF-584C-44AD-A720-C5A654F00FE1}"/>
    <cellStyle name="Title 2 11 3" xfId="16480" xr:uid="{5AD67847-E604-49A0-A4B7-D5A2312BD41B}"/>
    <cellStyle name="Title 2 11 4" xfId="16481" xr:uid="{23B7BFBF-4F00-400D-A22D-CD9AD12AAE4F}"/>
    <cellStyle name="Title 2 11 5" xfId="16482" xr:uid="{73547A2D-D985-44E3-B26E-2B6AE73B56CD}"/>
    <cellStyle name="Title 2 12" xfId="16483" xr:uid="{8F9FFE53-A21F-45B6-A03A-1772D0A280D3}"/>
    <cellStyle name="Title 2 13" xfId="16484" xr:uid="{798B8B1C-13A1-42FE-98C7-A54FF53BBDFD}"/>
    <cellStyle name="Title 2 14" xfId="16485" xr:uid="{DC67A188-6FE1-4BD0-B604-F3C6A63528BC}"/>
    <cellStyle name="Title 2 15" xfId="16486" xr:uid="{4505B8F5-5311-4062-A40E-13DF543D8A0D}"/>
    <cellStyle name="Title 2 16" xfId="16487" xr:uid="{0D02C6F3-41A9-4504-A0BB-491F7CC10403}"/>
    <cellStyle name="Title 2 17" xfId="16488" xr:uid="{2EF34D65-9F9A-4B95-BC10-5978DEFF5580}"/>
    <cellStyle name="Title 2 18" xfId="16489" xr:uid="{5D823A81-E4E3-44AA-A9C9-A1F5CC136E72}"/>
    <cellStyle name="Title 2 19" xfId="16490" xr:uid="{F4B64F20-C09B-4189-9512-D8003E2F00E8}"/>
    <cellStyle name="Title 2 2" xfId="16491" xr:uid="{6EE2A433-139B-45BB-AAEB-323F157D0D6E}"/>
    <cellStyle name="Title 2 2 2" xfId="16492" xr:uid="{FAD325BE-635A-4D91-AD51-BEAF0D1A47F6}"/>
    <cellStyle name="Title 2 2 3" xfId="16493" xr:uid="{452F7DB1-947E-4926-A8CC-6BEF3BFD45D4}"/>
    <cellStyle name="Title 2 2 4" xfId="16494" xr:uid="{4D469CB8-3894-4F2E-940A-7F8B0E64B5CB}"/>
    <cellStyle name="Title 2 2 5" xfId="16495" xr:uid="{A19E87E8-1DE6-46C0-9C7A-F6FE3A23DCFE}"/>
    <cellStyle name="Title 2 2 6" xfId="16496" xr:uid="{78FF15EF-E59F-4432-B5F0-08507A074B13}"/>
    <cellStyle name="Title 2 2 7" xfId="16497" xr:uid="{5B4A4C61-E443-42E6-99D5-B9F9B1318B94}"/>
    <cellStyle name="Title 2 2 8" xfId="16498" xr:uid="{D51CA47F-6072-433C-B70E-7F43B87FF1E7}"/>
    <cellStyle name="Title 2 2 9" xfId="16499" xr:uid="{83E0C882-6DF2-4D35-A331-4EE53316E678}"/>
    <cellStyle name="Title 2 20" xfId="16500" xr:uid="{799776A3-DDE8-45F8-AF69-74EC60BA9D58}"/>
    <cellStyle name="Title 2 3" xfId="16501" xr:uid="{DF423F83-8446-4911-A23D-010DE0E745EE}"/>
    <cellStyle name="Title 2 3 2" xfId="16502" xr:uid="{5DACA7E6-9EEE-47B6-8A46-91EAC8FC78EF}"/>
    <cellStyle name="Title 2 3 3" xfId="16503" xr:uid="{3CA34DB1-4228-47BB-AC50-D00C0EBB19AC}"/>
    <cellStyle name="Title 2 3 4" xfId="16504" xr:uid="{30F20ACF-3E7C-4FBC-8AC8-79072BB49619}"/>
    <cellStyle name="Title 2 3 5" xfId="16505" xr:uid="{3A5ABC3D-F4C5-4F27-A86E-0F6D554A37E6}"/>
    <cellStyle name="Title 2 3 6" xfId="16506" xr:uid="{C0C5676B-275E-401A-90BB-2B6C26C8D906}"/>
    <cellStyle name="Title 2 3 7" xfId="16507" xr:uid="{204DD21B-92C9-4ADD-9A0C-5AD27B2B0155}"/>
    <cellStyle name="Title 2 3 8" xfId="16508" xr:uid="{DC9BD38C-55D5-404E-B50C-0D136543671C}"/>
    <cellStyle name="Title 2 3 9" xfId="16509" xr:uid="{05C49D9B-21CA-492A-BAF4-3848A20F3277}"/>
    <cellStyle name="Title 2 4" xfId="16510" xr:uid="{49AD7AF6-0352-454E-97C2-49924DB1EA25}"/>
    <cellStyle name="Title 2 4 2" xfId="16511" xr:uid="{998019F9-82F7-452E-87E9-04A4C1D2A39E}"/>
    <cellStyle name="Title 2 4 3" xfId="16512" xr:uid="{3349EDD3-58C2-4C42-8DD1-945D672BA5AC}"/>
    <cellStyle name="Title 2 4 4" xfId="16513" xr:uid="{F8749858-6F12-452E-A621-6109EB901164}"/>
    <cellStyle name="Title 2 4 5" xfId="16514" xr:uid="{F9896DAF-6CB4-4B8B-972E-B23B10F61C20}"/>
    <cellStyle name="Title 2 4 6" xfId="16515" xr:uid="{B375C8D5-2BA9-4D97-B763-50DF6A24CEE8}"/>
    <cellStyle name="Title 2 4 7" xfId="16516" xr:uid="{8293B950-685B-487B-94B7-A71CAA9CBECB}"/>
    <cellStyle name="Title 2 4 8" xfId="16517" xr:uid="{E58B26E7-6DFA-4E1C-AECA-47D50068F0B0}"/>
    <cellStyle name="Title 2 4 9" xfId="16518" xr:uid="{E1BE9E76-43BD-4B7D-9CE3-1EB9C3116E79}"/>
    <cellStyle name="Title 2 5" xfId="16519" xr:uid="{5DBA3D0B-28B1-4A67-A8F3-72008C7EE708}"/>
    <cellStyle name="Title 2 5 2" xfId="16520" xr:uid="{BC81B6F2-B855-425C-9307-6E359BDAEFC7}"/>
    <cellStyle name="Title 2 5 3" xfId="16521" xr:uid="{B73C3322-74EC-40CD-A4E0-B4BC107CD57F}"/>
    <cellStyle name="Title 2 5 4" xfId="16522" xr:uid="{1ECE6D63-9EAA-438F-ABCC-97DFBEADE2D2}"/>
    <cellStyle name="Title 2 5 5" xfId="16523" xr:uid="{775631E9-FB31-43F9-B81B-6232108F90A5}"/>
    <cellStyle name="Title 2 5 6" xfId="16524" xr:uid="{DC5829AC-C876-4980-BAC3-FDE19775F253}"/>
    <cellStyle name="Title 2 5 7" xfId="16525" xr:uid="{F737CB60-C605-41C3-AAB7-34E6EE5CD6EB}"/>
    <cellStyle name="Title 2 5 8" xfId="16526" xr:uid="{C06D7CAC-8CB1-4F69-B114-DCC129D2C6B2}"/>
    <cellStyle name="Title 2 5 9" xfId="16527" xr:uid="{B5F8F5E6-1D24-42C3-B393-8CFFF99D2FA6}"/>
    <cellStyle name="Title 2 6" xfId="16528" xr:uid="{9CF98B23-010E-4C5A-853E-F772551E3229}"/>
    <cellStyle name="Title 2 6 2" xfId="16529" xr:uid="{90057813-AF61-40A4-9129-9D0B0CD6CAA4}"/>
    <cellStyle name="Title 2 6 3" xfId="16530" xr:uid="{B55A10AC-6171-4643-A24E-63835933C5D8}"/>
    <cellStyle name="Title 2 6 4" xfId="16531" xr:uid="{0C4A870C-AC7E-425A-822F-2727FE698B88}"/>
    <cellStyle name="Title 2 6 5" xfId="16532" xr:uid="{3AA6E533-CFBE-4185-BC75-812C63E14BB6}"/>
    <cellStyle name="Title 2 6 6" xfId="16533" xr:uid="{427F0414-B902-4362-BBA5-7A6A0C2DE821}"/>
    <cellStyle name="Title 2 6 7" xfId="16534" xr:uid="{A1A237D6-18E5-4605-8E27-183859E5DF17}"/>
    <cellStyle name="Title 2 6 8" xfId="16535" xr:uid="{270D12A5-48AA-4B0D-8E45-4CFB91E9E1E9}"/>
    <cellStyle name="Title 2 6 9" xfId="16536" xr:uid="{3317FD90-F918-4F48-8CFD-DB8F93AE4915}"/>
    <cellStyle name="Title 2 7" xfId="16537" xr:uid="{0DD1D685-3EBD-4654-849C-EE6DB1860B41}"/>
    <cellStyle name="Title 2 7 2" xfId="16538" xr:uid="{45594C3A-AC9F-43CD-8F36-522CB1C1F55E}"/>
    <cellStyle name="Title 2 7 3" xfId="16539" xr:uid="{75378625-A123-44C4-A258-C8981CCC6C6D}"/>
    <cellStyle name="Title 2 7 4" xfId="16540" xr:uid="{18A19C37-B1F9-4308-979E-252F8B07B614}"/>
    <cellStyle name="Title 2 7 5" xfId="16541" xr:uid="{9869558C-4D68-47AE-96ED-AE7002619DF6}"/>
    <cellStyle name="Title 2 7 6" xfId="16542" xr:uid="{FB7AAECC-1DC6-45BE-9CD4-751AF01117BE}"/>
    <cellStyle name="Title 2 7 7" xfId="16543" xr:uid="{B154ED6C-C430-4EC7-B86F-CB86E4688D2C}"/>
    <cellStyle name="Title 2 7 8" xfId="16544" xr:uid="{5F557540-EEE4-43A4-831E-4217056F8839}"/>
    <cellStyle name="Title 2 7 9" xfId="16545" xr:uid="{48B36864-C00E-4EB2-8BEB-9963E560B64E}"/>
    <cellStyle name="Title 2 8" xfId="16546" xr:uid="{AEB87535-4A29-4D0F-B79B-7F006AF7838A}"/>
    <cellStyle name="Title 2 8 2" xfId="16547" xr:uid="{3F97CA48-20CC-40D3-8BE5-C69F6EA8B9BB}"/>
    <cellStyle name="Title 2 8 3" xfId="16548" xr:uid="{4340FB11-94EF-4946-AA9F-B04B8F6D5D0D}"/>
    <cellStyle name="Title 2 8 4" xfId="16549" xr:uid="{162C0301-4F8C-4B8D-A3A5-295B88E9D60B}"/>
    <cellStyle name="Title 2 8 5" xfId="16550" xr:uid="{FD7948FF-8BFE-4E6B-945D-9F22E566F5A9}"/>
    <cellStyle name="Title 2 8 6" xfId="16551" xr:uid="{ABF84660-2455-48D5-8D4B-AD87078C41BB}"/>
    <cellStyle name="Title 2 8 7" xfId="16552" xr:uid="{CA2D45C6-EEA2-4A87-93D0-4721A85E182B}"/>
    <cellStyle name="Title 2 8 8" xfId="16553" xr:uid="{09B761D5-B151-4311-8E66-575EF4CCD3B9}"/>
    <cellStyle name="Title 2 8 9" xfId="16554" xr:uid="{99218084-6406-44C9-A5CF-0F6B1EE19465}"/>
    <cellStyle name="Title 2 9" xfId="16555" xr:uid="{749CA0D6-851C-4112-85DF-06AB19034289}"/>
    <cellStyle name="Title 2 9 2" xfId="16556" xr:uid="{2B15AF10-BACF-4416-9FE7-3180B101CD92}"/>
    <cellStyle name="Title 2 9 3" xfId="16557" xr:uid="{BDED9A64-8979-42FA-8FF8-592F3CE86082}"/>
    <cellStyle name="Title 2 9 4" xfId="16558" xr:uid="{5F58A9C8-7E3E-43BB-86D7-83CD49C3F0C1}"/>
    <cellStyle name="Title 2 9 5" xfId="16559" xr:uid="{EAC3A3C0-F0A8-4F76-9757-7D995D911A2D}"/>
    <cellStyle name="Title 2 9 6" xfId="16560" xr:uid="{7B82447A-C644-419A-8C5B-ABF3B63CB7F7}"/>
    <cellStyle name="Title 2 9 7" xfId="16561" xr:uid="{4D1BC128-AF92-48D1-A6D7-1F924FD30CA3}"/>
    <cellStyle name="Title 2 9 8" xfId="16562" xr:uid="{254BF62C-787E-48B5-963A-770665D0EE4C}"/>
    <cellStyle name="Title 2 9 9" xfId="16563" xr:uid="{D369EEDE-4FBA-4E91-B6D7-6EE9A1C15473}"/>
    <cellStyle name="Title 20" xfId="16564" xr:uid="{3B7D7D84-D6B4-4360-B611-2B1210CA4697}"/>
    <cellStyle name="Title 20 10" xfId="16565" xr:uid="{79380DB2-A105-44A1-8197-A47310F28D0A}"/>
    <cellStyle name="Title 20 2" xfId="16566" xr:uid="{3173A905-612B-4FC6-9E23-3D8B69A52185}"/>
    <cellStyle name="Title 20 3" xfId="16567" xr:uid="{1A0095D1-72C2-464B-8162-444BC50AF3C7}"/>
    <cellStyle name="Title 20 4" xfId="16568" xr:uid="{369B3D07-27EF-44CB-853E-907E5CE15A31}"/>
    <cellStyle name="Title 20 5" xfId="16569" xr:uid="{3806C72E-474C-49D0-8A06-F081124745DC}"/>
    <cellStyle name="Title 20 6" xfId="16570" xr:uid="{D5972F0A-5749-4427-891F-868548DB9421}"/>
    <cellStyle name="Title 20 7" xfId="16571" xr:uid="{9288C263-BE40-4CD0-BC7A-377583689D8A}"/>
    <cellStyle name="Title 20 8" xfId="16572" xr:uid="{8074B257-3F26-4D56-93FB-1F7D0895C4F8}"/>
    <cellStyle name="Title 20 9" xfId="16573" xr:uid="{E58ED44B-6861-4D47-8621-705B794B7101}"/>
    <cellStyle name="Title 21" xfId="16574" xr:uid="{8E81761E-4C3D-4482-B996-BE96F28C57AA}"/>
    <cellStyle name="Title 21 10" xfId="16575" xr:uid="{0C9A7F4E-69CD-4404-95B1-4C0D0CA41157}"/>
    <cellStyle name="Title 21 2" xfId="16576" xr:uid="{2EC55D81-3F8E-4172-BF4C-89E5D2AE5865}"/>
    <cellStyle name="Title 21 3" xfId="16577" xr:uid="{F0DCCF5B-D033-426D-9C48-797F7DBE0844}"/>
    <cellStyle name="Title 21 4" xfId="16578" xr:uid="{93847F60-4499-4673-BF9A-D7717200D0AF}"/>
    <cellStyle name="Title 21 5" xfId="16579" xr:uid="{7B22CC5B-58D1-44D6-B24F-7A1A374D0611}"/>
    <cellStyle name="Title 21 6" xfId="16580" xr:uid="{DA230BF8-8BE7-4CF4-BB34-D0E56083C0E5}"/>
    <cellStyle name="Title 21 7" xfId="16581" xr:uid="{CAC061CD-E0CB-413B-B137-35D2A869084A}"/>
    <cellStyle name="Title 21 8" xfId="16582" xr:uid="{8E244E15-C4F1-4C37-BAD6-EA7E1E22DDCB}"/>
    <cellStyle name="Title 21 9" xfId="16583" xr:uid="{9376A7D5-9428-4496-951B-778B78381D33}"/>
    <cellStyle name="Title 22" xfId="16584" xr:uid="{6B0CA9D7-0CA8-44A8-9346-30C434CCF07E}"/>
    <cellStyle name="Title 22 10" xfId="16585" xr:uid="{EC3DA964-ADD0-4B27-B25F-EB2215FFECBF}"/>
    <cellStyle name="Title 22 2" xfId="16586" xr:uid="{1AC0C7D2-4B19-42DE-95A1-0CCBBCA9D799}"/>
    <cellStyle name="Title 22 3" xfId="16587" xr:uid="{D098F4AD-D012-4381-A276-4554243AE1ED}"/>
    <cellStyle name="Title 22 4" xfId="16588" xr:uid="{F7FA9299-71E1-4C92-8528-40B263BD6666}"/>
    <cellStyle name="Title 22 5" xfId="16589" xr:uid="{1893C7C3-6059-405A-9409-D0A4BB44AE09}"/>
    <cellStyle name="Title 22 6" xfId="16590" xr:uid="{56AE37DC-37DB-4650-A177-DF8D8D1FC796}"/>
    <cellStyle name="Title 22 7" xfId="16591" xr:uid="{81AD28E0-C9EB-4020-935B-73EB55903C30}"/>
    <cellStyle name="Title 22 8" xfId="16592" xr:uid="{EA97CE2E-DE62-4487-82D8-4E8D50F52F57}"/>
    <cellStyle name="Title 22 9" xfId="16593" xr:uid="{6388593C-B665-4D42-9FC6-93A4B3C8D67B}"/>
    <cellStyle name="Title 23" xfId="16594" xr:uid="{6F61B43B-085E-438C-8C4B-219087E66B51}"/>
    <cellStyle name="Title 23 10" xfId="16595" xr:uid="{89F6F470-2613-4D46-A659-0505B85F7AE6}"/>
    <cellStyle name="Title 23 2" xfId="16596" xr:uid="{E8808671-571E-45CE-8FF3-B72CD01F32D5}"/>
    <cellStyle name="Title 23 3" xfId="16597" xr:uid="{5DCEAD9F-CA11-49F7-83CC-218D905BBF50}"/>
    <cellStyle name="Title 23 4" xfId="16598" xr:uid="{8F479A88-0F7C-460B-AEF9-A6C7DF984401}"/>
    <cellStyle name="Title 23 5" xfId="16599" xr:uid="{BDE23FB6-DD64-4F31-9AC8-4A3CACE0386C}"/>
    <cellStyle name="Title 23 6" xfId="16600" xr:uid="{EFD083B6-EBEF-4D3C-B100-E87C53E23337}"/>
    <cellStyle name="Title 23 7" xfId="16601" xr:uid="{F1041BDF-51AA-4E42-A184-277BB940901B}"/>
    <cellStyle name="Title 23 8" xfId="16602" xr:uid="{6A5CAA7F-BA67-458D-B08E-AE23CD6BFF63}"/>
    <cellStyle name="Title 23 9" xfId="16603" xr:uid="{7FF678CB-A29F-4CFC-BE39-489F9B34AEAE}"/>
    <cellStyle name="Title 24" xfId="16604" xr:uid="{9EE17139-9974-4D6A-886E-AF1F8214377F}"/>
    <cellStyle name="Title 24 10" xfId="16605" xr:uid="{7409F1C0-1963-4191-B318-9259A20826DB}"/>
    <cellStyle name="Title 24 2" xfId="16606" xr:uid="{12613FDA-87B8-4973-9973-401F5783A596}"/>
    <cellStyle name="Title 24 3" xfId="16607" xr:uid="{881CDD31-CEAC-4C4C-92EF-DBBE4D53A46C}"/>
    <cellStyle name="Title 24 4" xfId="16608" xr:uid="{E602E5D5-D086-4C25-BC5E-4995157208B6}"/>
    <cellStyle name="Title 24 5" xfId="16609" xr:uid="{E0890D93-1527-4DEE-B997-4CDCB6C6997A}"/>
    <cellStyle name="Title 24 6" xfId="16610" xr:uid="{ED387FB3-8AB8-40BB-9FD2-861979B841A1}"/>
    <cellStyle name="Title 24 7" xfId="16611" xr:uid="{BD4883EC-7C83-4030-8E0B-5E168DBB02AB}"/>
    <cellStyle name="Title 24 8" xfId="16612" xr:uid="{AE0D7A7A-0DDA-426B-B716-7A3DE19E64A9}"/>
    <cellStyle name="Title 24 9" xfId="16613" xr:uid="{15F7F811-B960-407C-AB2A-9121D993206F}"/>
    <cellStyle name="Title 25" xfId="16614" xr:uid="{5D3F07EA-99DF-40E6-A047-5B998082F3C6}"/>
    <cellStyle name="Title 25 10" xfId="16615" xr:uid="{49E1EC4C-A20B-412A-B2F0-54E36DFAE764}"/>
    <cellStyle name="Title 25 2" xfId="16616" xr:uid="{5C75013B-B72A-409E-82BC-0D7DD87B773B}"/>
    <cellStyle name="Title 25 3" xfId="16617" xr:uid="{574830D4-2957-4514-A745-D1B3610E34F0}"/>
    <cellStyle name="Title 25 4" xfId="16618" xr:uid="{1A1859EF-8D5D-4E4D-B49E-32F4DED452D0}"/>
    <cellStyle name="Title 25 5" xfId="16619" xr:uid="{612C612E-63F7-4798-BFC8-45C3190D19EC}"/>
    <cellStyle name="Title 25 6" xfId="16620" xr:uid="{A7C1EEE0-C460-4295-8523-2B8E6DF7EC2E}"/>
    <cellStyle name="Title 25 7" xfId="16621" xr:uid="{7A7B2033-9012-48BE-86FD-5121DE0D7056}"/>
    <cellStyle name="Title 25 8" xfId="16622" xr:uid="{F0EE7787-9981-468E-AD25-5298E361333F}"/>
    <cellStyle name="Title 25 9" xfId="16623" xr:uid="{1FAC6398-87D2-41EC-832A-E58C9491FC5C}"/>
    <cellStyle name="Title 26" xfId="16624" xr:uid="{D4081F3A-E651-4884-8EA2-C9032E66CE47}"/>
    <cellStyle name="Title 26 10" xfId="16625" xr:uid="{E51398E1-441C-4DFD-A551-FCC95B89BF46}"/>
    <cellStyle name="Title 26 2" xfId="16626" xr:uid="{B0AE8051-0BC1-42C1-B4B1-E2D6431CF37C}"/>
    <cellStyle name="Title 26 3" xfId="16627" xr:uid="{3FF5166B-1C7E-4ACF-AFD3-46365B222BEF}"/>
    <cellStyle name="Title 26 4" xfId="16628" xr:uid="{03F6B2C4-0A34-4871-9EFB-8F5DCBB0CDC6}"/>
    <cellStyle name="Title 26 5" xfId="16629" xr:uid="{26DCF372-D15D-40E3-959D-A1133D127AD9}"/>
    <cellStyle name="Title 26 6" xfId="16630" xr:uid="{DDEDAD77-CFA0-4840-97B1-D451B74010AB}"/>
    <cellStyle name="Title 26 7" xfId="16631" xr:uid="{1D516A43-9CB7-4EC1-B2ED-D391BF075C5A}"/>
    <cellStyle name="Title 26 8" xfId="16632" xr:uid="{6E5B4C84-EC7D-4243-A87B-84EF85FC4D72}"/>
    <cellStyle name="Title 26 9" xfId="16633" xr:uid="{800BE676-CF48-49FB-AE9A-1D254FD5B76F}"/>
    <cellStyle name="Title 27" xfId="16634" xr:uid="{57EA8676-DD30-4BC2-889E-2AEDCF5DEBDF}"/>
    <cellStyle name="Title 27 10" xfId="16635" xr:uid="{C8DB7E9D-F242-489F-BB9A-B9ECFF094295}"/>
    <cellStyle name="Title 27 2" xfId="16636" xr:uid="{F4FAF9DA-BD73-4FEF-B11E-CA7A318651C2}"/>
    <cellStyle name="Title 27 3" xfId="16637" xr:uid="{2165DA18-038B-4E1C-BF6C-F8A5AC0DF999}"/>
    <cellStyle name="Title 27 4" xfId="16638" xr:uid="{7DF9147B-92A5-4F4E-8B4F-0DC1B4758ECF}"/>
    <cellStyle name="Title 27 5" xfId="16639" xr:uid="{BD1C53CB-C32A-4FCE-A33F-DDB9A21ED120}"/>
    <cellStyle name="Title 27 6" xfId="16640" xr:uid="{67842DE4-6FBC-4158-9006-D8813B481CDE}"/>
    <cellStyle name="Title 27 7" xfId="16641" xr:uid="{8BC1F1D6-CE5A-4F8A-92ED-68AF6F190FE9}"/>
    <cellStyle name="Title 27 8" xfId="16642" xr:uid="{BA24E855-1DAB-4E3D-A89F-3F5ED72CFFEA}"/>
    <cellStyle name="Title 27 9" xfId="16643" xr:uid="{CC317A90-1125-483A-8008-59AAF26DAB23}"/>
    <cellStyle name="Title 28" xfId="16644" xr:uid="{C4081783-CC92-449C-BE04-55B391AFA9E2}"/>
    <cellStyle name="Title 28 10" xfId="16645" xr:uid="{9A5366F7-2058-413C-BDAE-7C60A2213D51}"/>
    <cellStyle name="Title 28 2" xfId="16646" xr:uid="{853EECF1-8DB2-4DA2-9ADD-61BFD13679C9}"/>
    <cellStyle name="Title 28 3" xfId="16647" xr:uid="{F094E217-8920-466A-A3B4-A62A92B182F3}"/>
    <cellStyle name="Title 28 4" xfId="16648" xr:uid="{E057043A-7AD8-489C-B65F-7BB91522E5A4}"/>
    <cellStyle name="Title 28 5" xfId="16649" xr:uid="{41D0A14C-2C0B-4172-9551-B1F9D2301188}"/>
    <cellStyle name="Title 28 6" xfId="16650" xr:uid="{4216CEE9-9A36-47EF-BE30-ED898AA6CE84}"/>
    <cellStyle name="Title 28 7" xfId="16651" xr:uid="{AA4B8018-F7F7-4156-B784-E89A5D8D3284}"/>
    <cellStyle name="Title 28 8" xfId="16652" xr:uid="{E56C3696-DAA2-46BB-B502-2C11FDD11B68}"/>
    <cellStyle name="Title 28 9" xfId="16653" xr:uid="{7CE1C5FA-07F1-4372-8D34-4CB4EA39D906}"/>
    <cellStyle name="Title 29" xfId="16654" xr:uid="{4B0E8061-D1F2-4CB4-9F18-D20E86875EFC}"/>
    <cellStyle name="Title 29 10" xfId="16655" xr:uid="{25CE21B1-5E5B-4882-AED6-EEF680E90075}"/>
    <cellStyle name="Title 29 2" xfId="16656" xr:uid="{E587FBE9-1454-4A85-B20D-03F3F755E704}"/>
    <cellStyle name="Title 29 3" xfId="16657" xr:uid="{CE71F74D-D2E5-45C0-AD33-6AA48DFE46BA}"/>
    <cellStyle name="Title 29 4" xfId="16658" xr:uid="{CB163491-950A-44C7-85DB-C4EBC0286F5B}"/>
    <cellStyle name="Title 29 5" xfId="16659" xr:uid="{87661391-D9E0-4737-A1EE-C3B15BE633D0}"/>
    <cellStyle name="Title 29 6" xfId="16660" xr:uid="{7976C68F-9337-4DA4-98E2-E214545EB874}"/>
    <cellStyle name="Title 29 7" xfId="16661" xr:uid="{1440590E-AF86-4A97-8744-26490B749238}"/>
    <cellStyle name="Title 29 8" xfId="16662" xr:uid="{9A7D91A3-EB62-4F32-A5E1-0F7466CD15F5}"/>
    <cellStyle name="Title 29 9" xfId="16663" xr:uid="{FA843A13-2DDB-4398-AB31-458C3585CDA0}"/>
    <cellStyle name="Title 3" xfId="16664" xr:uid="{FA6D3557-8CD9-40DE-87DA-CEF0919FB4A7}"/>
    <cellStyle name="Title 3 10" xfId="16665" xr:uid="{FC4B0E24-8336-46B7-B0F0-44C84F274811}"/>
    <cellStyle name="Title 3 11" xfId="16666" xr:uid="{368AFBDF-38C0-473D-BE44-CFED0D623F22}"/>
    <cellStyle name="Title 3 12" xfId="16667" xr:uid="{91BF3D2D-D90A-4215-AA73-FCF2DE229B00}"/>
    <cellStyle name="Title 3 2" xfId="16668" xr:uid="{48FF21F5-84FC-4C76-AD3E-0B3FA311D846}"/>
    <cellStyle name="Title 3 2 2" xfId="16669" xr:uid="{7E79F84F-A390-4F57-9EF4-EA6C2B6713D1}"/>
    <cellStyle name="Title 3 2 3" xfId="16670" xr:uid="{A494941F-AC2A-4902-B91C-F926F42CC1F2}"/>
    <cellStyle name="Title 3 2 4" xfId="16671" xr:uid="{EED945FB-8ADC-4970-9968-A2E451FC84FF}"/>
    <cellStyle name="Title 3 2 5" xfId="16672" xr:uid="{76CC13BE-CDAC-46CE-842E-0152B0D952F9}"/>
    <cellStyle name="Title 3 2 6" xfId="16673" xr:uid="{650FABFC-4105-47D9-A61C-450618546070}"/>
    <cellStyle name="Title 3 2 7" xfId="16674" xr:uid="{FFF33FEC-6445-4669-9C58-A0958568AD56}"/>
    <cellStyle name="Title 3 2 8" xfId="16675" xr:uid="{A81F5572-C8A5-4018-8DE2-8E584A3CD38D}"/>
    <cellStyle name="Title 3 2 9" xfId="16676" xr:uid="{C9C8BBBB-DB52-4169-AA0C-09DF4A84A756}"/>
    <cellStyle name="Title 3 3" xfId="16677" xr:uid="{48379B6F-31C4-4AB6-B3B8-7B186C6B8004}"/>
    <cellStyle name="Title 3 3 2" xfId="16678" xr:uid="{4DF5C3F4-100B-42BB-8E3C-C41161F7703B}"/>
    <cellStyle name="Title 3 3 3" xfId="16679" xr:uid="{39F7997B-1EDE-4B68-AB0E-10A4E2EB83E7}"/>
    <cellStyle name="Title 3 3 4" xfId="16680" xr:uid="{C2AC3E71-4421-4448-BF45-203952F53041}"/>
    <cellStyle name="Title 3 3 5" xfId="16681" xr:uid="{DE4AC831-E145-4701-8E23-D3000FE1227E}"/>
    <cellStyle name="Title 3 4" xfId="16682" xr:uid="{44DF9109-262B-4449-8CBA-74B91344FD29}"/>
    <cellStyle name="Title 3 4 2" xfId="16683" xr:uid="{71A8EE26-A30A-456E-B7B6-7BB61343970F}"/>
    <cellStyle name="Title 3 4 3" xfId="16684" xr:uid="{FA32AD76-7658-4F6E-8A1E-E6239C80657C}"/>
    <cellStyle name="Title 3 4 4" xfId="16685" xr:uid="{C3328820-B074-41C4-BC59-526F24EFF72A}"/>
    <cellStyle name="Title 3 4 5" xfId="16686" xr:uid="{27A5941F-43F5-457A-8F9C-1EA28AB01D36}"/>
    <cellStyle name="Title 3 5" xfId="16687" xr:uid="{B04786DF-12DA-4163-A168-C8F573CA4A69}"/>
    <cellStyle name="Title 3 6" xfId="16688" xr:uid="{4032C896-FBB1-49AD-B514-B078573E1AF4}"/>
    <cellStyle name="Title 3 7" xfId="16689" xr:uid="{B73D4AED-5A68-43DD-9B7B-54FAA8670F0F}"/>
    <cellStyle name="Title 3 8" xfId="16690" xr:uid="{07890F69-3B21-4E13-8EB7-43D505E7C072}"/>
    <cellStyle name="Title 3 9" xfId="16691" xr:uid="{46E578F7-BC70-4361-A684-40559CCFCA83}"/>
    <cellStyle name="Title 30" xfId="16692" xr:uid="{280B788E-9AC5-4F1A-9D5A-B8B294A6D2C6}"/>
    <cellStyle name="Title 30 10" xfId="16693" xr:uid="{1ED268EE-6F19-43B5-9E84-4EA485E549BA}"/>
    <cellStyle name="Title 30 2" xfId="16694" xr:uid="{A5E6DDA9-817C-4CA0-8CB4-F3D675311C01}"/>
    <cellStyle name="Title 30 3" xfId="16695" xr:uid="{010AC5A7-A2B0-48F6-A114-B14013DCD6C2}"/>
    <cellStyle name="Title 30 4" xfId="16696" xr:uid="{6E738EE7-6E60-4A23-98CF-2FF0D048BED0}"/>
    <cellStyle name="Title 30 5" xfId="16697" xr:uid="{196911AE-3F96-42E3-8B34-47D131C50AD2}"/>
    <cellStyle name="Title 30 6" xfId="16698" xr:uid="{F1574410-840B-4631-99DB-E86EAB5B454F}"/>
    <cellStyle name="Title 30 7" xfId="16699" xr:uid="{C1FF2F2A-896B-4070-91B8-F068651B4F96}"/>
    <cellStyle name="Title 30 8" xfId="16700" xr:uid="{FFE9F1F6-6EE9-4447-BF50-B3611DAB3FF3}"/>
    <cellStyle name="Title 30 9" xfId="16701" xr:uid="{ABCDF3E3-539D-4131-BCB3-5DC1ADA10B29}"/>
    <cellStyle name="Title 31" xfId="16702" xr:uid="{62DCD9FB-5790-42F9-87AF-395CA1414B59}"/>
    <cellStyle name="Title 31 10" xfId="16703" xr:uid="{1755FEAF-C85E-40A3-A173-AB4139FD6D68}"/>
    <cellStyle name="Title 31 2" xfId="16704" xr:uid="{6F9B6F28-4C80-478A-9B94-221BCE4B2C02}"/>
    <cellStyle name="Title 31 3" xfId="16705" xr:uid="{FEDF8D14-22E4-40D8-9ECD-6E73F111D440}"/>
    <cellStyle name="Title 31 4" xfId="16706" xr:uid="{72D1EFA2-B387-4702-AC0D-8317860DB912}"/>
    <cellStyle name="Title 31 5" xfId="16707" xr:uid="{8128E28A-7AE3-4FB6-AA4E-FEDCA7E9C0F1}"/>
    <cellStyle name="Title 31 6" xfId="16708" xr:uid="{47DC7F42-3FAE-471A-B45D-D484FDAF97D5}"/>
    <cellStyle name="Title 31 7" xfId="16709" xr:uid="{0F0F43DC-0FA1-4762-BE7A-22AC0540DFED}"/>
    <cellStyle name="Title 31 8" xfId="16710" xr:uid="{400971A4-404A-40DD-9215-880191352747}"/>
    <cellStyle name="Title 31 9" xfId="16711" xr:uid="{05CE4A0B-3CFE-40CF-8100-F42336660721}"/>
    <cellStyle name="Title 32" xfId="16712" xr:uid="{9C9C6C0E-6ED2-4D7D-BA3C-FBBA634A7B03}"/>
    <cellStyle name="Title 32 10" xfId="16713" xr:uid="{AECA972E-65DD-4048-8FB5-F22ABC15854B}"/>
    <cellStyle name="Title 32 2" xfId="16714" xr:uid="{2FF76136-4502-4FF6-8A83-82FADF1EC0C1}"/>
    <cellStyle name="Title 32 3" xfId="16715" xr:uid="{2FA82310-713E-4667-A2B8-C25F94AF55A7}"/>
    <cellStyle name="Title 32 4" xfId="16716" xr:uid="{8521DF6C-DBD4-4276-A29A-7E70A2C7BAD0}"/>
    <cellStyle name="Title 32 5" xfId="16717" xr:uid="{1D810AD2-8E24-4141-B06B-FA0F7CF11CE4}"/>
    <cellStyle name="Title 32 6" xfId="16718" xr:uid="{96CCDCDE-3005-4784-8D5C-5A9DA13A4133}"/>
    <cellStyle name="Title 32 7" xfId="16719" xr:uid="{3F3ABF60-E574-495D-B203-52845E0E14DF}"/>
    <cellStyle name="Title 32 8" xfId="16720" xr:uid="{8EBF15EF-61E4-4EF5-8A8F-A9885CE65452}"/>
    <cellStyle name="Title 32 9" xfId="16721" xr:uid="{8F09CD32-41AF-4FD0-B8D7-306BFFFD34FA}"/>
    <cellStyle name="Title 33" xfId="16722" xr:uid="{9DBD51A3-3307-4FEA-BED4-FCC499D9B4F9}"/>
    <cellStyle name="Title 33 10" xfId="16723" xr:uid="{30134534-037B-4F3A-A476-5003820D3D61}"/>
    <cellStyle name="Title 33 2" xfId="16724" xr:uid="{331E4749-7610-45AF-9B51-9304CA6B6EF8}"/>
    <cellStyle name="Title 33 3" xfId="16725" xr:uid="{CF28BE2F-F59C-4696-A977-199DAAFDE8AF}"/>
    <cellStyle name="Title 33 4" xfId="16726" xr:uid="{5AB417D3-7F74-4DFD-882D-E3AA7987A044}"/>
    <cellStyle name="Title 33 5" xfId="16727" xr:uid="{A0145986-503E-4C99-83B4-BDE1EC48BCD1}"/>
    <cellStyle name="Title 33 6" xfId="16728" xr:uid="{DD9364C5-6991-46E0-A081-C069A26ACD06}"/>
    <cellStyle name="Title 33 7" xfId="16729" xr:uid="{1CCE839F-4EF4-4E8D-AB69-76E9D62A98B2}"/>
    <cellStyle name="Title 33 8" xfId="16730" xr:uid="{B7153C17-DF03-4EB4-8467-DB296D6FF9E4}"/>
    <cellStyle name="Title 33 9" xfId="16731" xr:uid="{01CC21EA-5130-48AF-9D5A-1D08DA4A98DC}"/>
    <cellStyle name="Title 34" xfId="16732" xr:uid="{DC6DCCDD-F3AB-4A58-B349-20EB17B983CE}"/>
    <cellStyle name="Title 34 10" xfId="16733" xr:uid="{F6027C2D-4389-4A19-88E0-3B27427A38E9}"/>
    <cellStyle name="Title 34 2" xfId="16734" xr:uid="{C3E7936A-65C1-43F8-8839-009426BDD03F}"/>
    <cellStyle name="Title 34 3" xfId="16735" xr:uid="{3D321FBB-552F-481C-847D-EFE514AA4DCF}"/>
    <cellStyle name="Title 34 4" xfId="16736" xr:uid="{9472A469-8D2B-44EF-BDE6-E59963A8354A}"/>
    <cellStyle name="Title 34 5" xfId="16737" xr:uid="{6F77B641-65CF-42BB-A589-D4D58EDE391E}"/>
    <cellStyle name="Title 34 6" xfId="16738" xr:uid="{9D77A637-F025-46DA-A694-DB131FA47694}"/>
    <cellStyle name="Title 34 7" xfId="16739" xr:uid="{AC00DF45-91EF-47B7-98FD-6B7334C72331}"/>
    <cellStyle name="Title 34 8" xfId="16740" xr:uid="{330B5B6F-112A-4673-AE93-E08383F67BA2}"/>
    <cellStyle name="Title 34 9" xfId="16741" xr:uid="{2D628E76-35A3-40F5-9594-CA70B125DB98}"/>
    <cellStyle name="Title 35" xfId="16742" xr:uid="{08B41A85-0AA9-4366-9607-0636107458D1}"/>
    <cellStyle name="Title 35 10" xfId="16743" xr:uid="{EF118B77-7944-4345-9FA1-3DC9252F545D}"/>
    <cellStyle name="Title 35 2" xfId="16744" xr:uid="{E5689E3B-01B9-4656-AC50-9874BF05DBC3}"/>
    <cellStyle name="Title 35 3" xfId="16745" xr:uid="{B3AF2A9D-7B73-468F-B9BF-083C0964CE4A}"/>
    <cellStyle name="Title 35 4" xfId="16746" xr:uid="{3C4ABFCC-6EC0-45E2-8AF9-25FACAC09ECD}"/>
    <cellStyle name="Title 35 5" xfId="16747" xr:uid="{516F7143-E4A7-482D-B942-F786B220C89A}"/>
    <cellStyle name="Title 35 6" xfId="16748" xr:uid="{301DD581-BAFF-4DBE-BB50-0596FA562922}"/>
    <cellStyle name="Title 35 7" xfId="16749" xr:uid="{9E6CA9D9-19A3-430B-870A-4091527367C8}"/>
    <cellStyle name="Title 35 8" xfId="16750" xr:uid="{FF311C6C-F9D6-4687-A399-3814B1D4F398}"/>
    <cellStyle name="Title 35 9" xfId="16751" xr:uid="{95AAF3C8-70C9-44A9-BFD5-C54F092DA0B9}"/>
    <cellStyle name="Title 36" xfId="16752" xr:uid="{A19B8DAB-BA1E-4534-8DB7-29A3F4C631C0}"/>
    <cellStyle name="Title 36 10" xfId="16753" xr:uid="{6851A0A6-6D80-4BC1-A172-D89B230CD51D}"/>
    <cellStyle name="Title 36 2" xfId="16754" xr:uid="{16D5B89A-A4B9-41A7-9BA2-6FFE84013A6D}"/>
    <cellStyle name="Title 36 3" xfId="16755" xr:uid="{0A583E6E-8B59-4485-93F6-14EF2157D454}"/>
    <cellStyle name="Title 36 4" xfId="16756" xr:uid="{52B01AD0-7E8C-4032-A4E0-97E0C82FA7EB}"/>
    <cellStyle name="Title 36 5" xfId="16757" xr:uid="{928AA0A4-2EB5-408E-B847-99F816A1A311}"/>
    <cellStyle name="Title 36 6" xfId="16758" xr:uid="{35596121-B8CC-441B-9618-3330CEEADE2E}"/>
    <cellStyle name="Title 36 7" xfId="16759" xr:uid="{DCA4020B-A5F8-4802-AA4C-4B76D0DA0D58}"/>
    <cellStyle name="Title 36 8" xfId="16760" xr:uid="{CA98677B-9D9A-4AFA-9005-4DCE5889219E}"/>
    <cellStyle name="Title 36 9" xfId="16761" xr:uid="{9553016A-5FB2-401B-80FE-AE5137C15220}"/>
    <cellStyle name="Title 37" xfId="16762" xr:uid="{860989BF-C258-417C-AB02-7218377BBBAC}"/>
    <cellStyle name="Title 37 10" xfId="16763" xr:uid="{EF364B89-F6BD-4205-AC10-3DF2CD747FE8}"/>
    <cellStyle name="Title 37 2" xfId="16764" xr:uid="{E5DD813C-8B4A-41DC-8C4B-3BBD42707BB9}"/>
    <cellStyle name="Title 37 3" xfId="16765" xr:uid="{B5F6508F-D769-4B97-BCFC-B16C412739C7}"/>
    <cellStyle name="Title 37 4" xfId="16766" xr:uid="{905C4507-CE96-4EF0-85E7-5F95720C990A}"/>
    <cellStyle name="Title 37 5" xfId="16767" xr:uid="{E5A5B339-10FE-4FA7-BD4C-09EA6BD70077}"/>
    <cellStyle name="Title 37 6" xfId="16768" xr:uid="{0B7C7B72-8503-41C6-A3DC-5F8938757D59}"/>
    <cellStyle name="Title 37 7" xfId="16769" xr:uid="{8A375AB4-5CB4-4999-AF54-364FB4012447}"/>
    <cellStyle name="Title 37 8" xfId="16770" xr:uid="{E28C112D-54A5-4639-A1B0-04B126C5D046}"/>
    <cellStyle name="Title 37 9" xfId="16771" xr:uid="{5E73F353-EF1B-48C2-AEEA-E1987AF65A9F}"/>
    <cellStyle name="Title 38" xfId="16772" xr:uid="{07FB7C49-7E44-41B4-A440-7CA7DE67469C}"/>
    <cellStyle name="Title 38 10" xfId="16773" xr:uid="{14D52E55-38C0-4A47-9F80-4476EBA75BF6}"/>
    <cellStyle name="Title 38 2" xfId="16774" xr:uid="{2264FB9B-0BCF-4E5D-9B45-EB775C1087ED}"/>
    <cellStyle name="Title 38 3" xfId="16775" xr:uid="{20ABBF5B-F49C-4F39-817E-FD30429931DF}"/>
    <cellStyle name="Title 38 4" xfId="16776" xr:uid="{136C7F56-142E-4547-A0E1-6B56D2D98A47}"/>
    <cellStyle name="Title 38 5" xfId="16777" xr:uid="{602E46CD-6DB0-49F8-8C94-9F14CDFEC517}"/>
    <cellStyle name="Title 38 6" xfId="16778" xr:uid="{2DB21FB3-F9C4-444A-8B21-A6C53D16ED69}"/>
    <cellStyle name="Title 38 7" xfId="16779" xr:uid="{FED10B7D-85EE-4945-8133-21349760C679}"/>
    <cellStyle name="Title 38 8" xfId="16780" xr:uid="{481C5BEC-88E9-4C96-8526-763AA550BE38}"/>
    <cellStyle name="Title 38 9" xfId="16781" xr:uid="{542A220B-A3DB-42E0-B361-189E676CDBAB}"/>
    <cellStyle name="Title 39" xfId="16782" xr:uid="{52A2FB54-2E35-4885-B2DE-AB46D63FE4C3}"/>
    <cellStyle name="Title 39 10" xfId="16783" xr:uid="{5B582336-7CFD-436E-89DF-2F018FEF2FEB}"/>
    <cellStyle name="Title 39 2" xfId="16784" xr:uid="{E3E38E8E-D0BD-48C4-A778-5159FF0B462B}"/>
    <cellStyle name="Title 39 3" xfId="16785" xr:uid="{513BCD76-1E0C-439A-89AD-EAAD660F6407}"/>
    <cellStyle name="Title 39 4" xfId="16786" xr:uid="{987158B3-7B41-4D76-A6CD-033225DCAC7A}"/>
    <cellStyle name="Title 39 5" xfId="16787" xr:uid="{98B96EC6-4EF7-4F94-9E71-EF9711188715}"/>
    <cellStyle name="Title 39 6" xfId="16788" xr:uid="{4D493F8C-68EB-4D28-81B5-E5055FB340E4}"/>
    <cellStyle name="Title 39 7" xfId="16789" xr:uid="{3B23E186-1929-42F2-ACA6-FA0EA9A8956B}"/>
    <cellStyle name="Title 39 8" xfId="16790" xr:uid="{809E6BFE-E33A-4B12-94B9-675E58AABBB8}"/>
    <cellStyle name="Title 39 9" xfId="16791" xr:uid="{0148F7CC-1860-45F4-A303-3EADDEC13D45}"/>
    <cellStyle name="Title 4" xfId="16792" xr:uid="{22224508-DA64-4BFA-AB51-7444343C7AF7}"/>
    <cellStyle name="Title 4 10" xfId="16793" xr:uid="{4C702819-4450-449F-927C-61FF4FEDA8B9}"/>
    <cellStyle name="Title 4 11" xfId="16794" xr:uid="{F36D4D1A-C9CC-4123-8D0F-80B8B052EF90}"/>
    <cellStyle name="Title 4 2" xfId="16795" xr:uid="{76C9EA74-F850-483A-A14D-9E4450B952FA}"/>
    <cellStyle name="Title 4 2 2" xfId="16796" xr:uid="{49F65FA4-9217-483A-8C0F-66E787C8F457}"/>
    <cellStyle name="Title 4 2 3" xfId="16797" xr:uid="{AD5BC2BD-6C0A-408E-9DE2-A3B3212CA565}"/>
    <cellStyle name="Title 4 2 4" xfId="16798" xr:uid="{65A572BE-3955-4E8F-86DF-4C5438BE1F46}"/>
    <cellStyle name="Title 4 2 5" xfId="16799" xr:uid="{A1D4863B-0EAB-4969-91F4-2B3BB087B820}"/>
    <cellStyle name="Title 4 3" xfId="16800" xr:uid="{D17D6388-15AB-4602-9835-1710FF0A268A}"/>
    <cellStyle name="Title 4 4" xfId="16801" xr:uid="{02D795BB-4AAE-469A-83A7-4F298F3C493C}"/>
    <cellStyle name="Title 4 5" xfId="16802" xr:uid="{6330D3C3-2B81-4443-BFC5-7F25746CD9BE}"/>
    <cellStyle name="Title 4 6" xfId="16803" xr:uid="{9991EA85-CA1B-48DA-8D7D-3713511B2844}"/>
    <cellStyle name="Title 4 7" xfId="16804" xr:uid="{C30A5CFE-F174-476E-BE6D-49BE73CB07F1}"/>
    <cellStyle name="Title 4 8" xfId="16805" xr:uid="{DD4F13AD-1604-4389-81D7-2E3F6D4E03AA}"/>
    <cellStyle name="Title 4 9" xfId="16806" xr:uid="{5794E9E7-B7FF-4882-B62A-A329A2D77F61}"/>
    <cellStyle name="Title 40" xfId="16807" xr:uid="{1F33680E-64B8-43BE-A54B-77EF344B4242}"/>
    <cellStyle name="Title 40 10" xfId="16808" xr:uid="{58AEB273-BF05-4754-975C-5D64E2A6343E}"/>
    <cellStyle name="Title 40 2" xfId="16809" xr:uid="{BBE63EE3-A70E-4D93-9892-182DC6BE048C}"/>
    <cellStyle name="Title 40 3" xfId="16810" xr:uid="{BE8B66E0-AF5C-4AC8-814A-0268E0B8FB2B}"/>
    <cellStyle name="Title 40 4" xfId="16811" xr:uid="{C609E1AE-57E8-40D0-9D11-A7DB645BF292}"/>
    <cellStyle name="Title 40 5" xfId="16812" xr:uid="{543FD1D5-AF22-4667-B389-D96DB32F7163}"/>
    <cellStyle name="Title 40 6" xfId="16813" xr:uid="{5741D7CE-661F-4A2B-B86E-722770AF4D57}"/>
    <cellStyle name="Title 40 7" xfId="16814" xr:uid="{7FD82966-DB45-4F1F-B064-F7C3417162A9}"/>
    <cellStyle name="Title 40 8" xfId="16815" xr:uid="{0C9B374C-F55C-4897-8253-623462B572F4}"/>
    <cellStyle name="Title 40 9" xfId="16816" xr:uid="{A796DA8B-A1DC-4FE8-91A2-099B15515DBF}"/>
    <cellStyle name="Title 41" xfId="16817" xr:uid="{76F943E3-7285-4299-B79F-666C0BC78972}"/>
    <cellStyle name="Title 41 10" xfId="16818" xr:uid="{0B518BE0-065B-4252-BC88-29964A53AB5F}"/>
    <cellStyle name="Title 41 2" xfId="16819" xr:uid="{16D2A984-4B83-4648-982E-D096D55194D7}"/>
    <cellStyle name="Title 41 3" xfId="16820" xr:uid="{E4115ACC-EDED-4182-9ACD-A869446F56E1}"/>
    <cellStyle name="Title 41 4" xfId="16821" xr:uid="{D4F95AC5-4018-4E93-BB24-772B2BDCD3C0}"/>
    <cellStyle name="Title 41 5" xfId="16822" xr:uid="{52CFFD36-B1CF-4DCB-AC9E-3AAB87BA3AB1}"/>
    <cellStyle name="Title 41 6" xfId="16823" xr:uid="{4E3C8F55-9DC4-46A3-97FC-5B734893BFD4}"/>
    <cellStyle name="Title 41 7" xfId="16824" xr:uid="{F357C713-6028-4CED-AF75-EC32C85D7111}"/>
    <cellStyle name="Title 41 8" xfId="16825" xr:uid="{23E6B008-6DA1-4D11-8AF8-DF681FB764CE}"/>
    <cellStyle name="Title 41 9" xfId="16826" xr:uid="{74059D06-2851-4481-B1A7-69936BA7C4B2}"/>
    <cellStyle name="Title 42" xfId="16827" xr:uid="{D5D45A02-6132-489C-840A-3916A89F7092}"/>
    <cellStyle name="Title 42 10" xfId="16828" xr:uid="{E425B5F4-356E-4E3D-A066-1E727DF3F680}"/>
    <cellStyle name="Title 42 2" xfId="16829" xr:uid="{EB109E2B-1C07-49F1-AB74-DF8AC61E1F5E}"/>
    <cellStyle name="Title 42 3" xfId="16830" xr:uid="{19860F91-831F-4C55-97E5-068E1F24DA19}"/>
    <cellStyle name="Title 42 4" xfId="16831" xr:uid="{794C5035-3DB7-4299-83CF-4FBDA13A6077}"/>
    <cellStyle name="Title 42 5" xfId="16832" xr:uid="{DA5F5862-AB33-45DC-BB4A-03A5080FB8EF}"/>
    <cellStyle name="Title 42 6" xfId="16833" xr:uid="{587484AE-5226-4544-B324-FA3C07A88789}"/>
    <cellStyle name="Title 42 7" xfId="16834" xr:uid="{B2A0B8DB-144A-4BEA-A83F-0CAF43127AB6}"/>
    <cellStyle name="Title 42 8" xfId="16835" xr:uid="{7B721F41-8C5E-4356-B8FF-F25F07FA3F21}"/>
    <cellStyle name="Title 42 9" xfId="16836" xr:uid="{A71EB1C0-2AF2-4BDB-8B14-18E1292251B7}"/>
    <cellStyle name="Title 43" xfId="16837" xr:uid="{251B8DCE-977A-49F5-BF15-15C06608E781}"/>
    <cellStyle name="Title 43 10" xfId="16838" xr:uid="{B5B339DF-551E-4C71-B4D1-33789354D957}"/>
    <cellStyle name="Title 43 2" xfId="16839" xr:uid="{57947A8E-A1D0-438F-83F3-2B3ED2C36132}"/>
    <cellStyle name="Title 43 3" xfId="16840" xr:uid="{A7E16E56-2577-45EF-AB00-E05958B82B0D}"/>
    <cellStyle name="Title 43 4" xfId="16841" xr:uid="{DEB18E77-9527-43DF-8BED-1369207768FB}"/>
    <cellStyle name="Title 43 5" xfId="16842" xr:uid="{FDEF0852-7988-4AFA-BCD1-4F1EF743DCC1}"/>
    <cellStyle name="Title 43 6" xfId="16843" xr:uid="{72E1620B-7FD2-4257-B939-E726D64C2058}"/>
    <cellStyle name="Title 43 7" xfId="16844" xr:uid="{96A300ED-F09C-4868-BC12-C2B1E06ADA2F}"/>
    <cellStyle name="Title 43 8" xfId="16845" xr:uid="{6BB7469B-CC4E-434F-944B-C504DEE75DF5}"/>
    <cellStyle name="Title 43 9" xfId="16846" xr:uid="{373B62B4-4286-4067-B4E9-CD79D02FE466}"/>
    <cellStyle name="Title 5" xfId="16847" xr:uid="{E7805800-B29C-416B-BB8B-C79CF49B70DB}"/>
    <cellStyle name="Title 5 10" xfId="16848" xr:uid="{AC02AD10-82E5-414B-AA6E-9871CB738C56}"/>
    <cellStyle name="Title 5 11" xfId="16849" xr:uid="{90C1BD5A-EA67-483E-9143-E89FBB259D56}"/>
    <cellStyle name="Title 5 2" xfId="16850" xr:uid="{B34248AF-2F17-40B1-99A8-DC7959868BEA}"/>
    <cellStyle name="Title 5 2 2" xfId="16851" xr:uid="{A4377210-8B88-4D51-A9A7-C0B9375DDE35}"/>
    <cellStyle name="Title 5 2 3" xfId="16852" xr:uid="{77D844E6-BC05-4105-B786-17CAB0E765A2}"/>
    <cellStyle name="Title 5 2 4" xfId="16853" xr:uid="{3ADD4E1E-6754-4599-94C2-E013C5C789F2}"/>
    <cellStyle name="Title 5 2 5" xfId="16854" xr:uid="{38F48041-6EF0-4690-BCC7-4236A0E75E0C}"/>
    <cellStyle name="Title 5 3" xfId="16855" xr:uid="{F31E1389-8875-4D3B-8CCF-5EF2FDB9EB5D}"/>
    <cellStyle name="Title 5 4" xfId="16856" xr:uid="{28EC7306-B11D-41D2-A215-1432DFEFBD60}"/>
    <cellStyle name="Title 5 5" xfId="16857" xr:uid="{0DE32673-89BB-40E8-A865-39C947A34E47}"/>
    <cellStyle name="Title 5 6" xfId="16858" xr:uid="{3A088667-F5DB-4AAE-95A5-F8DAF91BC0AE}"/>
    <cellStyle name="Title 5 7" xfId="16859" xr:uid="{9014575A-CD05-4E0A-82AE-C42BD2F7EDC6}"/>
    <cellStyle name="Title 5 8" xfId="16860" xr:uid="{E884B1AC-09E4-4CAD-89D5-DDA7F4E10537}"/>
    <cellStyle name="Title 5 9" xfId="16861" xr:uid="{024CC5EE-5A83-4F1F-A739-E0F27C134C38}"/>
    <cellStyle name="Title 6" xfId="16862" xr:uid="{23BB747A-9C89-46AA-B1FB-BF19D10E5977}"/>
    <cellStyle name="Title 6 10" xfId="16863" xr:uid="{6EFE4F4E-0D38-4DD0-B098-9FF4CC24A190}"/>
    <cellStyle name="Title 6 11" xfId="16864" xr:uid="{1E7FCD90-4740-40C8-A2A3-86F5C065A588}"/>
    <cellStyle name="Title 6 2" xfId="16865" xr:uid="{4F2164D0-0ED8-4234-A828-1EC33127B76C}"/>
    <cellStyle name="Title 6 2 2" xfId="16866" xr:uid="{C9A6CBE7-DAFB-4FBF-BD1C-29DCFD864A1B}"/>
    <cellStyle name="Title 6 2 3" xfId="16867" xr:uid="{095778BE-B5A1-4586-A8F5-1387B03318A8}"/>
    <cellStyle name="Title 6 2 4" xfId="16868" xr:uid="{2385107E-D532-4E2E-8333-3FD561518872}"/>
    <cellStyle name="Title 6 2 5" xfId="16869" xr:uid="{A46D61E7-95BD-4384-91F4-4E22598C9016}"/>
    <cellStyle name="Title 6 3" xfId="16870" xr:uid="{D7115698-8839-4BC5-A5D7-F228158545F8}"/>
    <cellStyle name="Title 6 4" xfId="16871" xr:uid="{6B2830C5-E18B-42F5-9535-7A2C11D21BA8}"/>
    <cellStyle name="Title 6 5" xfId="16872" xr:uid="{39DF3F56-CF2C-44BC-8ECE-BBAF99D4FA89}"/>
    <cellStyle name="Title 6 6" xfId="16873" xr:uid="{965781DF-FE87-4BAF-8D07-975ACEFD489A}"/>
    <cellStyle name="Title 6 7" xfId="16874" xr:uid="{6856CEED-7EF5-4505-905B-FBCEE978F128}"/>
    <cellStyle name="Title 6 8" xfId="16875" xr:uid="{2CE819FE-AC5F-4343-86D0-DAC4FAE07B87}"/>
    <cellStyle name="Title 6 9" xfId="16876" xr:uid="{D85F62DD-91B0-4429-912F-C39416A14C9E}"/>
    <cellStyle name="Title 7" xfId="16877" xr:uid="{20ED3976-1AB7-40A4-97BC-8430090619FC}"/>
    <cellStyle name="Title 7 10" xfId="16878" xr:uid="{A81E2AC1-1C33-4EB1-B9FB-02B7D47B6D18}"/>
    <cellStyle name="Title 7 2" xfId="16879" xr:uid="{78F70E23-4D37-4654-926A-6D081418D3E0}"/>
    <cellStyle name="Title 7 3" xfId="16880" xr:uid="{7A3A50CA-ED82-4ADB-AEB3-A6E7CADE5CEB}"/>
    <cellStyle name="Title 7 4" xfId="16881" xr:uid="{ECC35A13-F810-4347-9C2B-DBE7DAE1CA2C}"/>
    <cellStyle name="Title 7 5" xfId="16882" xr:uid="{7167133D-19EA-4081-939B-D960F76B627E}"/>
    <cellStyle name="Title 7 6" xfId="16883" xr:uid="{5A463D3B-1731-4022-B7B2-9CE449351FD1}"/>
    <cellStyle name="Title 7 7" xfId="16884" xr:uid="{C1B05F4E-C847-4F32-9490-3ACFA23B475E}"/>
    <cellStyle name="Title 7 8" xfId="16885" xr:uid="{8309129E-AB3C-4D98-A8DE-A8C622AD40C7}"/>
    <cellStyle name="Title 7 9" xfId="16886" xr:uid="{3C684F74-B09A-4AA0-95FE-420B2CE0B80C}"/>
    <cellStyle name="Title 8" xfId="16887" xr:uid="{2B80CA0D-6E06-4EAB-B7DE-33F67A9695C2}"/>
    <cellStyle name="Title 8 10" xfId="16888" xr:uid="{5819B43B-0986-40D3-8FFB-95F82058FD45}"/>
    <cellStyle name="Title 8 2" xfId="16889" xr:uid="{F750D2D0-65E2-426B-8DC1-DB1F6E72E4D0}"/>
    <cellStyle name="Title 8 3" xfId="16890" xr:uid="{B2E7CCE8-B6C2-4B88-A887-6F74124BBD86}"/>
    <cellStyle name="Title 8 4" xfId="16891" xr:uid="{8FDD288A-122F-4A21-B23C-7587F6D1B8BF}"/>
    <cellStyle name="Title 8 5" xfId="16892" xr:uid="{A0EF5074-2F7C-4CBC-A07B-C5D59590C258}"/>
    <cellStyle name="Title 8 6" xfId="16893" xr:uid="{2F934D0F-2850-4195-B36D-1FE12B856E3F}"/>
    <cellStyle name="Title 8 7" xfId="16894" xr:uid="{52DF110E-2066-4676-AB4E-CE2ED4AE51F2}"/>
    <cellStyle name="Title 8 8" xfId="16895" xr:uid="{008E2ED4-0B48-472F-ABD4-792D071AA222}"/>
    <cellStyle name="Title 8 9" xfId="16896" xr:uid="{8BB36990-13C4-41D5-8575-916A8B5C9F53}"/>
    <cellStyle name="Title 9" xfId="16897" xr:uid="{AA7B4CB7-D0E5-4EBE-A28B-B55BDB4B5D48}"/>
    <cellStyle name="Title 9 10" xfId="16898" xr:uid="{682B4B81-B256-45A8-91B3-1CC6EE6DCD95}"/>
    <cellStyle name="Title 9 2" xfId="16899" xr:uid="{2A040AD3-EF1A-47DC-9479-0048EDF41BFC}"/>
    <cellStyle name="Title 9 3" xfId="16900" xr:uid="{EAEAB731-F0ED-4088-A737-340B36DF4A46}"/>
    <cellStyle name="Title 9 4" xfId="16901" xr:uid="{23005CC1-6121-4CBE-81C3-8E76B61DD815}"/>
    <cellStyle name="Title 9 5" xfId="16902" xr:uid="{4D5850EC-BD10-4131-9341-B3A04A93013A}"/>
    <cellStyle name="Title 9 6" xfId="16903" xr:uid="{232AA5EE-8D3D-4B2D-8C51-7CD507E7AC39}"/>
    <cellStyle name="Title 9 7" xfId="16904" xr:uid="{5260BA9E-054A-451F-BCA5-4C2EB187BE8A}"/>
    <cellStyle name="Title 9 8" xfId="16905" xr:uid="{B685F1EE-A254-4DD7-8629-2D75BF760595}"/>
    <cellStyle name="Title 9 9" xfId="16906" xr:uid="{8A349991-2F5E-4B24-9408-4C1E93A47B08}"/>
    <cellStyle name="Total 10" xfId="16907" xr:uid="{98DA3EB3-BD83-4595-88C9-E8BDFEF5FFA1}"/>
    <cellStyle name="Total 10 10" xfId="16908" xr:uid="{D686203D-8A83-49F3-B39A-CD9B76FDBA8F}"/>
    <cellStyle name="Total 10 2" xfId="16909" xr:uid="{03C11D4E-2712-4E3A-927A-AB9EC9D2D024}"/>
    <cellStyle name="Total 10 3" xfId="16910" xr:uid="{99E24DE4-04B6-4278-94D7-A9AF19E01DD0}"/>
    <cellStyle name="Total 10 4" xfId="16911" xr:uid="{BB235B35-785B-4FC1-9DCC-8D65618D5702}"/>
    <cellStyle name="Total 10 5" xfId="16912" xr:uid="{ADDFCB94-5B26-48FC-AB2C-30EF76059F34}"/>
    <cellStyle name="Total 10 6" xfId="16913" xr:uid="{F73E5AF5-5F46-4912-AA4F-6A605A7388CB}"/>
    <cellStyle name="Total 10 7" xfId="16914" xr:uid="{FFA554D8-E3B3-43DC-9169-B715A2904043}"/>
    <cellStyle name="Total 10 8" xfId="16915" xr:uid="{66D7C4C5-25D0-4F2B-AB64-210DD6864FE8}"/>
    <cellStyle name="Total 10 9" xfId="16916" xr:uid="{461FFD15-01F4-4496-9454-3553F6A793D1}"/>
    <cellStyle name="Total 11" xfId="16917" xr:uid="{B78E3349-A95E-4B90-ADE7-2F716C35D653}"/>
    <cellStyle name="Total 11 10" xfId="16918" xr:uid="{7181807C-A995-48C9-A084-E53B7E296FE3}"/>
    <cellStyle name="Total 11 2" xfId="16919" xr:uid="{51C6A314-337F-4FE7-8AE4-D72AE53EB960}"/>
    <cellStyle name="Total 11 3" xfId="16920" xr:uid="{FE004362-0273-4C35-8FF8-20B704BE6BD5}"/>
    <cellStyle name="Total 11 4" xfId="16921" xr:uid="{0197FD52-B26A-4317-8691-449C9CEE3466}"/>
    <cellStyle name="Total 11 5" xfId="16922" xr:uid="{FF3419BC-4B06-451E-9A58-F0C909F06ABA}"/>
    <cellStyle name="Total 11 6" xfId="16923" xr:uid="{F49538E4-3244-4EDB-8299-F7A25EE6BAFF}"/>
    <cellStyle name="Total 11 7" xfId="16924" xr:uid="{9C431EA4-80AD-4346-A0D6-9F83D108734F}"/>
    <cellStyle name="Total 11 8" xfId="16925" xr:uid="{C42FEC3C-A0B5-4097-B3A4-ABFD5C4C94B6}"/>
    <cellStyle name="Total 11 9" xfId="16926" xr:uid="{25AE851F-7B41-4178-91A1-D23DDEC51856}"/>
    <cellStyle name="Total 12" xfId="16927" xr:uid="{5E71AF11-2A17-419F-A2AA-1480F21395BB}"/>
    <cellStyle name="Total 12 10" xfId="16928" xr:uid="{56B6CD56-FDB6-478B-B88E-4F7E50B77C20}"/>
    <cellStyle name="Total 12 2" xfId="16929" xr:uid="{13239BB3-BBFE-44CD-977B-ABD03338F930}"/>
    <cellStyle name="Total 12 3" xfId="16930" xr:uid="{B00FE479-57E3-4D68-8867-E07FB68098D8}"/>
    <cellStyle name="Total 12 4" xfId="16931" xr:uid="{A0EB2D1F-3696-49B1-8DA8-81E856B4E3D7}"/>
    <cellStyle name="Total 12 5" xfId="16932" xr:uid="{8F1016E1-2827-4067-BB01-E23F918D0B87}"/>
    <cellStyle name="Total 12 6" xfId="16933" xr:uid="{783EDF09-CFD0-418B-9B2F-3E6136A732D6}"/>
    <cellStyle name="Total 12 7" xfId="16934" xr:uid="{78BD6D0E-CED8-43C2-8DDC-5E90789D58BB}"/>
    <cellStyle name="Total 12 8" xfId="16935" xr:uid="{344C97D1-94C7-4924-B7BF-76C47472165C}"/>
    <cellStyle name="Total 12 9" xfId="16936" xr:uid="{06387F22-620C-4053-9659-02FE477D8E9E}"/>
    <cellStyle name="Total 13" xfId="16937" xr:uid="{93D692D2-2A1C-4BA3-B256-9B4B943AAC26}"/>
    <cellStyle name="Total 13 10" xfId="16938" xr:uid="{3000204F-1152-4783-AD35-4088221E52A7}"/>
    <cellStyle name="Total 13 2" xfId="16939" xr:uid="{EFDED578-CF7D-47EE-B414-6A5D227FD211}"/>
    <cellStyle name="Total 13 3" xfId="16940" xr:uid="{0DE11F4F-1C91-45B3-BE31-FF8B4577EF52}"/>
    <cellStyle name="Total 13 4" xfId="16941" xr:uid="{64BB64DF-33D7-4EF7-8FF3-2411A76FC67E}"/>
    <cellStyle name="Total 13 5" xfId="16942" xr:uid="{C47AD95B-98B0-43E5-824D-20C92561A22C}"/>
    <cellStyle name="Total 13 6" xfId="16943" xr:uid="{4CCBC4E9-026B-4D1D-A9D7-C990530A575B}"/>
    <cellStyle name="Total 13 7" xfId="16944" xr:uid="{7A03DDAB-29EE-4D3D-81EC-6D1A1283FEAD}"/>
    <cellStyle name="Total 13 8" xfId="16945" xr:uid="{FA5FD2D1-CC74-4642-85E6-FE657F313753}"/>
    <cellStyle name="Total 13 9" xfId="16946" xr:uid="{957427F6-A34F-4448-8175-C62221A0566A}"/>
    <cellStyle name="Total 14" xfId="16947" xr:uid="{F53271F3-3004-4E66-86ED-71BC6654D11B}"/>
    <cellStyle name="Total 14 10" xfId="16948" xr:uid="{CDF3A529-9738-4A27-8858-5223BA57B9CA}"/>
    <cellStyle name="Total 14 2" xfId="16949" xr:uid="{88F706EC-1676-4FC3-A368-CF24FE02F603}"/>
    <cellStyle name="Total 14 3" xfId="16950" xr:uid="{DABE89CF-8B92-4909-BA01-9624405F6D47}"/>
    <cellStyle name="Total 14 4" xfId="16951" xr:uid="{D381CDFC-20FF-4625-B1FF-3DD28E121EAE}"/>
    <cellStyle name="Total 14 5" xfId="16952" xr:uid="{7A7482D2-7D6A-4717-A321-D9FDE760B1C8}"/>
    <cellStyle name="Total 14 6" xfId="16953" xr:uid="{59E886A3-D6F6-4EC5-99D9-EF6CDCFF2639}"/>
    <cellStyle name="Total 14 7" xfId="16954" xr:uid="{1F6C1289-E220-4AC7-B785-7EE40F2F379F}"/>
    <cellStyle name="Total 14 8" xfId="16955" xr:uid="{C2FA00B6-AAB3-4697-B13E-12485C4C19E2}"/>
    <cellStyle name="Total 14 9" xfId="16956" xr:uid="{54BCD53A-CE44-460E-AF37-88AD62EFCA8D}"/>
    <cellStyle name="Total 15" xfId="16957" xr:uid="{D81162D9-7D06-43FB-9D3A-A28A479D05B5}"/>
    <cellStyle name="Total 15 10" xfId="16958" xr:uid="{EFF69CE5-4A98-400D-9FB7-612A785A5291}"/>
    <cellStyle name="Total 15 2" xfId="16959" xr:uid="{4EC85797-2B14-471B-B345-8D1E190C26BA}"/>
    <cellStyle name="Total 15 3" xfId="16960" xr:uid="{46D2601B-7126-4ABD-8CB6-257A84EEE192}"/>
    <cellStyle name="Total 15 4" xfId="16961" xr:uid="{5C028FCD-B4FC-40D3-95C8-56137E97A536}"/>
    <cellStyle name="Total 15 5" xfId="16962" xr:uid="{F549CB7A-6F4B-4B59-99A7-1405E17B7A4B}"/>
    <cellStyle name="Total 15 6" xfId="16963" xr:uid="{7100A774-F72C-48C8-9E3B-66C3D5D81665}"/>
    <cellStyle name="Total 15 7" xfId="16964" xr:uid="{AA0E78BB-5035-4F8E-BA97-52E03D431746}"/>
    <cellStyle name="Total 15 8" xfId="16965" xr:uid="{B152C0D6-B306-46EC-AD3D-293C0119B59B}"/>
    <cellStyle name="Total 15 9" xfId="16966" xr:uid="{B2607B0F-DF6E-4278-9E3D-73A69CB835AE}"/>
    <cellStyle name="Total 16" xfId="16967" xr:uid="{B3223543-2FA4-4C35-A574-CF8587EADB9B}"/>
    <cellStyle name="Total 16 10" xfId="16968" xr:uid="{E91E161A-2151-4A8A-8DD8-1BF57ED9EDC7}"/>
    <cellStyle name="Total 16 2" xfId="16969" xr:uid="{E06DCF26-153E-4475-8B7A-96CBE29418F2}"/>
    <cellStyle name="Total 16 3" xfId="16970" xr:uid="{6A43DE68-CC3A-408F-9A4E-A3CA34099072}"/>
    <cellStyle name="Total 16 4" xfId="16971" xr:uid="{E4DCACEF-77CC-4E4B-87F6-7277EE7AE4DE}"/>
    <cellStyle name="Total 16 5" xfId="16972" xr:uid="{FFC16789-6769-41F1-8878-A6B52543F767}"/>
    <cellStyle name="Total 16 6" xfId="16973" xr:uid="{0697B25C-1F1D-4988-86C5-C392B7611193}"/>
    <cellStyle name="Total 16 7" xfId="16974" xr:uid="{CBA0074F-97CF-4EE7-9DE3-BF7605B29FD5}"/>
    <cellStyle name="Total 16 8" xfId="16975" xr:uid="{6796A281-0DBB-4334-B052-42586CE8AD77}"/>
    <cellStyle name="Total 16 9" xfId="16976" xr:uid="{E7B13FC5-C042-4152-92FC-DABBF0F3C6C8}"/>
    <cellStyle name="Total 17" xfId="16977" xr:uid="{328AC667-B3C6-4CE5-BEE0-D75C1057566B}"/>
    <cellStyle name="Total 17 10" xfId="16978" xr:uid="{9C319D2B-6EA4-4142-A8A1-58E31535E2DF}"/>
    <cellStyle name="Total 17 2" xfId="16979" xr:uid="{1BEAD71B-3C8A-4E2F-B793-DA3CF24A30E7}"/>
    <cellStyle name="Total 17 3" xfId="16980" xr:uid="{7CF6B742-C2D8-4A7F-9FD0-8C81C859DACE}"/>
    <cellStyle name="Total 17 4" xfId="16981" xr:uid="{E4012DF9-64DA-4204-A3AC-07A9DB9AE6CB}"/>
    <cellStyle name="Total 17 5" xfId="16982" xr:uid="{5293CFD2-5AA8-4CBF-80E1-E964EA56D2B9}"/>
    <cellStyle name="Total 17 6" xfId="16983" xr:uid="{13A869A5-4816-40B3-B953-126B0899094F}"/>
    <cellStyle name="Total 17 7" xfId="16984" xr:uid="{5F2153D6-C000-4260-B181-B19261D65489}"/>
    <cellStyle name="Total 17 8" xfId="16985" xr:uid="{343E2442-BBBB-48FF-AFA2-6D28556DC28A}"/>
    <cellStyle name="Total 17 9" xfId="16986" xr:uid="{7AD1442D-1522-42E0-B140-BAA352E7A938}"/>
    <cellStyle name="Total 18" xfId="16987" xr:uid="{59590C75-1868-4C4F-A08E-DAC82F227762}"/>
    <cellStyle name="Total 18 10" xfId="16988" xr:uid="{A079CE1C-4D99-4D77-957E-08DDD8089ABB}"/>
    <cellStyle name="Total 18 2" xfId="16989" xr:uid="{FCB880AF-2D47-4CB1-B5D5-B019D8E62ECD}"/>
    <cellStyle name="Total 18 3" xfId="16990" xr:uid="{1EB167D3-022E-44AA-B4A0-52B7525D88AE}"/>
    <cellStyle name="Total 18 4" xfId="16991" xr:uid="{57BD9796-45A1-45B1-81A8-F4D7616BFFB5}"/>
    <cellStyle name="Total 18 5" xfId="16992" xr:uid="{DB82A7FA-3B09-448E-9A25-164CB794DE27}"/>
    <cellStyle name="Total 18 6" xfId="16993" xr:uid="{8D216E50-D84B-47F6-B135-5BE18E137A4E}"/>
    <cellStyle name="Total 18 7" xfId="16994" xr:uid="{DAC07E8C-0C2E-4F40-BCBA-441B3F00428C}"/>
    <cellStyle name="Total 18 8" xfId="16995" xr:uid="{CC2FA5C2-45EA-4167-B200-F025674FBC84}"/>
    <cellStyle name="Total 18 9" xfId="16996" xr:uid="{F73511C0-F67E-4123-B3FE-59A93EAC82A9}"/>
    <cellStyle name="Total 19" xfId="16997" xr:uid="{EA63E187-630A-4088-8F21-804939CFF531}"/>
    <cellStyle name="Total 19 10" xfId="16998" xr:uid="{C7E75451-B2F6-4772-A2E0-84595CE3B589}"/>
    <cellStyle name="Total 19 2" xfId="16999" xr:uid="{E01C38F4-C66A-4F54-972B-8DA87F6044D4}"/>
    <cellStyle name="Total 19 3" xfId="17000" xr:uid="{1FE99195-DB02-4BD1-8089-D64139254A25}"/>
    <cellStyle name="Total 19 4" xfId="17001" xr:uid="{9905F571-4E2B-442F-A9D0-39AEE86DB2C1}"/>
    <cellStyle name="Total 19 5" xfId="17002" xr:uid="{E6376403-627A-4D83-8393-CE24378CE30E}"/>
    <cellStyle name="Total 19 6" xfId="17003" xr:uid="{032F4FD6-B526-4DDF-AEAF-7515DA992D42}"/>
    <cellStyle name="Total 19 7" xfId="17004" xr:uid="{889D2802-91A7-4D57-8955-94562D7E8674}"/>
    <cellStyle name="Total 19 8" xfId="17005" xr:uid="{0AEFF6C4-170D-4B5B-BF58-EA00AFC1EC9F}"/>
    <cellStyle name="Total 19 9" xfId="17006" xr:uid="{95E35F2B-BA34-40D4-B2F7-F56C038B495D}"/>
    <cellStyle name="Total 2" xfId="17007" xr:uid="{4E259F5F-AC72-4A16-B767-C295C0149FA0}"/>
    <cellStyle name="Total 2 10" xfId="17008" xr:uid="{6ADF3EFB-17AC-4A08-8AD6-F5353763E1F8}"/>
    <cellStyle name="Total 2 10 2" xfId="17009" xr:uid="{003C3743-C7E0-4A8B-BFC6-DB3AFD31E058}"/>
    <cellStyle name="Total 2 10 3" xfId="17010" xr:uid="{C29DE2F5-2601-43B9-95AA-45C2C58EE292}"/>
    <cellStyle name="Total 2 10 4" xfId="17011" xr:uid="{64BB0136-B820-42E3-AE48-ED41B876022C}"/>
    <cellStyle name="Total 2 10 5" xfId="17012" xr:uid="{E9CED173-C04F-45A9-ACF1-639FE98F88D0}"/>
    <cellStyle name="Total 2 10 6" xfId="17013" xr:uid="{FAFDAE6A-8B32-486D-9CB9-CE92B155C722}"/>
    <cellStyle name="Total 2 10 7" xfId="17014" xr:uid="{6B562411-797A-4EEE-80E0-E58D8AE1FDB4}"/>
    <cellStyle name="Total 2 10 8" xfId="17015" xr:uid="{016B51D8-E893-4113-BF0A-019CEBBDC09E}"/>
    <cellStyle name="Total 2 10 9" xfId="17016" xr:uid="{F0206BB0-0B9D-4728-9D6B-2B9EB0381E36}"/>
    <cellStyle name="Total 2 11" xfId="17017" xr:uid="{237D4C8D-3F37-4901-B9A6-954EF6EE410E}"/>
    <cellStyle name="Total 2 11 2" xfId="17018" xr:uid="{31C3CDA9-5786-414F-AEDC-EFCC1D80422D}"/>
    <cellStyle name="Total 2 11 3" xfId="17019" xr:uid="{B6B99F9F-DA37-4239-8C5B-BA470CDC57FE}"/>
    <cellStyle name="Total 2 11 4" xfId="17020" xr:uid="{490D7D6E-72D8-4FE7-A2C5-57ED3489189C}"/>
    <cellStyle name="Total 2 11 5" xfId="17021" xr:uid="{C6EB9FAD-B378-437D-BFC4-483D694CE89E}"/>
    <cellStyle name="Total 2 12" xfId="17022" xr:uid="{E1EE8B25-4BF4-489F-A089-2623C117D869}"/>
    <cellStyle name="Total 2 13" xfId="17023" xr:uid="{DEE118BA-06FE-4C21-B8EA-CC94B0E40C06}"/>
    <cellStyle name="Total 2 14" xfId="17024" xr:uid="{86F8C0CE-7EB6-4D13-B92D-C609650255FA}"/>
    <cellStyle name="Total 2 15" xfId="17025" xr:uid="{19533332-C90A-498C-B2AE-FD4EC3C2FF18}"/>
    <cellStyle name="Total 2 16" xfId="17026" xr:uid="{E0D3A143-A22F-405A-B543-41449B9B8DE7}"/>
    <cellStyle name="Total 2 17" xfId="17027" xr:uid="{AD7489FB-0242-4FF9-97F4-873DD651C573}"/>
    <cellStyle name="Total 2 18" xfId="17028" xr:uid="{3C33DE2D-2209-441D-A72A-E0DCB4ED9416}"/>
    <cellStyle name="Total 2 19" xfId="17029" xr:uid="{7B8D24F6-6FCD-455E-A46A-CED8D2DEFEB1}"/>
    <cellStyle name="Total 2 2" xfId="17030" xr:uid="{D8320EA8-B3FE-4FD9-AD91-CDCD90FEC9B0}"/>
    <cellStyle name="Total 2 2 2" xfId="17031" xr:uid="{71A2D530-E204-4A70-AE26-01A8FBB975FD}"/>
    <cellStyle name="Total 2 2 3" xfId="17032" xr:uid="{D82C48AF-E977-4260-856D-19F75AB46904}"/>
    <cellStyle name="Total 2 2 4" xfId="17033" xr:uid="{31399000-000D-47DE-81C4-8869DBA817CE}"/>
    <cellStyle name="Total 2 2 5" xfId="17034" xr:uid="{7A11E3B4-2DCF-46FF-B916-3CE0632F04B8}"/>
    <cellStyle name="Total 2 2 6" xfId="17035" xr:uid="{00E3E507-0726-478C-845F-731316E8B5CB}"/>
    <cellStyle name="Total 2 2 7" xfId="17036" xr:uid="{3CDF956E-5E99-439A-A465-B771240E60C7}"/>
    <cellStyle name="Total 2 2 8" xfId="17037" xr:uid="{1B7A4457-7817-486A-BC3B-43D15125B57B}"/>
    <cellStyle name="Total 2 2 9" xfId="17038" xr:uid="{490EE2CE-E16B-4F2C-8C6E-9C8660552B64}"/>
    <cellStyle name="Total 2 20" xfId="17039" xr:uid="{E8984868-5724-4A6E-8FB2-AC578C2F2736}"/>
    <cellStyle name="Total 2 3" xfId="17040" xr:uid="{E96FF558-B2BD-4280-AAE3-1653D27B9D29}"/>
    <cellStyle name="Total 2 3 2" xfId="17041" xr:uid="{233764B4-3D2A-4A26-9E3E-E677CC212070}"/>
    <cellStyle name="Total 2 3 3" xfId="17042" xr:uid="{CCFFB0EC-F1D0-433E-ADA6-03B16B14AC74}"/>
    <cellStyle name="Total 2 3 4" xfId="17043" xr:uid="{91F8A3AA-FEEC-4424-923C-1D37DF5AF82C}"/>
    <cellStyle name="Total 2 3 5" xfId="17044" xr:uid="{CDBAF2CA-FE4E-4028-80FC-59E05D849C18}"/>
    <cellStyle name="Total 2 3 6" xfId="17045" xr:uid="{C2C726CC-DEF8-4A36-8B35-50A0B7BB1395}"/>
    <cellStyle name="Total 2 3 7" xfId="17046" xr:uid="{5B2A2EA5-78B5-47E2-B903-3F78E2B1BCAF}"/>
    <cellStyle name="Total 2 3 8" xfId="17047" xr:uid="{90C6F161-6DD7-4916-A5FF-7CD73F7B3631}"/>
    <cellStyle name="Total 2 3 9" xfId="17048" xr:uid="{A6740C19-8B45-41B5-9F27-6C02D55A12D1}"/>
    <cellStyle name="Total 2 4" xfId="17049" xr:uid="{E6F6FCD3-CBE8-404E-ADAD-C4F5B76FCC27}"/>
    <cellStyle name="Total 2 4 2" xfId="17050" xr:uid="{BCA0ABB2-A68D-4594-AFFC-6D23A5D47912}"/>
    <cellStyle name="Total 2 4 3" xfId="17051" xr:uid="{48DA2704-95D7-47BB-881C-10325257D3E3}"/>
    <cellStyle name="Total 2 4 4" xfId="17052" xr:uid="{C2D7DADF-BDD3-464D-A47E-8724780E514F}"/>
    <cellStyle name="Total 2 4 5" xfId="17053" xr:uid="{157C2974-A423-4AB2-9FD4-5E20A681D8B2}"/>
    <cellStyle name="Total 2 4 6" xfId="17054" xr:uid="{815BF432-4DD8-49BA-8978-854AA5666D7C}"/>
    <cellStyle name="Total 2 4 7" xfId="17055" xr:uid="{5E208AC9-5314-44E6-9382-E04F084BD294}"/>
    <cellStyle name="Total 2 4 8" xfId="17056" xr:uid="{24CB0F72-3189-45E1-8753-7BE33B143B96}"/>
    <cellStyle name="Total 2 4 9" xfId="17057" xr:uid="{1E5854FD-8E64-456D-8BA9-8D16817432BB}"/>
    <cellStyle name="Total 2 5" xfId="17058" xr:uid="{0AF39A30-36D9-4EC9-8C57-24099FA59BEB}"/>
    <cellStyle name="Total 2 5 2" xfId="17059" xr:uid="{82DDA61C-FFE2-464C-B486-AC672746151A}"/>
    <cellStyle name="Total 2 5 3" xfId="17060" xr:uid="{AB6604C0-7EB2-43D9-A9A6-EA168BA09B39}"/>
    <cellStyle name="Total 2 5 4" xfId="17061" xr:uid="{B41A7076-83B7-4D5D-9411-CFD091A0E05A}"/>
    <cellStyle name="Total 2 5 5" xfId="17062" xr:uid="{7131F1CF-822C-428A-BE26-1AB8F4AC5DC5}"/>
    <cellStyle name="Total 2 5 6" xfId="17063" xr:uid="{B24220B4-6ECA-45B5-B7B8-47CF27CD7AD2}"/>
    <cellStyle name="Total 2 5 7" xfId="17064" xr:uid="{4837E88F-E42B-4FC8-9FEC-969D09787321}"/>
    <cellStyle name="Total 2 5 8" xfId="17065" xr:uid="{D7C4EF21-0278-4FDF-B124-5792A90A406D}"/>
    <cellStyle name="Total 2 5 9" xfId="17066" xr:uid="{FA0EE6F1-F525-46D9-997F-2DAFF1F00047}"/>
    <cellStyle name="Total 2 6" xfId="17067" xr:uid="{32799B0C-2FB9-46A7-9062-0066E6687874}"/>
    <cellStyle name="Total 2 6 2" xfId="17068" xr:uid="{835DF37C-4B82-442F-B40A-9730D8C1BFD3}"/>
    <cellStyle name="Total 2 6 3" xfId="17069" xr:uid="{52E862F1-708F-4C68-81A8-7D235770D8DC}"/>
    <cellStyle name="Total 2 6 4" xfId="17070" xr:uid="{CD12E97A-ECA6-4A87-BD80-E93D2E869A03}"/>
    <cellStyle name="Total 2 6 5" xfId="17071" xr:uid="{AE8FEA26-105A-480E-95B7-32ABC2D08533}"/>
    <cellStyle name="Total 2 6 6" xfId="17072" xr:uid="{4D8F58C1-4572-4FA0-8C7A-1A4E1B67FA3B}"/>
    <cellStyle name="Total 2 6 7" xfId="17073" xr:uid="{8D38EFE9-DC60-45EB-A9B9-35490E1A325F}"/>
    <cellStyle name="Total 2 6 8" xfId="17074" xr:uid="{F181C69B-70F6-4A8F-A71C-50CAC188714E}"/>
    <cellStyle name="Total 2 6 9" xfId="17075" xr:uid="{C8EEF6F4-862D-4A10-8018-9DE607544FB1}"/>
    <cellStyle name="Total 2 7" xfId="17076" xr:uid="{9FE1248E-C989-4D3B-9D6A-1C67B1B25351}"/>
    <cellStyle name="Total 2 7 2" xfId="17077" xr:uid="{84E2F526-1377-4FFE-A404-0D83101874F4}"/>
    <cellStyle name="Total 2 7 3" xfId="17078" xr:uid="{369D2949-4124-4C76-89E6-36C1EE6FB251}"/>
    <cellStyle name="Total 2 7 4" xfId="17079" xr:uid="{0C6DD93D-0A25-4E46-9C9B-318E59218156}"/>
    <cellStyle name="Total 2 7 5" xfId="17080" xr:uid="{E68C4514-95F0-48B5-9A26-54CEA4508ECD}"/>
    <cellStyle name="Total 2 7 6" xfId="17081" xr:uid="{6C3164C4-EBB0-452B-81EC-D457031E3564}"/>
    <cellStyle name="Total 2 7 7" xfId="17082" xr:uid="{F3DB2804-AE5C-4CEC-ACA3-2E6B2CE25362}"/>
    <cellStyle name="Total 2 7 8" xfId="17083" xr:uid="{F980402B-A358-402C-B3F5-BDFB1E1AC13F}"/>
    <cellStyle name="Total 2 7 9" xfId="17084" xr:uid="{C7806009-25D3-4E59-9AD6-C53AD52036BC}"/>
    <cellStyle name="Total 2 8" xfId="17085" xr:uid="{B9F31394-E615-49C9-A531-B5454B9593B8}"/>
    <cellStyle name="Total 2 8 2" xfId="17086" xr:uid="{D75B3A30-2875-46BA-B3BD-0A6C3A2EFE46}"/>
    <cellStyle name="Total 2 8 3" xfId="17087" xr:uid="{372AFC8E-36D1-4366-B7CF-E68FE130BFAF}"/>
    <cellStyle name="Total 2 8 4" xfId="17088" xr:uid="{B5ACFB64-7436-452B-9509-D31597CA077E}"/>
    <cellStyle name="Total 2 8 5" xfId="17089" xr:uid="{0EC15FBA-FBFC-45C0-81D6-20951B45689C}"/>
    <cellStyle name="Total 2 8 6" xfId="17090" xr:uid="{00DCF149-FD11-4676-B8E9-5018F0357F85}"/>
    <cellStyle name="Total 2 8 7" xfId="17091" xr:uid="{09D15E71-9206-4B51-AFB6-1AE4A760C28B}"/>
    <cellStyle name="Total 2 8 8" xfId="17092" xr:uid="{97AD4870-A2C5-411F-BBBC-921BA7A96038}"/>
    <cellStyle name="Total 2 8 9" xfId="17093" xr:uid="{07B5ECCD-4DC2-477E-A7BE-780D5163B416}"/>
    <cellStyle name="Total 2 9" xfId="17094" xr:uid="{58F4D58C-2E97-4082-93DB-F7A1E12EF34E}"/>
    <cellStyle name="Total 2 9 2" xfId="17095" xr:uid="{1E37558E-4739-4DA1-B5F2-1B1038F39E3E}"/>
    <cellStyle name="Total 2 9 3" xfId="17096" xr:uid="{71FC7EFE-D736-4A3A-A387-96D96E053D95}"/>
    <cellStyle name="Total 2 9 4" xfId="17097" xr:uid="{D4088F6A-375F-4F35-B3A6-E4A84E40D0B6}"/>
    <cellStyle name="Total 2 9 5" xfId="17098" xr:uid="{98D344E7-1437-4475-B5EA-29ABCE3155D0}"/>
    <cellStyle name="Total 2 9 6" xfId="17099" xr:uid="{49D0F10A-DC79-40FC-A390-CFCDD3F027A1}"/>
    <cellStyle name="Total 2 9 7" xfId="17100" xr:uid="{38B64522-CD72-4592-92B6-692B9F804343}"/>
    <cellStyle name="Total 2 9 8" xfId="17101" xr:uid="{DED33252-F427-471B-BA1D-E752EC65E47C}"/>
    <cellStyle name="Total 2 9 9" xfId="17102" xr:uid="{3C1198AA-80E4-4290-A968-63911B66C776}"/>
    <cellStyle name="Total 20" xfId="17103" xr:uid="{51593224-E72A-4B1D-B86A-0B30599924B1}"/>
    <cellStyle name="Total 20 10" xfId="17104" xr:uid="{37CEC54A-2B97-42B5-ACC6-36A68C1B8A7C}"/>
    <cellStyle name="Total 20 2" xfId="17105" xr:uid="{408E0732-8F05-4E04-8C58-BEAA4C4AE463}"/>
    <cellStyle name="Total 20 3" xfId="17106" xr:uid="{298FD480-E640-44C5-AE37-B900F2893C51}"/>
    <cellStyle name="Total 20 4" xfId="17107" xr:uid="{99E6C750-C763-4159-82A9-0E6FDC773FD3}"/>
    <cellStyle name="Total 20 5" xfId="17108" xr:uid="{C6E203AB-4C4B-4908-9955-56E27B6B925E}"/>
    <cellStyle name="Total 20 6" xfId="17109" xr:uid="{90FBCF6C-7BF5-414D-AA66-5E261F08419B}"/>
    <cellStyle name="Total 20 7" xfId="17110" xr:uid="{4F98305D-2E25-442E-A156-ECFDDF3146C8}"/>
    <cellStyle name="Total 20 8" xfId="17111" xr:uid="{7A03D149-82D9-4AAB-A9A8-8290E53AA436}"/>
    <cellStyle name="Total 20 9" xfId="17112" xr:uid="{24AB6A11-88AC-4942-B8A1-41621B3F6A65}"/>
    <cellStyle name="Total 21" xfId="17113" xr:uid="{FFA53B1F-9A8C-472A-8877-881789D275AA}"/>
    <cellStyle name="Total 21 10" xfId="17114" xr:uid="{F555BCE0-3FE9-484D-8782-9E09BE3A31A7}"/>
    <cellStyle name="Total 21 2" xfId="17115" xr:uid="{C7C4E36D-BDAD-4782-B65E-73BEF89616C3}"/>
    <cellStyle name="Total 21 3" xfId="17116" xr:uid="{85A6E45A-58F4-4276-BA48-5E01C11E2A84}"/>
    <cellStyle name="Total 21 4" xfId="17117" xr:uid="{843DC330-B016-4FC4-9E78-8F3DA5A3FB03}"/>
    <cellStyle name="Total 21 5" xfId="17118" xr:uid="{A4850D8A-6B9C-4862-BD6C-EB9DDAD0C33E}"/>
    <cellStyle name="Total 21 6" xfId="17119" xr:uid="{27129678-2A5C-4456-8CA3-D89727C616E4}"/>
    <cellStyle name="Total 21 7" xfId="17120" xr:uid="{275FEB11-503A-4623-9B00-98C9D54CA5E3}"/>
    <cellStyle name="Total 21 8" xfId="17121" xr:uid="{A3548064-1595-401D-85F3-FBB0F1D720F7}"/>
    <cellStyle name="Total 21 9" xfId="17122" xr:uid="{47FD8093-F00E-498B-AEB0-35BB4D1A9689}"/>
    <cellStyle name="Total 22" xfId="17123" xr:uid="{C4532F00-D2E4-487C-8ED1-DB52BCB8D49C}"/>
    <cellStyle name="Total 22 10" xfId="17124" xr:uid="{98EB59B7-7D2A-482B-A942-F2E6BA4E986B}"/>
    <cellStyle name="Total 22 2" xfId="17125" xr:uid="{8402A49F-2DF3-432D-B76C-CDC6EC22BB16}"/>
    <cellStyle name="Total 22 3" xfId="17126" xr:uid="{368FF55F-AB1D-4844-9BA4-1B494C764296}"/>
    <cellStyle name="Total 22 4" xfId="17127" xr:uid="{6B8DDD90-0B3A-4F65-BD30-A5A82B65DD99}"/>
    <cellStyle name="Total 22 5" xfId="17128" xr:uid="{0CEAE00C-AE11-46BB-B157-E77C82391635}"/>
    <cellStyle name="Total 22 6" xfId="17129" xr:uid="{4ACC2086-F316-4636-BA9B-CCE367363C95}"/>
    <cellStyle name="Total 22 7" xfId="17130" xr:uid="{93968574-63EF-4F45-92EC-794D31AFE89B}"/>
    <cellStyle name="Total 22 8" xfId="17131" xr:uid="{512569BE-EA6C-40C8-B18A-B8281D2F8291}"/>
    <cellStyle name="Total 22 9" xfId="17132" xr:uid="{245BFB27-F310-4962-824E-EBFB1D30211D}"/>
    <cellStyle name="Total 23" xfId="17133" xr:uid="{FDE19D16-7FC7-4931-9807-89DC12064A25}"/>
    <cellStyle name="Total 23 10" xfId="17134" xr:uid="{299C72AA-8109-4C4F-AA5E-F6AF2969D65B}"/>
    <cellStyle name="Total 23 2" xfId="17135" xr:uid="{BAA36D21-4AC4-48CB-820F-E9BF5B9979C7}"/>
    <cellStyle name="Total 23 3" xfId="17136" xr:uid="{0D04BC87-5D19-46FF-9D24-6233CEC50F51}"/>
    <cellStyle name="Total 23 4" xfId="17137" xr:uid="{E42D777E-5144-48F1-A87A-2BCA4D67AFBE}"/>
    <cellStyle name="Total 23 5" xfId="17138" xr:uid="{E8057C56-9929-438E-853E-5DABDBC9E78B}"/>
    <cellStyle name="Total 23 6" xfId="17139" xr:uid="{AACD6843-F279-4047-B650-0C16DFFF102D}"/>
    <cellStyle name="Total 23 7" xfId="17140" xr:uid="{5C4DBE50-39C8-47C2-8F0D-9615A110BDD6}"/>
    <cellStyle name="Total 23 8" xfId="17141" xr:uid="{6F34195A-9EA7-41F2-A40D-493AA50A2B37}"/>
    <cellStyle name="Total 23 9" xfId="17142" xr:uid="{303BC4F9-8CE3-4934-93AB-8E461925BF60}"/>
    <cellStyle name="Total 24" xfId="17143" xr:uid="{A4517543-042D-41C1-9DC9-75AB4018A8EE}"/>
    <cellStyle name="Total 24 10" xfId="17144" xr:uid="{37126020-8575-49BA-989C-8D7065567BC0}"/>
    <cellStyle name="Total 24 2" xfId="17145" xr:uid="{3EAB732C-05D0-4D84-BC87-53C583C3B071}"/>
    <cellStyle name="Total 24 3" xfId="17146" xr:uid="{A97EEDD8-BADF-4884-8493-E55BDDE2F7D1}"/>
    <cellStyle name="Total 24 4" xfId="17147" xr:uid="{50C0186B-2C95-4D4F-B935-E1CBCA19B353}"/>
    <cellStyle name="Total 24 5" xfId="17148" xr:uid="{FAF0F5F0-E522-4177-8693-CBFED24EBB43}"/>
    <cellStyle name="Total 24 6" xfId="17149" xr:uid="{7B6BAF65-F79B-43AD-A5A2-A745712568EF}"/>
    <cellStyle name="Total 24 7" xfId="17150" xr:uid="{EE2AC28A-883F-4191-9FF6-7D657B2BDA1D}"/>
    <cellStyle name="Total 24 8" xfId="17151" xr:uid="{535915B6-70AB-43E4-BD53-9FF51CA2E43A}"/>
    <cellStyle name="Total 24 9" xfId="17152" xr:uid="{C8D6834A-7A4B-4DC5-93D6-FEC86E95A545}"/>
    <cellStyle name="Total 25" xfId="17153" xr:uid="{48FAA3DA-8BA7-42FA-B400-7AD4D4287BFB}"/>
    <cellStyle name="Total 25 10" xfId="17154" xr:uid="{B4DB3F68-FE5F-48F1-8441-5119BED032DB}"/>
    <cellStyle name="Total 25 2" xfId="17155" xr:uid="{62E00786-5361-4A41-B00C-5C264B9743D6}"/>
    <cellStyle name="Total 25 3" xfId="17156" xr:uid="{6504EDBC-6483-4C99-8360-7507945E8B05}"/>
    <cellStyle name="Total 25 4" xfId="17157" xr:uid="{E6ABF66B-AB6C-45BB-A82C-9A8A66E880E9}"/>
    <cellStyle name="Total 25 5" xfId="17158" xr:uid="{55D14399-AE79-4BE2-A4F6-3D41F3D6358E}"/>
    <cellStyle name="Total 25 6" xfId="17159" xr:uid="{27FF1651-C87C-4150-BB81-85779B3B5001}"/>
    <cellStyle name="Total 25 7" xfId="17160" xr:uid="{AC6D509B-0664-4BAB-8185-B2BB712C1DB3}"/>
    <cellStyle name="Total 25 8" xfId="17161" xr:uid="{F97A5D4D-3DE7-4B23-A45B-271903A14923}"/>
    <cellStyle name="Total 25 9" xfId="17162" xr:uid="{3D472920-1BE2-4CA1-A91C-E9C94D5C3BB6}"/>
    <cellStyle name="Total 26" xfId="17163" xr:uid="{A09A3D3A-92D6-44F7-8C82-5FC577FA9732}"/>
    <cellStyle name="Total 26 10" xfId="17164" xr:uid="{288BBF82-1837-4324-AF91-97F362D0077B}"/>
    <cellStyle name="Total 26 2" xfId="17165" xr:uid="{B5ADBB68-C828-4D00-BBA0-A6BF0D890B76}"/>
    <cellStyle name="Total 26 3" xfId="17166" xr:uid="{0A35D83E-8005-4564-B835-E5FE66C668E5}"/>
    <cellStyle name="Total 26 4" xfId="17167" xr:uid="{EB243AAE-32D8-45FB-A397-62BE276E3A92}"/>
    <cellStyle name="Total 26 5" xfId="17168" xr:uid="{D31E1E8A-0477-4FD0-A3A3-F338D7329E09}"/>
    <cellStyle name="Total 26 6" xfId="17169" xr:uid="{8737BCF7-8470-49D9-AA09-AF417062B547}"/>
    <cellStyle name="Total 26 7" xfId="17170" xr:uid="{01311D30-8F52-4D3A-BA60-5D745C50176E}"/>
    <cellStyle name="Total 26 8" xfId="17171" xr:uid="{9027157B-4F12-4872-B0BE-EFDDDE7E9015}"/>
    <cellStyle name="Total 26 9" xfId="17172" xr:uid="{D889E625-E314-401A-931F-7C1E46FA12BA}"/>
    <cellStyle name="Total 27" xfId="17173" xr:uid="{0240801B-6054-4BC7-A38F-1F79D01EB293}"/>
    <cellStyle name="Total 27 10" xfId="17174" xr:uid="{42F12B88-10FC-421D-804A-5404AB58C961}"/>
    <cellStyle name="Total 27 2" xfId="17175" xr:uid="{E168AEE6-F075-44D7-9328-8194C5C19CE9}"/>
    <cellStyle name="Total 27 3" xfId="17176" xr:uid="{9C12DA41-92D9-4CE7-867C-A0A97BF04DAB}"/>
    <cellStyle name="Total 27 4" xfId="17177" xr:uid="{ADA775BE-EC25-42C5-B157-8C535DBB90E7}"/>
    <cellStyle name="Total 27 5" xfId="17178" xr:uid="{966C998C-7066-43BD-B226-1DABA1421596}"/>
    <cellStyle name="Total 27 6" xfId="17179" xr:uid="{135010FB-7453-4D8A-A49C-492058FA3589}"/>
    <cellStyle name="Total 27 7" xfId="17180" xr:uid="{FB7BEBB4-27DA-4F30-B3F2-2590FC39E963}"/>
    <cellStyle name="Total 27 8" xfId="17181" xr:uid="{0CB17A85-B2C6-4E1C-8523-571D2AC0C075}"/>
    <cellStyle name="Total 27 9" xfId="17182" xr:uid="{75432425-A9B3-4926-9450-E71F88668D55}"/>
    <cellStyle name="Total 28" xfId="17183" xr:uid="{BF865EF2-AF86-47EA-B071-6B32151AEB10}"/>
    <cellStyle name="Total 28 10" xfId="17184" xr:uid="{4E0CC870-8CA8-4B9D-8DE4-FEA21173F071}"/>
    <cellStyle name="Total 28 2" xfId="17185" xr:uid="{94C4AFC5-03D7-462E-AEEE-C293AECA44F1}"/>
    <cellStyle name="Total 28 3" xfId="17186" xr:uid="{80B38B7E-40C5-43F9-9AC0-05BD1F4CF722}"/>
    <cellStyle name="Total 28 4" xfId="17187" xr:uid="{48B244B4-2926-4C40-9D39-B3267F375064}"/>
    <cellStyle name="Total 28 5" xfId="17188" xr:uid="{7E78D860-28CB-4223-9660-2B6327DF2D66}"/>
    <cellStyle name="Total 28 6" xfId="17189" xr:uid="{8A79FB02-7730-448D-BAA0-6B49AC525737}"/>
    <cellStyle name="Total 28 7" xfId="17190" xr:uid="{BF50C045-8C7D-4B1A-BBD4-142A3FC282DA}"/>
    <cellStyle name="Total 28 8" xfId="17191" xr:uid="{C3C4AEA1-97E8-404B-88CD-9145DF346956}"/>
    <cellStyle name="Total 28 9" xfId="17192" xr:uid="{39A3D5E4-C7DB-4F36-8CDC-549B9FD61FD5}"/>
    <cellStyle name="Total 29" xfId="17193" xr:uid="{6EAC6AA9-B82B-4FED-9233-194323ACD342}"/>
    <cellStyle name="Total 29 10" xfId="17194" xr:uid="{DB559A90-D375-460F-AE0B-412320C52921}"/>
    <cellStyle name="Total 29 2" xfId="17195" xr:uid="{9BD0C9DF-5530-4F46-8181-7D372BA7CAE1}"/>
    <cellStyle name="Total 29 3" xfId="17196" xr:uid="{0D648B80-A69D-426A-97C7-833763F6924F}"/>
    <cellStyle name="Total 29 4" xfId="17197" xr:uid="{900DF3E4-2A36-4B69-A89A-377DED388D99}"/>
    <cellStyle name="Total 29 5" xfId="17198" xr:uid="{4C0BE0CF-72A4-4EB1-91CE-741E6EEB3F61}"/>
    <cellStyle name="Total 29 6" xfId="17199" xr:uid="{E00CBC01-A542-4640-A41D-CAC92A8FD844}"/>
    <cellStyle name="Total 29 7" xfId="17200" xr:uid="{83733783-B76A-4F2F-A3EB-D260DDBCFF7E}"/>
    <cellStyle name="Total 29 8" xfId="17201" xr:uid="{9C1B0AA8-4EAB-49F1-A246-90633212D454}"/>
    <cellStyle name="Total 29 9" xfId="17202" xr:uid="{36B8B066-BC1E-4FA6-B166-4E18C0392C1A}"/>
    <cellStyle name="Total 3" xfId="17203" xr:uid="{23FC38CC-FBF8-4984-8DA3-03D2F87D632B}"/>
    <cellStyle name="Total 3 10" xfId="17204" xr:uid="{C4C9468A-4A71-4D15-BFE1-85A2651B9CCB}"/>
    <cellStyle name="Total 3 11" xfId="17205" xr:uid="{DA672698-E2CB-4536-A40F-99CFED885640}"/>
    <cellStyle name="Total 3 12" xfId="17206" xr:uid="{8BBA18FC-3B65-41DD-91AD-7EC3B9498123}"/>
    <cellStyle name="Total 3 2" xfId="17207" xr:uid="{DD22E559-0414-452D-BB2A-D0C2262C436B}"/>
    <cellStyle name="Total 3 2 2" xfId="17208" xr:uid="{CABD538B-D5EA-4EC6-81ED-20C63737C68F}"/>
    <cellStyle name="Total 3 2 3" xfId="17209" xr:uid="{C563D945-D8CF-4B9B-B8E3-E9CC1FD66521}"/>
    <cellStyle name="Total 3 2 4" xfId="17210" xr:uid="{0489DCBA-35A0-49C7-B38C-33502C41E473}"/>
    <cellStyle name="Total 3 2 5" xfId="17211" xr:uid="{959B7288-7B9B-41FC-A9FA-1B6F9825965B}"/>
    <cellStyle name="Total 3 2 6" xfId="17212" xr:uid="{21260980-2499-4FB1-9A8C-FC77BC68974D}"/>
    <cellStyle name="Total 3 2 7" xfId="17213" xr:uid="{20FCCE63-803A-41DE-B851-F11265826A9F}"/>
    <cellStyle name="Total 3 2 8" xfId="17214" xr:uid="{73C72375-62CE-4B36-8408-66837A97E399}"/>
    <cellStyle name="Total 3 2 9" xfId="17215" xr:uid="{84616AF5-FE3E-4C03-9FF3-FDF778BF3EC3}"/>
    <cellStyle name="Total 3 3" xfId="17216" xr:uid="{91ABEA71-4773-4989-85EE-9FEF1A1E5111}"/>
    <cellStyle name="Total 3 3 2" xfId="17217" xr:uid="{A0CDCF05-9115-49F9-84AF-888C65F7BF1C}"/>
    <cellStyle name="Total 3 3 3" xfId="17218" xr:uid="{D9A70EA0-2F0B-4253-A6D3-63CAF316A3C6}"/>
    <cellStyle name="Total 3 3 4" xfId="17219" xr:uid="{4C5C2F2B-2673-454B-81C3-EFAE93EF1AA2}"/>
    <cellStyle name="Total 3 3 5" xfId="17220" xr:uid="{B4851A7C-39E5-4E82-A694-496355BD6AF5}"/>
    <cellStyle name="Total 3 4" xfId="17221" xr:uid="{6A144AB1-3032-433F-AAD9-99A9777B6712}"/>
    <cellStyle name="Total 3 4 2" xfId="17222" xr:uid="{29E08D0E-CEA7-4627-BCA7-5DC57C70043E}"/>
    <cellStyle name="Total 3 4 3" xfId="17223" xr:uid="{66C4EF5D-97D9-4487-8D9F-79152E997AE0}"/>
    <cellStyle name="Total 3 4 4" xfId="17224" xr:uid="{B13F89B5-AC03-4606-B3EA-46A1A5B2DF56}"/>
    <cellStyle name="Total 3 4 5" xfId="17225" xr:uid="{E51B60DA-3AC7-4FB3-96A8-90B7B313F20C}"/>
    <cellStyle name="Total 3 5" xfId="17226" xr:uid="{D470EC43-46BE-47D7-9C71-038F173726B6}"/>
    <cellStyle name="Total 3 6" xfId="17227" xr:uid="{6F6C50FA-00A7-4059-BE3C-FE5C198D81E4}"/>
    <cellStyle name="Total 3 7" xfId="17228" xr:uid="{54F11D6F-5EE0-4F89-BA1F-8685004900F5}"/>
    <cellStyle name="Total 3 8" xfId="17229" xr:uid="{1DC0D2AC-ACDF-4D27-8D3B-C85CC24ED293}"/>
    <cellStyle name="Total 3 9" xfId="17230" xr:uid="{4E60C6EF-3C39-41D6-BEB5-3C79C022D048}"/>
    <cellStyle name="Total 30" xfId="17231" xr:uid="{478522D3-8716-4763-9A9F-E1DE24879520}"/>
    <cellStyle name="Total 30 10" xfId="17232" xr:uid="{BA891CF4-1EBD-46BC-9808-D2A7A0CA2723}"/>
    <cellStyle name="Total 30 2" xfId="17233" xr:uid="{8EC18B2F-D93C-4499-8203-E11CE8E24FF5}"/>
    <cellStyle name="Total 30 3" xfId="17234" xr:uid="{EF9E848A-5EB0-427B-A603-3F320FB4A16D}"/>
    <cellStyle name="Total 30 4" xfId="17235" xr:uid="{A17DF8A6-AF03-4299-84E8-0E64420E5937}"/>
    <cellStyle name="Total 30 5" xfId="17236" xr:uid="{076D6BB5-08A1-46BE-814B-C5415A2F3EBB}"/>
    <cellStyle name="Total 30 6" xfId="17237" xr:uid="{2B9DEC99-D672-4E37-955C-4EC473B700E7}"/>
    <cellStyle name="Total 30 7" xfId="17238" xr:uid="{A35F33C8-EECE-43B3-9688-9B7F4CE7D49F}"/>
    <cellStyle name="Total 30 8" xfId="17239" xr:uid="{98DAF5E3-13E4-4B2B-9C91-115A7B6C2146}"/>
    <cellStyle name="Total 30 9" xfId="17240" xr:uid="{C2B26352-0FCE-48BA-8FA8-A8791162882F}"/>
    <cellStyle name="Total 31" xfId="17241" xr:uid="{D361D07F-C765-4B63-8D53-A272CD71114B}"/>
    <cellStyle name="Total 31 10" xfId="17242" xr:uid="{7007B9D9-F1CA-4FFB-AA38-F7170C525DB8}"/>
    <cellStyle name="Total 31 2" xfId="17243" xr:uid="{24AC7D6A-B6ED-4951-A3A6-E33093D17D1E}"/>
    <cellStyle name="Total 31 3" xfId="17244" xr:uid="{A64006C2-8123-4B95-8B22-E6BF46DF58C9}"/>
    <cellStyle name="Total 31 4" xfId="17245" xr:uid="{A0C1BC3F-2E95-44B5-83F1-6EA155454637}"/>
    <cellStyle name="Total 31 5" xfId="17246" xr:uid="{6E0A6BEE-3AD7-4D9D-9CCD-17CF1AF828BC}"/>
    <cellStyle name="Total 31 6" xfId="17247" xr:uid="{65727D44-F251-4F4B-B024-D4B24FF8FF8E}"/>
    <cellStyle name="Total 31 7" xfId="17248" xr:uid="{45BE3AD0-CFE9-4F9F-867E-0DAA4060FD36}"/>
    <cellStyle name="Total 31 8" xfId="17249" xr:uid="{767A7B5A-C13F-4BFE-A895-4E14378ED102}"/>
    <cellStyle name="Total 31 9" xfId="17250" xr:uid="{5E9A67A5-62E3-4628-86EF-EDDCE36F407A}"/>
    <cellStyle name="Total 32" xfId="17251" xr:uid="{4E93F270-1E7D-4D8B-AC47-1469B02069C8}"/>
    <cellStyle name="Total 32 10" xfId="17252" xr:uid="{2FC6F041-20CC-4C28-94FA-7B2F08A30A19}"/>
    <cellStyle name="Total 32 2" xfId="17253" xr:uid="{772DFFA5-EAA4-4ABE-B159-D6B78D9857D8}"/>
    <cellStyle name="Total 32 3" xfId="17254" xr:uid="{665FD0CB-4F4F-4A0E-A9ED-9C8634105C69}"/>
    <cellStyle name="Total 32 4" xfId="17255" xr:uid="{A58C182B-9DBA-4136-A3C8-81636D90710F}"/>
    <cellStyle name="Total 32 5" xfId="17256" xr:uid="{E78DD1D4-49EE-4737-B027-BCA9AFAEE6D3}"/>
    <cellStyle name="Total 32 6" xfId="17257" xr:uid="{C4EDD09A-F32C-4CED-8794-9FC340292D50}"/>
    <cellStyle name="Total 32 7" xfId="17258" xr:uid="{75542D29-D90C-4A4A-96A6-06C270DE8416}"/>
    <cellStyle name="Total 32 8" xfId="17259" xr:uid="{A67F60AD-7C05-435C-BF7B-C7F3E3E601BA}"/>
    <cellStyle name="Total 32 9" xfId="17260" xr:uid="{B5CC6B89-CF9A-4779-B288-FDEAA56BD7BD}"/>
    <cellStyle name="Total 33" xfId="17261" xr:uid="{C0D75B4D-4B47-48CF-A266-31F6DC630E91}"/>
    <cellStyle name="Total 33 10" xfId="17262" xr:uid="{49A305A7-1415-45A5-AF82-DE5A26ACA66E}"/>
    <cellStyle name="Total 33 2" xfId="17263" xr:uid="{DC537488-E122-4390-9D96-1EE1514A5A5A}"/>
    <cellStyle name="Total 33 3" xfId="17264" xr:uid="{B9C902D4-E279-42CA-8B1D-1E97131FEB96}"/>
    <cellStyle name="Total 33 4" xfId="17265" xr:uid="{8CE09A8B-F23B-46C5-A8DD-F82BCDA06661}"/>
    <cellStyle name="Total 33 5" xfId="17266" xr:uid="{77998FFA-B9BA-48ED-9C55-C09D4D8644D8}"/>
    <cellStyle name="Total 33 6" xfId="17267" xr:uid="{98E74EEE-B6DB-4385-824B-B702717AB938}"/>
    <cellStyle name="Total 33 7" xfId="17268" xr:uid="{3B4ACE41-2F69-4493-9D45-2D56D7DC42B0}"/>
    <cellStyle name="Total 33 8" xfId="17269" xr:uid="{5718AD2A-E518-4B50-8B9B-616EFD63D963}"/>
    <cellStyle name="Total 33 9" xfId="17270" xr:uid="{0C3149F7-3000-47B0-9871-1C804B489E5F}"/>
    <cellStyle name="Total 34" xfId="17271" xr:uid="{6A9C3DF3-109B-4484-BE3C-B4A73CD15387}"/>
    <cellStyle name="Total 34 10" xfId="17272" xr:uid="{21323149-F5D8-481C-A852-49B89C8C213F}"/>
    <cellStyle name="Total 34 2" xfId="17273" xr:uid="{9C745FA2-2E9A-443D-84C7-5322D557755F}"/>
    <cellStyle name="Total 34 3" xfId="17274" xr:uid="{CBA4D133-6EF3-4718-A948-9057B43E1579}"/>
    <cellStyle name="Total 34 4" xfId="17275" xr:uid="{3EE06E95-7C03-44CF-AF41-C2FC9DA5D1A8}"/>
    <cellStyle name="Total 34 5" xfId="17276" xr:uid="{B0BCFC8A-47CC-4BB8-B97C-590818B87DAC}"/>
    <cellStyle name="Total 34 6" xfId="17277" xr:uid="{F005874E-08A7-47DD-9153-19368CB16C31}"/>
    <cellStyle name="Total 34 7" xfId="17278" xr:uid="{5FA48E99-ABB8-436C-8CC2-C35CD745077A}"/>
    <cellStyle name="Total 34 8" xfId="17279" xr:uid="{B59E2514-F970-4364-AE1B-8FFD066E9486}"/>
    <cellStyle name="Total 34 9" xfId="17280" xr:uid="{CE6FF3AF-8FEB-44A1-BC4D-DCC9C6010317}"/>
    <cellStyle name="Total 35" xfId="17281" xr:uid="{4A91030E-FCF4-4ACF-9E18-6BB6DF5E35AD}"/>
    <cellStyle name="Total 35 10" xfId="17282" xr:uid="{C2582F9B-42B2-45D1-B320-7382DFF6B6D6}"/>
    <cellStyle name="Total 35 2" xfId="17283" xr:uid="{99A8C84C-AC31-4059-B6B0-17F61B3FA10E}"/>
    <cellStyle name="Total 35 3" xfId="17284" xr:uid="{F3CDF58A-01C2-4B4C-A198-B365FDF24967}"/>
    <cellStyle name="Total 35 4" xfId="17285" xr:uid="{360B5D12-86F2-47F0-AD3C-29DC728B64CF}"/>
    <cellStyle name="Total 35 5" xfId="17286" xr:uid="{6B341325-2F23-4F42-A38F-754D79EC507A}"/>
    <cellStyle name="Total 35 6" xfId="17287" xr:uid="{EA84D988-2B23-435F-87C2-186A7F4F094E}"/>
    <cellStyle name="Total 35 7" xfId="17288" xr:uid="{A312112D-577F-4BD3-A10C-26CCB1CA4CAA}"/>
    <cellStyle name="Total 35 8" xfId="17289" xr:uid="{B3E4F475-445A-482D-93FE-9480FF996C4F}"/>
    <cellStyle name="Total 35 9" xfId="17290" xr:uid="{64933BD7-6F94-4C33-B19F-2F4EA1013524}"/>
    <cellStyle name="Total 36" xfId="17291" xr:uid="{6E775F82-49E5-4A0B-9B4C-749586FF1978}"/>
    <cellStyle name="Total 36 10" xfId="17292" xr:uid="{6C2B4411-2583-48FA-955E-C7153459F7B7}"/>
    <cellStyle name="Total 36 2" xfId="17293" xr:uid="{9ED53586-5C0B-4EA9-9040-66C4845167B8}"/>
    <cellStyle name="Total 36 3" xfId="17294" xr:uid="{F38AD039-5689-4401-94B4-44CA36697FF5}"/>
    <cellStyle name="Total 36 4" xfId="17295" xr:uid="{42A63790-B294-409E-A166-C29F84D03938}"/>
    <cellStyle name="Total 36 5" xfId="17296" xr:uid="{99615668-F94A-464D-83AD-4CBEF8D93D5C}"/>
    <cellStyle name="Total 36 6" xfId="17297" xr:uid="{FA3DBF78-4184-4BD1-9154-39A30E145968}"/>
    <cellStyle name="Total 36 7" xfId="17298" xr:uid="{EFA4CE0E-B1D4-4D5C-8562-4DC9D590B9A6}"/>
    <cellStyle name="Total 36 8" xfId="17299" xr:uid="{2524D56C-7A09-49CD-9F2A-2A81A104A343}"/>
    <cellStyle name="Total 36 9" xfId="17300" xr:uid="{3CDF6D49-9076-4BB0-8DDD-5481A8CF0765}"/>
    <cellStyle name="Total 37" xfId="17301" xr:uid="{A259A76C-D46C-4968-9392-BE68DE72D1AC}"/>
    <cellStyle name="Total 37 10" xfId="17302" xr:uid="{400FDF46-A04A-4388-B9DE-6D8F2AB56A46}"/>
    <cellStyle name="Total 37 2" xfId="17303" xr:uid="{6C5D23F4-926A-435B-B5BA-37BF5247CCBD}"/>
    <cellStyle name="Total 37 3" xfId="17304" xr:uid="{444090CE-E673-448D-91AB-DEC5B3E164C3}"/>
    <cellStyle name="Total 37 4" xfId="17305" xr:uid="{A01B1F9F-0378-4AC0-86E3-80214E1934C6}"/>
    <cellStyle name="Total 37 5" xfId="17306" xr:uid="{BB1B6A08-573C-4D9C-B5A4-9283F4702954}"/>
    <cellStyle name="Total 37 6" xfId="17307" xr:uid="{F5A00097-D62E-48D9-9DE6-9150D59B25C6}"/>
    <cellStyle name="Total 37 7" xfId="17308" xr:uid="{FD04E7E8-C4E7-4B1E-BA58-04303A5B1B9A}"/>
    <cellStyle name="Total 37 8" xfId="17309" xr:uid="{0377AB46-64AA-4B0E-96F9-2A1681624148}"/>
    <cellStyle name="Total 37 9" xfId="17310" xr:uid="{2AEE20B8-2A8D-49C7-9A28-8E597D661EFE}"/>
    <cellStyle name="Total 38" xfId="17311" xr:uid="{5795F11C-3564-43F4-9BAD-47EE389AEF0C}"/>
    <cellStyle name="Total 38 10" xfId="17312" xr:uid="{21DE68B7-1D9D-4EA8-ADE8-050A86E958CE}"/>
    <cellStyle name="Total 38 2" xfId="17313" xr:uid="{20641FB9-74DB-493A-9083-21BE1C12802D}"/>
    <cellStyle name="Total 38 3" xfId="17314" xr:uid="{E216B2F5-9515-4FB5-B349-D265EBD63626}"/>
    <cellStyle name="Total 38 4" xfId="17315" xr:uid="{BDD5D354-3D3F-4712-BCF9-1D6B50CEE12D}"/>
    <cellStyle name="Total 38 5" xfId="17316" xr:uid="{941F3A50-4203-4406-A10B-B9CC584F8FF0}"/>
    <cellStyle name="Total 38 6" xfId="17317" xr:uid="{FAE09B50-886B-4206-A3DD-6914771CD2BC}"/>
    <cellStyle name="Total 38 7" xfId="17318" xr:uid="{D2F23128-D177-4F1D-B8C4-67BA593ED421}"/>
    <cellStyle name="Total 38 8" xfId="17319" xr:uid="{A1A83DD1-8C07-465D-A19B-D0BE23114FD7}"/>
    <cellStyle name="Total 38 9" xfId="17320" xr:uid="{85852363-A150-489C-B73D-5981F20F57A7}"/>
    <cellStyle name="Total 39" xfId="17321" xr:uid="{1E814461-DB8F-4E47-88BC-095959FB4A6E}"/>
    <cellStyle name="Total 39 10" xfId="17322" xr:uid="{4C70C797-D49A-49DE-A307-2F73B7ACB31A}"/>
    <cellStyle name="Total 39 2" xfId="17323" xr:uid="{6B802B45-EC6C-46A1-9BF3-CE54D22B69F8}"/>
    <cellStyle name="Total 39 3" xfId="17324" xr:uid="{5A2F1EFE-126F-43A3-9491-FD1F4D6EAE4D}"/>
    <cellStyle name="Total 39 4" xfId="17325" xr:uid="{11FE81C9-87F7-4EE8-877C-06BBB65768BD}"/>
    <cellStyle name="Total 39 5" xfId="17326" xr:uid="{64052B9D-B7AE-4FEF-A52A-216D9DFA384D}"/>
    <cellStyle name="Total 39 6" xfId="17327" xr:uid="{87A4AB43-B920-4866-AFA2-5B418467BA26}"/>
    <cellStyle name="Total 39 7" xfId="17328" xr:uid="{6FD08B5B-C88E-47A9-9EEE-290D9204ED86}"/>
    <cellStyle name="Total 39 8" xfId="17329" xr:uid="{C36CEA8F-FD0E-4B5A-BB24-7A4D93DB17F9}"/>
    <cellStyle name="Total 39 9" xfId="17330" xr:uid="{AE9EBFA3-1CD2-4C16-ACA4-508F4AD2020A}"/>
    <cellStyle name="Total 4" xfId="17331" xr:uid="{5D757E72-F459-4B95-A589-15FF536BA3F1}"/>
    <cellStyle name="Total 4 10" xfId="17332" xr:uid="{4A911AC4-95FD-4255-A913-E04491B47883}"/>
    <cellStyle name="Total 4 11" xfId="17333" xr:uid="{ED2EA63F-7469-4673-8A6A-BD80929866EC}"/>
    <cellStyle name="Total 4 2" xfId="17334" xr:uid="{39E2E062-A5D6-4086-A584-6EC33659C90D}"/>
    <cellStyle name="Total 4 2 2" xfId="17335" xr:uid="{0DFBDAA8-48E7-48E6-9AC7-C6188E020006}"/>
    <cellStyle name="Total 4 2 3" xfId="17336" xr:uid="{213AFAE0-E535-48C2-93E6-C19CC144B97D}"/>
    <cellStyle name="Total 4 2 4" xfId="17337" xr:uid="{1301623A-7143-4803-96FA-97FFD1369F00}"/>
    <cellStyle name="Total 4 2 5" xfId="17338" xr:uid="{799E8515-189A-42E0-A8FF-67A9818A8068}"/>
    <cellStyle name="Total 4 3" xfId="17339" xr:uid="{6C491D13-8005-40B2-85E2-319B4AA2F285}"/>
    <cellStyle name="Total 4 4" xfId="17340" xr:uid="{A0FDC75A-4956-43BA-A7E1-8854E758E440}"/>
    <cellStyle name="Total 4 5" xfId="17341" xr:uid="{F2FD849C-C84F-417F-9296-B9D2CE5F761B}"/>
    <cellStyle name="Total 4 6" xfId="17342" xr:uid="{24801366-7DCA-44CE-B0EA-95F6576DC468}"/>
    <cellStyle name="Total 4 7" xfId="17343" xr:uid="{F2C8AC5B-E4DE-4624-BAE6-1A39E26290C7}"/>
    <cellStyle name="Total 4 8" xfId="17344" xr:uid="{E4AD2D40-C0B3-4883-90B9-9FF3A2BCD705}"/>
    <cellStyle name="Total 4 9" xfId="17345" xr:uid="{BF0703F0-C2ED-4512-91E1-0A7C0F7AA868}"/>
    <cellStyle name="Total 40" xfId="17346" xr:uid="{825110B6-CB49-4C8F-8E81-AA0317AAF3DF}"/>
    <cellStyle name="Total 40 10" xfId="17347" xr:uid="{BD768999-1257-4685-826A-9DB5D88AE9AC}"/>
    <cellStyle name="Total 40 2" xfId="17348" xr:uid="{338CD344-0366-4F15-8A66-12A3350415CC}"/>
    <cellStyle name="Total 40 3" xfId="17349" xr:uid="{D0E9CC41-7AA7-4847-A397-7ABC2A52D03E}"/>
    <cellStyle name="Total 40 4" xfId="17350" xr:uid="{6B835064-4D91-45F6-9A9F-ED3EC292DB5B}"/>
    <cellStyle name="Total 40 5" xfId="17351" xr:uid="{D2B0E0C4-2F45-445B-B382-4741AA2B1374}"/>
    <cellStyle name="Total 40 6" xfId="17352" xr:uid="{921554A9-5B57-4097-83AA-0D2FFB7A8B04}"/>
    <cellStyle name="Total 40 7" xfId="17353" xr:uid="{141A4936-5B13-4E52-8762-CEA3334D4B50}"/>
    <cellStyle name="Total 40 8" xfId="17354" xr:uid="{7940AE06-1547-4796-9FE0-8D692AA696E4}"/>
    <cellStyle name="Total 40 9" xfId="17355" xr:uid="{474B3E2F-2559-4F9D-9648-F9C1556EDE05}"/>
    <cellStyle name="Total 41" xfId="17356" xr:uid="{EB970FA2-9BEB-49EF-9085-4E948CF7A43F}"/>
    <cellStyle name="Total 41 10" xfId="17357" xr:uid="{1F4FD5A8-0F01-4840-A1C4-B06BBB888D61}"/>
    <cellStyle name="Total 41 2" xfId="17358" xr:uid="{5FD0B88C-8624-46AA-8B17-3936496D6E72}"/>
    <cellStyle name="Total 41 3" xfId="17359" xr:uid="{9BCBBBCF-1CBB-412B-B219-D97373E41FDF}"/>
    <cellStyle name="Total 41 4" xfId="17360" xr:uid="{94DBA089-4369-44FF-B5E8-D6A98FBE262F}"/>
    <cellStyle name="Total 41 5" xfId="17361" xr:uid="{EFB3EB62-AF82-4B0F-AA40-8FD38798DAD0}"/>
    <cellStyle name="Total 41 6" xfId="17362" xr:uid="{7DA8BAC8-3BCB-45BA-90D2-F36D07279BD7}"/>
    <cellStyle name="Total 41 7" xfId="17363" xr:uid="{89A0A686-A3FD-4D71-B5BB-D40590CA0077}"/>
    <cellStyle name="Total 41 8" xfId="17364" xr:uid="{31F05894-27C9-4F5C-8CC4-812577397556}"/>
    <cellStyle name="Total 41 9" xfId="17365" xr:uid="{F07D86E8-942F-4DD7-A4FF-77A84456045D}"/>
    <cellStyle name="Total 42" xfId="17366" xr:uid="{07274C1C-A4EC-491B-8BFD-0A866B3B1303}"/>
    <cellStyle name="Total 42 10" xfId="17367" xr:uid="{8B2503D0-BDB7-46A7-AF63-7373B5F1001C}"/>
    <cellStyle name="Total 42 2" xfId="17368" xr:uid="{E3474934-9A86-4A45-9356-53B49EDC2E7B}"/>
    <cellStyle name="Total 42 3" xfId="17369" xr:uid="{6B4F7BB8-E90F-4845-AEE7-4918D3AAE6C8}"/>
    <cellStyle name="Total 42 4" xfId="17370" xr:uid="{D9FB5A18-4006-4AAD-85D2-E6D52CD3B1D1}"/>
    <cellStyle name="Total 42 5" xfId="17371" xr:uid="{363CA483-BB9A-4AC2-B3B3-796509076F16}"/>
    <cellStyle name="Total 42 6" xfId="17372" xr:uid="{450C1672-7845-4AE7-BEE8-1C627DEBF5B9}"/>
    <cellStyle name="Total 42 7" xfId="17373" xr:uid="{913D2BBA-6601-4058-8691-86AD468A6213}"/>
    <cellStyle name="Total 42 8" xfId="17374" xr:uid="{628B1DBC-B119-44CA-A24A-AD7686DBAFBF}"/>
    <cellStyle name="Total 42 9" xfId="17375" xr:uid="{B79D06F7-2878-4D46-836F-861ADFEBCE4C}"/>
    <cellStyle name="Total 5" xfId="17376" xr:uid="{B07CE689-0B1D-4B74-A413-F8B60884355E}"/>
    <cellStyle name="Total 5 10" xfId="17377" xr:uid="{C5D69C51-20B4-44CE-9BC8-ED30E7540CF1}"/>
    <cellStyle name="Total 5 11" xfId="17378" xr:uid="{8CF20613-B8A7-4C1D-9A4D-0095A96F88E0}"/>
    <cellStyle name="Total 5 2" xfId="17379" xr:uid="{E7D70ADB-6353-49DB-9023-E1116E4FB383}"/>
    <cellStyle name="Total 5 2 2" xfId="17380" xr:uid="{8E149938-DFAC-4918-8D5B-B833836F7B1E}"/>
    <cellStyle name="Total 5 2 3" xfId="17381" xr:uid="{0FAD2C77-A6D4-4C14-BEEB-67BEFAAD5979}"/>
    <cellStyle name="Total 5 2 4" xfId="17382" xr:uid="{E9F1E622-1D5C-4E33-B6D8-F857C8342064}"/>
    <cellStyle name="Total 5 2 5" xfId="17383" xr:uid="{9D307D08-3164-4D0F-BEC8-CB54FEECCFC4}"/>
    <cellStyle name="Total 5 3" xfId="17384" xr:uid="{BB7DD752-1EAE-43EA-AF5C-A3D869EB8033}"/>
    <cellStyle name="Total 5 4" xfId="17385" xr:uid="{A66F8365-2EF7-4675-B6D5-EC2E6E882CD2}"/>
    <cellStyle name="Total 5 5" xfId="17386" xr:uid="{60D64AA4-8C0D-45CE-B581-9B20683DE703}"/>
    <cellStyle name="Total 5 6" xfId="17387" xr:uid="{6D37AB4D-4FE7-4EAB-8579-A141E1B96277}"/>
    <cellStyle name="Total 5 7" xfId="17388" xr:uid="{FE939D9F-3E9D-47C3-B111-8FECD7FD65D9}"/>
    <cellStyle name="Total 5 8" xfId="17389" xr:uid="{FACEB58E-3324-4D9E-8002-E00365FE9A6C}"/>
    <cellStyle name="Total 5 9" xfId="17390" xr:uid="{8329417C-BDAB-4D8F-96D8-2BD37FEB7A5B}"/>
    <cellStyle name="Total 6" xfId="17391" xr:uid="{34D6CF27-E6B3-4319-BBCE-4131443F5562}"/>
    <cellStyle name="Total 6 10" xfId="17392" xr:uid="{8BF00F04-688F-4ED0-BBDA-29A48864AB81}"/>
    <cellStyle name="Total 6 11" xfId="17393" xr:uid="{E50186D3-5BEC-4216-A02A-7176CC04C1A3}"/>
    <cellStyle name="Total 6 2" xfId="17394" xr:uid="{79A48BB4-A1F2-4AEA-A4F3-7AD0CF45A213}"/>
    <cellStyle name="Total 6 2 2" xfId="17395" xr:uid="{900525CA-0526-41ED-A440-017B5EE982EE}"/>
    <cellStyle name="Total 6 2 3" xfId="17396" xr:uid="{19BE3635-6640-464C-8D4C-847F5E5166E8}"/>
    <cellStyle name="Total 6 2 4" xfId="17397" xr:uid="{1085DB21-9555-4742-8BA7-3482A3AF2400}"/>
    <cellStyle name="Total 6 2 5" xfId="17398" xr:uid="{AD2CCFA2-DB61-4FBF-A24C-AA68E17F9DC1}"/>
    <cellStyle name="Total 6 3" xfId="17399" xr:uid="{1D854DEC-94D3-482A-BC35-5FE20782C296}"/>
    <cellStyle name="Total 6 4" xfId="17400" xr:uid="{9065E159-7075-48E9-9619-0463181D1655}"/>
    <cellStyle name="Total 6 5" xfId="17401" xr:uid="{BF71C975-F6EC-41C1-A9FC-AAB5E24BA43D}"/>
    <cellStyle name="Total 6 6" xfId="17402" xr:uid="{8E39D375-09D7-4EAF-B8B7-C19737F044C0}"/>
    <cellStyle name="Total 6 7" xfId="17403" xr:uid="{9735DD95-93C9-4955-B764-FAB12175C151}"/>
    <cellStyle name="Total 6 8" xfId="17404" xr:uid="{1D3FE5F7-8A34-4D0F-A996-D2880E85D82C}"/>
    <cellStyle name="Total 6 9" xfId="17405" xr:uid="{328AED8C-D58C-4FFE-B83E-CE64BE0B1E56}"/>
    <cellStyle name="Total 7" xfId="17406" xr:uid="{5C287D79-73D5-484C-A227-ECA74D4D5574}"/>
    <cellStyle name="Total 7 10" xfId="17407" xr:uid="{184FCAE4-C7F2-4712-BD10-E1334AF7158C}"/>
    <cellStyle name="Total 7 2" xfId="17408" xr:uid="{D4E4D3C8-3E20-4AB5-A39B-35FA3F7BF125}"/>
    <cellStyle name="Total 7 3" xfId="17409" xr:uid="{36DCBF3A-A156-426B-8E06-5623C51B11E3}"/>
    <cellStyle name="Total 7 4" xfId="17410" xr:uid="{B85BFF81-4C51-4709-87EC-60C8994F6B0A}"/>
    <cellStyle name="Total 7 5" xfId="17411" xr:uid="{D34ABED4-6C5E-4D05-BF40-C8B4B40D27AA}"/>
    <cellStyle name="Total 7 6" xfId="17412" xr:uid="{08D74846-A545-40B2-9CD6-D3BF5B150ED8}"/>
    <cellStyle name="Total 7 7" xfId="17413" xr:uid="{8D68B16C-224A-49FD-9E90-CF95428F2EB3}"/>
    <cellStyle name="Total 7 8" xfId="17414" xr:uid="{20458E25-75E7-4929-8591-ED4A8713AD54}"/>
    <cellStyle name="Total 7 9" xfId="17415" xr:uid="{7CCFB600-771D-4D77-BBE4-3E7A97FE7EB5}"/>
    <cellStyle name="Total 8" xfId="17416" xr:uid="{E81C9534-1B4B-47A4-9975-BCB7BF1D8CEE}"/>
    <cellStyle name="Total 8 10" xfId="17417" xr:uid="{4C39A2EC-4ACD-415F-9610-522C3DC77177}"/>
    <cellStyle name="Total 8 2" xfId="17418" xr:uid="{1FE6E89E-4520-4422-9BBD-FDC35A66EB18}"/>
    <cellStyle name="Total 8 3" xfId="17419" xr:uid="{13181723-E93D-4AD2-AC86-F00772A69D4A}"/>
    <cellStyle name="Total 8 4" xfId="17420" xr:uid="{66EFCD77-F662-4E47-96AD-7423B634D1C3}"/>
    <cellStyle name="Total 8 5" xfId="17421" xr:uid="{90333B5A-66CD-483F-9723-67B7A56E3DBF}"/>
    <cellStyle name="Total 8 6" xfId="17422" xr:uid="{5F356F98-2A3F-4998-8B6D-ED4158AE045F}"/>
    <cellStyle name="Total 8 7" xfId="17423" xr:uid="{0E23F8CB-7562-4AF8-B8B5-1F1253F15FB4}"/>
    <cellStyle name="Total 8 8" xfId="17424" xr:uid="{0E645B11-D82B-460A-9C34-98F4284185BB}"/>
    <cellStyle name="Total 8 9" xfId="17425" xr:uid="{A4A9CB0C-F8DD-4642-B021-FDCBB517187A}"/>
    <cellStyle name="Total 9" xfId="17426" xr:uid="{45A042AD-D8B0-4A67-B964-F45CDE69D37A}"/>
    <cellStyle name="Total 9 10" xfId="17427" xr:uid="{1A5FEC89-1328-43B0-AE4A-C0F9BA0B8A87}"/>
    <cellStyle name="Total 9 2" xfId="17428" xr:uid="{4A87643C-39E4-4DE6-9C94-6AE76BACB904}"/>
    <cellStyle name="Total 9 3" xfId="17429" xr:uid="{87921139-2D80-4003-845C-3E75EFA7A334}"/>
    <cellStyle name="Total 9 4" xfId="17430" xr:uid="{2EC9BB3C-7D0F-4CFB-929F-1DB000003A46}"/>
    <cellStyle name="Total 9 5" xfId="17431" xr:uid="{E252A8CE-2549-4082-8CE9-36A7522C6A16}"/>
    <cellStyle name="Total 9 6" xfId="17432" xr:uid="{7A63A280-D294-4E8A-892F-7E9002503D08}"/>
    <cellStyle name="Total 9 7" xfId="17433" xr:uid="{76C2EDCB-3471-43A7-B329-8FE6E4E91553}"/>
    <cellStyle name="Total 9 8" xfId="17434" xr:uid="{59C3B7C7-2476-4393-B1E1-286629207B82}"/>
    <cellStyle name="Total 9 9" xfId="17435" xr:uid="{7EF6B1F3-11A3-439A-A378-1A62ED0FD19F}"/>
    <cellStyle name="Überschrift" xfId="17436" xr:uid="{C98164EF-93E0-4ED0-9553-927ED8E38022}"/>
    <cellStyle name="Überschrift 1" xfId="17437" xr:uid="{65CA4673-2F3C-442D-8B0B-C3502F753922}"/>
    <cellStyle name="Überschrift 1 10" xfId="17438" xr:uid="{CDA2493A-85CA-4ED0-82C5-AEED2042F463}"/>
    <cellStyle name="Überschrift 1 2" xfId="17439" xr:uid="{7F1B4F67-F51B-490B-AA6A-ED55461E0705}"/>
    <cellStyle name="Überschrift 1 3" xfId="17440" xr:uid="{A17A5E41-334B-40E9-A727-5C04EDAA54A0}"/>
    <cellStyle name="Überschrift 1 4" xfId="17441" xr:uid="{182DD130-8105-4777-8CF9-13229A01D9BC}"/>
    <cellStyle name="Überschrift 1 5" xfId="17442" xr:uid="{76682901-BB04-4743-841D-9348394733B8}"/>
    <cellStyle name="Überschrift 1 6" xfId="17443" xr:uid="{CDDB4B15-3734-42DC-A680-58AAC6EBC047}"/>
    <cellStyle name="Überschrift 1 7" xfId="17444" xr:uid="{6E795BC0-66FC-4D18-AA7F-E68DCC31F66F}"/>
    <cellStyle name="Überschrift 1 8" xfId="17445" xr:uid="{F2BFE540-7CD0-46D0-90A4-C65C8CF1C0AE}"/>
    <cellStyle name="Überschrift 1 9" xfId="17446" xr:uid="{8B749BAC-64FF-44DE-8D05-15CAFA83B0AD}"/>
    <cellStyle name="Überschrift 10" xfId="17447" xr:uid="{B5854645-6A8C-4AC8-8D8A-D113C1E1AC05}"/>
    <cellStyle name="Überschrift 11" xfId="17448" xr:uid="{EF278358-9ACB-4C2E-9FAB-642850C59F24}"/>
    <cellStyle name="Überschrift 12" xfId="17449" xr:uid="{5147066B-48D7-4BE5-9B78-0B45A85EE409}"/>
    <cellStyle name="Überschrift 13" xfId="17450" xr:uid="{9A3A6262-F921-4E6B-9E76-11C2FAC79190}"/>
    <cellStyle name="Überschrift 2" xfId="17451" xr:uid="{A7D9195F-2756-4ECD-87BA-DA3B4B1F2482}"/>
    <cellStyle name="Überschrift 2 10" xfId="17452" xr:uid="{137498D9-3BEE-4B85-AEF1-68FF1E30AD0C}"/>
    <cellStyle name="Überschrift 2 2" xfId="17453" xr:uid="{0E24DC07-A20F-4C4B-9EE6-4E15A079002B}"/>
    <cellStyle name="Überschrift 2 3" xfId="17454" xr:uid="{3C13C7B0-04CA-4991-BE5D-3A12276368A9}"/>
    <cellStyle name="Überschrift 2 4" xfId="17455" xr:uid="{EAEF2F75-1B36-4E4B-BB74-E7858D52C9D0}"/>
    <cellStyle name="Überschrift 2 5" xfId="17456" xr:uid="{86473E77-56CA-4943-AB05-5FC89AF83071}"/>
    <cellStyle name="Überschrift 2 6" xfId="17457" xr:uid="{3DB62C15-C3BE-4882-9AE4-07A264AB80CB}"/>
    <cellStyle name="Überschrift 2 7" xfId="17458" xr:uid="{47EB2919-833B-4653-AED9-A60F3D6ABA65}"/>
    <cellStyle name="Überschrift 2 8" xfId="17459" xr:uid="{C03300A6-CE0F-4EDC-9728-A6C00D5562B0}"/>
    <cellStyle name="Überschrift 2 9" xfId="17460" xr:uid="{384C1C79-2187-4A1E-A0ED-2EE033BD6C78}"/>
    <cellStyle name="Überschrift 3" xfId="17461" xr:uid="{BC4A9885-69A1-4ECC-9BE6-F7D32CA037C3}"/>
    <cellStyle name="Überschrift 3 10" xfId="17462" xr:uid="{16B04E63-3EEB-4AB5-9C0A-0F7B5C71748F}"/>
    <cellStyle name="Überschrift 3 2" xfId="17463" xr:uid="{85B7F83D-B13F-40B6-A597-34B1DE39B3E2}"/>
    <cellStyle name="Überschrift 3 3" xfId="17464" xr:uid="{D0AF56C4-5FE1-4F49-84B3-01B76796FCC3}"/>
    <cellStyle name="Überschrift 3 4" xfId="17465" xr:uid="{9129E800-2FBB-47E7-8BA7-A9676C6585AD}"/>
    <cellStyle name="Überschrift 3 5" xfId="17466" xr:uid="{F818BB16-5F8A-4A30-BC52-1A3420B6E67E}"/>
    <cellStyle name="Überschrift 3 6" xfId="17467" xr:uid="{06488F84-B639-4847-8AC7-3645FF9F9578}"/>
    <cellStyle name="Überschrift 3 7" xfId="17468" xr:uid="{56B322CB-0157-40B4-8D33-3C49B0D71AA3}"/>
    <cellStyle name="Überschrift 3 8" xfId="17469" xr:uid="{F2836DF1-6262-44B0-8389-0AA8BE434B7D}"/>
    <cellStyle name="Überschrift 3 9" xfId="17470" xr:uid="{C889A83C-5AA5-4702-86D4-9E608B159737}"/>
    <cellStyle name="Überschrift 4" xfId="17471" xr:uid="{FA233239-372F-4379-9B82-F38F0EE1C136}"/>
    <cellStyle name="Überschrift 4 10" xfId="17472" xr:uid="{67E00A3E-378F-4ED1-A9A8-2DB297D92ECF}"/>
    <cellStyle name="Überschrift 4 2" xfId="17473" xr:uid="{3BDC4BAA-07A7-454D-B126-10BB0889A855}"/>
    <cellStyle name="Überschrift 4 3" xfId="17474" xr:uid="{6CB156CD-B4EA-43A1-B68E-65C24CED3AEB}"/>
    <cellStyle name="Überschrift 4 4" xfId="17475" xr:uid="{E518A647-3248-4C81-BB2D-8D34C9049681}"/>
    <cellStyle name="Überschrift 4 5" xfId="17476" xr:uid="{350C326C-1C9E-46C1-B75C-F15146DEA507}"/>
    <cellStyle name="Überschrift 4 6" xfId="17477" xr:uid="{55EEC244-01F4-453C-AC5C-259DCB625BDD}"/>
    <cellStyle name="Überschrift 4 7" xfId="17478" xr:uid="{22680041-1B02-4D9B-9E39-0D7F3876DD4B}"/>
    <cellStyle name="Überschrift 4 8" xfId="17479" xr:uid="{928C115F-5E7D-4750-A3C4-ACD3940372B9}"/>
    <cellStyle name="Überschrift 4 9" xfId="17480" xr:uid="{D2C39EC1-F4BB-4B3E-A4E1-2D584B6E4BB2}"/>
    <cellStyle name="Überschrift 5" xfId="17481" xr:uid="{365AE8EF-D006-4477-86EF-CAD9BAE19C3D}"/>
    <cellStyle name="Überschrift 6" xfId="17482" xr:uid="{48A72BD2-6BF3-4BEB-BEE8-DFB308DADC5B}"/>
    <cellStyle name="Überschrift 7" xfId="17483" xr:uid="{0C3879BD-A85F-438E-AB59-2BF478995DBF}"/>
    <cellStyle name="Überschrift 8" xfId="17484" xr:uid="{7E305A4D-7F57-4B04-8213-DF367127B013}"/>
    <cellStyle name="Überschrift 9" xfId="17485" xr:uid="{45B385BB-EE5F-4D87-9916-0B7BF7CAA144}"/>
    <cellStyle name="Valuutta_Layo9704" xfId="17486" xr:uid="{C160C0B4-3A8B-4843-BC81-B4EE8A53BF72}"/>
    <cellStyle name="Verknüpfte Zelle" xfId="17487" xr:uid="{EB333151-DBC5-4BBD-A9FF-98F808663113}"/>
    <cellStyle name="Verknüpfte Zelle 10" xfId="17488" xr:uid="{C9B5E7BA-B84A-47E2-B237-1594EE26F91E}"/>
    <cellStyle name="Verknüpfte Zelle 2" xfId="17489" xr:uid="{84C1F07B-B4F2-4FBB-A307-C0102139A2AC}"/>
    <cellStyle name="Verknüpfte Zelle 3" xfId="17490" xr:uid="{D64F2CCF-6612-47C7-834C-0EC136290178}"/>
    <cellStyle name="Verknüpfte Zelle 4" xfId="17491" xr:uid="{45C2BD4F-AD97-40D5-B19E-2C29943A9E37}"/>
    <cellStyle name="Verknüpfte Zelle 5" xfId="17492" xr:uid="{8DB79CA3-5681-49BA-859F-6A277094700C}"/>
    <cellStyle name="Verknüpfte Zelle 6" xfId="17493" xr:uid="{063C28E4-4BB3-4DA2-BE5F-E16921401F76}"/>
    <cellStyle name="Verknüpfte Zelle 7" xfId="17494" xr:uid="{30E1BFB3-5306-40D5-9BB8-C375F14D54E9}"/>
    <cellStyle name="Verknüpfte Zelle 8" xfId="17495" xr:uid="{16FC1200-67A5-4434-B4BB-4497CBF642D2}"/>
    <cellStyle name="Verknüpfte Zelle 9" xfId="17496" xr:uid="{D897FBF4-F21D-47B2-85D5-CDF2A0ECA1BB}"/>
    <cellStyle name="Warnender Text" xfId="17497" xr:uid="{E7C2D12A-15A7-4D06-B239-F26BFDEF8CE9}"/>
    <cellStyle name="Warnender Text 10" xfId="17498" xr:uid="{13EA90A3-5130-4F5C-B11E-848898AD191F}"/>
    <cellStyle name="Warnender Text 2" xfId="17499" xr:uid="{2FDF889F-487D-4EF9-8162-68C8ED5D86F8}"/>
    <cellStyle name="Warnender Text 3" xfId="17500" xr:uid="{0D3D97BF-55BD-4466-8222-EC7CF4364383}"/>
    <cellStyle name="Warnender Text 4" xfId="17501" xr:uid="{F4A0D47C-B7F6-452F-88FE-E569845CBD85}"/>
    <cellStyle name="Warnender Text 5" xfId="17502" xr:uid="{6829515E-0784-4175-A8DF-CB9DC4C591A7}"/>
    <cellStyle name="Warnender Text 6" xfId="17503" xr:uid="{07A98860-AF8B-48C9-B3B3-FE96B8B06120}"/>
    <cellStyle name="Warnender Text 7" xfId="17504" xr:uid="{F547B580-5549-48F0-83AA-9288B5000DF7}"/>
    <cellStyle name="Warnender Text 8" xfId="17505" xr:uid="{C60B8A71-B0E1-4FBF-8CC8-FF4453BEEAD0}"/>
    <cellStyle name="Warnender Text 9" xfId="17506" xr:uid="{15634A98-BD13-4BAA-ABA0-F9B5BBDEAF4C}"/>
    <cellStyle name="Warning Text 10" xfId="17507" xr:uid="{F95AB51A-09AD-4D05-85F7-A1B294964092}"/>
    <cellStyle name="Warning Text 10 10" xfId="17508" xr:uid="{63D240E8-7607-42B5-A87B-7116A85D06CC}"/>
    <cellStyle name="Warning Text 10 2" xfId="17509" xr:uid="{7A00CB35-8C25-4EAB-96D4-73BFF6D93DF1}"/>
    <cellStyle name="Warning Text 10 3" xfId="17510" xr:uid="{55080717-20BB-4170-9EAC-2665C50B52A0}"/>
    <cellStyle name="Warning Text 10 4" xfId="17511" xr:uid="{74E2E5AD-D101-453C-9D72-689212B2C0D5}"/>
    <cellStyle name="Warning Text 10 5" xfId="17512" xr:uid="{E8E07616-9F31-463F-8171-1FEA05193C52}"/>
    <cellStyle name="Warning Text 10 6" xfId="17513" xr:uid="{CFE2D551-924B-46CC-8AAB-3757C58E875F}"/>
    <cellStyle name="Warning Text 10 7" xfId="17514" xr:uid="{BC228F39-2115-4693-A7FE-9792E05A570F}"/>
    <cellStyle name="Warning Text 10 8" xfId="17515" xr:uid="{56A57408-19EE-4B75-8B8B-B1027298DB96}"/>
    <cellStyle name="Warning Text 10 9" xfId="17516" xr:uid="{A61A822C-3B9F-44F9-B876-3B38FE1FF67A}"/>
    <cellStyle name="Warning Text 11" xfId="17517" xr:uid="{B965C8A9-3D06-4E68-A9E4-6D6ED47E8BCC}"/>
    <cellStyle name="Warning Text 11 10" xfId="17518" xr:uid="{6DB89435-F8F8-402B-8463-4431F79EECBC}"/>
    <cellStyle name="Warning Text 11 2" xfId="17519" xr:uid="{EE969E31-7B9C-49FD-BF6B-DBF8777FCE50}"/>
    <cellStyle name="Warning Text 11 3" xfId="17520" xr:uid="{04FD860D-ECAF-4B7B-AF91-8A888067D6FB}"/>
    <cellStyle name="Warning Text 11 4" xfId="17521" xr:uid="{31D5A011-FACF-4DEF-8F5B-3FBB857ECA93}"/>
    <cellStyle name="Warning Text 11 5" xfId="17522" xr:uid="{CFA8E71D-3783-4706-A95E-EC9BF0A2547A}"/>
    <cellStyle name="Warning Text 11 6" xfId="17523" xr:uid="{8F822832-665A-4C4C-A3A7-3509D3252C72}"/>
    <cellStyle name="Warning Text 11 7" xfId="17524" xr:uid="{D00F9BEB-79B1-45CD-B01C-7B6F4859C915}"/>
    <cellStyle name="Warning Text 11 8" xfId="17525" xr:uid="{AF2E214B-034B-4260-AD8E-75E38809D23F}"/>
    <cellStyle name="Warning Text 11 9" xfId="17526" xr:uid="{BFD57C8D-7048-45DF-98DC-D2468A40D555}"/>
    <cellStyle name="Warning Text 12" xfId="17527" xr:uid="{79D6DBF2-7FD3-4B37-A312-220DEA36DD10}"/>
    <cellStyle name="Warning Text 12 10" xfId="17528" xr:uid="{1014FFDB-BCDC-4356-BA6D-9550CE505B25}"/>
    <cellStyle name="Warning Text 12 2" xfId="17529" xr:uid="{623C96F2-3C41-48E2-965E-7AB023C82768}"/>
    <cellStyle name="Warning Text 12 3" xfId="17530" xr:uid="{2F666C50-CF0E-4161-8709-98F344FB2DA8}"/>
    <cellStyle name="Warning Text 12 4" xfId="17531" xr:uid="{26C0A2EE-AAAE-4160-A1D1-1E7543FC6EB0}"/>
    <cellStyle name="Warning Text 12 5" xfId="17532" xr:uid="{8AF3FF5C-94B9-4A33-A34F-80B2EB408CC3}"/>
    <cellStyle name="Warning Text 12 6" xfId="17533" xr:uid="{F0F14C49-FD1A-4EBF-BA32-A7D2039E9ABB}"/>
    <cellStyle name="Warning Text 12 7" xfId="17534" xr:uid="{342E06C5-FEBC-4374-B90C-4F300F2A6F71}"/>
    <cellStyle name="Warning Text 12 8" xfId="17535" xr:uid="{ED2E8DB7-B416-4196-B313-17A825DB1CD0}"/>
    <cellStyle name="Warning Text 12 9" xfId="17536" xr:uid="{0A2E6C8D-2724-49DE-909D-23E297FD57BF}"/>
    <cellStyle name="Warning Text 13" xfId="17537" xr:uid="{C08D36B5-1E24-4964-9E05-013B5D972337}"/>
    <cellStyle name="Warning Text 13 10" xfId="17538" xr:uid="{D72D18D9-4B2A-487C-8CF3-93C55AF1A4BE}"/>
    <cellStyle name="Warning Text 13 2" xfId="17539" xr:uid="{FF690AB2-5680-4FD0-93C7-BB4A002186D9}"/>
    <cellStyle name="Warning Text 13 3" xfId="17540" xr:uid="{06999F12-07E5-4EC2-87EE-285F23223650}"/>
    <cellStyle name="Warning Text 13 4" xfId="17541" xr:uid="{F3A5C41A-4D64-4A89-99CB-4F99EB473298}"/>
    <cellStyle name="Warning Text 13 5" xfId="17542" xr:uid="{BF1BFBA0-57DF-4651-B381-B6C955FC4A38}"/>
    <cellStyle name="Warning Text 13 6" xfId="17543" xr:uid="{BB0DFD69-9239-479C-9F38-5A521FCA099F}"/>
    <cellStyle name="Warning Text 13 7" xfId="17544" xr:uid="{AE2D712B-3F96-4FEC-AFD7-7203D5558037}"/>
    <cellStyle name="Warning Text 13 8" xfId="17545" xr:uid="{3166D596-2AD7-49CD-8886-C2EE5A6FBB7D}"/>
    <cellStyle name="Warning Text 13 9" xfId="17546" xr:uid="{115E5545-29A9-4D88-A18E-2707B4CA52EC}"/>
    <cellStyle name="Warning Text 14" xfId="17547" xr:uid="{A153A166-F6A8-4396-ACFD-B4E397B55056}"/>
    <cellStyle name="Warning Text 14 10" xfId="17548" xr:uid="{CF5ADB52-9385-4EE2-A9BE-AEA7043BC083}"/>
    <cellStyle name="Warning Text 14 2" xfId="17549" xr:uid="{28946448-25D3-43CE-8A7B-24EE3198A640}"/>
    <cellStyle name="Warning Text 14 3" xfId="17550" xr:uid="{CAA243AB-2DD4-4B70-B9ED-3681E83CD460}"/>
    <cellStyle name="Warning Text 14 4" xfId="17551" xr:uid="{B5B0D859-61D9-4F89-AD7C-68EC1E216DC9}"/>
    <cellStyle name="Warning Text 14 5" xfId="17552" xr:uid="{261B1D04-36DF-49A7-9421-144B2D534D61}"/>
    <cellStyle name="Warning Text 14 6" xfId="17553" xr:uid="{D63873B1-5776-4924-9BCF-FF8B2C5BA8F7}"/>
    <cellStyle name="Warning Text 14 7" xfId="17554" xr:uid="{DEE81B66-9023-465F-AC50-509A018BCDDA}"/>
    <cellStyle name="Warning Text 14 8" xfId="17555" xr:uid="{D17305A4-7E02-4795-B153-C9418E9EE683}"/>
    <cellStyle name="Warning Text 14 9" xfId="17556" xr:uid="{FD25EC35-5B1C-44F0-8C9C-CA120A2B933F}"/>
    <cellStyle name="Warning Text 15" xfId="17557" xr:uid="{561E4AB4-7C5B-479D-8478-C51A04732293}"/>
    <cellStyle name="Warning Text 15 10" xfId="17558" xr:uid="{E49538D8-ED5B-4BDC-B1FA-6155888EE9F4}"/>
    <cellStyle name="Warning Text 15 2" xfId="17559" xr:uid="{F624BC7C-D66A-40A6-955E-2962044E0096}"/>
    <cellStyle name="Warning Text 15 3" xfId="17560" xr:uid="{6466AB50-327F-410B-9FD1-82F53757521A}"/>
    <cellStyle name="Warning Text 15 4" xfId="17561" xr:uid="{9B0FF807-570E-4045-AE09-B4AF4BD48384}"/>
    <cellStyle name="Warning Text 15 5" xfId="17562" xr:uid="{64580D29-FCAC-4328-9D22-ED90802FBAD1}"/>
    <cellStyle name="Warning Text 15 6" xfId="17563" xr:uid="{E48A2A33-0A33-4294-AC39-5861DED503F3}"/>
    <cellStyle name="Warning Text 15 7" xfId="17564" xr:uid="{763D3798-CFF6-4DDB-94CD-83510C525A79}"/>
    <cellStyle name="Warning Text 15 8" xfId="17565" xr:uid="{F71EA4CB-AB31-4787-B695-9943C160124F}"/>
    <cellStyle name="Warning Text 15 9" xfId="17566" xr:uid="{27CB2832-679C-4B37-B17C-9DDBDED276A5}"/>
    <cellStyle name="Warning Text 16" xfId="17567" xr:uid="{8B254865-5121-4EB7-BCE1-B146EEED0FF1}"/>
    <cellStyle name="Warning Text 16 10" xfId="17568" xr:uid="{1DE2969B-6312-47BF-BDD3-9913EAA101AA}"/>
    <cellStyle name="Warning Text 16 2" xfId="17569" xr:uid="{726DD161-4AB2-4D67-BA4A-131CF86A6A2B}"/>
    <cellStyle name="Warning Text 16 3" xfId="17570" xr:uid="{4CB51848-50EB-4A1C-8A2C-B97843E6D11B}"/>
    <cellStyle name="Warning Text 16 4" xfId="17571" xr:uid="{9992286B-E305-41DC-B503-F571AA96B3A9}"/>
    <cellStyle name="Warning Text 16 5" xfId="17572" xr:uid="{2031BD2D-54A7-4960-82C9-A2BC0E4CC992}"/>
    <cellStyle name="Warning Text 16 6" xfId="17573" xr:uid="{32FFD061-B537-4B8A-9A5C-82704D2BA4BF}"/>
    <cellStyle name="Warning Text 16 7" xfId="17574" xr:uid="{D23CF3A7-BE89-4D13-B4AF-686D009E9EB3}"/>
    <cellStyle name="Warning Text 16 8" xfId="17575" xr:uid="{93886AF7-C1A0-4148-BAD5-82A6AE121AA5}"/>
    <cellStyle name="Warning Text 16 9" xfId="17576" xr:uid="{B3F6289E-48B2-40BD-8A3A-8DE499830F74}"/>
    <cellStyle name="Warning Text 17" xfId="17577" xr:uid="{3718C6E0-FC83-4BA2-809B-E80BFC7A9E97}"/>
    <cellStyle name="Warning Text 17 10" xfId="17578" xr:uid="{2A15F403-ACE1-480B-87CA-FF35BBC3240A}"/>
    <cellStyle name="Warning Text 17 2" xfId="17579" xr:uid="{E034A762-0978-476B-B283-B512284CCFC1}"/>
    <cellStyle name="Warning Text 17 3" xfId="17580" xr:uid="{BB46C644-25E1-438C-B8F5-55841AAA73B2}"/>
    <cellStyle name="Warning Text 17 4" xfId="17581" xr:uid="{7E5B515A-688F-416F-819A-41A450DA5B83}"/>
    <cellStyle name="Warning Text 17 5" xfId="17582" xr:uid="{6E453FFE-B79B-43C3-8AB6-464C768F9812}"/>
    <cellStyle name="Warning Text 17 6" xfId="17583" xr:uid="{AF48BE41-5EA1-4815-88A2-32831D324DCD}"/>
    <cellStyle name="Warning Text 17 7" xfId="17584" xr:uid="{171C43F5-1751-42C6-ADAF-F66C1EAFBB47}"/>
    <cellStyle name="Warning Text 17 8" xfId="17585" xr:uid="{9027B6B2-DFF9-4FB3-AA43-3382F9FC987D}"/>
    <cellStyle name="Warning Text 17 9" xfId="17586" xr:uid="{1A0C4ECD-E90E-44AC-925D-A874CFCF5B02}"/>
    <cellStyle name="Warning Text 18" xfId="17587" xr:uid="{1D635912-6EF2-4698-B3F5-75C4EE4BACA5}"/>
    <cellStyle name="Warning Text 18 10" xfId="17588" xr:uid="{1A3C4266-D463-42C5-952C-EDC65E74554C}"/>
    <cellStyle name="Warning Text 18 2" xfId="17589" xr:uid="{FB411BAA-0F14-4ED6-B274-F4CF0C729A03}"/>
    <cellStyle name="Warning Text 18 3" xfId="17590" xr:uid="{5AC0BA91-5572-4207-AB7A-F5940F01A6F8}"/>
    <cellStyle name="Warning Text 18 4" xfId="17591" xr:uid="{340FC3F7-F0EC-46C9-B62B-4FDB420993E3}"/>
    <cellStyle name="Warning Text 18 5" xfId="17592" xr:uid="{290DE594-1FFF-4651-8D2F-9716044FD98D}"/>
    <cellStyle name="Warning Text 18 6" xfId="17593" xr:uid="{66EA491E-E6F5-4857-89FC-25218CCCDE89}"/>
    <cellStyle name="Warning Text 18 7" xfId="17594" xr:uid="{931D14BB-B31B-4730-9BAA-AE2C1A5D3E37}"/>
    <cellStyle name="Warning Text 18 8" xfId="17595" xr:uid="{8EBBFB29-A674-4F2B-AC7D-26E6B2ABD066}"/>
    <cellStyle name="Warning Text 18 9" xfId="17596" xr:uid="{C8B35E38-2768-4F87-BDF7-105B24C9146E}"/>
    <cellStyle name="Warning Text 19" xfId="17597" xr:uid="{17FA07B0-C1B9-44F0-B8F1-7B4F59790EA6}"/>
    <cellStyle name="Warning Text 19 10" xfId="17598" xr:uid="{0AC467C6-7E65-4213-A22D-CFE579800FF4}"/>
    <cellStyle name="Warning Text 19 2" xfId="17599" xr:uid="{6783DA0D-08ED-4BC1-A6D4-F8FB6413EC72}"/>
    <cellStyle name="Warning Text 19 3" xfId="17600" xr:uid="{24FF6E43-9004-4048-BCA6-E38834A4D4EB}"/>
    <cellStyle name="Warning Text 19 4" xfId="17601" xr:uid="{927ECCFA-347C-48F8-90EA-333616AD4DCA}"/>
    <cellStyle name="Warning Text 19 5" xfId="17602" xr:uid="{CD9A4DB7-BE22-4224-A0B1-D556A95CD390}"/>
    <cellStyle name="Warning Text 19 6" xfId="17603" xr:uid="{B900923E-C525-4CFA-8F61-5F429ACF1F4D}"/>
    <cellStyle name="Warning Text 19 7" xfId="17604" xr:uid="{C28DB1D3-5207-4BFE-8A32-2050C529379A}"/>
    <cellStyle name="Warning Text 19 8" xfId="17605" xr:uid="{9F3E23A4-8253-489B-96CC-F37647A13FF6}"/>
    <cellStyle name="Warning Text 19 9" xfId="17606" xr:uid="{75CA2AD2-049A-404C-8311-54EE7449DF68}"/>
    <cellStyle name="Warning Text 2" xfId="17607" xr:uid="{E79ED367-BF28-4856-BE6D-5ABBFDEA1C5C}"/>
    <cellStyle name="Warning Text 2 10" xfId="17608" xr:uid="{8D1CD059-1C9A-4DFA-BB45-FDA6C1955A88}"/>
    <cellStyle name="Warning Text 2 10 2" xfId="17609" xr:uid="{ABA27600-7CAA-4ABD-8C80-57A23ADEB5CB}"/>
    <cellStyle name="Warning Text 2 10 3" xfId="17610" xr:uid="{3D69525D-0347-4D9D-8600-764AB09FBB85}"/>
    <cellStyle name="Warning Text 2 10 4" xfId="17611" xr:uid="{F11A7406-32DC-4693-B729-5528560F6F23}"/>
    <cellStyle name="Warning Text 2 10 5" xfId="17612" xr:uid="{CD2E782D-3CCB-4882-9811-C6A7177270E6}"/>
    <cellStyle name="Warning Text 2 10 6" xfId="17613" xr:uid="{6CB5AB57-9852-46A0-A47C-A61A9AABA734}"/>
    <cellStyle name="Warning Text 2 10 7" xfId="17614" xr:uid="{66E8C700-1C1D-43CB-A3B7-749BCC5B60EF}"/>
    <cellStyle name="Warning Text 2 10 8" xfId="17615" xr:uid="{60DC4950-06D5-4479-8C06-C02C9D10B628}"/>
    <cellStyle name="Warning Text 2 10 9" xfId="17616" xr:uid="{369B8613-FE8F-4E96-8092-C7FCD825411E}"/>
    <cellStyle name="Warning Text 2 11" xfId="17617" xr:uid="{49824F1D-1CE9-4054-9FCA-EA1364BA73E4}"/>
    <cellStyle name="Warning Text 2 12" xfId="17618" xr:uid="{D69A479E-38D8-4D67-8E9F-9BEEDE0417FE}"/>
    <cellStyle name="Warning Text 2 13" xfId="17619" xr:uid="{3CFFE041-44C5-4B3C-AEB9-B8740E812232}"/>
    <cellStyle name="Warning Text 2 14" xfId="17620" xr:uid="{7D147A98-F78D-49EE-B893-F54C5DBBCAAA}"/>
    <cellStyle name="Warning Text 2 15" xfId="17621" xr:uid="{8F45CBD7-019B-4ECC-B745-4029C05EE9D0}"/>
    <cellStyle name="Warning Text 2 16" xfId="17622" xr:uid="{2C116F11-AFCF-42B3-97EE-198184375EAD}"/>
    <cellStyle name="Warning Text 2 17" xfId="17623" xr:uid="{3A1D7106-422B-4101-9E11-00609E24CA26}"/>
    <cellStyle name="Warning Text 2 18" xfId="17624" xr:uid="{F8CB1F0D-BBE9-406D-9E66-81FB16244643}"/>
    <cellStyle name="Warning Text 2 19" xfId="17625" xr:uid="{3E9186B0-9524-48EB-9884-114C96F38248}"/>
    <cellStyle name="Warning Text 2 2" xfId="17626" xr:uid="{8C67B57A-3A4B-4572-876C-F9FEEDEEFB5D}"/>
    <cellStyle name="Warning Text 2 2 2" xfId="17627" xr:uid="{A67B5591-C03E-4FA4-99D1-C5A99E7B23B0}"/>
    <cellStyle name="Warning Text 2 2 3" xfId="17628" xr:uid="{5A82EADF-872C-4427-84CA-D156F2BBE1E1}"/>
    <cellStyle name="Warning Text 2 2 4" xfId="17629" xr:uid="{3425D6CE-7900-4C3D-8566-637D6736FD59}"/>
    <cellStyle name="Warning Text 2 2 5" xfId="17630" xr:uid="{2F3B30D9-A198-43A1-BE6F-917FAAEFA240}"/>
    <cellStyle name="Warning Text 2 2 6" xfId="17631" xr:uid="{8307DC2C-224D-46F5-AEE4-88DF3208EE8B}"/>
    <cellStyle name="Warning Text 2 2 7" xfId="17632" xr:uid="{26B18041-10F8-493E-AC5C-A47D34134E37}"/>
    <cellStyle name="Warning Text 2 2 8" xfId="17633" xr:uid="{13159484-94F9-4164-A737-AB6DD84422ED}"/>
    <cellStyle name="Warning Text 2 2 9" xfId="17634" xr:uid="{B482AAB8-088B-4A4F-ACDA-3444B26A8FAD}"/>
    <cellStyle name="Warning Text 2 3" xfId="17635" xr:uid="{011D2B2D-7649-486E-A96C-27213F21BFFD}"/>
    <cellStyle name="Warning Text 2 3 2" xfId="17636" xr:uid="{BD3D890B-DA07-4CF7-B508-37F6EB824D51}"/>
    <cellStyle name="Warning Text 2 3 3" xfId="17637" xr:uid="{E582961F-3742-48BA-BECB-382CCE0862A0}"/>
    <cellStyle name="Warning Text 2 3 4" xfId="17638" xr:uid="{A49A8B91-31D3-42DD-A7CF-01BD45B30116}"/>
    <cellStyle name="Warning Text 2 3 5" xfId="17639" xr:uid="{5AC70266-7941-4C91-8C3D-ED58CEACAC0F}"/>
    <cellStyle name="Warning Text 2 3 6" xfId="17640" xr:uid="{214ABDB7-82DD-4528-BDAD-E888E1C30634}"/>
    <cellStyle name="Warning Text 2 3 7" xfId="17641" xr:uid="{E0ED894D-E1F7-4560-ADB9-D3DADC5CB38A}"/>
    <cellStyle name="Warning Text 2 3 8" xfId="17642" xr:uid="{06BF6453-82B7-4499-8DFA-4CB02B953E69}"/>
    <cellStyle name="Warning Text 2 3 9" xfId="17643" xr:uid="{8D56E74E-0E22-4F36-92E3-24CB324FB5AF}"/>
    <cellStyle name="Warning Text 2 4" xfId="17644" xr:uid="{BEE8C8D7-5550-42E3-BB31-A6E55BC04E02}"/>
    <cellStyle name="Warning Text 2 4 2" xfId="17645" xr:uid="{F115F095-E524-476C-9BC4-9B09850A1523}"/>
    <cellStyle name="Warning Text 2 4 3" xfId="17646" xr:uid="{8A90E827-B07C-461A-9AAD-49F07E97260F}"/>
    <cellStyle name="Warning Text 2 4 4" xfId="17647" xr:uid="{B3001171-ABE8-4F9C-A457-95B5DAE6CD30}"/>
    <cellStyle name="Warning Text 2 4 5" xfId="17648" xr:uid="{79D14BE2-BE9A-45A7-A8C9-E8C93A199F9B}"/>
    <cellStyle name="Warning Text 2 4 6" xfId="17649" xr:uid="{484A8297-8E6D-4085-B2A1-C5B6D553F44F}"/>
    <cellStyle name="Warning Text 2 4 7" xfId="17650" xr:uid="{BFDAED72-BC57-43B6-A3AD-10F296AB7C2F}"/>
    <cellStyle name="Warning Text 2 4 8" xfId="17651" xr:uid="{48E4012B-7F19-4830-84A1-06401682DB68}"/>
    <cellStyle name="Warning Text 2 4 9" xfId="17652" xr:uid="{39CB9E50-5530-48F6-A8BA-804D9ED5D2BC}"/>
    <cellStyle name="Warning Text 2 5" xfId="17653" xr:uid="{1A25D51F-DEA0-478F-8F6C-9426F166C148}"/>
    <cellStyle name="Warning Text 2 5 2" xfId="17654" xr:uid="{FB0A5E33-61A9-407D-A8C8-AE6EF5902636}"/>
    <cellStyle name="Warning Text 2 5 3" xfId="17655" xr:uid="{D8872102-A5BA-431D-A28A-6ABB16ACB7F3}"/>
    <cellStyle name="Warning Text 2 5 4" xfId="17656" xr:uid="{A13C85AE-2861-480E-932D-711B0C99708A}"/>
    <cellStyle name="Warning Text 2 5 5" xfId="17657" xr:uid="{CA6DD789-C9D1-4158-A0C3-A8A1B9A00C74}"/>
    <cellStyle name="Warning Text 2 5 6" xfId="17658" xr:uid="{510C82BA-1C66-4EA1-92A3-C24357E3E931}"/>
    <cellStyle name="Warning Text 2 5 7" xfId="17659" xr:uid="{7FE098E9-9C6B-4F10-9287-CF58E3555323}"/>
    <cellStyle name="Warning Text 2 5 8" xfId="17660" xr:uid="{C1A5D012-BE1B-4136-A782-A8471033D85C}"/>
    <cellStyle name="Warning Text 2 5 9" xfId="17661" xr:uid="{D277BE93-6CBE-49D1-A68A-417953D6C594}"/>
    <cellStyle name="Warning Text 2 6" xfId="17662" xr:uid="{F0777E94-244B-4479-9424-EF1A71E09594}"/>
    <cellStyle name="Warning Text 2 6 2" xfId="17663" xr:uid="{FDA3F39A-4430-481A-ACC6-D041048B6845}"/>
    <cellStyle name="Warning Text 2 6 3" xfId="17664" xr:uid="{04155EC9-418F-4AE8-850E-F7EEEAC9D3A3}"/>
    <cellStyle name="Warning Text 2 6 4" xfId="17665" xr:uid="{8D1F127B-F6D6-4F12-83E4-14F726C8CDB9}"/>
    <cellStyle name="Warning Text 2 6 5" xfId="17666" xr:uid="{C74FAADF-8C17-4A70-8C90-F0208A0D1D38}"/>
    <cellStyle name="Warning Text 2 6 6" xfId="17667" xr:uid="{D6C91206-0B34-44BE-96E3-430D00718992}"/>
    <cellStyle name="Warning Text 2 6 7" xfId="17668" xr:uid="{84934F79-B190-46B5-A939-6F8150A254A8}"/>
    <cellStyle name="Warning Text 2 6 8" xfId="17669" xr:uid="{5053E536-2D20-4E11-9CBC-B8EA2DD15E1B}"/>
    <cellStyle name="Warning Text 2 6 9" xfId="17670" xr:uid="{C1DDFE2A-BF66-4603-80BF-56CAAF4C163B}"/>
    <cellStyle name="Warning Text 2 7" xfId="17671" xr:uid="{423C4E7A-F3AB-42AE-ADDE-DCF88E1B1366}"/>
    <cellStyle name="Warning Text 2 7 2" xfId="17672" xr:uid="{7E64C6A4-596F-4813-AFCA-86E1ECC620C9}"/>
    <cellStyle name="Warning Text 2 7 3" xfId="17673" xr:uid="{E7793411-1693-4094-B093-E17AE5F10278}"/>
    <cellStyle name="Warning Text 2 7 4" xfId="17674" xr:uid="{652401A2-CBAB-4D74-9321-8321F2E1DDD3}"/>
    <cellStyle name="Warning Text 2 7 5" xfId="17675" xr:uid="{DD88C55A-25E6-4357-90FA-29C42C210D5E}"/>
    <cellStyle name="Warning Text 2 7 6" xfId="17676" xr:uid="{2BEED1E5-263A-4DC8-B3BB-3329C2E0EDAB}"/>
    <cellStyle name="Warning Text 2 7 7" xfId="17677" xr:uid="{54E55B6D-83C3-421E-B0F8-2E080F11373D}"/>
    <cellStyle name="Warning Text 2 7 8" xfId="17678" xr:uid="{F742AD39-52E9-4ED8-9E2F-6D9CF2751E9E}"/>
    <cellStyle name="Warning Text 2 7 9" xfId="17679" xr:uid="{AD1C6134-8C7E-41A3-84C6-8C803B1BB401}"/>
    <cellStyle name="Warning Text 2 8" xfId="17680" xr:uid="{46DE6E46-4152-4E23-93D6-3BD62D3315CF}"/>
    <cellStyle name="Warning Text 2 8 2" xfId="17681" xr:uid="{B927D1E0-82C8-4421-9630-29A038B88B8E}"/>
    <cellStyle name="Warning Text 2 8 3" xfId="17682" xr:uid="{39D252C7-D895-4BD3-9080-3BDF618F44ED}"/>
    <cellStyle name="Warning Text 2 8 4" xfId="17683" xr:uid="{437CF934-17D5-4C3F-9856-6D44313D707F}"/>
    <cellStyle name="Warning Text 2 8 5" xfId="17684" xr:uid="{AB0449FE-752F-469A-87AF-CAA174E8C462}"/>
    <cellStyle name="Warning Text 2 8 6" xfId="17685" xr:uid="{A42FE68D-2CE5-448B-A2AD-8926B99AB8AB}"/>
    <cellStyle name="Warning Text 2 8 7" xfId="17686" xr:uid="{AEBE36FA-90DD-4CA0-859E-11576608AEC4}"/>
    <cellStyle name="Warning Text 2 8 8" xfId="17687" xr:uid="{E159D4DF-72DA-4672-83F8-0A3E002037ED}"/>
    <cellStyle name="Warning Text 2 8 9" xfId="17688" xr:uid="{F35C7A5E-408C-464C-B84B-778685AB1FE2}"/>
    <cellStyle name="Warning Text 2 9" xfId="17689" xr:uid="{828FE888-E65A-4FE3-BCF2-93A83E1BC8DB}"/>
    <cellStyle name="Warning Text 2 9 2" xfId="17690" xr:uid="{AD8C3966-5976-4164-A0CD-869463344E6D}"/>
    <cellStyle name="Warning Text 2 9 3" xfId="17691" xr:uid="{5561913A-B9A9-44F0-8DA4-2F1BD57A4189}"/>
    <cellStyle name="Warning Text 2 9 4" xfId="17692" xr:uid="{D448A448-2967-4C73-9C74-9F211BFDFE02}"/>
    <cellStyle name="Warning Text 2 9 5" xfId="17693" xr:uid="{0CF2D97D-637B-4605-AD34-EBFB8D2E02FA}"/>
    <cellStyle name="Warning Text 2 9 6" xfId="17694" xr:uid="{D31B082D-34FD-4D57-8FE0-98397967D010}"/>
    <cellStyle name="Warning Text 2 9 7" xfId="17695" xr:uid="{A8F889AA-8AB5-44C9-A38E-0F6E3279379A}"/>
    <cellStyle name="Warning Text 2 9 8" xfId="17696" xr:uid="{538F1A6F-8B59-47C5-88F7-0645276B4907}"/>
    <cellStyle name="Warning Text 2 9 9" xfId="17697" xr:uid="{01F75E16-46A1-4559-8BDA-4A8D34AB1565}"/>
    <cellStyle name="Warning Text 20" xfId="17698" xr:uid="{071A48D1-5BD5-4BDE-8C99-ECEB8C5AEC37}"/>
    <cellStyle name="Warning Text 20 10" xfId="17699" xr:uid="{D013CD7F-96E1-4C86-828C-107B183086A7}"/>
    <cellStyle name="Warning Text 20 2" xfId="17700" xr:uid="{0910CED8-A901-4314-8022-E257FC5E385A}"/>
    <cellStyle name="Warning Text 20 3" xfId="17701" xr:uid="{A9E9AD93-FCD5-469E-9779-294676945D53}"/>
    <cellStyle name="Warning Text 20 4" xfId="17702" xr:uid="{D5EFE168-3332-41E5-BBC6-415F88AAB0CC}"/>
    <cellStyle name="Warning Text 20 5" xfId="17703" xr:uid="{1619E322-1E58-4813-9928-6FC4FA405BA5}"/>
    <cellStyle name="Warning Text 20 6" xfId="17704" xr:uid="{A316B25C-65AF-4066-8AA2-7D3730B0F655}"/>
    <cellStyle name="Warning Text 20 7" xfId="17705" xr:uid="{40573AF0-C9C5-4E73-83F8-5EEAA2C4A5ED}"/>
    <cellStyle name="Warning Text 20 8" xfId="17706" xr:uid="{63F8DBF1-FB3C-4669-93E4-7E8785CFDCB8}"/>
    <cellStyle name="Warning Text 20 9" xfId="17707" xr:uid="{EF9F3B4E-083E-4B8C-A3D8-D4E6D5AE843E}"/>
    <cellStyle name="Warning Text 21" xfId="17708" xr:uid="{8389475B-C201-4579-9A92-EE5FF3B4A2D8}"/>
    <cellStyle name="Warning Text 21 10" xfId="17709" xr:uid="{8BF049EB-C98D-48E1-999F-5E399B3639F6}"/>
    <cellStyle name="Warning Text 21 2" xfId="17710" xr:uid="{018A5D96-9ED9-4C87-94BD-D47CDFD5F679}"/>
    <cellStyle name="Warning Text 21 3" xfId="17711" xr:uid="{49D661AA-4666-4BA2-ADDB-BEB9DCF69D3D}"/>
    <cellStyle name="Warning Text 21 4" xfId="17712" xr:uid="{43B045C4-A2D5-49A2-A16E-A558D8E7636A}"/>
    <cellStyle name="Warning Text 21 5" xfId="17713" xr:uid="{2C0A615A-26A1-4850-907E-3FCB5231D518}"/>
    <cellStyle name="Warning Text 21 6" xfId="17714" xr:uid="{ED3EA845-5109-4576-9B6C-3C68B02D604D}"/>
    <cellStyle name="Warning Text 21 7" xfId="17715" xr:uid="{809454ED-0773-48D8-8BCA-8A6B6D133CF7}"/>
    <cellStyle name="Warning Text 21 8" xfId="17716" xr:uid="{C74E08E6-1D1E-4DC9-B3D4-30780BC21BD0}"/>
    <cellStyle name="Warning Text 21 9" xfId="17717" xr:uid="{3A0B3BF2-4FB0-499E-888F-A1E27FDDF69A}"/>
    <cellStyle name="Warning Text 22" xfId="17718" xr:uid="{620AB690-A198-4F0B-BF24-0D8B7D692C79}"/>
    <cellStyle name="Warning Text 22 10" xfId="17719" xr:uid="{4AA7C928-AC9E-4BB5-A857-79F612B825C1}"/>
    <cellStyle name="Warning Text 22 2" xfId="17720" xr:uid="{ABD95FA0-00F8-4AD4-A916-2878872ADEB1}"/>
    <cellStyle name="Warning Text 22 3" xfId="17721" xr:uid="{0CB5F76B-E871-4F3A-9BE3-B4E82045A076}"/>
    <cellStyle name="Warning Text 22 4" xfId="17722" xr:uid="{A93BDEA2-6D08-4A33-BDCB-EFCE647A9AB7}"/>
    <cellStyle name="Warning Text 22 5" xfId="17723" xr:uid="{C7936BCC-FCEB-4EE3-891B-5ABD131593E8}"/>
    <cellStyle name="Warning Text 22 6" xfId="17724" xr:uid="{6F4ADEBC-039E-412B-9826-2A76FA5B921E}"/>
    <cellStyle name="Warning Text 22 7" xfId="17725" xr:uid="{A89518F5-EB32-4CE8-92DC-1C31FEB9B455}"/>
    <cellStyle name="Warning Text 22 8" xfId="17726" xr:uid="{B50B23E7-CC36-4D01-A61F-73201C4E55AC}"/>
    <cellStyle name="Warning Text 22 9" xfId="17727" xr:uid="{CF9FBB17-FF2E-4514-BB76-469F99C1C383}"/>
    <cellStyle name="Warning Text 23" xfId="17728" xr:uid="{315DF956-FE75-4B9C-BBDF-63CF1EE6782A}"/>
    <cellStyle name="Warning Text 23 10" xfId="17729" xr:uid="{A2542332-C337-4FBB-9C66-D50BBC12180D}"/>
    <cellStyle name="Warning Text 23 2" xfId="17730" xr:uid="{BDCD7268-E20B-4566-B6F9-CDBA745C26FD}"/>
    <cellStyle name="Warning Text 23 3" xfId="17731" xr:uid="{E989D4B9-C63D-47A5-B7ED-62B606E786FE}"/>
    <cellStyle name="Warning Text 23 4" xfId="17732" xr:uid="{B8F6807E-0A24-4E23-823C-916ACDB74532}"/>
    <cellStyle name="Warning Text 23 5" xfId="17733" xr:uid="{86BD92F8-7D32-4631-82F9-5A07DD032E58}"/>
    <cellStyle name="Warning Text 23 6" xfId="17734" xr:uid="{B06E498E-CACE-4F9E-91F5-1D8713CD99D8}"/>
    <cellStyle name="Warning Text 23 7" xfId="17735" xr:uid="{012508FB-F283-42A9-A841-AE903D50BAF5}"/>
    <cellStyle name="Warning Text 23 8" xfId="17736" xr:uid="{B16DE1EC-D277-421A-BD42-8A0DD11FE99D}"/>
    <cellStyle name="Warning Text 23 9" xfId="17737" xr:uid="{950119F6-81D6-47AB-97F1-9B1346BBF663}"/>
    <cellStyle name="Warning Text 24" xfId="17738" xr:uid="{C33B63AB-922D-4C67-811D-F116EA1FBD58}"/>
    <cellStyle name="Warning Text 24 10" xfId="17739" xr:uid="{4B0FC6A8-E745-4890-AD4B-455C9D4D098D}"/>
    <cellStyle name="Warning Text 24 2" xfId="17740" xr:uid="{F969A97F-DD58-4E5C-A521-4191F97515C5}"/>
    <cellStyle name="Warning Text 24 3" xfId="17741" xr:uid="{7AB58C4E-60E5-42F8-B53D-65E6F6EC40D7}"/>
    <cellStyle name="Warning Text 24 4" xfId="17742" xr:uid="{7ABE7B86-A47D-49FF-9FE6-FD377E399F0D}"/>
    <cellStyle name="Warning Text 24 5" xfId="17743" xr:uid="{0B7028A1-B2D5-43FD-AC06-F7419686F6E7}"/>
    <cellStyle name="Warning Text 24 6" xfId="17744" xr:uid="{8FB2691A-7D21-48EF-87EB-FD9995AAE149}"/>
    <cellStyle name="Warning Text 24 7" xfId="17745" xr:uid="{7D331A39-AF0E-4650-8CFA-2D661F663B0A}"/>
    <cellStyle name="Warning Text 24 8" xfId="17746" xr:uid="{80FE4581-4EAC-4C43-86FF-406090C5FD94}"/>
    <cellStyle name="Warning Text 24 9" xfId="17747" xr:uid="{54F9A343-ED69-438B-9B3F-8703927EBB17}"/>
    <cellStyle name="Warning Text 25" xfId="17748" xr:uid="{54EE0418-BA3D-45F6-900C-F4A3362B5B10}"/>
    <cellStyle name="Warning Text 25 10" xfId="17749" xr:uid="{6CDD347E-58E0-4FC2-A037-26D4A4AC7D89}"/>
    <cellStyle name="Warning Text 25 2" xfId="17750" xr:uid="{9838BCD9-8046-4615-9A30-8F38DEDCE153}"/>
    <cellStyle name="Warning Text 25 3" xfId="17751" xr:uid="{7B737AC5-D21D-441C-B2F4-CDC7E1E79DC2}"/>
    <cellStyle name="Warning Text 25 4" xfId="17752" xr:uid="{40CFB7FA-45B3-41D9-BCBB-A8B5244D1233}"/>
    <cellStyle name="Warning Text 25 5" xfId="17753" xr:uid="{356D83EB-26A5-4DBC-8B6A-E3ACC3A9E0E0}"/>
    <cellStyle name="Warning Text 25 6" xfId="17754" xr:uid="{C0770C67-22A0-4E2A-A319-8A9250EE4858}"/>
    <cellStyle name="Warning Text 25 7" xfId="17755" xr:uid="{B53387BB-5B73-4DA9-8D0A-921134B7E4AD}"/>
    <cellStyle name="Warning Text 25 8" xfId="17756" xr:uid="{E6E0996D-4E5B-41B3-B083-45221FE5E66C}"/>
    <cellStyle name="Warning Text 25 9" xfId="17757" xr:uid="{9EAF8858-B2E8-4811-8396-C221272CC9A2}"/>
    <cellStyle name="Warning Text 26" xfId="17758" xr:uid="{0BA4B172-BF55-4FA0-A785-D645ED472829}"/>
    <cellStyle name="Warning Text 26 10" xfId="17759" xr:uid="{8769CB39-88E2-4A5D-B134-6A3716E8C694}"/>
    <cellStyle name="Warning Text 26 2" xfId="17760" xr:uid="{45C2DFA8-D44C-4CEB-8427-3A707AB413E7}"/>
    <cellStyle name="Warning Text 26 3" xfId="17761" xr:uid="{64775D94-4D3C-4496-895D-71931368A3A7}"/>
    <cellStyle name="Warning Text 26 4" xfId="17762" xr:uid="{A1E5BA9D-1E8D-46AD-9202-46522F302B8A}"/>
    <cellStyle name="Warning Text 26 5" xfId="17763" xr:uid="{ADD0BE9E-9412-47BE-90DC-6DEE07655CB2}"/>
    <cellStyle name="Warning Text 26 6" xfId="17764" xr:uid="{CF300B8D-5FA2-42C3-87EB-58091FFE54FD}"/>
    <cellStyle name="Warning Text 26 7" xfId="17765" xr:uid="{49A5F88E-A3A5-4DB3-A1F3-62F874622C8B}"/>
    <cellStyle name="Warning Text 26 8" xfId="17766" xr:uid="{B8088FFB-226B-420B-813B-E4CF96A013D8}"/>
    <cellStyle name="Warning Text 26 9" xfId="17767" xr:uid="{FCDFA65D-89CA-434D-8FEC-4D8CC533D8C8}"/>
    <cellStyle name="Warning Text 27" xfId="17768" xr:uid="{C49AD1D1-EEC5-42B9-BEC7-951315B26D84}"/>
    <cellStyle name="Warning Text 27 10" xfId="17769" xr:uid="{38A9C2BE-3F71-4A55-BF80-0582061F7F50}"/>
    <cellStyle name="Warning Text 27 2" xfId="17770" xr:uid="{75A138EA-82E6-4763-B810-FF91E5639B59}"/>
    <cellStyle name="Warning Text 27 3" xfId="17771" xr:uid="{94BCD77F-ACAC-4F67-83BB-9E1FA73229FA}"/>
    <cellStyle name="Warning Text 27 4" xfId="17772" xr:uid="{88F08707-F723-4EAE-AB25-43CFADF31D5B}"/>
    <cellStyle name="Warning Text 27 5" xfId="17773" xr:uid="{88872273-A660-49D4-B776-79F5A83FA7BC}"/>
    <cellStyle name="Warning Text 27 6" xfId="17774" xr:uid="{F67CA04F-5EC8-4D64-ABAE-55E2F325127F}"/>
    <cellStyle name="Warning Text 27 7" xfId="17775" xr:uid="{5A2C4804-BA00-4A50-802E-6BAA62CE0C85}"/>
    <cellStyle name="Warning Text 27 8" xfId="17776" xr:uid="{F6B1BD99-AC7F-4F0E-9697-62FA7A4709EC}"/>
    <cellStyle name="Warning Text 27 9" xfId="17777" xr:uid="{954A1554-A229-4B87-B0F6-3919EF0C38BB}"/>
    <cellStyle name="Warning Text 28" xfId="17778" xr:uid="{DCB973C4-C2B5-4C24-94BE-3DB32A33C405}"/>
    <cellStyle name="Warning Text 28 10" xfId="17779" xr:uid="{A01AF275-D460-45E4-87A0-434BF666467E}"/>
    <cellStyle name="Warning Text 28 2" xfId="17780" xr:uid="{3331987C-820E-4050-B30F-2509CADC586F}"/>
    <cellStyle name="Warning Text 28 3" xfId="17781" xr:uid="{0D340E62-4834-48BB-A980-08B5302CDE00}"/>
    <cellStyle name="Warning Text 28 4" xfId="17782" xr:uid="{3A625DBC-B32E-4FFC-98E9-18F7765EED52}"/>
    <cellStyle name="Warning Text 28 5" xfId="17783" xr:uid="{27C8112E-64B1-4FF3-A748-7774413C6818}"/>
    <cellStyle name="Warning Text 28 6" xfId="17784" xr:uid="{52B2C911-8893-43F1-B260-B7E8717821AD}"/>
    <cellStyle name="Warning Text 28 7" xfId="17785" xr:uid="{DD6F21F6-03D9-4BD6-BAC6-A7DBCB809AB1}"/>
    <cellStyle name="Warning Text 28 8" xfId="17786" xr:uid="{3386EBDC-7B9D-4B33-8E00-C7FF4AB949F4}"/>
    <cellStyle name="Warning Text 28 9" xfId="17787" xr:uid="{6F1F6A78-546F-4147-A7F8-7CC71C482B9E}"/>
    <cellStyle name="Warning Text 29" xfId="17788" xr:uid="{32B01833-8E71-47A6-B1B3-0EE8D6EB4A7F}"/>
    <cellStyle name="Warning Text 29 10" xfId="17789" xr:uid="{117F9F21-86A6-49E9-8588-93076FD2AF82}"/>
    <cellStyle name="Warning Text 29 2" xfId="17790" xr:uid="{E937ED00-13A9-4D59-A5FA-3CA2ED5CE7BA}"/>
    <cellStyle name="Warning Text 29 3" xfId="17791" xr:uid="{9F17BEBA-47B6-43D1-B8FD-B15F0F482DCE}"/>
    <cellStyle name="Warning Text 29 4" xfId="17792" xr:uid="{6B685BE7-BBD4-4142-AB78-3AFFCA4E8189}"/>
    <cellStyle name="Warning Text 29 5" xfId="17793" xr:uid="{62335D99-BC78-4572-9553-2559F953FA27}"/>
    <cellStyle name="Warning Text 29 6" xfId="17794" xr:uid="{AAD5E51F-73D3-4692-821D-88A04E2BA869}"/>
    <cellStyle name="Warning Text 29 7" xfId="17795" xr:uid="{AF96D671-6BAE-4C22-9B92-F44753E3ACAD}"/>
    <cellStyle name="Warning Text 29 8" xfId="17796" xr:uid="{BA54DBEC-6A55-47CD-A3C5-5FD38E63F7D0}"/>
    <cellStyle name="Warning Text 29 9" xfId="17797" xr:uid="{0196A98E-9395-4E1A-BF35-908100A3B4C9}"/>
    <cellStyle name="Warning Text 3" xfId="17798" xr:uid="{26F4B61C-CC67-45AB-B77E-E0BFDFE10791}"/>
    <cellStyle name="Warning Text 3 10" xfId="17799" xr:uid="{985B6919-5B86-4B97-A802-CA68F084F805}"/>
    <cellStyle name="Warning Text 3 2" xfId="17800" xr:uid="{609AAC7D-6933-4DE6-BC95-A307191D5C45}"/>
    <cellStyle name="Warning Text 3 2 2" xfId="17801" xr:uid="{67A1CAAC-00CC-4F92-A214-C4792DD233ED}"/>
    <cellStyle name="Warning Text 3 2 3" xfId="17802" xr:uid="{C183AD94-356E-4433-94A4-44EF5C527010}"/>
    <cellStyle name="Warning Text 3 2 4" xfId="17803" xr:uid="{848A5447-C49B-4E61-949A-A835BF7E8F06}"/>
    <cellStyle name="Warning Text 3 2 5" xfId="17804" xr:uid="{98C6EF9A-A6CA-4F23-935A-8352A3358A5F}"/>
    <cellStyle name="Warning Text 3 3" xfId="17805" xr:uid="{6A150A94-36EE-496D-AC79-593E9E9D52C3}"/>
    <cellStyle name="Warning Text 3 4" xfId="17806" xr:uid="{3611C03E-FEE8-4F34-A98D-308819C93B15}"/>
    <cellStyle name="Warning Text 3 5" xfId="17807" xr:uid="{A048D298-B515-4AC6-BDBF-39BB9AF98E78}"/>
    <cellStyle name="Warning Text 3 6" xfId="17808" xr:uid="{91577D19-04E8-410F-B771-FD5E5301324D}"/>
    <cellStyle name="Warning Text 3 7" xfId="17809" xr:uid="{26DFA478-2F68-4B46-B72A-9519B346AE27}"/>
    <cellStyle name="Warning Text 3 8" xfId="17810" xr:uid="{0316C451-2ACF-451D-821C-4819E5832E6D}"/>
    <cellStyle name="Warning Text 3 9" xfId="17811" xr:uid="{367977BD-5977-49B9-91FF-F6D0548CA1E0}"/>
    <cellStyle name="Warning Text 30" xfId="17812" xr:uid="{CEC2FC80-1978-4230-BF47-8AFFC733E3A4}"/>
    <cellStyle name="Warning Text 30 10" xfId="17813" xr:uid="{B4DB1B13-6B48-41FF-9009-00BC1839F241}"/>
    <cellStyle name="Warning Text 30 2" xfId="17814" xr:uid="{EF77B35B-AE3B-4047-8778-4DDEE145757D}"/>
    <cellStyle name="Warning Text 30 3" xfId="17815" xr:uid="{BF16EA46-5287-440F-8511-4C4A218798C8}"/>
    <cellStyle name="Warning Text 30 4" xfId="17816" xr:uid="{D9B09B5E-B055-46C0-830A-16FDC4C26201}"/>
    <cellStyle name="Warning Text 30 5" xfId="17817" xr:uid="{A27D7F52-C9DB-4640-BB45-C82F2CF3A7F1}"/>
    <cellStyle name="Warning Text 30 6" xfId="17818" xr:uid="{B4DBE67A-E7FB-43A0-BD0C-38002EF26DC0}"/>
    <cellStyle name="Warning Text 30 7" xfId="17819" xr:uid="{CF4C9400-D0AD-4B1C-B995-15405EBC3707}"/>
    <cellStyle name="Warning Text 30 8" xfId="17820" xr:uid="{C3ECAAA3-08F1-4AF0-9CFA-FA544C294B97}"/>
    <cellStyle name="Warning Text 30 9" xfId="17821" xr:uid="{A401E2A3-BAC1-4C82-9D25-6A196EF3C279}"/>
    <cellStyle name="Warning Text 31" xfId="17822" xr:uid="{FB8994FB-006B-40CF-837C-8FF010D13E9A}"/>
    <cellStyle name="Warning Text 31 10" xfId="17823" xr:uid="{25641884-915A-4E95-9E15-68BCFC5D7072}"/>
    <cellStyle name="Warning Text 31 2" xfId="17824" xr:uid="{F7649922-08B2-453E-9613-EE0B3540F7A1}"/>
    <cellStyle name="Warning Text 31 3" xfId="17825" xr:uid="{9BAE2669-EBF6-4D87-BB14-BFA9E6BD7164}"/>
    <cellStyle name="Warning Text 31 4" xfId="17826" xr:uid="{8193CA2A-4D29-48E9-B33A-A243697FD52D}"/>
    <cellStyle name="Warning Text 31 5" xfId="17827" xr:uid="{4EA778E1-99E0-47C8-A95E-9140918E5876}"/>
    <cellStyle name="Warning Text 31 6" xfId="17828" xr:uid="{9DBC41D4-7373-4B1C-A030-9D97979ACC14}"/>
    <cellStyle name="Warning Text 31 7" xfId="17829" xr:uid="{0277CFD7-556E-402B-A188-9C12DA39B121}"/>
    <cellStyle name="Warning Text 31 8" xfId="17830" xr:uid="{D2222BA0-2A6F-4BFF-A0DF-25AF91657DD6}"/>
    <cellStyle name="Warning Text 31 9" xfId="17831" xr:uid="{90D0E57E-2F88-41E3-A69E-8457966A314A}"/>
    <cellStyle name="Warning Text 32" xfId="17832" xr:uid="{D120CB35-BAF8-4385-A81F-A610169E0E3B}"/>
    <cellStyle name="Warning Text 32 10" xfId="17833" xr:uid="{9FE0B9D1-5686-48DA-AE4B-337CFF1A7404}"/>
    <cellStyle name="Warning Text 32 2" xfId="17834" xr:uid="{BCE6ABB2-03C1-4E40-95CC-0AA68E8562AB}"/>
    <cellStyle name="Warning Text 32 3" xfId="17835" xr:uid="{A2CC3FA9-E66B-4BC9-8D9D-FD72E323B14B}"/>
    <cellStyle name="Warning Text 32 4" xfId="17836" xr:uid="{04B279B7-1254-4A6A-933C-7CBDF458A14A}"/>
    <cellStyle name="Warning Text 32 5" xfId="17837" xr:uid="{78BD99E9-536B-4BF6-A500-80E3AC1DCB80}"/>
    <cellStyle name="Warning Text 32 6" xfId="17838" xr:uid="{A0A0908A-98F4-42D9-91D3-279867260CAA}"/>
    <cellStyle name="Warning Text 32 7" xfId="17839" xr:uid="{9549EB7B-6340-4EA8-8F90-340B2716A767}"/>
    <cellStyle name="Warning Text 32 8" xfId="17840" xr:uid="{8F69975E-9DCC-47B6-91F1-51637B40801D}"/>
    <cellStyle name="Warning Text 32 9" xfId="17841" xr:uid="{19C941E7-45A5-4F58-807E-4196469B77A6}"/>
    <cellStyle name="Warning Text 33" xfId="17842" xr:uid="{B8DC40A5-9372-44D0-A0B4-304A12B57611}"/>
    <cellStyle name="Warning Text 33 10" xfId="17843" xr:uid="{71672BA1-083D-4D90-8C06-CDE89A9C6E06}"/>
    <cellStyle name="Warning Text 33 2" xfId="17844" xr:uid="{0190A187-482E-4F75-A5B7-2E8F8EED4FB9}"/>
    <cellStyle name="Warning Text 33 3" xfId="17845" xr:uid="{D277FC81-A8F1-452B-B01F-B3E0C40BB893}"/>
    <cellStyle name="Warning Text 33 4" xfId="17846" xr:uid="{1FAE597C-21D3-4AE5-8E71-3D3A392609EA}"/>
    <cellStyle name="Warning Text 33 5" xfId="17847" xr:uid="{2D5A8E94-908B-4C74-BD35-9B2D4CF12EED}"/>
    <cellStyle name="Warning Text 33 6" xfId="17848" xr:uid="{C5BC12E2-0B5E-4380-A325-839836BE52F2}"/>
    <cellStyle name="Warning Text 33 7" xfId="17849" xr:uid="{B2683574-5950-47F0-A5FF-09C0DBA2CB0B}"/>
    <cellStyle name="Warning Text 33 8" xfId="17850" xr:uid="{B0EBB8D7-E31C-4DC4-9F0B-1FDC2AA2DE52}"/>
    <cellStyle name="Warning Text 33 9" xfId="17851" xr:uid="{03046352-8427-4144-B05F-FC4DD6C7CC86}"/>
    <cellStyle name="Warning Text 34" xfId="17852" xr:uid="{C225651F-A02A-417B-894A-20EDF81D1702}"/>
    <cellStyle name="Warning Text 34 10" xfId="17853" xr:uid="{62B9564F-F383-4C7A-A283-59ECED45EFC8}"/>
    <cellStyle name="Warning Text 34 2" xfId="17854" xr:uid="{6682C83C-55FD-464E-8D6F-84E9795CA152}"/>
    <cellStyle name="Warning Text 34 3" xfId="17855" xr:uid="{E8B279EF-0810-40F1-9D66-E3F1481F3F12}"/>
    <cellStyle name="Warning Text 34 4" xfId="17856" xr:uid="{0570FCA8-D2B7-4638-973E-FD1C530DD72E}"/>
    <cellStyle name="Warning Text 34 5" xfId="17857" xr:uid="{686FF4C1-0FC1-461D-914D-53CA5B8CAA10}"/>
    <cellStyle name="Warning Text 34 6" xfId="17858" xr:uid="{9315210B-ADB3-45E8-8331-EF3DDE208F09}"/>
    <cellStyle name="Warning Text 34 7" xfId="17859" xr:uid="{96EC3FDC-91CE-4E26-9995-4F35FC0FAE5F}"/>
    <cellStyle name="Warning Text 34 8" xfId="17860" xr:uid="{2D0D617C-5277-4E8A-81C5-86DB47672C26}"/>
    <cellStyle name="Warning Text 34 9" xfId="17861" xr:uid="{B11B91AC-8C83-41CA-B65D-8C9F5A022219}"/>
    <cellStyle name="Warning Text 35" xfId="17862" xr:uid="{8270B473-FEFC-4C37-B24A-8255E1EAA3D2}"/>
    <cellStyle name="Warning Text 35 10" xfId="17863" xr:uid="{3A50EB56-35DD-496B-BEC5-B0AF45B927CF}"/>
    <cellStyle name="Warning Text 35 2" xfId="17864" xr:uid="{369CB1BB-89BA-471A-B66E-FD434DE132D0}"/>
    <cellStyle name="Warning Text 35 3" xfId="17865" xr:uid="{ECEC52EB-E541-407F-BED5-FB82766E8B6C}"/>
    <cellStyle name="Warning Text 35 4" xfId="17866" xr:uid="{5DFC97F3-30D9-4EA3-9561-E2E4089F2BBF}"/>
    <cellStyle name="Warning Text 35 5" xfId="17867" xr:uid="{D1F74737-261F-4C8A-92BF-ED20709C3E73}"/>
    <cellStyle name="Warning Text 35 6" xfId="17868" xr:uid="{BC2C99EB-0268-4862-88CC-3A5A4511CD8C}"/>
    <cellStyle name="Warning Text 35 7" xfId="17869" xr:uid="{82D311EE-6D5C-41BF-80C8-08C99F317551}"/>
    <cellStyle name="Warning Text 35 8" xfId="17870" xr:uid="{494D28C2-BC3F-42A6-939B-DCBFFCDA2661}"/>
    <cellStyle name="Warning Text 35 9" xfId="17871" xr:uid="{F7FCE350-2B8B-4998-AD69-862FB0AEBB3F}"/>
    <cellStyle name="Warning Text 36" xfId="17872" xr:uid="{67A94F03-C999-4FA6-B85D-9BE1D876B9F7}"/>
    <cellStyle name="Warning Text 36 10" xfId="17873" xr:uid="{E40F9679-F418-4245-A657-FE39262F39B8}"/>
    <cellStyle name="Warning Text 36 2" xfId="17874" xr:uid="{A2E70B34-5587-4B58-99EE-AB8BE4B099D8}"/>
    <cellStyle name="Warning Text 36 3" xfId="17875" xr:uid="{136FEC54-6C0B-49EA-A957-9DA202CDCA03}"/>
    <cellStyle name="Warning Text 36 4" xfId="17876" xr:uid="{2F3C4789-4EC1-48C9-B11B-E67D87E5B1BD}"/>
    <cellStyle name="Warning Text 36 5" xfId="17877" xr:uid="{E52DD061-B198-4BE6-8AE7-A6A5780A17D3}"/>
    <cellStyle name="Warning Text 36 6" xfId="17878" xr:uid="{1705E223-0C9D-4710-8A83-18E6E0BFE7A7}"/>
    <cellStyle name="Warning Text 36 7" xfId="17879" xr:uid="{BC3E8AF8-56A0-4685-A29B-112C12724A66}"/>
    <cellStyle name="Warning Text 36 8" xfId="17880" xr:uid="{3EEA5777-E722-48EF-8977-C58D315A254E}"/>
    <cellStyle name="Warning Text 36 9" xfId="17881" xr:uid="{8F37470A-A71B-4D19-8A3D-ABA1A995CA2C}"/>
    <cellStyle name="Warning Text 37" xfId="17882" xr:uid="{F04434D9-6139-4440-9A3A-30CCBE71CDF6}"/>
    <cellStyle name="Warning Text 37 10" xfId="17883" xr:uid="{C2D05991-55EA-4B44-86CA-29EAB462CC27}"/>
    <cellStyle name="Warning Text 37 2" xfId="17884" xr:uid="{3CBEFF5E-6E09-46D2-8CE8-95C395B322F6}"/>
    <cellStyle name="Warning Text 37 3" xfId="17885" xr:uid="{0E983294-A284-497B-BBE4-0216517C3E75}"/>
    <cellStyle name="Warning Text 37 4" xfId="17886" xr:uid="{1BB4DDF5-16B2-4DAE-A261-6D44B76681B8}"/>
    <cellStyle name="Warning Text 37 5" xfId="17887" xr:uid="{403BAD18-5ADB-471F-89D0-860895D63E12}"/>
    <cellStyle name="Warning Text 37 6" xfId="17888" xr:uid="{010CB1CE-1389-4A08-96C7-48AC2E5C414C}"/>
    <cellStyle name="Warning Text 37 7" xfId="17889" xr:uid="{8C00F530-73AE-4F83-BDDB-AE7673CAFB51}"/>
    <cellStyle name="Warning Text 37 8" xfId="17890" xr:uid="{5EDA0C27-FD19-43D4-8B01-40B32CC95138}"/>
    <cellStyle name="Warning Text 37 9" xfId="17891" xr:uid="{A09E5C27-E21D-4A30-A748-6CFB0F1C5F64}"/>
    <cellStyle name="Warning Text 38" xfId="17892" xr:uid="{DF7B68A5-ACB6-4F8D-AACA-4BD8943D73A9}"/>
    <cellStyle name="Warning Text 38 10" xfId="17893" xr:uid="{A77A4A33-8D40-4993-9BB7-E92AC87D17E0}"/>
    <cellStyle name="Warning Text 38 2" xfId="17894" xr:uid="{492B3782-0CA9-44F9-916F-465B16073C02}"/>
    <cellStyle name="Warning Text 38 3" xfId="17895" xr:uid="{1EAC9850-AB30-4969-B88A-89B6DFB821C4}"/>
    <cellStyle name="Warning Text 38 4" xfId="17896" xr:uid="{581FC2C4-B3FD-4117-8F3F-B51CF66771A3}"/>
    <cellStyle name="Warning Text 38 5" xfId="17897" xr:uid="{D611D12A-429A-4A06-8511-EA9209CA1258}"/>
    <cellStyle name="Warning Text 38 6" xfId="17898" xr:uid="{247A7827-A9AC-4825-B442-39824B867838}"/>
    <cellStyle name="Warning Text 38 7" xfId="17899" xr:uid="{28D74190-737B-454A-BA21-C958D5A7B72F}"/>
    <cellStyle name="Warning Text 38 8" xfId="17900" xr:uid="{B323F81D-C047-40B7-8812-5DDAC678B861}"/>
    <cellStyle name="Warning Text 38 9" xfId="17901" xr:uid="{7D03D3E9-1E88-4782-83D6-6CB3ED95503D}"/>
    <cellStyle name="Warning Text 39" xfId="17902" xr:uid="{AB82B279-B6CA-4E3F-A3F8-38C348597191}"/>
    <cellStyle name="Warning Text 39 10" xfId="17903" xr:uid="{C287EEC1-87DE-4619-9116-861C04DE281B}"/>
    <cellStyle name="Warning Text 39 2" xfId="17904" xr:uid="{9E1BB649-5079-4358-A5A4-8E373D4ADD60}"/>
    <cellStyle name="Warning Text 39 3" xfId="17905" xr:uid="{9CEB0DDC-EC89-4BBF-B0E0-958281A7C017}"/>
    <cellStyle name="Warning Text 39 4" xfId="17906" xr:uid="{0B97373B-F1DC-4235-9825-710CA13FC37E}"/>
    <cellStyle name="Warning Text 39 5" xfId="17907" xr:uid="{4A07C7AF-40EF-4CBF-9BFB-19D4E807F30C}"/>
    <cellStyle name="Warning Text 39 6" xfId="17908" xr:uid="{9C880595-2DA0-4BA9-9914-FF4BC8C49E55}"/>
    <cellStyle name="Warning Text 39 7" xfId="17909" xr:uid="{3B93FD0D-50BC-407C-877F-3C63ADB0616E}"/>
    <cellStyle name="Warning Text 39 8" xfId="17910" xr:uid="{83DF14CC-6057-41A0-B84C-1DC191EAFF8F}"/>
    <cellStyle name="Warning Text 39 9" xfId="17911" xr:uid="{0EEE01C0-C984-4ADC-91C2-0B76F0D08CB0}"/>
    <cellStyle name="Warning Text 4" xfId="17912" xr:uid="{54C09C8F-6BE3-4D9C-B464-BD0228AB0556}"/>
    <cellStyle name="Warning Text 4 10" xfId="17913" xr:uid="{604C95DF-F07D-4D23-8F52-625CF0670FB2}"/>
    <cellStyle name="Warning Text 4 11" xfId="17914" xr:uid="{E1CABCF4-E8E3-49BA-A733-FFF6123CFA15}"/>
    <cellStyle name="Warning Text 4 2" xfId="17915" xr:uid="{EE14887B-A73E-4A05-BB4F-E62F0D37C094}"/>
    <cellStyle name="Warning Text 4 2 2" xfId="17916" xr:uid="{F7AA5105-7061-46F5-B7D6-B29EF86985BA}"/>
    <cellStyle name="Warning Text 4 2 3" xfId="17917" xr:uid="{6CF6C2FC-44A6-4C4C-AACE-9448A6BF959F}"/>
    <cellStyle name="Warning Text 4 2 4" xfId="17918" xr:uid="{B86B584D-9052-4136-94CD-8306DE2C03ED}"/>
    <cellStyle name="Warning Text 4 2 5" xfId="17919" xr:uid="{665204B5-2D9C-4C14-9BA5-73DE35D11507}"/>
    <cellStyle name="Warning Text 4 3" xfId="17920" xr:uid="{70BFC1FC-4D92-40BD-A8B2-7C8084CEBE3F}"/>
    <cellStyle name="Warning Text 4 4" xfId="17921" xr:uid="{306646AA-9A1C-4968-9A84-873008EDE67B}"/>
    <cellStyle name="Warning Text 4 5" xfId="17922" xr:uid="{E1C7DB25-1F36-4188-B6F9-8825F92023A0}"/>
    <cellStyle name="Warning Text 4 6" xfId="17923" xr:uid="{18B34451-E6B6-4C85-A1C9-7FF689380763}"/>
    <cellStyle name="Warning Text 4 7" xfId="17924" xr:uid="{70D9457C-53F1-4DE3-9E66-7F9760320CA8}"/>
    <cellStyle name="Warning Text 4 8" xfId="17925" xr:uid="{6336D024-5BAA-4B12-89C0-2A00B5F858D1}"/>
    <cellStyle name="Warning Text 4 9" xfId="17926" xr:uid="{481C2D71-D273-4E2D-91D2-73C0F6A36982}"/>
    <cellStyle name="Warning Text 40" xfId="17927" xr:uid="{5A59E75D-0C27-4588-A942-FECD9AD4C1AC}"/>
    <cellStyle name="Warning Text 40 10" xfId="17928" xr:uid="{2875A657-893D-4969-8B49-1F8380C1AA03}"/>
    <cellStyle name="Warning Text 40 2" xfId="17929" xr:uid="{0C07F885-B415-4448-ACCF-940C603DC0FA}"/>
    <cellStyle name="Warning Text 40 3" xfId="17930" xr:uid="{5A2340DD-FC68-4EAC-99DF-15098E547310}"/>
    <cellStyle name="Warning Text 40 4" xfId="17931" xr:uid="{0851E05D-58D8-4749-A6DE-BF8EA850DD82}"/>
    <cellStyle name="Warning Text 40 5" xfId="17932" xr:uid="{6A0B2608-B7DC-49F9-87D3-C0F36EFAD722}"/>
    <cellStyle name="Warning Text 40 6" xfId="17933" xr:uid="{02038E0D-A1F6-4556-AB7C-E4CF149C43EC}"/>
    <cellStyle name="Warning Text 40 7" xfId="17934" xr:uid="{B1F27DC9-3868-4B1F-A3CF-ED0411DC4EF8}"/>
    <cellStyle name="Warning Text 40 8" xfId="17935" xr:uid="{67FC76AC-D2B8-4F56-9EB8-B97D0FEF6E55}"/>
    <cellStyle name="Warning Text 40 9" xfId="17936" xr:uid="{D0784605-912E-4943-94F1-48E62F84D1D7}"/>
    <cellStyle name="Warning Text 41" xfId="17937" xr:uid="{3A37AE61-DAF2-4BA3-B3A0-E5ECAE80A3DF}"/>
    <cellStyle name="Warning Text 41 10" xfId="17938" xr:uid="{E2C53956-96A7-4E04-BBCB-89353B05A854}"/>
    <cellStyle name="Warning Text 41 2" xfId="17939" xr:uid="{A451A197-6277-4C26-8AC0-D46B4FF85BE5}"/>
    <cellStyle name="Warning Text 41 3" xfId="17940" xr:uid="{BAE3DB53-EA79-42F8-BC0F-3E405A311094}"/>
    <cellStyle name="Warning Text 41 4" xfId="17941" xr:uid="{6BEE64D6-E7B0-4190-858F-AB57C487C958}"/>
    <cellStyle name="Warning Text 41 5" xfId="17942" xr:uid="{FF421C4A-C986-4CAD-B6C4-A3E7C6AC2D52}"/>
    <cellStyle name="Warning Text 41 6" xfId="17943" xr:uid="{E47B589D-D8BF-4B87-9345-46FF4910A48D}"/>
    <cellStyle name="Warning Text 41 7" xfId="17944" xr:uid="{D5508545-DE38-451C-B889-B742D129F41C}"/>
    <cellStyle name="Warning Text 41 8" xfId="17945" xr:uid="{57C9F0C3-B51B-45DC-BF39-5B9D9895EEA0}"/>
    <cellStyle name="Warning Text 41 9" xfId="17946" xr:uid="{5BED6C12-7FD3-4E29-BC97-E56B09FE17CF}"/>
    <cellStyle name="Warning Text 5" xfId="17947" xr:uid="{0541F0C5-167C-43DB-84B0-0D5FAA5B3129}"/>
    <cellStyle name="Warning Text 5 10" xfId="17948" xr:uid="{B2531F26-184C-439A-B9A7-70A864DFEE1A}"/>
    <cellStyle name="Warning Text 5 11" xfId="17949" xr:uid="{A9FBC2F6-4978-48E4-930B-A405C7DD3AE6}"/>
    <cellStyle name="Warning Text 5 2" xfId="17950" xr:uid="{79043AF2-AEA3-47F9-BDED-CF85C0E3ED86}"/>
    <cellStyle name="Warning Text 5 2 2" xfId="17951" xr:uid="{0C851BCE-C582-44CC-BA76-0A5486706BDD}"/>
    <cellStyle name="Warning Text 5 2 3" xfId="17952" xr:uid="{C6D408E3-10E8-457D-B8D3-8720D27C5DBD}"/>
    <cellStyle name="Warning Text 5 2 4" xfId="17953" xr:uid="{E746F290-4ED1-46A8-A781-97CBC335DB12}"/>
    <cellStyle name="Warning Text 5 2 5" xfId="17954" xr:uid="{69A0EFFC-8B1A-4498-992D-EABF45616E45}"/>
    <cellStyle name="Warning Text 5 3" xfId="17955" xr:uid="{C1392D6B-BF9C-40A9-8D28-F939C475DCD6}"/>
    <cellStyle name="Warning Text 5 4" xfId="17956" xr:uid="{E7D32CD3-55FD-4BC1-820B-0D214D04C425}"/>
    <cellStyle name="Warning Text 5 5" xfId="17957" xr:uid="{2B994777-E47D-4890-8228-8566F38D11E9}"/>
    <cellStyle name="Warning Text 5 6" xfId="17958" xr:uid="{82CF53C9-8D97-4B08-8C7A-005EB8EF1D26}"/>
    <cellStyle name="Warning Text 5 7" xfId="17959" xr:uid="{B017E5AC-6E5B-4D0E-AE3E-4E0518F95357}"/>
    <cellStyle name="Warning Text 5 8" xfId="17960" xr:uid="{09187D76-EA9F-421B-87C7-0EF08572E2C9}"/>
    <cellStyle name="Warning Text 5 9" xfId="17961" xr:uid="{64BAAD8D-F24C-4A04-A469-76C891AC45FE}"/>
    <cellStyle name="Warning Text 6" xfId="17962" xr:uid="{F7B9B170-FBEC-41CC-B92E-970BA413D52B}"/>
    <cellStyle name="Warning Text 6 10" xfId="17963" xr:uid="{113C1BEC-6C90-40BD-BC97-9B6E37FDC05E}"/>
    <cellStyle name="Warning Text 6 11" xfId="17964" xr:uid="{AFF92740-5DCD-4CD0-A9BC-56C1870B068C}"/>
    <cellStyle name="Warning Text 6 2" xfId="17965" xr:uid="{2842814D-2BD0-40BF-801F-15AC2B72318C}"/>
    <cellStyle name="Warning Text 6 2 2" xfId="17966" xr:uid="{E4AE5CC8-B200-422E-B054-90B0C2CFFDEB}"/>
    <cellStyle name="Warning Text 6 2 3" xfId="17967" xr:uid="{209820B7-6920-4B39-9584-D8968E6884A4}"/>
    <cellStyle name="Warning Text 6 2 4" xfId="17968" xr:uid="{085D8C29-3409-4EBB-BAAB-4C1FC7F55F1D}"/>
    <cellStyle name="Warning Text 6 2 5" xfId="17969" xr:uid="{51483C9E-7C05-4C1B-BBC0-CF0DC328FE96}"/>
    <cellStyle name="Warning Text 6 3" xfId="17970" xr:uid="{8F492C6B-C5BF-433F-85FF-D0CCB9BCE39A}"/>
    <cellStyle name="Warning Text 6 4" xfId="17971" xr:uid="{4B4C9273-C5FB-43B4-BFE8-2D29B6B93D38}"/>
    <cellStyle name="Warning Text 6 5" xfId="17972" xr:uid="{82661DAC-8623-4732-8D3D-749A1EFF18E8}"/>
    <cellStyle name="Warning Text 6 6" xfId="17973" xr:uid="{E64F0B1D-9298-4F19-AF69-C3EA61D1EB24}"/>
    <cellStyle name="Warning Text 6 7" xfId="17974" xr:uid="{43C7AB8C-83D7-458A-8789-BE4BE079F369}"/>
    <cellStyle name="Warning Text 6 8" xfId="17975" xr:uid="{397F1B1D-789C-4BF4-A258-57E20A41919F}"/>
    <cellStyle name="Warning Text 6 9" xfId="17976" xr:uid="{C7D3EB0C-6565-4FAC-9C2B-36EF38B4A0AC}"/>
    <cellStyle name="Warning Text 7" xfId="17977" xr:uid="{5EBEA9CC-69C6-4A17-B15C-601A486F5FF5}"/>
    <cellStyle name="Warning Text 7 10" xfId="17978" xr:uid="{DBC0290F-B6F8-47DF-9EAA-21F14B0804C3}"/>
    <cellStyle name="Warning Text 7 2" xfId="17979" xr:uid="{175253B0-B5CD-42A2-A31E-47E374FBEF89}"/>
    <cellStyle name="Warning Text 7 3" xfId="17980" xr:uid="{02D36626-EE2F-464A-9245-D78FCF216917}"/>
    <cellStyle name="Warning Text 7 4" xfId="17981" xr:uid="{18DF8A28-621F-48D4-A34D-FC88CE924C1B}"/>
    <cellStyle name="Warning Text 7 5" xfId="17982" xr:uid="{9B0D723A-19D2-4DD6-BC41-D2A8A9B9A7C1}"/>
    <cellStyle name="Warning Text 7 6" xfId="17983" xr:uid="{4F7556DC-C0B7-462C-B93A-2EE74DB0B96F}"/>
    <cellStyle name="Warning Text 7 7" xfId="17984" xr:uid="{932F2B8F-11A6-40FE-A856-26F5760C8498}"/>
    <cellStyle name="Warning Text 7 8" xfId="17985" xr:uid="{D1D4EE38-3189-46E9-AFD7-CD4F747A94DF}"/>
    <cellStyle name="Warning Text 7 9" xfId="17986" xr:uid="{929F5AD7-2C06-4D8C-A2A1-4C2D09F0BC27}"/>
    <cellStyle name="Warning Text 8" xfId="17987" xr:uid="{F23D8FC4-2FA6-4898-98BD-5E45735BE5C2}"/>
    <cellStyle name="Warning Text 8 10" xfId="17988" xr:uid="{0B303DE2-04A8-4166-84A6-05C81D380B04}"/>
    <cellStyle name="Warning Text 8 2" xfId="17989" xr:uid="{896F5329-3616-456E-AC81-25FD8B91D175}"/>
    <cellStyle name="Warning Text 8 3" xfId="17990" xr:uid="{337F3257-16FA-4792-B91B-F8404A4A5A10}"/>
    <cellStyle name="Warning Text 8 4" xfId="17991" xr:uid="{720A2599-E107-40D4-97F3-E9623AF274C2}"/>
    <cellStyle name="Warning Text 8 5" xfId="17992" xr:uid="{68251B2B-C711-4BC1-A6D5-B54DA5E72D3F}"/>
    <cellStyle name="Warning Text 8 6" xfId="17993" xr:uid="{B03E59F6-6C8B-448C-B01E-F8B0897D3815}"/>
    <cellStyle name="Warning Text 8 7" xfId="17994" xr:uid="{20F0EA55-0757-4F6A-9CC1-84FEBEC81B8F}"/>
    <cellStyle name="Warning Text 8 8" xfId="17995" xr:uid="{EF85C744-D443-4511-B7B9-06ABEA5DF62A}"/>
    <cellStyle name="Warning Text 8 9" xfId="17996" xr:uid="{41B3E8D1-4FE9-4235-BC98-3481A141B3C8}"/>
    <cellStyle name="Warning Text 9" xfId="17997" xr:uid="{E2C18B6E-9630-4274-9891-D7D56A74B440}"/>
    <cellStyle name="Warning Text 9 10" xfId="17998" xr:uid="{59A9A29D-9C13-4C0E-92D6-F4565FA8A1F6}"/>
    <cellStyle name="Warning Text 9 2" xfId="17999" xr:uid="{938A2188-3329-450D-8907-632B492C88AC}"/>
    <cellStyle name="Warning Text 9 3" xfId="18000" xr:uid="{D3791E54-05CB-4514-B8F6-1C6F8E238630}"/>
    <cellStyle name="Warning Text 9 4" xfId="18001" xr:uid="{69743790-C120-4EFD-8AF2-967F44038AF2}"/>
    <cellStyle name="Warning Text 9 5" xfId="18002" xr:uid="{9095D051-2945-4703-BCA3-164DED675AD8}"/>
    <cellStyle name="Warning Text 9 6" xfId="18003" xr:uid="{7A0C2DFA-14D0-4B9A-9A5F-F6824DE507DE}"/>
    <cellStyle name="Warning Text 9 7" xfId="18004" xr:uid="{1E76885F-50EA-4778-808B-181BEDC68571}"/>
    <cellStyle name="Warning Text 9 8" xfId="18005" xr:uid="{49BFA471-71ED-4139-90F4-DB771B5EC47D}"/>
    <cellStyle name="Warning Text 9 9" xfId="18006" xr:uid="{34F60C3A-CD90-4F5B-910E-EFBBB3CA1263}"/>
    <cellStyle name="Zelle überprüfen" xfId="18007" xr:uid="{4A51E075-0401-40D7-81E0-09E069F1E744}"/>
    <cellStyle name="Zelle überprüfen 10" xfId="18008" xr:uid="{C43B024E-9355-43B0-B3D1-0700E025A777}"/>
    <cellStyle name="Zelle überprüfen 2" xfId="18009" xr:uid="{41CC7BDD-2801-4561-9339-828F16963884}"/>
    <cellStyle name="Zelle überprüfen 3" xfId="18010" xr:uid="{D767EA88-F8C5-4D8D-A2B3-54897C2B3139}"/>
    <cellStyle name="Zelle überprüfen 4" xfId="18011" xr:uid="{1EDC6E52-F6BC-478E-A1B0-893C2749286F}"/>
    <cellStyle name="Zelle überprüfen 5" xfId="18012" xr:uid="{6D0E8E41-87EE-4E21-80D3-B78860B6D5EF}"/>
    <cellStyle name="Zelle überprüfen 6" xfId="18013" xr:uid="{EBACC5B4-2EF4-4D79-B2FF-F04B55039666}"/>
    <cellStyle name="Zelle überprüfen 7" xfId="18014" xr:uid="{5BB87DF9-DDA7-42F6-BA4D-A8AC33061903}"/>
    <cellStyle name="Zelle überprüfen 8" xfId="18015" xr:uid="{B6FD0765-D5BB-4783-9360-1F6557E15872}"/>
    <cellStyle name="Zelle überprüfen 9" xfId="18016" xr:uid="{EB40209A-368B-4853-B5AB-AC6C514F6AC7}"/>
    <cellStyle name="Гиперссылка" xfId="18017" xr:uid="{6A0C68EB-D2D0-47B0-84F4-0C6AB14E62B1}"/>
    <cellStyle name="Гиперссылка 10" xfId="18018" xr:uid="{DFBBCFC7-5F35-41E7-8755-B493A581D885}"/>
    <cellStyle name="Гиперссылка 2" xfId="18019" xr:uid="{F27B9943-4BA0-4493-85F2-19A54EBCCC84}"/>
    <cellStyle name="Гиперссылка 3" xfId="18020" xr:uid="{8FE15A76-B404-4784-A47F-DEACEA80D6B5}"/>
    <cellStyle name="Гиперссылка 4" xfId="18021" xr:uid="{5216328A-7E6D-4DC7-8C1B-0D39CA700010}"/>
    <cellStyle name="Гиперссылка 5" xfId="18022" xr:uid="{D42DA07B-89EC-42CD-94FA-CA4E813BD64C}"/>
    <cellStyle name="Гиперссылка 6" xfId="18023" xr:uid="{16CD7930-6002-45BA-B35C-1FCC6747CF01}"/>
    <cellStyle name="Гиперссылка 7" xfId="18024" xr:uid="{F21B12C9-4ADF-4D6B-9AF3-C47F1F9CD701}"/>
    <cellStyle name="Гиперссылка 8" xfId="18025" xr:uid="{F200665B-BE3E-4E0B-B584-A4E44FA9F21B}"/>
    <cellStyle name="Гиперссылка 9" xfId="18026" xr:uid="{329AB302-BE8A-445C-8FA0-49E0F3163714}"/>
    <cellStyle name="Обычный_2++" xfId="18027" xr:uid="{95DDD267-EB32-49F1-8CCF-E6C5497B3BFD}"/>
    <cellStyle name="已访问的超链接" xfId="18028" xr:uid="{3D44458E-F993-4ABB-AE42-128E448E93E3}"/>
    <cellStyle name="已访问的超链接 10" xfId="18029" xr:uid="{F33B4D36-E329-465D-ADE3-C992FF15B7FF}"/>
    <cellStyle name="已访问的超链接 2" xfId="18030" xr:uid="{045E35B6-4921-4379-930E-9014372A6DB6}"/>
    <cellStyle name="已访问的超链接 3" xfId="18031" xr:uid="{4BC9F9E6-274D-4B9C-A117-080EF9F6CA49}"/>
    <cellStyle name="已访问的超链接 4" xfId="18032" xr:uid="{BCB4AFE6-8C28-479E-98C0-8D2C08A64274}"/>
    <cellStyle name="已访问的超链接 5" xfId="18033" xr:uid="{B6C44B86-BEC9-442A-AE86-ABB78D2DA821}"/>
    <cellStyle name="已访问的超链接 6" xfId="18034" xr:uid="{8C5CA28D-A87F-4B75-BDB6-E428ACAC9A62}"/>
    <cellStyle name="已访问的超链接 7" xfId="18035" xr:uid="{42F24480-3A6D-461F-AE1F-72A6DE9FC6CE}"/>
    <cellStyle name="已访问的超链接 8" xfId="18036" xr:uid="{93459AB2-16C7-4091-9544-880E5B8353A1}"/>
    <cellStyle name="已访问的超链接 9" xfId="18037" xr:uid="{47CFC3F5-CCFF-4B61-9CD2-5813068D5306}"/>
  </cellStyles>
  <dxfs count="0"/>
  <tableStyles count="0" defaultTableStyle="TableStyleMedium9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netl.doe.gov/projects/files/CostPerformanceRetrofittingNGCCforCarbonCapture_040119.pdf" TargetMode="External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D0AC3-C2F4-3A40-B22E-34DB1325DFD7}">
  <dimension ref="A1:A9"/>
  <sheetViews>
    <sheetView workbookViewId="0">
      <selection activeCell="A3" sqref="A3"/>
    </sheetView>
  </sheetViews>
  <sheetFormatPr defaultColWidth="11.44140625" defaultRowHeight="14.4"/>
  <sheetData>
    <row r="1" spans="1:1">
      <c r="A1" s="23" t="s">
        <v>143</v>
      </c>
    </row>
    <row r="2" spans="1:1">
      <c r="A2" s="36" t="s">
        <v>156</v>
      </c>
    </row>
    <row r="3" spans="1:1">
      <c r="A3" s="36"/>
    </row>
    <row r="4" spans="1:1">
      <c r="A4" s="23" t="s">
        <v>144</v>
      </c>
    </row>
    <row r="5" spans="1:1">
      <c r="A5" s="36" t="s">
        <v>147</v>
      </c>
    </row>
    <row r="6" spans="1:1">
      <c r="A6" s="36"/>
    </row>
    <row r="7" spans="1:1">
      <c r="A7" s="23" t="s">
        <v>145</v>
      </c>
    </row>
    <row r="8" spans="1:1">
      <c r="A8" s="36" t="s">
        <v>146</v>
      </c>
    </row>
    <row r="9" spans="1:1">
      <c r="A9" t="s">
        <v>148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ColWidth="9.109375" defaultRowHeight="14.4"/>
  <cols>
    <col min="1" max="1" width="9.6640625" style="36" bestFit="1" customWidth="1"/>
    <col min="2" max="16384" width="9.109375" style="36"/>
  </cols>
  <sheetData>
    <row r="1" spans="1:2">
      <c r="A1" s="36" t="s">
        <v>132</v>
      </c>
      <c r="B1" s="36" t="s">
        <v>133</v>
      </c>
    </row>
    <row r="2" spans="1:2">
      <c r="A2" s="37">
        <v>43598</v>
      </c>
      <c r="B2" s="36" t="s">
        <v>134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AH45"/>
  <sheetViews>
    <sheetView zoomScaleNormal="100" workbookViewId="0">
      <selection activeCell="E33" sqref="E33"/>
    </sheetView>
  </sheetViews>
  <sheetFormatPr defaultColWidth="8.88671875" defaultRowHeight="14.4"/>
  <cols>
    <col min="1" max="1" width="6.44140625" bestFit="1" customWidth="1"/>
    <col min="2" max="2" width="14.44140625" bestFit="1" customWidth="1"/>
    <col min="3" max="3" width="9.44140625" bestFit="1" customWidth="1"/>
    <col min="4" max="4" width="11" customWidth="1"/>
    <col min="5" max="5" width="7" bestFit="1" customWidth="1"/>
    <col min="6" max="6" width="8" bestFit="1" customWidth="1"/>
    <col min="7" max="7" width="8.88671875" bestFit="1" customWidth="1"/>
    <col min="8" max="8" width="6.88671875" bestFit="1" customWidth="1"/>
    <col min="9" max="9" width="5.44140625" bestFit="1" customWidth="1"/>
    <col min="10" max="13" width="5" bestFit="1" customWidth="1"/>
    <col min="14" max="14" width="5.44140625" bestFit="1" customWidth="1"/>
    <col min="15" max="15" width="5" bestFit="1" customWidth="1"/>
    <col min="16" max="16" width="8.44140625" bestFit="1" customWidth="1"/>
    <col min="17" max="17" width="15.44140625" bestFit="1" customWidth="1"/>
    <col min="18" max="18" width="29.44140625" bestFit="1" customWidth="1"/>
    <col min="19" max="19" width="10.33203125" bestFit="1" customWidth="1"/>
    <col min="20" max="20" width="7.88671875" bestFit="1" customWidth="1"/>
    <col min="21" max="26" width="5" bestFit="1" customWidth="1"/>
    <col min="27" max="27" width="14.44140625" bestFit="1" customWidth="1"/>
    <col min="28" max="28" width="17.6640625" bestFit="1" customWidth="1"/>
    <col min="29" max="29" width="5" bestFit="1" customWidth="1"/>
    <col min="30" max="30" width="5.44140625" bestFit="1" customWidth="1"/>
    <col min="31" max="34" width="5" bestFit="1" customWidth="1"/>
  </cols>
  <sheetData>
    <row r="2" spans="2:30">
      <c r="D2" s="27" t="s">
        <v>137</v>
      </c>
      <c r="E2" s="7"/>
      <c r="F2" s="7"/>
      <c r="G2" s="7"/>
      <c r="P2" s="9" t="s">
        <v>136</v>
      </c>
      <c r="Q2" s="9"/>
      <c r="R2" s="9"/>
      <c r="S2" s="9"/>
      <c r="T2" s="9"/>
      <c r="U2" s="9"/>
      <c r="V2" s="9"/>
    </row>
    <row r="3" spans="2:30">
      <c r="B3" t="s">
        <v>0</v>
      </c>
      <c r="C3" s="7" t="s">
        <v>1</v>
      </c>
      <c r="D3" s="7" t="s">
        <v>2</v>
      </c>
      <c r="E3" s="31">
        <v>2010</v>
      </c>
      <c r="F3" s="31">
        <v>2050</v>
      </c>
      <c r="G3" s="31" t="s">
        <v>78</v>
      </c>
      <c r="H3" t="s">
        <v>23</v>
      </c>
      <c r="I3" t="s">
        <v>18</v>
      </c>
      <c r="J3" t="s">
        <v>19</v>
      </c>
      <c r="K3" t="s">
        <v>17</v>
      </c>
      <c r="L3" t="s">
        <v>22</v>
      </c>
      <c r="P3" s="9" t="s">
        <v>5</v>
      </c>
      <c r="Q3" s="9" t="s">
        <v>0</v>
      </c>
      <c r="R3" s="9" t="s">
        <v>6</v>
      </c>
      <c r="S3" s="9" t="s">
        <v>7</v>
      </c>
      <c r="T3" s="9" t="s">
        <v>8</v>
      </c>
      <c r="U3" s="9" t="s">
        <v>9</v>
      </c>
      <c r="V3" s="9" t="s">
        <v>10</v>
      </c>
      <c r="W3" s="9" t="s">
        <v>11</v>
      </c>
      <c r="AC3" t="s">
        <v>129</v>
      </c>
      <c r="AD3" t="s">
        <v>130</v>
      </c>
    </row>
    <row r="4" spans="2:30">
      <c r="B4" s="12" t="s">
        <v>36</v>
      </c>
      <c r="C4" t="s">
        <v>3</v>
      </c>
      <c r="D4" t="s">
        <v>35</v>
      </c>
      <c r="E4" s="30">
        <v>0.38772727272727298</v>
      </c>
      <c r="F4" s="30">
        <v>0.39038901601830683</v>
      </c>
      <c r="G4" s="30">
        <v>2882.65777101602</v>
      </c>
      <c r="H4" s="8">
        <v>30.636104583740234</v>
      </c>
      <c r="I4" s="8">
        <f>N4/3.6*1.055</f>
        <v>1.2871267484294042</v>
      </c>
      <c r="J4" s="8">
        <v>0.85</v>
      </c>
      <c r="K4" s="1">
        <v>40</v>
      </c>
      <c r="L4">
        <v>30</v>
      </c>
      <c r="N4" s="28">
        <v>4.3920912742614746</v>
      </c>
      <c r="P4" s="9" t="s">
        <v>12</v>
      </c>
      <c r="Q4" s="9" t="str">
        <f>B4</f>
        <v>EN_COAPUL</v>
      </c>
      <c r="R4" s="9" t="s">
        <v>24</v>
      </c>
      <c r="S4" s="9" t="s">
        <v>16</v>
      </c>
      <c r="T4" s="9" t="s">
        <v>48</v>
      </c>
      <c r="U4" s="9" t="s">
        <v>14</v>
      </c>
      <c r="V4" s="9"/>
      <c r="W4" s="9" t="s">
        <v>15</v>
      </c>
      <c r="Z4">
        <v>1</v>
      </c>
      <c r="AA4" t="s">
        <v>123</v>
      </c>
      <c r="AB4" t="s">
        <v>118</v>
      </c>
      <c r="AC4">
        <f>MATCH(AB4,ovrcst!$A$4:$W$4,0)</f>
        <v>21</v>
      </c>
      <c r="AD4">
        <f>IFERROR(MATCH(AB4,heatrate!$K$4:$T$4,0),1)</f>
        <v>1</v>
      </c>
    </row>
    <row r="5" spans="2:30">
      <c r="B5" s="12" t="s">
        <v>37</v>
      </c>
      <c r="C5" t="s">
        <v>3</v>
      </c>
      <c r="D5" t="s">
        <v>35</v>
      </c>
      <c r="E5" s="30">
        <v>0.39218390804597703</v>
      </c>
      <c r="F5" s="30">
        <v>0.45798657718120866</v>
      </c>
      <c r="G5" s="30">
        <v>3718.0479451734268</v>
      </c>
      <c r="H5" s="8">
        <v>50.494167327880859</v>
      </c>
      <c r="I5" s="8">
        <f t="shared" ref="I5:I15" si="0">N5/3.6*1.055</f>
        <v>2.0792046507199604</v>
      </c>
      <c r="J5" s="8">
        <v>0.85</v>
      </c>
      <c r="K5" s="1">
        <v>40</v>
      </c>
      <c r="L5">
        <v>30</v>
      </c>
      <c r="N5" s="28">
        <v>7.0949163436889648</v>
      </c>
      <c r="P5" s="9"/>
      <c r="Q5" s="13" t="str">
        <f t="shared" ref="Q5:Q16" si="1">B5</f>
        <v>EN_COAIGCC</v>
      </c>
      <c r="R5" s="9" t="s">
        <v>21</v>
      </c>
      <c r="S5" s="9" t="s">
        <v>16</v>
      </c>
      <c r="T5" s="9" t="s">
        <v>48</v>
      </c>
      <c r="U5" s="9" t="s">
        <v>14</v>
      </c>
      <c r="V5" s="9"/>
      <c r="W5" s="9" t="s">
        <v>15</v>
      </c>
      <c r="Z5">
        <v>2</v>
      </c>
      <c r="AA5" t="s">
        <v>124</v>
      </c>
      <c r="AB5" t="s">
        <v>114</v>
      </c>
      <c r="AC5" s="12">
        <f>MATCH(AB5,ovrcst!$A$4:$W$4,0)</f>
        <v>17</v>
      </c>
      <c r="AD5" s="32">
        <f>IFERROR(MATCH(AB5,heatrate!$K$4:$T$4,0),1)</f>
        <v>1</v>
      </c>
    </row>
    <row r="6" spans="2:30">
      <c r="B6" s="12" t="s">
        <v>38</v>
      </c>
      <c r="C6" t="s">
        <v>3</v>
      </c>
      <c r="D6" t="s">
        <v>35</v>
      </c>
      <c r="E6" s="12"/>
      <c r="F6" s="12"/>
      <c r="G6" s="12"/>
      <c r="H6" s="8">
        <v>65.308937072753906</v>
      </c>
      <c r="I6" s="8">
        <f t="shared" si="0"/>
        <v>1.2819967614279852</v>
      </c>
      <c r="J6" s="8">
        <v>0.85</v>
      </c>
      <c r="K6" s="1">
        <v>40</v>
      </c>
      <c r="L6">
        <v>30</v>
      </c>
      <c r="N6" s="28">
        <v>4.3745861053466797</v>
      </c>
      <c r="P6" s="9"/>
      <c r="Q6" s="13" t="str">
        <f t="shared" si="1"/>
        <v>EN_ZCOAIGCC</v>
      </c>
      <c r="R6" s="9" t="s">
        <v>25</v>
      </c>
      <c r="S6" s="9" t="s">
        <v>16</v>
      </c>
      <c r="T6" s="9" t="s">
        <v>48</v>
      </c>
      <c r="U6" s="9" t="s">
        <v>14</v>
      </c>
      <c r="V6" s="9"/>
      <c r="W6" s="9" t="s">
        <v>15</v>
      </c>
      <c r="Z6">
        <v>3</v>
      </c>
      <c r="AA6" t="s">
        <v>125</v>
      </c>
      <c r="AB6" t="s">
        <v>115</v>
      </c>
      <c r="AC6" s="12">
        <f>MATCH(AB6,ovrcst!$A$4:$W$4,0)</f>
        <v>18</v>
      </c>
      <c r="AD6" s="32">
        <f>IFERROR(MATCH(AB6,heatrate!$K$4:$T$4,0),1)</f>
        <v>1</v>
      </c>
    </row>
    <row r="7" spans="2:30">
      <c r="B7" s="12" t="s">
        <v>39</v>
      </c>
      <c r="C7" t="s">
        <v>34</v>
      </c>
      <c r="D7" t="s">
        <v>35</v>
      </c>
      <c r="E7" s="12"/>
      <c r="F7" s="12"/>
      <c r="G7" s="12"/>
      <c r="H7" s="8">
        <v>31.23478889465332</v>
      </c>
      <c r="I7" s="8">
        <f t="shared" si="0"/>
        <v>1.9524926722049711</v>
      </c>
      <c r="J7" s="8">
        <v>0.87</v>
      </c>
      <c r="K7" s="1">
        <v>30</v>
      </c>
      <c r="L7">
        <v>30</v>
      </c>
      <c r="N7" s="28">
        <v>6.662534236907959</v>
      </c>
      <c r="P7" s="9"/>
      <c r="Q7" s="13" t="str">
        <f t="shared" si="1"/>
        <v>EN_ZGasCCAdv</v>
      </c>
      <c r="R7" s="9" t="s">
        <v>26</v>
      </c>
      <c r="S7" s="9" t="s">
        <v>13</v>
      </c>
      <c r="T7" s="9" t="s">
        <v>48</v>
      </c>
      <c r="U7" s="9" t="s">
        <v>14</v>
      </c>
      <c r="V7" s="9"/>
      <c r="W7" s="9" t="s">
        <v>15</v>
      </c>
      <c r="Z7">
        <v>4</v>
      </c>
      <c r="AA7" t="s">
        <v>36</v>
      </c>
      <c r="AB7" t="s">
        <v>99</v>
      </c>
      <c r="AC7" s="12">
        <f>MATCH(AB7,ovrcst!$A$4:$W$4,0)</f>
        <v>2</v>
      </c>
      <c r="AD7" s="32">
        <f>IFERROR(MATCH(AB7,heatrate!$K$4:$T$4,0),1)</f>
        <v>2</v>
      </c>
    </row>
    <row r="8" spans="2:30">
      <c r="B8" s="12" t="s">
        <v>40</v>
      </c>
      <c r="C8" t="s">
        <v>34</v>
      </c>
      <c r="D8" t="s">
        <v>35</v>
      </c>
      <c r="E8" s="12"/>
      <c r="F8" s="12"/>
      <c r="G8" s="12"/>
      <c r="H8" s="8">
        <v>15.101861000061035</v>
      </c>
      <c r="I8" s="8">
        <f t="shared" si="0"/>
        <v>0.94136211706532358</v>
      </c>
      <c r="J8" s="8">
        <v>0.87</v>
      </c>
      <c r="K8" s="1">
        <v>30</v>
      </c>
      <c r="L8">
        <v>30</v>
      </c>
      <c r="N8" s="28">
        <v>3.212230920791626</v>
      </c>
      <c r="P8" s="9"/>
      <c r="Q8" s="13" t="str">
        <f t="shared" si="1"/>
        <v>EN_GasCCAdv</v>
      </c>
      <c r="R8" s="9" t="s">
        <v>27</v>
      </c>
      <c r="S8" s="9" t="s">
        <v>13</v>
      </c>
      <c r="T8" s="9" t="s">
        <v>48</v>
      </c>
      <c r="U8" s="9" t="s">
        <v>14</v>
      </c>
      <c r="V8" s="9"/>
      <c r="W8" s="9" t="s">
        <v>15</v>
      </c>
      <c r="Z8">
        <v>5</v>
      </c>
      <c r="AA8" t="s">
        <v>37</v>
      </c>
      <c r="AB8" t="s">
        <v>99</v>
      </c>
      <c r="AC8" s="12">
        <f>MATCH(AB8,ovrcst!$A$4:$W$4,0)</f>
        <v>2</v>
      </c>
      <c r="AD8" s="32">
        <f>IFERROR(MATCH(AB8,heatrate!$K$4:$T$4,0),1)</f>
        <v>2</v>
      </c>
    </row>
    <row r="9" spans="2:30">
      <c r="B9" s="12" t="s">
        <v>41</v>
      </c>
      <c r="C9" t="s">
        <v>34</v>
      </c>
      <c r="D9" t="s">
        <v>35</v>
      </c>
      <c r="E9" s="12"/>
      <c r="F9" s="12"/>
      <c r="G9" s="12"/>
      <c r="H9" s="8">
        <v>12.93995189666748</v>
      </c>
      <c r="I9" s="8">
        <f t="shared" si="0"/>
        <v>1.0367807696262994</v>
      </c>
      <c r="J9" s="8">
        <v>0.87</v>
      </c>
      <c r="K9" s="1">
        <v>30</v>
      </c>
      <c r="L9">
        <v>30</v>
      </c>
      <c r="N9" s="28">
        <v>3.537830114364624</v>
      </c>
      <c r="P9" s="9"/>
      <c r="Q9" s="13" t="str">
        <f t="shared" si="1"/>
        <v>EN_GasCC</v>
      </c>
      <c r="R9" s="9" t="s">
        <v>28</v>
      </c>
      <c r="S9" s="9" t="s">
        <v>13</v>
      </c>
      <c r="T9" s="9" t="s">
        <v>48</v>
      </c>
      <c r="U9" s="9" t="s">
        <v>14</v>
      </c>
      <c r="V9" s="9"/>
      <c r="W9" s="9" t="s">
        <v>15</v>
      </c>
      <c r="Z9">
        <v>6</v>
      </c>
      <c r="AA9" t="s">
        <v>38</v>
      </c>
      <c r="AB9" t="s">
        <v>100</v>
      </c>
      <c r="AC9" s="12">
        <f>MATCH(AB9,ovrcst!$A$4:$W$4,0)</f>
        <v>3</v>
      </c>
      <c r="AD9" s="32">
        <f>IFERROR(MATCH(AB9,heatrate!$K$4:$T$4,0),1)</f>
        <v>3</v>
      </c>
    </row>
    <row r="10" spans="2:30">
      <c r="B10" s="12" t="s">
        <v>42</v>
      </c>
      <c r="C10" t="s">
        <v>34</v>
      </c>
      <c r="D10" t="s">
        <v>35</v>
      </c>
      <c r="E10" s="12"/>
      <c r="F10" s="12"/>
      <c r="G10" s="12"/>
      <c r="H10" s="8">
        <v>6.9163618087768555</v>
      </c>
      <c r="I10" s="8">
        <f t="shared" si="0"/>
        <v>2.986195463604397</v>
      </c>
      <c r="J10" s="8">
        <v>0.06</v>
      </c>
      <c r="K10" s="1">
        <v>30</v>
      </c>
      <c r="L10">
        <v>30</v>
      </c>
      <c r="N10" s="28">
        <v>10.189861297607422</v>
      </c>
      <c r="P10" s="9"/>
      <c r="Q10" s="13" t="str">
        <f t="shared" si="1"/>
        <v>EN_GasCTAdv</v>
      </c>
      <c r="R10" s="9" t="s">
        <v>29</v>
      </c>
      <c r="S10" s="9" t="s">
        <v>13</v>
      </c>
      <c r="T10" s="9" t="s">
        <v>48</v>
      </c>
      <c r="U10" s="9" t="s">
        <v>14</v>
      </c>
      <c r="V10" s="9"/>
      <c r="W10" s="9" t="s">
        <v>15</v>
      </c>
      <c r="Z10">
        <v>7</v>
      </c>
      <c r="AA10" t="s">
        <v>39</v>
      </c>
      <c r="AB10" t="s">
        <v>106</v>
      </c>
      <c r="AC10" s="12">
        <f>MATCH(AB10,ovrcst!$A$4:$W$4,0)</f>
        <v>9</v>
      </c>
      <c r="AD10" s="32">
        <f>IFERROR(MATCH(AB10,heatrate!$K$4:$T$4,0),1)</f>
        <v>9</v>
      </c>
    </row>
    <row r="11" spans="2:30">
      <c r="B11" s="12" t="s">
        <v>43</v>
      </c>
      <c r="C11" t="s">
        <v>34</v>
      </c>
      <c r="D11" t="s">
        <v>35</v>
      </c>
      <c r="E11" s="12"/>
      <c r="F11" s="12"/>
      <c r="G11" s="12"/>
      <c r="H11" s="8">
        <v>7.2122020721435547</v>
      </c>
      <c r="I11" s="8">
        <f t="shared" si="0"/>
        <v>4.4487695561514951</v>
      </c>
      <c r="J11" s="8">
        <v>0.06</v>
      </c>
      <c r="K11" s="1">
        <v>30</v>
      </c>
      <c r="L11">
        <v>30</v>
      </c>
      <c r="N11" s="28">
        <v>15.180635452270508</v>
      </c>
      <c r="P11" s="9"/>
      <c r="Q11" s="13" t="str">
        <f t="shared" si="1"/>
        <v>EN_GasCT</v>
      </c>
      <c r="R11" s="9" t="s">
        <v>30</v>
      </c>
      <c r="S11" s="9" t="s">
        <v>13</v>
      </c>
      <c r="T11" s="9" t="s">
        <v>48</v>
      </c>
      <c r="U11" s="9" t="s">
        <v>14</v>
      </c>
      <c r="V11" s="9"/>
      <c r="W11" s="9" t="s">
        <v>15</v>
      </c>
      <c r="Z11">
        <v>8</v>
      </c>
      <c r="AA11" t="s">
        <v>40</v>
      </c>
      <c r="AB11" t="s">
        <v>105</v>
      </c>
      <c r="AC11" s="12">
        <f>MATCH(AB11,ovrcst!$A$4:$W$4,0)</f>
        <v>8</v>
      </c>
      <c r="AD11" s="32">
        <f>IFERROR(MATCH(AB11,heatrate!$K$4:$T$4,0),1)</f>
        <v>8</v>
      </c>
    </row>
    <row r="12" spans="2:30">
      <c r="B12" s="12" t="s">
        <v>44</v>
      </c>
      <c r="C12" t="s">
        <v>47</v>
      </c>
      <c r="D12" t="s">
        <v>35</v>
      </c>
      <c r="E12" s="34">
        <v>0.25274074074074077</v>
      </c>
      <c r="F12" s="34">
        <v>0.27801481481481488</v>
      </c>
      <c r="G12" s="12"/>
      <c r="H12" s="8">
        <v>103.78744506835938</v>
      </c>
      <c r="I12" s="8">
        <f t="shared" si="0"/>
        <v>1.5143873665067882</v>
      </c>
      <c r="J12" s="8">
        <v>0.83</v>
      </c>
      <c r="K12" s="1">
        <v>30</v>
      </c>
      <c r="L12">
        <v>30</v>
      </c>
      <c r="N12" s="28">
        <v>5.1675777435302734</v>
      </c>
      <c r="P12" s="9"/>
      <c r="Q12" s="13" t="str">
        <f t="shared" si="1"/>
        <v>EN_Biomass</v>
      </c>
      <c r="R12" s="9" t="s">
        <v>31</v>
      </c>
      <c r="S12" s="9" t="s">
        <v>16</v>
      </c>
      <c r="T12" s="9" t="s">
        <v>48</v>
      </c>
      <c r="U12" s="9" t="s">
        <v>14</v>
      </c>
      <c r="V12" s="9"/>
      <c r="W12" s="9" t="s">
        <v>15</v>
      </c>
      <c r="Z12">
        <v>9</v>
      </c>
      <c r="AA12" t="s">
        <v>41</v>
      </c>
      <c r="AB12" t="s">
        <v>104</v>
      </c>
      <c r="AC12" s="12">
        <f>MATCH(AB12,ovrcst!$A$4:$W$4,0)</f>
        <v>7</v>
      </c>
      <c r="AD12" s="32">
        <f>IFERROR(MATCH(AB12,heatrate!$K$4:$T$4,0),1)</f>
        <v>7</v>
      </c>
    </row>
    <row r="13" spans="2:30">
      <c r="B13" s="12" t="s">
        <v>45</v>
      </c>
      <c r="C13" t="s">
        <v>47</v>
      </c>
      <c r="D13" t="s">
        <v>35</v>
      </c>
      <c r="E13" s="12"/>
      <c r="F13" s="12"/>
      <c r="G13" s="12"/>
      <c r="H13" s="8">
        <v>103.78744506835938</v>
      </c>
      <c r="I13" s="8">
        <f t="shared" si="0"/>
        <v>1.5143873665067882</v>
      </c>
      <c r="J13" s="8">
        <v>0.83</v>
      </c>
      <c r="K13" s="1">
        <v>30</v>
      </c>
      <c r="L13">
        <v>30</v>
      </c>
      <c r="N13" s="28">
        <v>5.1675777435302734</v>
      </c>
      <c r="P13" s="9"/>
      <c r="Q13" s="13" t="str">
        <f t="shared" si="1"/>
        <v>EN_ZBiomass</v>
      </c>
      <c r="R13" s="9" t="s">
        <v>32</v>
      </c>
      <c r="S13" s="9" t="s">
        <v>16</v>
      </c>
      <c r="T13" s="9" t="s">
        <v>48</v>
      </c>
      <c r="U13" s="9" t="s">
        <v>14</v>
      </c>
      <c r="V13" s="9"/>
      <c r="W13" s="9" t="s">
        <v>15</v>
      </c>
      <c r="Z13">
        <v>10</v>
      </c>
      <c r="AA13" t="s">
        <v>42</v>
      </c>
      <c r="AB13" t="s">
        <v>103</v>
      </c>
      <c r="AC13" s="12">
        <f>MATCH(AB13,ovrcst!$A$4:$W$4,0)</f>
        <v>6</v>
      </c>
      <c r="AD13" s="32">
        <f>IFERROR(MATCH(AB13,heatrate!$K$4:$T$4,0),1)</f>
        <v>6</v>
      </c>
    </row>
    <row r="14" spans="2:30">
      <c r="B14" s="12" t="s">
        <v>46</v>
      </c>
      <c r="C14" t="s">
        <v>20</v>
      </c>
      <c r="D14" t="s">
        <v>35</v>
      </c>
      <c r="E14" s="12"/>
      <c r="F14" s="12"/>
      <c r="G14" s="12"/>
      <c r="H14" s="8">
        <v>15.101861000061035</v>
      </c>
      <c r="I14" s="8">
        <f t="shared" si="0"/>
        <v>0.94136211706532358</v>
      </c>
      <c r="J14" s="8">
        <v>0.3</v>
      </c>
      <c r="K14" s="1">
        <v>30</v>
      </c>
      <c r="L14">
        <v>30</v>
      </c>
      <c r="N14" s="28">
        <v>3.212230920791626</v>
      </c>
      <c r="P14" s="9"/>
      <c r="Q14" s="13" t="str">
        <f t="shared" si="1"/>
        <v>EN_OilCCAdv</v>
      </c>
      <c r="R14" s="9" t="s">
        <v>33</v>
      </c>
      <c r="S14" s="9" t="s">
        <v>13</v>
      </c>
      <c r="T14" s="9" t="s">
        <v>48</v>
      </c>
      <c r="U14" s="9" t="s">
        <v>14</v>
      </c>
      <c r="V14" s="9"/>
      <c r="W14" s="9" t="s">
        <v>15</v>
      </c>
      <c r="Z14">
        <v>11</v>
      </c>
      <c r="AA14" t="s">
        <v>43</v>
      </c>
      <c r="AB14" t="s">
        <v>102</v>
      </c>
      <c r="AC14" s="12">
        <f>MATCH(AB14,ovrcst!$A$4:$W$4,0)</f>
        <v>5</v>
      </c>
      <c r="AD14" s="32">
        <f>IFERROR(MATCH(AB14,heatrate!$K$4:$T$4,0),1)</f>
        <v>5</v>
      </c>
    </row>
    <row r="15" spans="2:30">
      <c r="B15" s="11" t="s">
        <v>50</v>
      </c>
      <c r="C15" t="s">
        <v>51</v>
      </c>
      <c r="D15" t="s">
        <v>35</v>
      </c>
      <c r="E15" s="12">
        <v>0.33</v>
      </c>
      <c r="F15" s="12"/>
      <c r="G15" s="12"/>
      <c r="H15" s="8">
        <f>H13</f>
        <v>103.78744506835938</v>
      </c>
      <c r="I15" s="8">
        <f t="shared" si="0"/>
        <v>1.5143873665067882</v>
      </c>
      <c r="J15" s="8">
        <f>J6</f>
        <v>0.85</v>
      </c>
      <c r="K15" s="1">
        <v>50</v>
      </c>
      <c r="L15">
        <v>30</v>
      </c>
      <c r="N15" s="28">
        <f>N13</f>
        <v>5.1675777435302734</v>
      </c>
      <c r="Q15" s="13" t="str">
        <f t="shared" si="1"/>
        <v>EN_NuclearAdv</v>
      </c>
      <c r="R15" s="11" t="s">
        <v>49</v>
      </c>
      <c r="S15" s="9" t="s">
        <v>16</v>
      </c>
      <c r="T15" s="9" t="s">
        <v>48</v>
      </c>
      <c r="U15" s="9" t="s">
        <v>14</v>
      </c>
      <c r="V15" s="9"/>
      <c r="W15" s="9" t="s">
        <v>15</v>
      </c>
      <c r="Z15">
        <v>12</v>
      </c>
      <c r="AA15" t="s">
        <v>44</v>
      </c>
      <c r="AB15" t="s">
        <v>109</v>
      </c>
      <c r="AC15" s="12">
        <f>MATCH(AB15,ovrcst!$A$4:$W$4,0)</f>
        <v>12</v>
      </c>
      <c r="AD15" s="32">
        <f>IFERROR(MATCH(AB15,heatrate!$K$4:$T$4,0),1)</f>
        <v>1</v>
      </c>
    </row>
    <row r="16" spans="2:30">
      <c r="B16" s="12" t="s">
        <v>90</v>
      </c>
      <c r="C16" t="s">
        <v>91</v>
      </c>
      <c r="D16" t="s">
        <v>35</v>
      </c>
      <c r="E16" s="32">
        <v>0.33</v>
      </c>
      <c r="F16" s="32"/>
      <c r="G16" s="32">
        <v>6999</v>
      </c>
      <c r="H16">
        <v>200</v>
      </c>
      <c r="I16">
        <v>2</v>
      </c>
      <c r="J16">
        <v>0.85</v>
      </c>
      <c r="K16">
        <v>50</v>
      </c>
      <c r="L16">
        <v>30</v>
      </c>
      <c r="P16" s="12"/>
      <c r="Q16" s="13" t="str">
        <f t="shared" si="1"/>
        <v>EN_GeoThermal</v>
      </c>
      <c r="R16" s="13" t="s">
        <v>92</v>
      </c>
      <c r="S16" s="13" t="s">
        <v>16</v>
      </c>
      <c r="T16" s="13" t="s">
        <v>48</v>
      </c>
      <c r="U16" s="13" t="s">
        <v>14</v>
      </c>
      <c r="V16" s="13"/>
      <c r="Z16">
        <v>13</v>
      </c>
      <c r="AA16" t="s">
        <v>45</v>
      </c>
      <c r="AB16" t="s">
        <v>100</v>
      </c>
      <c r="AC16" s="12">
        <f>MATCH(AB16,ovrcst!$A$4:$W$4,0)</f>
        <v>3</v>
      </c>
      <c r="AD16" s="32">
        <f>IFERROR(MATCH(AB16,heatrate!$K$4:$T$4,0),1)</f>
        <v>3</v>
      </c>
    </row>
    <row r="17" spans="2:34">
      <c r="E17" s="12"/>
      <c r="F17" s="12"/>
      <c r="G17" s="12"/>
      <c r="Z17">
        <v>14</v>
      </c>
      <c r="AA17" t="s">
        <v>46</v>
      </c>
      <c r="AB17" t="s">
        <v>103</v>
      </c>
      <c r="AC17" s="12">
        <f>MATCH(AB17,ovrcst!$A$4:$W$4,0)</f>
        <v>6</v>
      </c>
      <c r="AD17" s="32">
        <f>IFERROR(MATCH(AB17,heatrate!$K$4:$T$4,0),1)</f>
        <v>6</v>
      </c>
    </row>
    <row r="18" spans="2:34">
      <c r="E18" s="12"/>
      <c r="F18" s="12"/>
      <c r="G18" s="12"/>
      <c r="Z18">
        <v>15</v>
      </c>
      <c r="AA18" t="s">
        <v>126</v>
      </c>
      <c r="AB18" t="s">
        <v>112</v>
      </c>
      <c r="AC18" s="12">
        <f>MATCH(AB18,ovrcst!$A$4:$W$4,0)</f>
        <v>15</v>
      </c>
      <c r="AD18" s="32">
        <f>IFERROR(MATCH(AB18,heatrate!$K$4:$T$4,0),1)</f>
        <v>1</v>
      </c>
    </row>
    <row r="19" spans="2:34">
      <c r="E19" s="12"/>
      <c r="F19" s="12"/>
      <c r="G19" s="12"/>
      <c r="Z19">
        <v>16</v>
      </c>
      <c r="AA19" s="11" t="s">
        <v>50</v>
      </c>
      <c r="AB19" t="s">
        <v>108</v>
      </c>
      <c r="AC19" s="12">
        <f>MATCH(AB19,ovrcst!$A$4:$W$4,0)</f>
        <v>11</v>
      </c>
      <c r="AD19" s="32">
        <f>IFERROR(MATCH(AB19,heatrate!$K$4:$T$4,0),1)</f>
        <v>1</v>
      </c>
    </row>
    <row r="20" spans="2:34" s="26" customFormat="1">
      <c r="AA20" s="29"/>
    </row>
    <row r="21" spans="2:34">
      <c r="B21" t="s">
        <v>138</v>
      </c>
    </row>
    <row r="22" spans="2:34">
      <c r="B22" t="s">
        <v>0</v>
      </c>
      <c r="C22">
        <v>2019</v>
      </c>
      <c r="D22">
        <v>2020</v>
      </c>
      <c r="E22">
        <v>2021</v>
      </c>
      <c r="F22">
        <v>2022</v>
      </c>
      <c r="G22">
        <v>2023</v>
      </c>
      <c r="H22">
        <v>2024</v>
      </c>
      <c r="I22">
        <v>2025</v>
      </c>
      <c r="J22">
        <v>2026</v>
      </c>
      <c r="K22">
        <v>2027</v>
      </c>
      <c r="L22">
        <v>2028</v>
      </c>
      <c r="M22">
        <v>2029</v>
      </c>
      <c r="N22">
        <v>2030</v>
      </c>
      <c r="O22">
        <v>2031</v>
      </c>
      <c r="P22">
        <v>2032</v>
      </c>
      <c r="Q22">
        <v>2033</v>
      </c>
      <c r="R22">
        <v>2034</v>
      </c>
      <c r="S22">
        <v>2035</v>
      </c>
      <c r="T22">
        <v>2036</v>
      </c>
      <c r="U22">
        <v>2037</v>
      </c>
      <c r="V22">
        <v>2038</v>
      </c>
      <c r="W22">
        <v>2039</v>
      </c>
      <c r="X22">
        <v>2040</v>
      </c>
      <c r="Y22">
        <v>2041</v>
      </c>
      <c r="Z22">
        <v>2042</v>
      </c>
      <c r="AA22">
        <v>2043</v>
      </c>
      <c r="AB22">
        <v>2044</v>
      </c>
      <c r="AC22">
        <v>2045</v>
      </c>
      <c r="AD22">
        <v>2046</v>
      </c>
      <c r="AE22">
        <v>2047</v>
      </c>
      <c r="AF22">
        <v>2048</v>
      </c>
      <c r="AG22">
        <v>2049</v>
      </c>
      <c r="AH22">
        <v>2050</v>
      </c>
    </row>
    <row r="23" spans="2:34">
      <c r="B23" s="12" t="str">
        <f t="shared" ref="B23:B32" si="2">B6</f>
        <v>EN_ZCOAIGCC</v>
      </c>
      <c r="C23" s="5">
        <f>VLOOKUP(C$22,ovrcst!$A$5:$W$36,VLOOKUP('ELC_Gen-sdj'!$B23,'ELC_Gen-sdj'!$AA$4:$AC$19,3,FALSE))</f>
        <v>5715.7879928716911</v>
      </c>
      <c r="D23" s="5">
        <f>VLOOKUP(D$22,ovrcst!$A$5:$W$36,VLOOKUP('ELC_Gen-sdj'!$B23,'ELC_Gen-sdj'!$AA$4:$AC$19,3,FALSE))</f>
        <v>5651.6864103869648</v>
      </c>
      <c r="E23" s="5">
        <f>VLOOKUP(E$22,ovrcst!$A$5:$W$36,VLOOKUP('ELC_Gen-sdj'!$B23,'ELC_Gen-sdj'!$AA$4:$AC$19,3,FALSE))</f>
        <v>5513.4993360488797</v>
      </c>
      <c r="F23" s="5">
        <f>VLOOKUP(F$22,ovrcst!$A$5:$W$36,VLOOKUP('ELC_Gen-sdj'!$B23,'ELC_Gen-sdj'!$AA$4:$AC$19,3,FALSE))</f>
        <v>5427.627470468432</v>
      </c>
      <c r="G23" s="5">
        <f>VLOOKUP(G$22,ovrcst!$A$5:$W$36,VLOOKUP('ELC_Gen-sdj'!$B23,'ELC_Gen-sdj'!$AA$4:$AC$19,3,FALSE))</f>
        <v>5366.8807077393076</v>
      </c>
      <c r="H23" s="5">
        <f>VLOOKUP(H$22,ovrcst!$A$5:$W$36,VLOOKUP('ELC_Gen-sdj'!$B23,'ELC_Gen-sdj'!$AA$4:$AC$19,3,FALSE))</f>
        <v>5317.9441863543789</v>
      </c>
      <c r="I23" s="5">
        <f>VLOOKUP(I$22,ovrcst!$A$5:$W$36,VLOOKUP('ELC_Gen-sdj'!$B23,'ELC_Gen-sdj'!$AA$4:$AC$19,3,FALSE))</f>
        <v>5278.0965580448074</v>
      </c>
      <c r="J23" s="5">
        <f>VLOOKUP(J$22,ovrcst!$A$5:$W$36,VLOOKUP('ELC_Gen-sdj'!$B23,'ELC_Gen-sdj'!$AA$4:$AC$19,3,FALSE))</f>
        <v>5225.5754959266806</v>
      </c>
      <c r="K23" s="5">
        <f>VLOOKUP(K$22,ovrcst!$A$5:$W$36,VLOOKUP('ELC_Gen-sdj'!$B23,'ELC_Gen-sdj'!$AA$4:$AC$19,3,FALSE))</f>
        <v>5162.7493116089618</v>
      </c>
      <c r="L23" s="5">
        <f>VLOOKUP(L$22,ovrcst!$A$5:$W$36,VLOOKUP('ELC_Gen-sdj'!$B23,'ELC_Gen-sdj'!$AA$4:$AC$19,3,FALSE))</f>
        <v>5092.6073625254576</v>
      </c>
      <c r="M23" s="5">
        <f>VLOOKUP(M$22,ovrcst!$A$5:$W$36,VLOOKUP('ELC_Gen-sdj'!$B23,'ELC_Gen-sdj'!$AA$4:$AC$19,3,FALSE))</f>
        <v>5020.642065173116</v>
      </c>
      <c r="N23" s="5">
        <f>VLOOKUP(N$22,ovrcst!$A$5:$W$36,VLOOKUP('ELC_Gen-sdj'!$B23,'ELC_Gen-sdj'!$AA$4:$AC$19,3,FALSE))</f>
        <v>4957.238097759674</v>
      </c>
      <c r="O23" s="5">
        <f>VLOOKUP(O$22,ovrcst!$A$5:$W$36,VLOOKUP('ELC_Gen-sdj'!$B23,'ELC_Gen-sdj'!$AA$4:$AC$19,3,FALSE))</f>
        <v>4894.1573319755598</v>
      </c>
      <c r="P23" s="5">
        <f>VLOOKUP(P$22,ovrcst!$A$5:$W$36,VLOOKUP('ELC_Gen-sdj'!$B23,'ELC_Gen-sdj'!$AA$4:$AC$19,3,FALSE))</f>
        <v>4831.2734694501023</v>
      </c>
      <c r="Q23" s="5">
        <f>VLOOKUP(Q$22,ovrcst!$A$5:$W$36,VLOOKUP('ELC_Gen-sdj'!$B23,'ELC_Gen-sdj'!$AA$4:$AC$19,3,FALSE))</f>
        <v>4771.2183564154784</v>
      </c>
      <c r="R23" s="5">
        <f>VLOOKUP(R$22,ovrcst!$A$5:$W$36,VLOOKUP('ELC_Gen-sdj'!$B23,'ELC_Gen-sdj'!$AA$4:$AC$19,3,FALSE))</f>
        <v>4711.9339521384927</v>
      </c>
      <c r="S23" s="5">
        <f>VLOOKUP(S$22,ovrcst!$A$5:$W$36,VLOOKUP('ELC_Gen-sdj'!$B23,'ELC_Gen-sdj'!$AA$4:$AC$19,3,FALSE))</f>
        <v>4649.7412403258659</v>
      </c>
      <c r="T23" s="5">
        <f>VLOOKUP(T$22,ovrcst!$A$5:$W$36,VLOOKUP('ELC_Gen-sdj'!$B23,'ELC_Gen-sdj'!$AA$4:$AC$19,3,FALSE))</f>
        <v>4590.5418625254579</v>
      </c>
      <c r="U23" s="5">
        <f>VLOOKUP(U$22,ovrcst!$A$5:$W$36,VLOOKUP('ELC_Gen-sdj'!$B23,'ELC_Gen-sdj'!$AA$4:$AC$19,3,FALSE))</f>
        <v>4532.315069246436</v>
      </c>
      <c r="V23" s="5">
        <f>VLOOKUP(V$22,ovrcst!$A$5:$W$36,VLOOKUP('ELC_Gen-sdj'!$B23,'ELC_Gen-sdj'!$AA$4:$AC$19,3,FALSE))</f>
        <v>4476.1254338085537</v>
      </c>
      <c r="W23" s="5">
        <f>VLOOKUP(W$22,ovrcst!$A$5:$W$36,VLOOKUP('ELC_Gen-sdj'!$B23,'ELC_Gen-sdj'!$AA$4:$AC$19,3,FALSE))</f>
        <v>4419.474366598778</v>
      </c>
      <c r="X23" s="5">
        <f>VLOOKUP(X$22,ovrcst!$A$5:$W$36,VLOOKUP('ELC_Gen-sdj'!$B23,'ELC_Gen-sdj'!$AA$4:$AC$19,3,FALSE))</f>
        <v>4364.7306792260697</v>
      </c>
      <c r="Y23" s="5">
        <f>VLOOKUP(Y$22,ovrcst!$A$5:$W$36,VLOOKUP('ELC_Gen-sdj'!$B23,'ELC_Gen-sdj'!$AA$4:$AC$19,3,FALSE))</f>
        <v>4311.2981914460288</v>
      </c>
      <c r="Z23" s="5">
        <f>VLOOKUP(Z$22,ovrcst!$A$5:$W$36,VLOOKUP('ELC_Gen-sdj'!$B23,'ELC_Gen-sdj'!$AA$4:$AC$19,3,FALSE))</f>
        <v>4254.7545264765786</v>
      </c>
      <c r="AA23" s="5">
        <f>VLOOKUP(AA$22,ovrcst!$A$5:$W$36,VLOOKUP('ELC_Gen-sdj'!$B23,'ELC_Gen-sdj'!$AA$4:$AC$19,3,FALSE))</f>
        <v>4204.7201181262726</v>
      </c>
      <c r="AB23" s="5">
        <f>VLOOKUP(AB$22,ovrcst!$A$5:$W$36,VLOOKUP('ELC_Gen-sdj'!$B23,'ELC_Gen-sdj'!$AA$4:$AC$19,3,FALSE))</f>
        <v>4149.4130682281057</v>
      </c>
      <c r="AC23" s="5">
        <f>VLOOKUP(AC$22,ovrcst!$A$5:$W$36,VLOOKUP('ELC_Gen-sdj'!$B23,'ELC_Gen-sdj'!$AA$4:$AC$19,3,FALSE))</f>
        <v>4099.6024134419549</v>
      </c>
      <c r="AD23" s="5">
        <f>VLOOKUP(AD$22,ovrcst!$A$5:$W$36,VLOOKUP('ELC_Gen-sdj'!$B23,'ELC_Gen-sdj'!$AA$4:$AC$19,3,FALSE))</f>
        <v>4045.5374470468432</v>
      </c>
      <c r="AE23" s="5">
        <f>VLOOKUP(AE$22,ovrcst!$A$5:$W$36,VLOOKUP('ELC_Gen-sdj'!$B23,'ELC_Gen-sdj'!$AA$4:$AC$19,3,FALSE))</f>
        <v>3995.2867433808556</v>
      </c>
      <c r="AF23" s="5">
        <f>VLOOKUP(AF$22,ovrcst!$A$5:$W$36,VLOOKUP('ELC_Gen-sdj'!$B23,'ELC_Gen-sdj'!$AA$4:$AC$19,3,FALSE))</f>
        <v>3945.0531934826881</v>
      </c>
      <c r="AG23" s="5">
        <f>VLOOKUP(AG$22,ovrcst!$A$5:$W$36,VLOOKUP('ELC_Gen-sdj'!$B23,'ELC_Gen-sdj'!$AA$4:$AC$19,3,FALSE))</f>
        <v>3894.9128747454174</v>
      </c>
      <c r="AH23" s="5">
        <f>VLOOKUP(AH$22,ovrcst!$A$5:$W$36,VLOOKUP('ELC_Gen-sdj'!$B23,'ELC_Gen-sdj'!$AA$4:$AC$19,3,FALSE))</f>
        <v>3845.2213075356417</v>
      </c>
    </row>
    <row r="24" spans="2:34">
      <c r="B24" s="12" t="str">
        <f t="shared" si="2"/>
        <v>EN_ZGasCCAdv</v>
      </c>
      <c r="C24" s="5">
        <f>VLOOKUP(C$22,ovrcst!$A$5:$W$36,VLOOKUP('ELC_Gen-sdj'!$B24,'ELC_Gen-sdj'!$AA$4:$AC$19,3,FALSE))</f>
        <v>2204.7527264537057</v>
      </c>
      <c r="D24" s="5">
        <f>VLOOKUP(D$22,ovrcst!$A$5:$W$36,VLOOKUP('ELC_Gen-sdj'!$B24,'ELC_Gen-sdj'!$AA$4:$AC$19,3,FALSE))</f>
        <v>2176.3550779414863</v>
      </c>
      <c r="E24" s="5">
        <f>VLOOKUP(E$22,ovrcst!$A$5:$W$36,VLOOKUP('ELC_Gen-sdj'!$B24,'ELC_Gen-sdj'!$AA$4:$AC$19,3,FALSE))</f>
        <v>2119.527684065833</v>
      </c>
      <c r="F24" s="5">
        <f>VLOOKUP(F$22,ovrcst!$A$5:$W$36,VLOOKUP('ELC_Gen-sdj'!$B24,'ELC_Gen-sdj'!$AA$4:$AC$19,3,FALSE))</f>
        <v>2082.9271460250129</v>
      </c>
      <c r="G24" s="5">
        <f>VLOOKUP(G$22,ovrcst!$A$5:$W$36,VLOOKUP('ELC_Gen-sdj'!$B24,'ELC_Gen-sdj'!$AA$4:$AC$19,3,FALSE))</f>
        <v>2023.7324353742019</v>
      </c>
      <c r="H24" s="5">
        <f>VLOOKUP(H$22,ovrcst!$A$5:$W$36,VLOOKUP('ELC_Gen-sdj'!$B24,'ELC_Gen-sdj'!$AA$4:$AC$19,3,FALSE))</f>
        <v>1991.6680541404785</v>
      </c>
      <c r="I24" s="5">
        <f>VLOOKUP(I$22,ovrcst!$A$5:$W$36,VLOOKUP('ELC_Gen-sdj'!$B24,'ELC_Gen-sdj'!$AA$4:$AC$19,3,FALSE))</f>
        <v>1962.4599814015355</v>
      </c>
      <c r="J24" s="5">
        <f>VLOOKUP(J$22,ovrcst!$A$5:$W$36,VLOOKUP('ELC_Gen-sdj'!$B24,'ELC_Gen-sdj'!$AA$4:$AC$19,3,FALSE))</f>
        <v>1929.6563305345417</v>
      </c>
      <c r="K24" s="5">
        <f>VLOOKUP(K$22,ovrcst!$A$5:$W$36,VLOOKUP('ELC_Gen-sdj'!$B24,'ELC_Gen-sdj'!$AA$4:$AC$19,3,FALSE))</f>
        <v>1894.1682958045187</v>
      </c>
      <c r="L24" s="5">
        <f>VLOOKUP(L$22,ovrcst!$A$5:$W$36,VLOOKUP('ELC_Gen-sdj'!$B24,'ELC_Gen-sdj'!$AA$4:$AC$19,3,FALSE))</f>
        <v>1861.101622629034</v>
      </c>
      <c r="M24" s="5">
        <f>VLOOKUP(M$22,ovrcst!$A$5:$W$36,VLOOKUP('ELC_Gen-sdj'!$B24,'ELC_Gen-sdj'!$AA$4:$AC$19,3,FALSE))</f>
        <v>1827.5859589325796</v>
      </c>
      <c r="N24" s="5">
        <f>VLOOKUP(N$22,ovrcst!$A$5:$W$36,VLOOKUP('ELC_Gen-sdj'!$B24,'ELC_Gen-sdj'!$AA$4:$AC$19,3,FALSE))</f>
        <v>1799.7582499270172</v>
      </c>
      <c r="O24" s="5">
        <f>VLOOKUP(O$22,ovrcst!$A$5:$W$36,VLOOKUP('ELC_Gen-sdj'!$B24,'ELC_Gen-sdj'!$AA$4:$AC$19,3,FALSE))</f>
        <v>1772.7205513033425</v>
      </c>
      <c r="P24" s="5">
        <f>VLOOKUP(P$22,ovrcst!$A$5:$W$36,VLOOKUP('ELC_Gen-sdj'!$B24,'ELC_Gen-sdj'!$AA$4:$AC$19,3,FALSE))</f>
        <v>1744.3398946731445</v>
      </c>
      <c r="Q24" s="5">
        <f>VLOOKUP(Q$22,ovrcst!$A$5:$W$36,VLOOKUP('ELC_Gen-sdj'!$B24,'ELC_Gen-sdj'!$AA$4:$AC$19,3,FALSE))</f>
        <v>1718.3577062795916</v>
      </c>
      <c r="R24" s="5">
        <f>VLOOKUP(R$22,ovrcst!$A$5:$W$36,VLOOKUP('ELC_Gen-sdj'!$B24,'ELC_Gen-sdj'!$AA$4:$AC$19,3,FALSE))</f>
        <v>1691.7835125191639</v>
      </c>
      <c r="S24" s="5">
        <f>VLOOKUP(S$22,ovrcst!$A$5:$W$36,VLOOKUP('ELC_Gen-sdj'!$B24,'ELC_Gen-sdj'!$AA$4:$AC$19,3,FALSE))</f>
        <v>1665.4230155032312</v>
      </c>
      <c r="T24" s="5">
        <f>VLOOKUP(T$22,ovrcst!$A$5:$W$36,VLOOKUP('ELC_Gen-sdj'!$B24,'ELC_Gen-sdj'!$AA$4:$AC$19,3,FALSE))</f>
        <v>1639.504900946743</v>
      </c>
      <c r="U24" s="5">
        <f>VLOOKUP(U$22,ovrcst!$A$5:$W$36,VLOOKUP('ELC_Gen-sdj'!$B24,'ELC_Gen-sdj'!$AA$4:$AC$19,3,FALSE))</f>
        <v>1615.4570872329855</v>
      </c>
      <c r="V24" s="5">
        <f>VLOOKUP(V$22,ovrcst!$A$5:$W$36,VLOOKUP('ELC_Gen-sdj'!$B24,'ELC_Gen-sdj'!$AA$4:$AC$19,3,FALSE))</f>
        <v>1593.5526257281338</v>
      </c>
      <c r="W24" s="5">
        <f>VLOOKUP(W$22,ovrcst!$A$5:$W$36,VLOOKUP('ELC_Gen-sdj'!$B24,'ELC_Gen-sdj'!$AA$4:$AC$19,3,FALSE))</f>
        <v>1571.5137622837831</v>
      </c>
      <c r="X24" s="5">
        <f>VLOOKUP(X$22,ovrcst!$A$5:$W$36,VLOOKUP('ELC_Gen-sdj'!$B24,'ELC_Gen-sdj'!$AA$4:$AC$19,3,FALSE))</f>
        <v>1550.1819546560928</v>
      </c>
      <c r="Y24" s="5">
        <f>VLOOKUP(Y$22,ovrcst!$A$5:$W$36,VLOOKUP('ELC_Gen-sdj'!$B24,'ELC_Gen-sdj'!$AA$4:$AC$19,3,FALSE))</f>
        <v>1529.3439768621179</v>
      </c>
      <c r="Z24" s="5">
        <f>VLOOKUP(Z$22,ovrcst!$A$5:$W$36,VLOOKUP('ELC_Gen-sdj'!$B24,'ELC_Gen-sdj'!$AA$4:$AC$19,3,FALSE))</f>
        <v>1507.4316090765146</v>
      </c>
      <c r="AA24" s="5">
        <f>VLOOKUP(AA$22,ovrcst!$A$5:$W$36,VLOOKUP('ELC_Gen-sdj'!$B24,'ELC_Gen-sdj'!$AA$4:$AC$19,3,FALSE))</f>
        <v>1487.8542263174072</v>
      </c>
      <c r="AB24" s="5">
        <f>VLOOKUP(AB$22,ovrcst!$A$5:$W$36,VLOOKUP('ELC_Gen-sdj'!$B24,'ELC_Gen-sdj'!$AA$4:$AC$19,3,FALSE))</f>
        <v>1466.4389923962826</v>
      </c>
      <c r="AC24" s="5">
        <f>VLOOKUP(AC$22,ovrcst!$A$5:$W$36,VLOOKUP('ELC_Gen-sdj'!$B24,'ELC_Gen-sdj'!$AA$4:$AC$19,3,FALSE))</f>
        <v>1446.9943585946364</v>
      </c>
      <c r="AD24" s="5">
        <f>VLOOKUP(AD$22,ovrcst!$A$5:$W$36,VLOOKUP('ELC_Gen-sdj'!$B24,'ELC_Gen-sdj'!$AA$4:$AC$19,3,FALSE))</f>
        <v>1426.0769670969578</v>
      </c>
      <c r="AE24" s="5">
        <f>VLOOKUP(AE$22,ovrcst!$A$5:$W$36,VLOOKUP('ELC_Gen-sdj'!$B24,'ELC_Gen-sdj'!$AA$4:$AC$19,3,FALSE))</f>
        <v>1406.5328605095826</v>
      </c>
      <c r="AF24" s="5">
        <f>VLOOKUP(AF$22,ovrcst!$A$5:$W$36,VLOOKUP('ELC_Gen-sdj'!$B24,'ELC_Gen-sdj'!$AA$4:$AC$19,3,FALSE))</f>
        <v>1387.022382923439</v>
      </c>
      <c r="AG24" s="5">
        <f>VLOOKUP(AG$22,ovrcst!$A$5:$W$36,VLOOKUP('ELC_Gen-sdj'!$B24,'ELC_Gen-sdj'!$AA$4:$AC$19,3,FALSE))</f>
        <v>1367.572676110253</v>
      </c>
      <c r="AH24" s="5">
        <f>VLOOKUP(AH$22,ovrcst!$A$5:$W$36,VLOOKUP('ELC_Gen-sdj'!$B24,'ELC_Gen-sdj'!$AA$4:$AC$19,3,FALSE))</f>
        <v>1348.3088186108378</v>
      </c>
    </row>
    <row r="25" spans="2:34">
      <c r="B25" s="39" t="str">
        <f t="shared" si="2"/>
        <v>EN_GasCCAdv</v>
      </c>
      <c r="C25" s="40">
        <f>VLOOKUP(C$22,ovrcst!$A$5:$W$36,VLOOKUP('ELC_Gen-sdj'!$B25,'ELC_Gen-sdj'!$AA$4:$AC$19,3,FALSE))</f>
        <v>794.43951592145902</v>
      </c>
      <c r="D25" s="40">
        <f>VLOOKUP(D$22,ovrcst!$A$5:$W$36,VLOOKUP('ELC_Gen-sdj'!$B25,'ELC_Gen-sdj'!$AA$4:$AC$19,3,FALSE))</f>
        <v>786.43841465656715</v>
      </c>
      <c r="E25" s="40">
        <f>VLOOKUP(E$22,ovrcst!$A$5:$W$36,VLOOKUP('ELC_Gen-sdj'!$B25,'ELC_Gen-sdj'!$AA$4:$AC$19,3,FALSE))</f>
        <v>768.10346098690979</v>
      </c>
      <c r="F25" s="40">
        <f>VLOOKUP(F$22,ovrcst!$A$5:$W$36,VLOOKUP('ELC_Gen-sdj'!$B25,'ELC_Gen-sdj'!$AA$4:$AC$19,3,FALSE))</f>
        <v>757.02855199294015</v>
      </c>
      <c r="G25" s="40">
        <f>VLOOKUP(G$22,ovrcst!$A$5:$W$36,VLOOKUP('ELC_Gen-sdj'!$B25,'ELC_Gen-sdj'!$AA$4:$AC$19,3,FALSE))</f>
        <v>732.12888568171775</v>
      </c>
      <c r="H25" s="40">
        <f>VLOOKUP(H$22,ovrcst!$A$5:$W$36,VLOOKUP('ELC_Gen-sdj'!$B25,'ELC_Gen-sdj'!$AA$4:$AC$19,3,FALSE))</f>
        <v>720.96291458302687</v>
      </c>
      <c r="I25" s="40">
        <f>VLOOKUP(I$22,ovrcst!$A$5:$W$36,VLOOKUP('ELC_Gen-sdj'!$B25,'ELC_Gen-sdj'!$AA$4:$AC$19,3,FALSE))</f>
        <v>710.71389634505078</v>
      </c>
      <c r="J25" s="40">
        <f>VLOOKUP(J$22,ovrcst!$A$5:$W$36,VLOOKUP('ELC_Gen-sdj'!$B25,'ELC_Gen-sdj'!$AA$4:$AC$19,3,FALSE))</f>
        <v>699.33326132519483</v>
      </c>
      <c r="K25" s="40">
        <f>VLOOKUP(K$22,ovrcst!$A$5:$W$36,VLOOKUP('ELC_Gen-sdj'!$B25,'ELC_Gen-sdj'!$AA$4:$AC$19,3,FALSE))</f>
        <v>687.13795686865717</v>
      </c>
      <c r="L25" s="40">
        <f>VLOOKUP(L$22,ovrcst!$A$5:$W$36,VLOOKUP('ELC_Gen-sdj'!$B25,'ELC_Gen-sdj'!$AA$4:$AC$19,3,FALSE))</f>
        <v>676.65861983379909</v>
      </c>
      <c r="M25" s="40">
        <f>VLOOKUP(M$22,ovrcst!$A$5:$W$36,VLOOKUP('ELC_Gen-sdj'!$B25,'ELC_Gen-sdj'!$AA$4:$AC$19,3,FALSE))</f>
        <v>666.00142576114126</v>
      </c>
      <c r="N25" s="40">
        <f>VLOOKUP(N$22,ovrcst!$A$5:$W$36,VLOOKUP('ELC_Gen-sdj'!$B25,'ELC_Gen-sdj'!$AA$4:$AC$19,3,FALSE))</f>
        <v>657.80877518752743</v>
      </c>
      <c r="O25" s="40">
        <f>VLOOKUP(O$22,ovrcst!$A$5:$W$36,VLOOKUP('ELC_Gen-sdj'!$B25,'ELC_Gen-sdj'!$AA$4:$AC$19,3,FALSE))</f>
        <v>649.97504044712446</v>
      </c>
      <c r="P25" s="40">
        <f>VLOOKUP(P$22,ovrcst!$A$5:$W$36,VLOOKUP('ELC_Gen-sdj'!$B25,'ELC_Gen-sdj'!$AA$4:$AC$19,3,FALSE))</f>
        <v>641.36372168701268</v>
      </c>
      <c r="Q25" s="40">
        <f>VLOOKUP(Q$22,ovrcst!$A$5:$W$36,VLOOKUP('ELC_Gen-sdj'!$B25,'ELC_Gen-sdj'!$AA$4:$AC$19,3,FALSE))</f>
        <v>633.8220216208266</v>
      </c>
      <c r="R25" s="40">
        <f>VLOOKUP(R$22,ovrcst!$A$5:$W$36,VLOOKUP('ELC_Gen-sdj'!$B25,'ELC_Gen-sdj'!$AA$4:$AC$19,3,FALSE))</f>
        <v>625.87377279747011</v>
      </c>
      <c r="S25" s="5">
        <f>VLOOKUP(S$22,ovrcst!$A$5:$W$36,VLOOKUP('ELC_Gen-sdj'!$B25,'ELC_Gen-sdj'!$AA$4:$AC$19,3,FALSE))</f>
        <v>618.16891454625681</v>
      </c>
      <c r="T25" s="5">
        <f>VLOOKUP(T$22,ovrcst!$A$5:$W$36,VLOOKUP('ELC_Gen-sdj'!$B25,'ELC_Gen-sdj'!$AA$4:$AC$19,3,FALSE))</f>
        <v>610.47914950728045</v>
      </c>
      <c r="U25" s="5">
        <f>VLOOKUP(U$22,ovrcst!$A$5:$W$36,VLOOKUP('ELC_Gen-sdj'!$B25,'ELC_Gen-sdj'!$AA$4:$AC$19,3,FALSE))</f>
        <v>603.6915805633181</v>
      </c>
      <c r="V25" s="5">
        <f>VLOOKUP(V$22,ovrcst!$A$5:$W$36,VLOOKUP('ELC_Gen-sdj'!$B25,'ELC_Gen-sdj'!$AA$4:$AC$19,3,FALSE))</f>
        <v>597.89283626268559</v>
      </c>
      <c r="W25" s="5">
        <f>VLOOKUP(W$22,ovrcst!$A$5:$W$36,VLOOKUP('ELC_Gen-sdj'!$B25,'ELC_Gen-sdj'!$AA$4:$AC$19,3,FALSE))</f>
        <v>592.00617370201508</v>
      </c>
      <c r="X25" s="5">
        <f>VLOOKUP(X$22,ovrcst!$A$5:$W$36,VLOOKUP('ELC_Gen-sdj'!$B25,'ELC_Gen-sdj'!$AA$4:$AC$19,3,FALSE))</f>
        <v>586.3488748345344</v>
      </c>
      <c r="Y25" s="5">
        <f>VLOOKUP(Y$22,ovrcst!$A$5:$W$36,VLOOKUP('ELC_Gen-sdj'!$B25,'ELC_Gen-sdj'!$AA$4:$AC$19,3,FALSE))</f>
        <v>580.84255956758341</v>
      </c>
      <c r="Z25" s="5">
        <f>VLOOKUP(Z$22,ovrcst!$A$5:$W$36,VLOOKUP('ELC_Gen-sdj'!$B25,'ELC_Gen-sdj'!$AA$4:$AC$19,3,FALSE))</f>
        <v>574.89064384468304</v>
      </c>
      <c r="AA25" s="5">
        <f>VLOOKUP(AA$22,ovrcst!$A$5:$W$36,VLOOKUP('ELC_Gen-sdj'!$B25,'ELC_Gen-sdj'!$AA$4:$AC$19,3,FALSE))</f>
        <v>569.7928978526254</v>
      </c>
      <c r="AB25" s="5">
        <f>VLOOKUP(AB$22,ovrcst!$A$5:$W$36,VLOOKUP('ELC_Gen-sdj'!$B25,'ELC_Gen-sdj'!$AA$4:$AC$19,3,FALSE))</f>
        <v>563.95538406383287</v>
      </c>
      <c r="AC25" s="5">
        <f>VLOOKUP(AC$22,ovrcst!$A$5:$W$36,VLOOKUP('ELC_Gen-sdj'!$B25,'ELC_Gen-sdj'!$AA$4:$AC$19,3,FALSE))</f>
        <v>558.83923463009262</v>
      </c>
      <c r="AD25" s="5">
        <f>VLOOKUP(AD$22,ovrcst!$A$5:$W$36,VLOOKUP('ELC_Gen-sdj'!$B25,'ELC_Gen-sdj'!$AA$4:$AC$19,3,FALSE))</f>
        <v>553.11769377849669</v>
      </c>
      <c r="AE25" s="5">
        <f>VLOOKUP(AE$22,ovrcst!$A$5:$W$36,VLOOKUP('ELC_Gen-sdj'!$B25,'ELC_Gen-sdj'!$AA$4:$AC$19,3,FALSE))</f>
        <v>547.89168811589946</v>
      </c>
      <c r="AF25" s="5">
        <f>VLOOKUP(AF$22,ovrcst!$A$5:$W$36,VLOOKUP('ELC_Gen-sdj'!$B25,'ELC_Gen-sdj'!$AA$4:$AC$19,3,FALSE))</f>
        <v>542.64318282100305</v>
      </c>
      <c r="AG25" s="5">
        <f>VLOOKUP(AG$22,ovrcst!$A$5:$W$36,VLOOKUP('ELC_Gen-sdj'!$B25,'ELC_Gen-sdj'!$AA$4:$AC$19,3,FALSE))</f>
        <v>537.38222165024263</v>
      </c>
      <c r="AH25" s="5">
        <f>VLOOKUP(AH$22,ovrcst!$A$5:$W$36,VLOOKUP('ELC_Gen-sdj'!$B25,'ELC_Gen-sdj'!$AA$4:$AC$19,3,FALSE))</f>
        <v>532.15789913957929</v>
      </c>
    </row>
    <row r="26" spans="2:34">
      <c r="B26" s="12" t="str">
        <f t="shared" si="2"/>
        <v>EN_GasCC</v>
      </c>
      <c r="C26" s="5">
        <f>VLOOKUP(C$22,ovrcst!$A$5:$W$36,VLOOKUP('ELC_Gen-sdj'!$B26,'ELC_Gen-sdj'!$AA$4:$AC$19,3,FALSE))</f>
        <v>999.32722103014635</v>
      </c>
      <c r="D26" s="5">
        <f>VLOOKUP(D$22,ovrcst!$A$5:$W$36,VLOOKUP('ELC_Gen-sdj'!$B26,'ELC_Gen-sdj'!$AA$4:$AC$19,3,FALSE))</f>
        <v>990.01963397384725</v>
      </c>
      <c r="E26" s="5">
        <f>VLOOKUP(E$22,ovrcst!$A$5:$W$36,VLOOKUP('ELC_Gen-sdj'!$B26,'ELC_Gen-sdj'!$AA$4:$AC$19,3,FALSE))</f>
        <v>967.68334022919942</v>
      </c>
      <c r="F26" s="5">
        <f>VLOOKUP(F$22,ovrcst!$A$5:$W$36,VLOOKUP('ELC_Gen-sdj'!$B26,'ELC_Gen-sdj'!$AA$4:$AC$19,3,FALSE))</f>
        <v>954.4694025614134</v>
      </c>
      <c r="G26" s="5">
        <f>VLOOKUP(G$22,ovrcst!$A$5:$W$36,VLOOKUP('ELC_Gen-sdj'!$B26,'ELC_Gen-sdj'!$AA$4:$AC$19,3,FALSE))</f>
        <v>945.63998672144874</v>
      </c>
      <c r="H26" s="5">
        <f>VLOOKUP(H$22,ovrcst!$A$5:$W$36,VLOOKUP('ELC_Gen-sdj'!$B26,'ELC_Gen-sdj'!$AA$4:$AC$19,3,FALSE))</f>
        <v>938.87054374705326</v>
      </c>
      <c r="I26" s="5">
        <f>VLOOKUP(I$22,ovrcst!$A$5:$W$36,VLOOKUP('ELC_Gen-sdj'!$B26,'ELC_Gen-sdj'!$AA$4:$AC$19,3,FALSE))</f>
        <v>933.69142090120965</v>
      </c>
      <c r="J26" s="5">
        <f>VLOOKUP(J$22,ovrcst!$A$5:$W$36,VLOOKUP('ELC_Gen-sdj'!$B26,'ELC_Gen-sdj'!$AA$4:$AC$19,3,FALSE))</f>
        <v>926.25481828591228</v>
      </c>
      <c r="K26" s="5">
        <f>VLOOKUP(K$22,ovrcst!$A$5:$W$36,VLOOKUP('ELC_Gen-sdj'!$B26,'ELC_Gen-sdj'!$AA$4:$AC$19,3,FALSE))</f>
        <v>916.96743483406635</v>
      </c>
      <c r="L26" s="5">
        <f>VLOOKUP(L$22,ovrcst!$A$5:$W$36,VLOOKUP('ELC_Gen-sdj'!$B26,'ELC_Gen-sdj'!$AA$4:$AC$19,3,FALSE))</f>
        <v>906.34990041086542</v>
      </c>
      <c r="M26" s="5">
        <f>VLOOKUP(M$22,ovrcst!$A$5:$W$36,VLOOKUP('ELC_Gen-sdj'!$B26,'ELC_Gen-sdj'!$AA$4:$AC$19,3,FALSE))</f>
        <v>895.37335629817096</v>
      </c>
      <c r="N26" s="5">
        <f>VLOOKUP(N$22,ovrcst!$A$5:$W$36,VLOOKUP('ELC_Gen-sdj'!$B26,'ELC_Gen-sdj'!$AA$4:$AC$19,3,FALSE))</f>
        <v>885.89111010613226</v>
      </c>
      <c r="O26" s="5">
        <f>VLOOKUP(O$22,ovrcst!$A$5:$W$36,VLOOKUP('ELC_Gen-sdj'!$B26,'ELC_Gen-sdj'!$AA$4:$AC$19,3,FALSE))</f>
        <v>876.43693554129345</v>
      </c>
      <c r="P26" s="5">
        <f>VLOOKUP(P$22,ovrcst!$A$5:$W$36,VLOOKUP('ELC_Gen-sdj'!$B26,'ELC_Gen-sdj'!$AA$4:$AC$19,3,FALSE))</f>
        <v>866.98804737941066</v>
      </c>
      <c r="Q26" s="5">
        <f>VLOOKUP(Q$22,ovrcst!$A$5:$W$36,VLOOKUP('ELC_Gen-sdj'!$B26,'ELC_Gen-sdj'!$AA$4:$AC$19,3,FALSE))</f>
        <v>858.01756425183066</v>
      </c>
      <c r="R26" s="5">
        <f>VLOOKUP(R$22,ovrcst!$A$5:$W$36,VLOOKUP('ELC_Gen-sdj'!$B26,'ELC_Gen-sdj'!$AA$4:$AC$19,3,FALSE))</f>
        <v>849.15749131602001</v>
      </c>
      <c r="S26" s="5">
        <f>VLOOKUP(S$22,ovrcst!$A$5:$W$36,VLOOKUP('ELC_Gen-sdj'!$B26,'ELC_Gen-sdj'!$AA$4:$AC$19,3,FALSE))</f>
        <v>839.74384038796472</v>
      </c>
      <c r="T26" s="5">
        <f>VLOOKUP(T$22,ovrcst!$A$5:$W$36,VLOOKUP('ELC_Gen-sdj'!$B26,'ELC_Gen-sdj'!$AA$4:$AC$19,3,FALSE))</f>
        <v>830.84095470859359</v>
      </c>
      <c r="U26" s="5">
        <f>VLOOKUP(U$22,ovrcst!$A$5:$W$36,VLOOKUP('ELC_Gen-sdj'!$B26,'ELC_Gen-sdj'!$AA$4:$AC$19,3,FALSE))</f>
        <v>822.08535991609494</v>
      </c>
      <c r="V26" s="5">
        <f>VLOOKUP(V$22,ovrcst!$A$5:$W$36,VLOOKUP('ELC_Gen-sdj'!$B26,'ELC_Gen-sdj'!$AA$4:$AC$19,3,FALSE))</f>
        <v>813.67103928719212</v>
      </c>
      <c r="W26" s="5">
        <f>VLOOKUP(W$22,ovrcst!$A$5:$W$36,VLOOKUP('ELC_Gen-sdj'!$B26,'ELC_Gen-sdj'!$AA$4:$AC$19,3,FALSE))</f>
        <v>805.14542804083646</v>
      </c>
      <c r="X26" s="5">
        <f>VLOOKUP(X$22,ovrcst!$A$5:$W$36,VLOOKUP('ELC_Gen-sdj'!$B26,'ELC_Gen-sdj'!$AA$4:$AC$19,3,FALSE))</f>
        <v>796.93953640536154</v>
      </c>
      <c r="Y26" s="5">
        <f>VLOOKUP(Y$22,ovrcst!$A$5:$W$36,VLOOKUP('ELC_Gen-sdj'!$B26,'ELC_Gen-sdj'!$AA$4:$AC$19,3,FALSE))</f>
        <v>788.94659520625066</v>
      </c>
      <c r="Z26" s="5">
        <f>VLOOKUP(Z$22,ovrcst!$A$5:$W$36,VLOOKUP('ELC_Gen-sdj'!$B26,'ELC_Gen-sdj'!$AA$4:$AC$19,3,FALSE))</f>
        <v>780.35638188343751</v>
      </c>
      <c r="AA26" s="5">
        <f>VLOOKUP(AA$22,ovrcst!$A$5:$W$36,VLOOKUP('ELC_Gen-sdj'!$B26,'ELC_Gen-sdj'!$AA$4:$AC$19,3,FALSE))</f>
        <v>772.93328682633012</v>
      </c>
      <c r="AB26" s="5">
        <f>VLOOKUP(AB$22,ovrcst!$A$5:$W$36,VLOOKUP('ELC_Gen-sdj'!$B26,'ELC_Gen-sdj'!$AA$4:$AC$19,3,FALSE))</f>
        <v>764.51450248732283</v>
      </c>
      <c r="AC26" s="5">
        <f>VLOOKUP(AC$22,ovrcst!$A$5:$W$36,VLOOKUP('ELC_Gen-sdj'!$B26,'ELC_Gen-sdj'!$AA$4:$AC$19,3,FALSE))</f>
        <v>757.08101263386811</v>
      </c>
      <c r="AD26" s="5">
        <f>VLOOKUP(AD$22,ovrcst!$A$5:$W$36,VLOOKUP('ELC_Gen-sdj'!$B26,'ELC_Gen-sdj'!$AA$4:$AC$19,3,FALSE))</f>
        <v>748.83530266437026</v>
      </c>
      <c r="AE26" s="5">
        <f>VLOOKUP(AE$22,ovrcst!$A$5:$W$36,VLOOKUP('ELC_Gen-sdj'!$B26,'ELC_Gen-sdj'!$AA$4:$AC$19,3,FALSE))</f>
        <v>741.2680881772784</v>
      </c>
      <c r="AF26" s="5">
        <f>VLOOKUP(AF$22,ovrcst!$A$5:$W$36,VLOOKUP('ELC_Gen-sdj'!$B26,'ELC_Gen-sdj'!$AA$4:$AC$19,3,FALSE))</f>
        <v>733.67790949416428</v>
      </c>
      <c r="AG26" s="5">
        <f>VLOOKUP(AG$22,ovrcst!$A$5:$W$36,VLOOKUP('ELC_Gen-sdj'!$B26,'ELC_Gen-sdj'!$AA$4:$AC$19,3,FALSE))</f>
        <v>726.07845218278214</v>
      </c>
      <c r="AH26" s="5">
        <f>VLOOKUP(AH$22,ovrcst!$A$5:$W$36,VLOOKUP('ELC_Gen-sdj'!$B26,'ELC_Gen-sdj'!$AA$4:$AC$19,3,FALSE))</f>
        <v>718.53584439077429</v>
      </c>
    </row>
    <row r="27" spans="2:34">
      <c r="B27" s="35" t="str">
        <f t="shared" si="2"/>
        <v>EN_GasCTAdv</v>
      </c>
      <c r="C27" s="38">
        <f>VLOOKUP(C$22,ovrcst!$A$5:$W$36,VLOOKUP('ELC_Gen-sdj'!$B27,'ELC_Gen-sdj'!$AA$4:$AC$19,3,FALSE))</f>
        <v>691.0768157887843</v>
      </c>
      <c r="D27" s="38">
        <f>VLOOKUP(D$22,ovrcst!$A$5:$W$36,VLOOKUP('ELC_Gen-sdj'!$B27,'ELC_Gen-sdj'!$AA$4:$AC$19,3,FALSE))</f>
        <v>683.76621123055679</v>
      </c>
      <c r="E27" s="38">
        <f>VLOOKUP(E$22,ovrcst!$A$5:$W$36,VLOOKUP('ELC_Gen-sdj'!$B27,'ELC_Gen-sdj'!$AA$4:$AC$19,3,FALSE))</f>
        <v>667.48039872330708</v>
      </c>
      <c r="F27" s="38">
        <f>VLOOKUP(F$22,ovrcst!$A$5:$W$36,VLOOKUP('ELC_Gen-sdj'!$B27,'ELC_Gen-sdj'!$AA$4:$AC$19,3,FALSE))</f>
        <v>657.5143656011345</v>
      </c>
      <c r="G27" s="38">
        <f>VLOOKUP(G$22,ovrcst!$A$5:$W$36,VLOOKUP('ELC_Gen-sdj'!$B27,'ELC_Gen-sdj'!$AA$4:$AC$19,3,FALSE))</f>
        <v>625.44563297699176</v>
      </c>
      <c r="H27" s="38">
        <f>VLOOKUP(H$22,ovrcst!$A$5:$W$36,VLOOKUP('ELC_Gen-sdj'!$B27,'ELC_Gen-sdj'!$AA$4:$AC$19,3,FALSE))</f>
        <v>612.36512873569245</v>
      </c>
      <c r="I27" s="38">
        <f>VLOOKUP(I$22,ovrcst!$A$5:$W$36,VLOOKUP('ELC_Gen-sdj'!$B27,'ELC_Gen-sdj'!$AA$4:$AC$19,3,FALSE))</f>
        <v>599.88018282301789</v>
      </c>
      <c r="J27" s="38">
        <f>VLOOKUP(J$22,ovrcst!$A$5:$W$36,VLOOKUP('ELC_Gen-sdj'!$B27,'ELC_Gen-sdj'!$AA$4:$AC$19,3,FALSE))</f>
        <v>586.79665335842799</v>
      </c>
      <c r="K27" s="38">
        <f>VLOOKUP(K$22,ovrcst!$A$5:$W$36,VLOOKUP('ELC_Gen-sdj'!$B27,'ELC_Gen-sdj'!$AA$4:$AC$19,3,FALSE))</f>
        <v>573.38688246717516</v>
      </c>
      <c r="L27" s="38">
        <f>VLOOKUP(L$22,ovrcst!$A$5:$W$36,VLOOKUP('ELC_Gen-sdj'!$B27,'ELC_Gen-sdj'!$AA$4:$AC$19,3,FALSE))</f>
        <v>563.08421888622388</v>
      </c>
      <c r="M27" s="38">
        <f>VLOOKUP(M$22,ovrcst!$A$5:$W$36,VLOOKUP('ELC_Gen-sdj'!$B27,'ELC_Gen-sdj'!$AA$4:$AC$19,3,FALSE))</f>
        <v>552.68940292531795</v>
      </c>
      <c r="N27" s="38">
        <f>VLOOKUP(N$22,ovrcst!$A$5:$W$36,VLOOKUP('ELC_Gen-sdj'!$B27,'ELC_Gen-sdj'!$AA$4:$AC$19,3,FALSE))</f>
        <v>545.18176316075028</v>
      </c>
      <c r="O27" s="38">
        <f>VLOOKUP(O$22,ovrcst!$A$5:$W$36,VLOOKUP('ELC_Gen-sdj'!$B27,'ELC_Gen-sdj'!$AA$4:$AC$19,3,FALSE))</f>
        <v>538.1821541760055</v>
      </c>
      <c r="P27" s="38">
        <f>VLOOKUP(P$22,ovrcst!$A$5:$W$36,VLOOKUP('ELC_Gen-sdj'!$B27,'ELC_Gen-sdj'!$AA$4:$AC$19,3,FALSE))</f>
        <v>530.05109484271452</v>
      </c>
      <c r="Q27" s="38">
        <f>VLOOKUP(Q$22,ovrcst!$A$5:$W$36,VLOOKUP('ELC_Gen-sdj'!$B27,'ELC_Gen-sdj'!$AA$4:$AC$19,3,FALSE))</f>
        <v>523.25171840914777</v>
      </c>
      <c r="R27" s="38">
        <f>VLOOKUP(R$22,ovrcst!$A$5:$W$36,VLOOKUP('ELC_Gen-sdj'!$B27,'ELC_Gen-sdj'!$AA$4:$AC$19,3,FALSE))</f>
        <v>515.81087957852662</v>
      </c>
      <c r="S27" s="5">
        <f>VLOOKUP(S$22,ovrcst!$A$5:$W$36,VLOOKUP('ELC_Gen-sdj'!$B27,'ELC_Gen-sdj'!$AA$4:$AC$19,3,FALSE))</f>
        <v>508.97975794471898</v>
      </c>
      <c r="T27" s="5">
        <f>VLOOKUP(T$22,ovrcst!$A$5:$W$36,VLOOKUP('ELC_Gen-sdj'!$B27,'ELC_Gen-sdj'!$AA$4:$AC$19,3,FALSE))</f>
        <v>501.93412983203177</v>
      </c>
      <c r="U27" s="5">
        <f>VLOOKUP(U$22,ovrcst!$A$5:$W$36,VLOOKUP('ELC_Gen-sdj'!$B27,'ELC_Gen-sdj'!$AA$4:$AC$19,3,FALSE))</f>
        <v>496.13037458887266</v>
      </c>
      <c r="V27" s="5">
        <f>VLOOKUP(V$22,ovrcst!$A$5:$W$36,VLOOKUP('ELC_Gen-sdj'!$B27,'ELC_Gen-sdj'!$AA$4:$AC$19,3,FALSE))</f>
        <v>491.60428881995716</v>
      </c>
      <c r="W27" s="5">
        <f>VLOOKUP(W$22,ovrcst!$A$5:$W$36,VLOOKUP('ELC_Gen-sdj'!$B27,'ELC_Gen-sdj'!$AA$4:$AC$19,3,FALSE))</f>
        <v>487.00232364089447</v>
      </c>
      <c r="X27" s="5">
        <f>VLOOKUP(X$22,ovrcst!$A$5:$W$36,VLOOKUP('ELC_Gen-sdj'!$B27,'ELC_Gen-sdj'!$AA$4:$AC$19,3,FALSE))</f>
        <v>482.58534609527305</v>
      </c>
      <c r="Y27" s="5">
        <f>VLOOKUP(Y$22,ovrcst!$A$5:$W$36,VLOOKUP('ELC_Gen-sdj'!$B27,'ELC_Gen-sdj'!$AA$4:$AC$19,3,FALSE))</f>
        <v>478.28898178879183</v>
      </c>
      <c r="Z27" s="5">
        <f>VLOOKUP(Z$22,ovrcst!$A$5:$W$36,VLOOKUP('ELC_Gen-sdj'!$B27,'ELC_Gen-sdj'!$AA$4:$AC$19,3,FALSE))</f>
        <v>473.62192940771479</v>
      </c>
      <c r="AA27" s="5">
        <f>VLOOKUP(AA$22,ovrcst!$A$5:$W$36,VLOOKUP('ELC_Gen-sdj'!$B27,'ELC_Gen-sdj'!$AA$4:$AC$19,3,FALSE))</f>
        <v>469.65517412339614</v>
      </c>
      <c r="AB27" s="5">
        <f>VLOOKUP(AB$22,ovrcst!$A$5:$W$36,VLOOKUP('ELC_Gen-sdj'!$B27,'ELC_Gen-sdj'!$AA$4:$AC$19,3,FALSE))</f>
        <v>465.07507586444302</v>
      </c>
      <c r="AC27" s="5">
        <f>VLOOKUP(AC$22,ovrcst!$A$5:$W$36,VLOOKUP('ELC_Gen-sdj'!$B27,'ELC_Gen-sdj'!$AA$4:$AC$19,3,FALSE))</f>
        <v>461.08628247391044</v>
      </c>
      <c r="AD27" s="5">
        <f>VLOOKUP(AD$22,ovrcst!$A$5:$W$36,VLOOKUP('ELC_Gen-sdj'!$B27,'ELC_Gen-sdj'!$AA$4:$AC$19,3,FALSE))</f>
        <v>456.59451063224731</v>
      </c>
      <c r="AE27" s="5">
        <f>VLOOKUP(AE$22,ovrcst!$A$5:$W$36,VLOOKUP('ELC_Gen-sdj'!$B27,'ELC_Gen-sdj'!$AA$4:$AC$19,3,FALSE))</f>
        <v>452.50808410008494</v>
      </c>
      <c r="AF27" s="5">
        <f>VLOOKUP(AF$22,ovrcst!$A$5:$W$36,VLOOKUP('ELC_Gen-sdj'!$B27,'ELC_Gen-sdj'!$AA$4:$AC$19,3,FALSE))</f>
        <v>448.39967652374338</v>
      </c>
      <c r="AG27" s="5">
        <f>VLOOKUP(AG$22,ovrcst!$A$5:$W$36,VLOOKUP('ELC_Gen-sdj'!$B27,'ELC_Gen-sdj'!$AA$4:$AC$19,3,FALSE))</f>
        <v>444.27762270208376</v>
      </c>
      <c r="AH27" s="5">
        <f>VLOOKUP(AH$22,ovrcst!$A$5:$W$36,VLOOKUP('ELC_Gen-sdj'!$B27,'ELC_Gen-sdj'!$AA$4:$AC$19,3,FALSE))</f>
        <v>440.18226175197276</v>
      </c>
    </row>
    <row r="28" spans="2:34">
      <c r="B28" s="12" t="str">
        <f t="shared" si="2"/>
        <v>EN_GasCT</v>
      </c>
      <c r="C28" s="5">
        <f>VLOOKUP(C$22,ovrcst!$A$5:$W$36,VLOOKUP('ELC_Gen-sdj'!$B28,'ELC_Gen-sdj'!$AA$4:$AC$19,3,FALSE))</f>
        <v>1126.002408681185</v>
      </c>
      <c r="D28" s="5">
        <f>VLOOKUP(D$22,ovrcst!$A$5:$W$36,VLOOKUP('ELC_Gen-sdj'!$B28,'ELC_Gen-sdj'!$AA$4:$AC$19,3,FALSE))</f>
        <v>1115.5153164235383</v>
      </c>
      <c r="E28" s="5">
        <f>VLOOKUP(E$22,ovrcst!$A$5:$W$36,VLOOKUP('ELC_Gen-sdj'!$B28,'ELC_Gen-sdj'!$AA$4:$AC$19,3,FALSE))</f>
        <v>1090.3474355472445</v>
      </c>
      <c r="F28" s="5">
        <f>VLOOKUP(F$22,ovrcst!$A$5:$W$36,VLOOKUP('ELC_Gen-sdj'!$B28,'ELC_Gen-sdj'!$AA$4:$AC$19,3,FALSE))</f>
        <v>1075.4584258953284</v>
      </c>
      <c r="G28" s="5">
        <f>VLOOKUP(G$22,ovrcst!$A$5:$W$36,VLOOKUP('ELC_Gen-sdj'!$B28,'ELC_Gen-sdj'!$AA$4:$AC$19,3,FALSE))</f>
        <v>1065.5099575376823</v>
      </c>
      <c r="H28" s="5">
        <f>VLOOKUP(H$22,ovrcst!$A$5:$W$36,VLOOKUP('ELC_Gen-sdj'!$B28,'ELC_Gen-sdj'!$AA$4:$AC$19,3,FALSE))</f>
        <v>1057.8823556940195</v>
      </c>
      <c r="I28" s="5">
        <f>VLOOKUP(I$22,ovrcst!$A$5:$W$36,VLOOKUP('ELC_Gen-sdj'!$B28,'ELC_Gen-sdj'!$AA$4:$AC$19,3,FALSE))</f>
        <v>1052.0467887752784</v>
      </c>
      <c r="J28" s="5">
        <f>VLOOKUP(J$22,ovrcst!$A$5:$W$36,VLOOKUP('ELC_Gen-sdj'!$B28,'ELC_Gen-sdj'!$AA$4:$AC$19,3,FALSE))</f>
        <v>1043.6674434552065</v>
      </c>
      <c r="K28" s="5">
        <f>VLOOKUP(K$22,ovrcst!$A$5:$W$36,VLOOKUP('ELC_Gen-sdj'!$B28,'ELC_Gen-sdj'!$AA$4:$AC$19,3,FALSE))</f>
        <v>1033.2027351233853</v>
      </c>
      <c r="L28" s="5">
        <f>VLOOKUP(L$22,ovrcst!$A$5:$W$36,VLOOKUP('ELC_Gen-sdj'!$B28,'ELC_Gen-sdj'!$AA$4:$AC$19,3,FALSE))</f>
        <v>1021.239437426818</v>
      </c>
      <c r="M28" s="5">
        <f>VLOOKUP(M$22,ovrcst!$A$5:$W$36,VLOOKUP('ELC_Gen-sdj'!$B28,'ELC_Gen-sdj'!$AA$4:$AC$19,3,FALSE))</f>
        <v>1008.8713552222156</v>
      </c>
      <c r="N28" s="5">
        <f>VLOOKUP(N$22,ovrcst!$A$5:$W$36,VLOOKUP('ELC_Gen-sdj'!$B28,'ELC_Gen-sdj'!$AA$4:$AC$19,3,FALSE))</f>
        <v>998.18723246161107</v>
      </c>
      <c r="O28" s="5">
        <f>VLOOKUP(O$22,ovrcst!$A$5:$W$36,VLOOKUP('ELC_Gen-sdj'!$B28,'ELC_Gen-sdj'!$AA$4:$AC$19,3,FALSE))</f>
        <v>987.53447221994065</v>
      </c>
      <c r="P28" s="5">
        <f>VLOOKUP(P$22,ovrcst!$A$5:$W$36,VLOOKUP('ELC_Gen-sdj'!$B28,'ELC_Gen-sdj'!$AA$4:$AC$19,3,FALSE))</f>
        <v>976.88806508978598</v>
      </c>
      <c r="Q28" s="5">
        <f>VLOOKUP(Q$22,ovrcst!$A$5:$W$36,VLOOKUP('ELC_Gen-sdj'!$B28,'ELC_Gen-sdj'!$AA$4:$AC$19,3,FALSE))</f>
        <v>966.78039933298066</v>
      </c>
      <c r="R28" s="5">
        <f>VLOOKUP(R$22,ovrcst!$A$5:$W$36,VLOOKUP('ELC_Gen-sdj'!$B28,'ELC_Gen-sdj'!$AA$4:$AC$19,3,FALSE))</f>
        <v>956.79718847118465</v>
      </c>
      <c r="S28" s="5">
        <f>VLOOKUP(S$22,ovrcst!$A$5:$W$36,VLOOKUP('ELC_Gen-sdj'!$B28,'ELC_Gen-sdj'!$AA$4:$AC$19,3,FALSE))</f>
        <v>946.19030395990262</v>
      </c>
      <c r="T28" s="5">
        <f>VLOOKUP(T$22,ovrcst!$A$5:$W$36,VLOOKUP('ELC_Gen-sdj'!$B28,'ELC_Gen-sdj'!$AA$4:$AC$19,3,FALSE))</f>
        <v>936.1588850919635</v>
      </c>
      <c r="U28" s="5">
        <f>VLOOKUP(U$22,ovrcst!$A$5:$W$36,VLOOKUP('ELC_Gen-sdj'!$B28,'ELC_Gen-sdj'!$AA$4:$AC$19,3,FALSE))</f>
        <v>926.29330898546959</v>
      </c>
      <c r="V28" s="5">
        <f>VLOOKUP(V$22,ovrcst!$A$5:$W$36,VLOOKUP('ELC_Gen-sdj'!$B28,'ELC_Gen-sdj'!$AA$4:$AC$19,3,FALSE))</f>
        <v>916.81252304101258</v>
      </c>
      <c r="W28" s="5">
        <f>VLOOKUP(W$22,ovrcst!$A$5:$W$36,VLOOKUP('ELC_Gen-sdj'!$B28,'ELC_Gen-sdj'!$AA$4:$AC$19,3,FALSE))</f>
        <v>907.20611701873656</v>
      </c>
      <c r="X28" s="5">
        <f>VLOOKUP(X$22,ovrcst!$A$5:$W$36,VLOOKUP('ELC_Gen-sdj'!$B28,'ELC_Gen-sdj'!$AA$4:$AC$19,3,FALSE))</f>
        <v>897.96013355669197</v>
      </c>
      <c r="Y28" s="5">
        <f>VLOOKUP(Y$22,ovrcst!$A$5:$W$36,VLOOKUP('ELC_Gen-sdj'!$B28,'ELC_Gen-sdj'!$AA$4:$AC$19,3,FALSE))</f>
        <v>888.95396763848021</v>
      </c>
      <c r="Z28" s="5">
        <f>VLOOKUP(Z$22,ovrcst!$A$5:$W$36,VLOOKUP('ELC_Gen-sdj'!$B28,'ELC_Gen-sdj'!$AA$4:$AC$19,3,FALSE))</f>
        <v>879.27486948997478</v>
      </c>
      <c r="AA28" s="5">
        <f>VLOOKUP(AA$22,ovrcst!$A$5:$W$36,VLOOKUP('ELC_Gen-sdj'!$B28,'ELC_Gen-sdj'!$AA$4:$AC$19,3,FALSE))</f>
        <v>870.9108558745271</v>
      </c>
      <c r="AB28" s="5">
        <f>VLOOKUP(AB$22,ovrcst!$A$5:$W$36,VLOOKUP('ELC_Gen-sdj'!$B28,'ELC_Gen-sdj'!$AA$4:$AC$19,3,FALSE))</f>
        <v>861.42476548308298</v>
      </c>
      <c r="AC28" s="5">
        <f>VLOOKUP(AC$22,ovrcst!$A$5:$W$36,VLOOKUP('ELC_Gen-sdj'!$B28,'ELC_Gen-sdj'!$AA$4:$AC$19,3,FALSE))</f>
        <v>853.04909335406467</v>
      </c>
      <c r="AD28" s="5">
        <f>VLOOKUP(AD$22,ovrcst!$A$5:$W$36,VLOOKUP('ELC_Gen-sdj'!$B28,'ELC_Gen-sdj'!$AA$4:$AC$19,3,FALSE))</f>
        <v>843.75828282616067</v>
      </c>
      <c r="AE28" s="5">
        <f>VLOOKUP(AE$22,ovrcst!$A$5:$W$36,VLOOKUP('ELC_Gen-sdj'!$B28,'ELC_Gen-sdj'!$AA$4:$AC$19,3,FALSE))</f>
        <v>835.23163261212983</v>
      </c>
      <c r="AF28" s="5">
        <f>VLOOKUP(AF$22,ovrcst!$A$5:$W$36,VLOOKUP('ELC_Gen-sdj'!$B28,'ELC_Gen-sdj'!$AA$4:$AC$19,3,FALSE))</f>
        <v>826.67939135434369</v>
      </c>
      <c r="AG28" s="5">
        <f>VLOOKUP(AG$22,ovrcst!$A$5:$W$36,VLOOKUP('ELC_Gen-sdj'!$B28,'ELC_Gen-sdj'!$AA$4:$AC$19,3,FALSE))</f>
        <v>818.11654120258322</v>
      </c>
      <c r="AH28" s="5">
        <f>VLOOKUP(AH$22,ovrcst!$A$5:$W$36,VLOOKUP('ELC_Gen-sdj'!$B28,'ELC_Gen-sdj'!$AA$4:$AC$19,3,FALSE))</f>
        <v>809.61792891620826</v>
      </c>
    </row>
    <row r="29" spans="2:34">
      <c r="B29" s="12" t="str">
        <f t="shared" si="2"/>
        <v>EN_Biomass</v>
      </c>
      <c r="C29" s="5">
        <f>VLOOKUP(C$22,ovrcst!$A$5:$W$36,VLOOKUP('ELC_Gen-sdj'!$B29,'ELC_Gen-sdj'!$AA$4:$AC$19,3,FALSE))</f>
        <v>3899.5782844311379</v>
      </c>
      <c r="D29" s="5">
        <f>VLOOKUP(D$22,ovrcst!$A$5:$W$36,VLOOKUP('ELC_Gen-sdj'!$B29,'ELC_Gen-sdj'!$AA$4:$AC$19,3,FALSE))</f>
        <v>3858.2388443113769</v>
      </c>
      <c r="E29" s="5">
        <f>VLOOKUP(E$22,ovrcst!$A$5:$W$36,VLOOKUP('ELC_Gen-sdj'!$B29,'ELC_Gen-sdj'!$AA$4:$AC$19,3,FALSE))</f>
        <v>3756.4370768463073</v>
      </c>
      <c r="F29" s="5">
        <f>VLOOKUP(F$22,ovrcst!$A$5:$W$36,VLOOKUP('ELC_Gen-sdj'!$B29,'ELC_Gen-sdj'!$AA$4:$AC$19,3,FALSE))</f>
        <v>3698.7399710578843</v>
      </c>
      <c r="G29" s="5">
        <f>VLOOKUP(G$22,ovrcst!$A$5:$W$36,VLOOKUP('ELC_Gen-sdj'!$B29,'ELC_Gen-sdj'!$AA$4:$AC$19,3,FALSE))</f>
        <v>3659.7218163672655</v>
      </c>
      <c r="H29" s="5">
        <f>VLOOKUP(H$22,ovrcst!$A$5:$W$36,VLOOKUP('ELC_Gen-sdj'!$B29,'ELC_Gen-sdj'!$AA$4:$AC$19,3,FALSE))</f>
        <v>3628.7298453093813</v>
      </c>
      <c r="I29" s="5">
        <f>VLOOKUP(I$22,ovrcst!$A$5:$W$36,VLOOKUP('ELC_Gen-sdj'!$B29,'ELC_Gen-sdj'!$AA$4:$AC$19,3,FALSE))</f>
        <v>3603.9215518962073</v>
      </c>
      <c r="J29" s="5">
        <f>VLOOKUP(J$22,ovrcst!$A$5:$W$36,VLOOKUP('ELC_Gen-sdj'!$B29,'ELC_Gen-sdj'!$AA$4:$AC$19,3,FALSE))</f>
        <v>3570.4401746506987</v>
      </c>
      <c r="K29" s="5">
        <f>VLOOKUP(K$22,ovrcst!$A$5:$W$36,VLOOKUP('ELC_Gen-sdj'!$B29,'ELC_Gen-sdj'!$AA$4:$AC$19,3,FALSE))</f>
        <v>3529.88627245509</v>
      </c>
      <c r="L29" s="5">
        <f>VLOOKUP(L$22,ovrcst!$A$5:$W$36,VLOOKUP('ELC_Gen-sdj'!$B29,'ELC_Gen-sdj'!$AA$4:$AC$19,3,FALSE))</f>
        <v>3484.2914271457084</v>
      </c>
      <c r="M29" s="5">
        <f>VLOOKUP(M$22,ovrcst!$A$5:$W$36,VLOOKUP('ELC_Gen-sdj'!$B29,'ELC_Gen-sdj'!$AA$4:$AC$19,3,FALSE))</f>
        <v>3437.404000998004</v>
      </c>
      <c r="N29" s="5">
        <f>VLOOKUP(N$22,ovrcst!$A$5:$W$36,VLOOKUP('ELC_Gen-sdj'!$B29,'ELC_Gen-sdj'!$AA$4:$AC$19,3,FALSE))</f>
        <v>3396.336721556886</v>
      </c>
      <c r="O29" s="5">
        <f>VLOOKUP(O$22,ovrcst!$A$5:$W$36,VLOOKUP('ELC_Gen-sdj'!$B29,'ELC_Gen-sdj'!$AA$4:$AC$19,3,FALSE))</f>
        <v>3355.4529121756486</v>
      </c>
      <c r="P29" s="5">
        <f>VLOOKUP(P$22,ovrcst!$A$5:$W$36,VLOOKUP('ELC_Gen-sdj'!$B29,'ELC_Gen-sdj'!$AA$4:$AC$19,3,FALSE))</f>
        <v>3314.6660778443115</v>
      </c>
      <c r="Q29" s="5">
        <f>VLOOKUP(Q$22,ovrcst!$A$5:$W$36,VLOOKUP('ELC_Gen-sdj'!$B29,'ELC_Gen-sdj'!$AA$4:$AC$19,3,FALSE))</f>
        <v>3275.7814451097806</v>
      </c>
      <c r="R29" s="5">
        <f>VLOOKUP(R$22,ovrcst!$A$5:$W$36,VLOOKUP('ELC_Gen-sdj'!$B29,'ELC_Gen-sdj'!$AA$4:$AC$19,3,FALSE))</f>
        <v>3237.3902095808385</v>
      </c>
      <c r="S29" s="5">
        <f>VLOOKUP(S$22,ovrcst!$A$5:$W$36,VLOOKUP('ELC_Gen-sdj'!$B29,'ELC_Gen-sdj'!$AA$4:$AC$19,3,FALSE))</f>
        <v>3196.9632514970062</v>
      </c>
      <c r="T29" s="5">
        <f>VLOOKUP(T$22,ovrcst!$A$5:$W$36,VLOOKUP('ELC_Gen-sdj'!$B29,'ELC_Gen-sdj'!$AA$4:$AC$19,3,FALSE))</f>
        <v>3158.5559351297406</v>
      </c>
      <c r="U29" s="5">
        <f>VLOOKUP(U$22,ovrcst!$A$5:$W$36,VLOOKUP('ELC_Gen-sdj'!$B29,'ELC_Gen-sdj'!$AA$4:$AC$19,3,FALSE))</f>
        <v>3120.7811427145707</v>
      </c>
      <c r="V29" s="5">
        <f>VLOOKUP(V$22,ovrcst!$A$5:$W$36,VLOOKUP('ELC_Gen-sdj'!$B29,'ELC_Gen-sdj'!$AA$4:$AC$19,3,FALSE))</f>
        <v>3084.3722714570858</v>
      </c>
      <c r="W29" s="5">
        <f>VLOOKUP(W$22,ovrcst!$A$5:$W$36,VLOOKUP('ELC_Gen-sdj'!$B29,'ELC_Gen-sdj'!$AA$4:$AC$19,3,FALSE))</f>
        <v>3047.6105898203591</v>
      </c>
      <c r="X29" s="5">
        <f>VLOOKUP(X$22,ovrcst!$A$5:$W$36,VLOOKUP('ELC_Gen-sdj'!$B29,'ELC_Gen-sdj'!$AA$4:$AC$19,3,FALSE))</f>
        <v>3012.1285748502996</v>
      </c>
      <c r="Y29" s="5">
        <f>VLOOKUP(Y$22,ovrcst!$A$5:$W$36,VLOOKUP('ELC_Gen-sdj'!$B29,'ELC_Gen-sdj'!$AA$4:$AC$19,3,FALSE))</f>
        <v>2977.5176207584827</v>
      </c>
      <c r="Z29" s="5">
        <f>VLOOKUP(Z$22,ovrcst!$A$5:$W$36,VLOOKUP('ELC_Gen-sdj'!$B29,'ELC_Gen-sdj'!$AA$4:$AC$19,3,FALSE))</f>
        <v>2940.7213403193609</v>
      </c>
      <c r="AA29" s="5">
        <f>VLOOKUP(AA$22,ovrcst!$A$5:$W$36,VLOOKUP('ELC_Gen-sdj'!$B29,'ELC_Gen-sdj'!$AA$4:$AC$19,3,FALSE))</f>
        <v>2908.3909820359286</v>
      </c>
      <c r="AB29" s="5">
        <f>VLOOKUP(AB$22,ovrcst!$A$5:$W$36,VLOOKUP('ELC_Gen-sdj'!$B29,'ELC_Gen-sdj'!$AA$4:$AC$19,3,FALSE))</f>
        <v>2872.3790209580839</v>
      </c>
      <c r="AC29" s="5">
        <f>VLOOKUP(AC$22,ovrcst!$A$5:$W$36,VLOOKUP('ELC_Gen-sdj'!$B29,'ELC_Gen-sdj'!$AA$4:$AC$19,3,FALSE))</f>
        <v>2840.1363772455093</v>
      </c>
      <c r="AD29" s="5">
        <f>VLOOKUP(AD$22,ovrcst!$A$5:$W$36,VLOOKUP('ELC_Gen-sdj'!$B29,'ELC_Gen-sdj'!$AA$4:$AC$19,3,FALSE))</f>
        <v>2804.9126357285431</v>
      </c>
      <c r="AE29" s="5">
        <f>VLOOKUP(AE$22,ovrcst!$A$5:$W$36,VLOOKUP('ELC_Gen-sdj'!$B29,'ELC_Gen-sdj'!$AA$4:$AC$19,3,FALSE))</f>
        <v>2772.2981766467065</v>
      </c>
      <c r="AF29" s="5">
        <f>VLOOKUP(AF$22,ovrcst!$A$5:$W$36,VLOOKUP('ELC_Gen-sdj'!$B29,'ELC_Gen-sdj'!$AA$4:$AC$19,3,FALSE))</f>
        <v>2739.6620329341317</v>
      </c>
      <c r="AG29" s="5">
        <f>VLOOKUP(AG$22,ovrcst!$A$5:$W$36,VLOOKUP('ELC_Gen-sdj'!$B29,'ELC_Gen-sdj'!$AA$4:$AC$19,3,FALSE))</f>
        <v>2707.0561027944109</v>
      </c>
      <c r="AH29" s="5">
        <f>VLOOKUP(AH$22,ovrcst!$A$5:$W$36,VLOOKUP('ELC_Gen-sdj'!$B29,'ELC_Gen-sdj'!$AA$4:$AC$19,3,FALSE))</f>
        <v>2674.7279371257487</v>
      </c>
    </row>
    <row r="30" spans="2:34">
      <c r="B30" s="12" t="str">
        <f t="shared" si="2"/>
        <v>EN_ZBiomass</v>
      </c>
      <c r="C30" s="5">
        <f>VLOOKUP(C$22,ovrcst!$A$5:$W$36,VLOOKUP('ELC_Gen-sdj'!$B30,'ELC_Gen-sdj'!$AA$4:$AC$19,3,FALSE))</f>
        <v>5715.7879928716911</v>
      </c>
      <c r="D30" s="5">
        <f>VLOOKUP(D$22,ovrcst!$A$5:$W$36,VLOOKUP('ELC_Gen-sdj'!$B30,'ELC_Gen-sdj'!$AA$4:$AC$19,3,FALSE))</f>
        <v>5651.6864103869648</v>
      </c>
      <c r="E30" s="5">
        <f>VLOOKUP(E$22,ovrcst!$A$5:$W$36,VLOOKUP('ELC_Gen-sdj'!$B30,'ELC_Gen-sdj'!$AA$4:$AC$19,3,FALSE))</f>
        <v>5513.4993360488797</v>
      </c>
      <c r="F30" s="5">
        <f>VLOOKUP(F$22,ovrcst!$A$5:$W$36,VLOOKUP('ELC_Gen-sdj'!$B30,'ELC_Gen-sdj'!$AA$4:$AC$19,3,FALSE))</f>
        <v>5427.627470468432</v>
      </c>
      <c r="G30" s="5">
        <f>VLOOKUP(G$22,ovrcst!$A$5:$W$36,VLOOKUP('ELC_Gen-sdj'!$B30,'ELC_Gen-sdj'!$AA$4:$AC$19,3,FALSE))</f>
        <v>5366.8807077393076</v>
      </c>
      <c r="H30" s="5">
        <f>VLOOKUP(H$22,ovrcst!$A$5:$W$36,VLOOKUP('ELC_Gen-sdj'!$B30,'ELC_Gen-sdj'!$AA$4:$AC$19,3,FALSE))</f>
        <v>5317.9441863543789</v>
      </c>
      <c r="I30" s="5">
        <f>VLOOKUP(I$22,ovrcst!$A$5:$W$36,VLOOKUP('ELC_Gen-sdj'!$B30,'ELC_Gen-sdj'!$AA$4:$AC$19,3,FALSE))</f>
        <v>5278.0965580448074</v>
      </c>
      <c r="J30" s="5">
        <f>VLOOKUP(J$22,ovrcst!$A$5:$W$36,VLOOKUP('ELC_Gen-sdj'!$B30,'ELC_Gen-sdj'!$AA$4:$AC$19,3,FALSE))</f>
        <v>5225.5754959266806</v>
      </c>
      <c r="K30" s="5">
        <f>VLOOKUP(K$22,ovrcst!$A$5:$W$36,VLOOKUP('ELC_Gen-sdj'!$B30,'ELC_Gen-sdj'!$AA$4:$AC$19,3,FALSE))</f>
        <v>5162.7493116089618</v>
      </c>
      <c r="L30" s="5">
        <f>VLOOKUP(L$22,ovrcst!$A$5:$W$36,VLOOKUP('ELC_Gen-sdj'!$B30,'ELC_Gen-sdj'!$AA$4:$AC$19,3,FALSE))</f>
        <v>5092.6073625254576</v>
      </c>
      <c r="M30" s="5">
        <f>VLOOKUP(M$22,ovrcst!$A$5:$W$36,VLOOKUP('ELC_Gen-sdj'!$B30,'ELC_Gen-sdj'!$AA$4:$AC$19,3,FALSE))</f>
        <v>5020.642065173116</v>
      </c>
      <c r="N30" s="5">
        <f>VLOOKUP(N$22,ovrcst!$A$5:$W$36,VLOOKUP('ELC_Gen-sdj'!$B30,'ELC_Gen-sdj'!$AA$4:$AC$19,3,FALSE))</f>
        <v>4957.238097759674</v>
      </c>
      <c r="O30" s="5">
        <f>VLOOKUP(O$22,ovrcst!$A$5:$W$36,VLOOKUP('ELC_Gen-sdj'!$B30,'ELC_Gen-sdj'!$AA$4:$AC$19,3,FALSE))</f>
        <v>4894.1573319755598</v>
      </c>
      <c r="P30" s="5">
        <f>VLOOKUP(P$22,ovrcst!$A$5:$W$36,VLOOKUP('ELC_Gen-sdj'!$B30,'ELC_Gen-sdj'!$AA$4:$AC$19,3,FALSE))</f>
        <v>4831.2734694501023</v>
      </c>
      <c r="Q30" s="5">
        <f>VLOOKUP(Q$22,ovrcst!$A$5:$W$36,VLOOKUP('ELC_Gen-sdj'!$B30,'ELC_Gen-sdj'!$AA$4:$AC$19,3,FALSE))</f>
        <v>4771.2183564154784</v>
      </c>
      <c r="R30" s="5">
        <f>VLOOKUP(R$22,ovrcst!$A$5:$W$36,VLOOKUP('ELC_Gen-sdj'!$B30,'ELC_Gen-sdj'!$AA$4:$AC$19,3,FALSE))</f>
        <v>4711.9339521384927</v>
      </c>
      <c r="S30" s="5">
        <f>VLOOKUP(S$22,ovrcst!$A$5:$W$36,VLOOKUP('ELC_Gen-sdj'!$B30,'ELC_Gen-sdj'!$AA$4:$AC$19,3,FALSE))</f>
        <v>4649.7412403258659</v>
      </c>
      <c r="T30" s="5">
        <f>VLOOKUP(T$22,ovrcst!$A$5:$W$36,VLOOKUP('ELC_Gen-sdj'!$B30,'ELC_Gen-sdj'!$AA$4:$AC$19,3,FALSE))</f>
        <v>4590.5418625254579</v>
      </c>
      <c r="U30" s="5">
        <f>VLOOKUP(U$22,ovrcst!$A$5:$W$36,VLOOKUP('ELC_Gen-sdj'!$B30,'ELC_Gen-sdj'!$AA$4:$AC$19,3,FALSE))</f>
        <v>4532.315069246436</v>
      </c>
      <c r="V30" s="5">
        <f>VLOOKUP(V$22,ovrcst!$A$5:$W$36,VLOOKUP('ELC_Gen-sdj'!$B30,'ELC_Gen-sdj'!$AA$4:$AC$19,3,FALSE))</f>
        <v>4476.1254338085537</v>
      </c>
      <c r="W30" s="5">
        <f>VLOOKUP(W$22,ovrcst!$A$5:$W$36,VLOOKUP('ELC_Gen-sdj'!$B30,'ELC_Gen-sdj'!$AA$4:$AC$19,3,FALSE))</f>
        <v>4419.474366598778</v>
      </c>
      <c r="X30" s="5">
        <f>VLOOKUP(X$22,ovrcst!$A$5:$W$36,VLOOKUP('ELC_Gen-sdj'!$B30,'ELC_Gen-sdj'!$AA$4:$AC$19,3,FALSE))</f>
        <v>4364.7306792260697</v>
      </c>
      <c r="Y30" s="5">
        <f>VLOOKUP(Y$22,ovrcst!$A$5:$W$36,VLOOKUP('ELC_Gen-sdj'!$B30,'ELC_Gen-sdj'!$AA$4:$AC$19,3,FALSE))</f>
        <v>4311.2981914460288</v>
      </c>
      <c r="Z30" s="5">
        <f>VLOOKUP(Z$22,ovrcst!$A$5:$W$36,VLOOKUP('ELC_Gen-sdj'!$B30,'ELC_Gen-sdj'!$AA$4:$AC$19,3,FALSE))</f>
        <v>4254.7545264765786</v>
      </c>
      <c r="AA30" s="5">
        <f>VLOOKUP(AA$22,ovrcst!$A$5:$W$36,VLOOKUP('ELC_Gen-sdj'!$B30,'ELC_Gen-sdj'!$AA$4:$AC$19,3,FALSE))</f>
        <v>4204.7201181262726</v>
      </c>
      <c r="AB30" s="5">
        <f>VLOOKUP(AB$22,ovrcst!$A$5:$W$36,VLOOKUP('ELC_Gen-sdj'!$B30,'ELC_Gen-sdj'!$AA$4:$AC$19,3,FALSE))</f>
        <v>4149.4130682281057</v>
      </c>
      <c r="AC30" s="5">
        <f>VLOOKUP(AC$22,ovrcst!$A$5:$W$36,VLOOKUP('ELC_Gen-sdj'!$B30,'ELC_Gen-sdj'!$AA$4:$AC$19,3,FALSE))</f>
        <v>4099.6024134419549</v>
      </c>
      <c r="AD30" s="5">
        <f>VLOOKUP(AD$22,ovrcst!$A$5:$W$36,VLOOKUP('ELC_Gen-sdj'!$B30,'ELC_Gen-sdj'!$AA$4:$AC$19,3,FALSE))</f>
        <v>4045.5374470468432</v>
      </c>
      <c r="AE30" s="5">
        <f>VLOOKUP(AE$22,ovrcst!$A$5:$W$36,VLOOKUP('ELC_Gen-sdj'!$B30,'ELC_Gen-sdj'!$AA$4:$AC$19,3,FALSE))</f>
        <v>3995.2867433808556</v>
      </c>
      <c r="AF30" s="5">
        <f>VLOOKUP(AF$22,ovrcst!$A$5:$W$36,VLOOKUP('ELC_Gen-sdj'!$B30,'ELC_Gen-sdj'!$AA$4:$AC$19,3,FALSE))</f>
        <v>3945.0531934826881</v>
      </c>
      <c r="AG30" s="5">
        <f>VLOOKUP(AG$22,ovrcst!$A$5:$W$36,VLOOKUP('ELC_Gen-sdj'!$B30,'ELC_Gen-sdj'!$AA$4:$AC$19,3,FALSE))</f>
        <v>3894.9128747454174</v>
      </c>
      <c r="AH30" s="5">
        <f>VLOOKUP(AH$22,ovrcst!$A$5:$W$36,VLOOKUP('ELC_Gen-sdj'!$B30,'ELC_Gen-sdj'!$AA$4:$AC$19,3,FALSE))</f>
        <v>3845.2213075356417</v>
      </c>
    </row>
    <row r="31" spans="2:34">
      <c r="B31" s="35" t="str">
        <f t="shared" si="2"/>
        <v>EN_OilCCAdv</v>
      </c>
      <c r="C31" s="38">
        <f>VLOOKUP(C$22,ovrcst!$A$5:$W$36,VLOOKUP('ELC_Gen-sdj'!$B31,'ELC_Gen-sdj'!$AA$4:$AC$19,3,FALSE))</f>
        <v>691.0768157887843</v>
      </c>
      <c r="D31" s="38">
        <f>VLOOKUP(D$22,ovrcst!$A$5:$W$36,VLOOKUP('ELC_Gen-sdj'!$B31,'ELC_Gen-sdj'!$AA$4:$AC$19,3,FALSE))</f>
        <v>683.76621123055679</v>
      </c>
      <c r="E31" s="38">
        <f>VLOOKUP(E$22,ovrcst!$A$5:$W$36,VLOOKUP('ELC_Gen-sdj'!$B31,'ELC_Gen-sdj'!$AA$4:$AC$19,3,FALSE))</f>
        <v>667.48039872330708</v>
      </c>
      <c r="F31" s="38">
        <f>VLOOKUP(F$22,ovrcst!$A$5:$W$36,VLOOKUP('ELC_Gen-sdj'!$B31,'ELC_Gen-sdj'!$AA$4:$AC$19,3,FALSE))</f>
        <v>657.5143656011345</v>
      </c>
      <c r="G31" s="38">
        <f>VLOOKUP(G$22,ovrcst!$A$5:$W$36,VLOOKUP('ELC_Gen-sdj'!$B31,'ELC_Gen-sdj'!$AA$4:$AC$19,3,FALSE))</f>
        <v>625.44563297699176</v>
      </c>
      <c r="H31" s="38">
        <f>VLOOKUP(H$22,ovrcst!$A$5:$W$36,VLOOKUP('ELC_Gen-sdj'!$B31,'ELC_Gen-sdj'!$AA$4:$AC$19,3,FALSE))</f>
        <v>612.36512873569245</v>
      </c>
      <c r="I31" s="38">
        <f>VLOOKUP(I$22,ovrcst!$A$5:$W$36,VLOOKUP('ELC_Gen-sdj'!$B31,'ELC_Gen-sdj'!$AA$4:$AC$19,3,FALSE))</f>
        <v>599.88018282301789</v>
      </c>
      <c r="J31" s="38">
        <f>VLOOKUP(J$22,ovrcst!$A$5:$W$36,VLOOKUP('ELC_Gen-sdj'!$B31,'ELC_Gen-sdj'!$AA$4:$AC$19,3,FALSE))</f>
        <v>586.79665335842799</v>
      </c>
      <c r="K31" s="38">
        <f>VLOOKUP(K$22,ovrcst!$A$5:$W$36,VLOOKUP('ELC_Gen-sdj'!$B31,'ELC_Gen-sdj'!$AA$4:$AC$19,3,FALSE))</f>
        <v>573.38688246717516</v>
      </c>
      <c r="L31" s="38">
        <f>VLOOKUP(L$22,ovrcst!$A$5:$W$36,VLOOKUP('ELC_Gen-sdj'!$B31,'ELC_Gen-sdj'!$AA$4:$AC$19,3,FALSE))</f>
        <v>563.08421888622388</v>
      </c>
      <c r="M31" s="38">
        <f>VLOOKUP(M$22,ovrcst!$A$5:$W$36,VLOOKUP('ELC_Gen-sdj'!$B31,'ELC_Gen-sdj'!$AA$4:$AC$19,3,FALSE))</f>
        <v>552.68940292531795</v>
      </c>
      <c r="N31" s="38">
        <f>VLOOKUP(N$22,ovrcst!$A$5:$W$36,VLOOKUP('ELC_Gen-sdj'!$B31,'ELC_Gen-sdj'!$AA$4:$AC$19,3,FALSE))</f>
        <v>545.18176316075028</v>
      </c>
      <c r="O31" s="38">
        <f>VLOOKUP(O$22,ovrcst!$A$5:$W$36,VLOOKUP('ELC_Gen-sdj'!$B31,'ELC_Gen-sdj'!$AA$4:$AC$19,3,FALSE))</f>
        <v>538.1821541760055</v>
      </c>
      <c r="P31" s="38">
        <f>VLOOKUP(P$22,ovrcst!$A$5:$W$36,VLOOKUP('ELC_Gen-sdj'!$B31,'ELC_Gen-sdj'!$AA$4:$AC$19,3,FALSE))</f>
        <v>530.05109484271452</v>
      </c>
      <c r="Q31" s="38">
        <f>VLOOKUP(Q$22,ovrcst!$A$5:$W$36,VLOOKUP('ELC_Gen-sdj'!$B31,'ELC_Gen-sdj'!$AA$4:$AC$19,3,FALSE))</f>
        <v>523.25171840914777</v>
      </c>
      <c r="R31" s="38">
        <f>VLOOKUP(R$22,ovrcst!$A$5:$W$36,VLOOKUP('ELC_Gen-sdj'!$B31,'ELC_Gen-sdj'!$AA$4:$AC$19,3,FALSE))</f>
        <v>515.81087957852662</v>
      </c>
      <c r="S31" s="5">
        <f>VLOOKUP(S$22,ovrcst!$A$5:$W$36,VLOOKUP('ELC_Gen-sdj'!$B31,'ELC_Gen-sdj'!$AA$4:$AC$19,3,FALSE))</f>
        <v>508.97975794471898</v>
      </c>
      <c r="T31" s="5">
        <f>VLOOKUP(T$22,ovrcst!$A$5:$W$36,VLOOKUP('ELC_Gen-sdj'!$B31,'ELC_Gen-sdj'!$AA$4:$AC$19,3,FALSE))</f>
        <v>501.93412983203177</v>
      </c>
      <c r="U31" s="5">
        <f>VLOOKUP(U$22,ovrcst!$A$5:$W$36,VLOOKUP('ELC_Gen-sdj'!$B31,'ELC_Gen-sdj'!$AA$4:$AC$19,3,FALSE))</f>
        <v>496.13037458887266</v>
      </c>
      <c r="V31" s="5">
        <f>VLOOKUP(V$22,ovrcst!$A$5:$W$36,VLOOKUP('ELC_Gen-sdj'!$B31,'ELC_Gen-sdj'!$AA$4:$AC$19,3,FALSE))</f>
        <v>491.60428881995716</v>
      </c>
      <c r="W31" s="5">
        <f>VLOOKUP(W$22,ovrcst!$A$5:$W$36,VLOOKUP('ELC_Gen-sdj'!$B31,'ELC_Gen-sdj'!$AA$4:$AC$19,3,FALSE))</f>
        <v>487.00232364089447</v>
      </c>
      <c r="X31" s="5">
        <f>VLOOKUP(X$22,ovrcst!$A$5:$W$36,VLOOKUP('ELC_Gen-sdj'!$B31,'ELC_Gen-sdj'!$AA$4:$AC$19,3,FALSE))</f>
        <v>482.58534609527305</v>
      </c>
      <c r="Y31" s="5">
        <f>VLOOKUP(Y$22,ovrcst!$A$5:$W$36,VLOOKUP('ELC_Gen-sdj'!$B31,'ELC_Gen-sdj'!$AA$4:$AC$19,3,FALSE))</f>
        <v>478.28898178879183</v>
      </c>
      <c r="Z31" s="5">
        <f>VLOOKUP(Z$22,ovrcst!$A$5:$W$36,VLOOKUP('ELC_Gen-sdj'!$B31,'ELC_Gen-sdj'!$AA$4:$AC$19,3,FALSE))</f>
        <v>473.62192940771479</v>
      </c>
      <c r="AA31" s="5">
        <f>VLOOKUP(AA$22,ovrcst!$A$5:$W$36,VLOOKUP('ELC_Gen-sdj'!$B31,'ELC_Gen-sdj'!$AA$4:$AC$19,3,FALSE))</f>
        <v>469.65517412339614</v>
      </c>
      <c r="AB31" s="5">
        <f>VLOOKUP(AB$22,ovrcst!$A$5:$W$36,VLOOKUP('ELC_Gen-sdj'!$B31,'ELC_Gen-sdj'!$AA$4:$AC$19,3,FALSE))</f>
        <v>465.07507586444302</v>
      </c>
      <c r="AC31" s="5">
        <f>VLOOKUP(AC$22,ovrcst!$A$5:$W$36,VLOOKUP('ELC_Gen-sdj'!$B31,'ELC_Gen-sdj'!$AA$4:$AC$19,3,FALSE))</f>
        <v>461.08628247391044</v>
      </c>
      <c r="AD31" s="5">
        <f>VLOOKUP(AD$22,ovrcst!$A$5:$W$36,VLOOKUP('ELC_Gen-sdj'!$B31,'ELC_Gen-sdj'!$AA$4:$AC$19,3,FALSE))</f>
        <v>456.59451063224731</v>
      </c>
      <c r="AE31" s="5">
        <f>VLOOKUP(AE$22,ovrcst!$A$5:$W$36,VLOOKUP('ELC_Gen-sdj'!$B31,'ELC_Gen-sdj'!$AA$4:$AC$19,3,FALSE))</f>
        <v>452.50808410008494</v>
      </c>
      <c r="AF31" s="5">
        <f>VLOOKUP(AF$22,ovrcst!$A$5:$W$36,VLOOKUP('ELC_Gen-sdj'!$B31,'ELC_Gen-sdj'!$AA$4:$AC$19,3,FALSE))</f>
        <v>448.39967652374338</v>
      </c>
      <c r="AG31" s="5">
        <f>VLOOKUP(AG$22,ovrcst!$A$5:$W$36,VLOOKUP('ELC_Gen-sdj'!$B31,'ELC_Gen-sdj'!$AA$4:$AC$19,3,FALSE))</f>
        <v>444.27762270208376</v>
      </c>
      <c r="AH31" s="5">
        <f>VLOOKUP(AH$22,ovrcst!$A$5:$W$36,VLOOKUP('ELC_Gen-sdj'!$B31,'ELC_Gen-sdj'!$AA$4:$AC$19,3,FALSE))</f>
        <v>440.18226175197276</v>
      </c>
    </row>
    <row r="32" spans="2:34">
      <c r="B32" s="12" t="str">
        <f t="shared" si="2"/>
        <v>EN_NuclearAdv</v>
      </c>
      <c r="C32" s="5">
        <f>VLOOKUP(C$22,ovrcst!$A$5:$W$36,VLOOKUP('ELC_Gen-sdj'!$B32,'ELC_Gen-sdj'!$AA$4:$AC$19,3,FALSE))</f>
        <v>6034.2658544366905</v>
      </c>
      <c r="D32" s="5">
        <f>VLOOKUP(D$22,ovrcst!$A$5:$W$36,VLOOKUP('ELC_Gen-sdj'!$B32,'ELC_Gen-sdj'!$AA$4:$AC$19,3,FALSE))</f>
        <v>5962.7387367896317</v>
      </c>
      <c r="E32" s="5">
        <f>VLOOKUP(E$22,ovrcst!$A$5:$W$36,VLOOKUP('ELC_Gen-sdj'!$B32,'ELC_Gen-sdj'!$AA$4:$AC$19,3,FALSE))</f>
        <v>5813.1538005982065</v>
      </c>
      <c r="F32" s="5">
        <f>VLOOKUP(F$22,ovrcst!$A$5:$W$36,VLOOKUP('ELC_Gen-sdj'!$B32,'ELC_Gen-sdj'!$AA$4:$AC$19,3,FALSE))</f>
        <v>5718.8483379860418</v>
      </c>
      <c r="G32" s="5">
        <f>VLOOKUP(G$22,ovrcst!$A$5:$W$36,VLOOKUP('ELC_Gen-sdj'!$B32,'ELC_Gen-sdj'!$AA$4:$AC$19,3,FALSE))</f>
        <v>5651.0838574277177</v>
      </c>
      <c r="H32" s="5">
        <f>VLOOKUP(H$22,ovrcst!$A$5:$W$36,VLOOKUP('ELC_Gen-sdj'!$B32,'ELC_Gen-sdj'!$AA$4:$AC$19,3,FALSE))</f>
        <v>5595.7970817547366</v>
      </c>
      <c r="I32" s="5">
        <f>VLOOKUP(I$22,ovrcst!$A$5:$W$36,VLOOKUP('ELC_Gen-sdj'!$B32,'ELC_Gen-sdj'!$AA$4:$AC$19,3,FALSE))</f>
        <v>5550.1031086739786</v>
      </c>
      <c r="J32" s="5">
        <f>VLOOKUP(J$22,ovrcst!$A$5:$W$36,VLOOKUP('ELC_Gen-sdj'!$B32,'ELC_Gen-sdj'!$AA$4:$AC$19,3,FALSE))</f>
        <v>5491.1155204386851</v>
      </c>
      <c r="K32" s="5">
        <f>VLOOKUP(K$22,ovrcst!$A$5:$W$36,VLOOKUP('ELC_Gen-sdj'!$B32,'ELC_Gen-sdj'!$AA$4:$AC$19,3,FALSE))</f>
        <v>5421.3467996011968</v>
      </c>
      <c r="L32" s="5">
        <f>VLOOKUP(L$22,ovrcst!$A$5:$W$36,VLOOKUP('ELC_Gen-sdj'!$B32,'ELC_Gen-sdj'!$AA$4:$AC$19,3,FALSE))</f>
        <v>5343.9588464606186</v>
      </c>
      <c r="M32" s="5">
        <f>VLOOKUP(M$22,ovrcst!$A$5:$W$36,VLOOKUP('ELC_Gen-sdj'!$B32,'ELC_Gen-sdj'!$AA$4:$AC$19,3,FALSE))</f>
        <v>5264.7273020937191</v>
      </c>
      <c r="N32" s="5">
        <f>VLOOKUP(N$22,ovrcst!$A$5:$W$36,VLOOKUP('ELC_Gen-sdj'!$B32,'ELC_Gen-sdj'!$AA$4:$AC$19,3,FALSE))</f>
        <v>5194.5399152542377</v>
      </c>
      <c r="O32" s="5">
        <f>VLOOKUP(O$22,ovrcst!$A$5:$W$36,VLOOKUP('ELC_Gen-sdj'!$B32,'ELC_Gen-sdj'!$AA$4:$AC$19,3,FALSE))</f>
        <v>5124.7502612163516</v>
      </c>
      <c r="P32" s="5">
        <f>VLOOKUP(P$22,ovrcst!$A$5:$W$36,VLOOKUP('ELC_Gen-sdj'!$B32,'ELC_Gen-sdj'!$AA$4:$AC$19,3,FALSE))</f>
        <v>5055.228844466601</v>
      </c>
      <c r="Q32" s="5">
        <f>VLOOKUP(Q$22,ovrcst!$A$5:$W$36,VLOOKUP('ELC_Gen-sdj'!$B32,'ELC_Gen-sdj'!$AA$4:$AC$19,3,FALSE))</f>
        <v>4988.7247437686947</v>
      </c>
      <c r="R32" s="5">
        <f>VLOOKUP(R$22,ovrcst!$A$5:$W$36,VLOOKUP('ELC_Gen-sdj'!$B32,'ELC_Gen-sdj'!$AA$4:$AC$19,3,FALSE))</f>
        <v>4923.0847497507484</v>
      </c>
      <c r="S32" s="5">
        <f>VLOOKUP(S$22,ovrcst!$A$5:$W$36,VLOOKUP('ELC_Gen-sdj'!$B32,'ELC_Gen-sdj'!$AA$4:$AC$19,3,FALSE))</f>
        <v>4854.4663858424728</v>
      </c>
      <c r="T32" s="5">
        <f>VLOOKUP(T$22,ovrcst!$A$5:$W$36,VLOOKUP('ELC_Gen-sdj'!$B32,'ELC_Gen-sdj'!$AA$4:$AC$19,3,FALSE))</f>
        <v>4789.0337776669994</v>
      </c>
      <c r="U32" s="5">
        <f>VLOOKUP(U$22,ovrcst!$A$5:$W$36,VLOOKUP('ELC_Gen-sdj'!$B32,'ELC_Gen-sdj'!$AA$4:$AC$19,3,FALSE))</f>
        <v>4724.6736350947167</v>
      </c>
      <c r="V32" s="5">
        <f>VLOOKUP(V$22,ovrcst!$A$5:$W$36,VLOOKUP('ELC_Gen-sdj'!$B32,'ELC_Gen-sdj'!$AA$4:$AC$19,3,FALSE))</f>
        <v>4662.4929900299112</v>
      </c>
      <c r="W32" s="5">
        <f>VLOOKUP(W$22,ovrcst!$A$5:$W$36,VLOOKUP('ELC_Gen-sdj'!$B32,'ELC_Gen-sdj'!$AA$4:$AC$19,3,FALSE))</f>
        <v>4599.8883230309075</v>
      </c>
      <c r="X32" s="5">
        <f>VLOOKUP(X$22,ovrcst!$A$5:$W$36,VLOOKUP('ELC_Gen-sdj'!$B32,'ELC_Gen-sdj'!$AA$4:$AC$19,3,FALSE))</f>
        <v>4539.3253828514462</v>
      </c>
      <c r="Y32" s="5">
        <f>VLOOKUP(Y$22,ovrcst!$A$5:$W$36,VLOOKUP('ELC_Gen-sdj'!$B32,'ELC_Gen-sdj'!$AA$4:$AC$19,3,FALSE))</f>
        <v>4480.1800648055842</v>
      </c>
      <c r="Z32" s="5">
        <f>VLOOKUP(Z$22,ovrcst!$A$5:$W$36,VLOOKUP('ELC_Gen-sdj'!$B32,'ELC_Gen-sdj'!$AA$4:$AC$19,3,FALSE))</f>
        <v>4417.8577547357927</v>
      </c>
      <c r="AA32" s="5">
        <f>VLOOKUP(AA$22,ovrcst!$A$5:$W$36,VLOOKUP('ELC_Gen-sdj'!$B32,'ELC_Gen-sdj'!$AA$4:$AC$19,3,FALSE))</f>
        <v>4362.3494745762719</v>
      </c>
      <c r="AB32" s="5">
        <f>VLOOKUP(AB$22,ovrcst!$A$5:$W$36,VLOOKUP('ELC_Gen-sdj'!$B32,'ELC_Gen-sdj'!$AA$4:$AC$19,3,FALSE))</f>
        <v>4301.4243399800598</v>
      </c>
      <c r="AC32" s="5">
        <f>VLOOKUP(AC$22,ovrcst!$A$5:$W$36,VLOOKUP('ELC_Gen-sdj'!$B32,'ELC_Gen-sdj'!$AA$4:$AC$19,3,FALSE))</f>
        <v>4246.250993020938</v>
      </c>
      <c r="AD32" s="5">
        <f>VLOOKUP(AD$22,ovrcst!$A$5:$W$36,VLOOKUP('ELC_Gen-sdj'!$B32,'ELC_Gen-sdj'!$AA$4:$AC$19,3,FALSE))</f>
        <v>4186.7269282153538</v>
      </c>
      <c r="AE32" s="5">
        <f>VLOOKUP(AE$22,ovrcst!$A$5:$W$36,VLOOKUP('ELC_Gen-sdj'!$B32,'ELC_Gen-sdj'!$AA$4:$AC$19,3,FALSE))</f>
        <v>4131.205504486541</v>
      </c>
      <c r="AF32" s="5">
        <f>VLOOKUP(AF$22,ovrcst!$A$5:$W$36,VLOOKUP('ELC_Gen-sdj'!$B32,'ELC_Gen-sdj'!$AA$4:$AC$19,3,FALSE))</f>
        <v>4075.7544257228319</v>
      </c>
      <c r="AG32" s="5">
        <f>VLOOKUP(AG$22,ovrcst!$A$5:$W$36,VLOOKUP('ELC_Gen-sdj'!$B32,'ELC_Gen-sdj'!$AA$4:$AC$19,3,FALSE))</f>
        <v>4020.4532881355935</v>
      </c>
      <c r="AH32" s="5">
        <f>VLOOKUP(AH$22,ovrcst!$A$5:$W$36,VLOOKUP('ELC_Gen-sdj'!$B32,'ELC_Gen-sdj'!$AA$4:$AC$19,3,FALSE))</f>
        <v>3965.6701286141583</v>
      </c>
    </row>
    <row r="33" spans="2:34">
      <c r="B33" s="12"/>
    </row>
    <row r="34" spans="2:34">
      <c r="B34" s="12"/>
    </row>
    <row r="35" spans="2:34">
      <c r="B35" s="32" t="s">
        <v>135</v>
      </c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</row>
    <row r="36" spans="2:34">
      <c r="B36" s="32" t="s">
        <v>0</v>
      </c>
      <c r="C36" s="32">
        <v>2019</v>
      </c>
      <c r="D36" s="32">
        <v>2020</v>
      </c>
      <c r="E36" s="32">
        <v>2021</v>
      </c>
      <c r="F36" s="32">
        <v>2022</v>
      </c>
      <c r="G36" s="32">
        <v>2023</v>
      </c>
      <c r="H36" s="32">
        <v>2024</v>
      </c>
      <c r="I36" s="32">
        <v>2025</v>
      </c>
      <c r="J36" s="32">
        <v>2026</v>
      </c>
      <c r="K36" s="32">
        <v>2027</v>
      </c>
      <c r="L36" s="32">
        <v>2028</v>
      </c>
      <c r="M36" s="32">
        <v>2029</v>
      </c>
      <c r="N36" s="32">
        <v>2030</v>
      </c>
      <c r="O36" s="32">
        <v>2031</v>
      </c>
      <c r="P36" s="32">
        <v>2032</v>
      </c>
      <c r="Q36" s="32">
        <v>2033</v>
      </c>
      <c r="R36" s="32">
        <v>2034</v>
      </c>
      <c r="S36" s="32">
        <v>2035</v>
      </c>
      <c r="T36" s="32">
        <v>2036</v>
      </c>
      <c r="U36" s="32">
        <v>2037</v>
      </c>
      <c r="V36" s="32">
        <v>2038</v>
      </c>
      <c r="W36" s="32">
        <v>2039</v>
      </c>
      <c r="X36" s="32">
        <v>2040</v>
      </c>
      <c r="Y36" s="32">
        <v>2041</v>
      </c>
      <c r="Z36" s="32">
        <v>2042</v>
      </c>
      <c r="AA36" s="32">
        <v>2043</v>
      </c>
      <c r="AB36" s="32">
        <v>2044</v>
      </c>
      <c r="AC36" s="32">
        <v>2045</v>
      </c>
      <c r="AD36" s="32">
        <v>2046</v>
      </c>
      <c r="AE36" s="32">
        <v>2047</v>
      </c>
      <c r="AF36" s="32">
        <v>2048</v>
      </c>
      <c r="AG36" s="32">
        <v>2049</v>
      </c>
      <c r="AH36" s="32">
        <v>2050</v>
      </c>
    </row>
    <row r="37" spans="2:34">
      <c r="B37" s="32" t="str">
        <f>B23</f>
        <v>EN_ZCOAIGCC</v>
      </c>
      <c r="C37" s="33">
        <f>VLOOKUP(C$22,heatrate!$K$5:$T$36,VLOOKUP('ELC_Gen-sdj'!$B37,'ELC_Gen-sdj'!$AA$4:$AD$19,4,FALSE))</f>
        <v>0.2929031995606452</v>
      </c>
      <c r="D37" s="34">
        <f>VLOOKUP(D$22,heatrate!$K$5:$T$36,VLOOKUP('ELC_Gen-sdj'!$B37,'ELC_Gen-sdj'!$AA$4:$AD$19,4,FALSE))</f>
        <v>0.2929031995606452</v>
      </c>
      <c r="E37" s="34">
        <f>VLOOKUP(E$22,heatrate!$K$5:$T$36,VLOOKUP('ELC_Gen-sdj'!$B37,'ELC_Gen-sdj'!$AA$4:$AD$19,4,FALSE))</f>
        <v>0.2929031995606452</v>
      </c>
      <c r="F37" s="34">
        <f>VLOOKUP(F$22,heatrate!$K$5:$T$36,VLOOKUP('ELC_Gen-sdj'!$B37,'ELC_Gen-sdj'!$AA$4:$AD$19,4,FALSE))</f>
        <v>0.2929031995606452</v>
      </c>
      <c r="G37" s="34">
        <f>VLOOKUP(G$22,heatrate!$K$5:$T$36,VLOOKUP('ELC_Gen-sdj'!$B37,'ELC_Gen-sdj'!$AA$4:$AD$19,4,FALSE))</f>
        <v>0.31443212903397061</v>
      </c>
      <c r="H37" s="34">
        <f>VLOOKUP(H$22,heatrate!$K$5:$T$36,VLOOKUP('ELC_Gen-sdj'!$B37,'ELC_Gen-sdj'!$AA$4:$AD$19,4,FALSE))</f>
        <v>0.3393769667254069</v>
      </c>
      <c r="I37" s="34">
        <f>VLOOKUP(I$22,heatrate!$K$5:$T$36,VLOOKUP('ELC_Gen-sdj'!$B37,'ELC_Gen-sdj'!$AA$4:$AD$19,4,FALSE))</f>
        <v>0.36862074914999637</v>
      </c>
      <c r="J37" s="34">
        <f>VLOOKUP(J$22,heatrate!$K$5:$T$36,VLOOKUP('ELC_Gen-sdj'!$B37,'ELC_Gen-sdj'!$AA$4:$AD$19,4,FALSE))</f>
        <v>0.36862074914999637</v>
      </c>
      <c r="K37" s="34">
        <f>VLOOKUP(K$22,heatrate!$K$5:$T$36,VLOOKUP('ELC_Gen-sdj'!$B37,'ELC_Gen-sdj'!$AA$4:$AD$19,4,FALSE))</f>
        <v>0.36862074914999637</v>
      </c>
      <c r="L37" s="34">
        <f>VLOOKUP(L$22,heatrate!$K$5:$T$36,VLOOKUP('ELC_Gen-sdj'!$B37,'ELC_Gen-sdj'!$AA$4:$AD$19,4,FALSE))</f>
        <v>0.36862074914999637</v>
      </c>
      <c r="M37" s="34">
        <f>VLOOKUP(M$22,heatrate!$K$5:$T$36,VLOOKUP('ELC_Gen-sdj'!$B37,'ELC_Gen-sdj'!$AA$4:$AD$19,4,FALSE))</f>
        <v>0.36862074914999637</v>
      </c>
      <c r="N37" s="34">
        <f>VLOOKUP(N$22,heatrate!$K$5:$T$36,VLOOKUP('ELC_Gen-sdj'!$B37,'ELC_Gen-sdj'!$AA$4:$AD$19,4,FALSE))</f>
        <v>0.36862074914999637</v>
      </c>
      <c r="O37" s="34">
        <f>VLOOKUP(O$22,heatrate!$K$5:$T$36,VLOOKUP('ELC_Gen-sdj'!$B37,'ELC_Gen-sdj'!$AA$4:$AD$19,4,FALSE))</f>
        <v>0.36862074914999637</v>
      </c>
      <c r="P37" s="34">
        <f>VLOOKUP(P$22,heatrate!$K$5:$T$36,VLOOKUP('ELC_Gen-sdj'!$B37,'ELC_Gen-sdj'!$AA$4:$AD$19,4,FALSE))</f>
        <v>0.36862074914999637</v>
      </c>
      <c r="Q37" s="34">
        <f>VLOOKUP(Q$22,heatrate!$K$5:$T$36,VLOOKUP('ELC_Gen-sdj'!$B37,'ELC_Gen-sdj'!$AA$4:$AD$19,4,FALSE))</f>
        <v>0.36862074914999637</v>
      </c>
      <c r="R37" s="34">
        <f>VLOOKUP(R$22,heatrate!$K$5:$T$36,VLOOKUP('ELC_Gen-sdj'!$B37,'ELC_Gen-sdj'!$AA$4:$AD$19,4,FALSE))</f>
        <v>0.36862074914999637</v>
      </c>
      <c r="S37" s="34">
        <f>VLOOKUP(S$22,heatrate!$K$5:$T$36,VLOOKUP('ELC_Gen-sdj'!$B37,'ELC_Gen-sdj'!$AA$4:$AD$19,4,FALSE))</f>
        <v>0.36862074914999637</v>
      </c>
      <c r="T37" s="34">
        <f>VLOOKUP(T$22,heatrate!$K$5:$T$36,VLOOKUP('ELC_Gen-sdj'!$B37,'ELC_Gen-sdj'!$AA$4:$AD$19,4,FALSE))</f>
        <v>0.36862074914999637</v>
      </c>
      <c r="U37" s="34">
        <f>VLOOKUP(U$22,heatrate!$K$5:$T$36,VLOOKUP('ELC_Gen-sdj'!$B37,'ELC_Gen-sdj'!$AA$4:$AD$19,4,FALSE))</f>
        <v>0.36862074914999637</v>
      </c>
      <c r="V37" s="34">
        <f>VLOOKUP(V$22,heatrate!$K$5:$T$36,VLOOKUP('ELC_Gen-sdj'!$B37,'ELC_Gen-sdj'!$AA$4:$AD$19,4,FALSE))</f>
        <v>0.36862074914999637</v>
      </c>
      <c r="W37" s="34">
        <f>VLOOKUP(W$22,heatrate!$K$5:$T$36,VLOOKUP('ELC_Gen-sdj'!$B37,'ELC_Gen-sdj'!$AA$4:$AD$19,4,FALSE))</f>
        <v>0.36862074914999637</v>
      </c>
      <c r="X37" s="34">
        <f>VLOOKUP(X$22,heatrate!$K$5:$T$36,VLOOKUP('ELC_Gen-sdj'!$B37,'ELC_Gen-sdj'!$AA$4:$AD$19,4,FALSE))</f>
        <v>0.36862074914999637</v>
      </c>
      <c r="Y37" s="34">
        <f>VLOOKUP(Y$22,heatrate!$K$5:$T$36,VLOOKUP('ELC_Gen-sdj'!$B37,'ELC_Gen-sdj'!$AA$4:$AD$19,4,FALSE))</f>
        <v>0.36862074914999637</v>
      </c>
      <c r="Z37" s="34">
        <f>VLOOKUP(Z$22,heatrate!$K$5:$T$36,VLOOKUP('ELC_Gen-sdj'!$B37,'ELC_Gen-sdj'!$AA$4:$AD$19,4,FALSE))</f>
        <v>0.36862074914999637</v>
      </c>
      <c r="AA37" s="34">
        <f>VLOOKUP(AA$22,heatrate!$K$5:$T$36,VLOOKUP('ELC_Gen-sdj'!$B37,'ELC_Gen-sdj'!$AA$4:$AD$19,4,FALSE))</f>
        <v>0.36862074914999637</v>
      </c>
      <c r="AB37" s="34">
        <f>VLOOKUP(AB$22,heatrate!$K$5:$T$36,VLOOKUP('ELC_Gen-sdj'!$B37,'ELC_Gen-sdj'!$AA$4:$AD$19,4,FALSE))</f>
        <v>0.36862074914999637</v>
      </c>
      <c r="AC37" s="34">
        <f>VLOOKUP(AC$22,heatrate!$K$5:$T$36,VLOOKUP('ELC_Gen-sdj'!$B37,'ELC_Gen-sdj'!$AA$4:$AD$19,4,FALSE))</f>
        <v>0.36862074914999637</v>
      </c>
      <c r="AD37" s="34">
        <f>VLOOKUP(AD$22,heatrate!$K$5:$T$36,VLOOKUP('ELC_Gen-sdj'!$B37,'ELC_Gen-sdj'!$AA$4:$AD$19,4,FALSE))</f>
        <v>0.36862074914999637</v>
      </c>
      <c r="AE37" s="34">
        <f>VLOOKUP(AE$22,heatrate!$K$5:$T$36,VLOOKUP('ELC_Gen-sdj'!$B37,'ELC_Gen-sdj'!$AA$4:$AD$19,4,FALSE))</f>
        <v>0.36862074914999637</v>
      </c>
      <c r="AF37" s="34">
        <f>VLOOKUP(AF$22,heatrate!$K$5:$T$36,VLOOKUP('ELC_Gen-sdj'!$B37,'ELC_Gen-sdj'!$AA$4:$AD$19,4,FALSE))</f>
        <v>0.36862074914999637</v>
      </c>
      <c r="AG37" s="34">
        <f>VLOOKUP(AG$22,heatrate!$K$5:$T$36,VLOOKUP('ELC_Gen-sdj'!$B37,'ELC_Gen-sdj'!$AA$4:$AD$19,4,FALSE))</f>
        <v>0.36862074914999637</v>
      </c>
      <c r="AH37" s="34">
        <f>VLOOKUP(AH$22,heatrate!$K$5:$T$36,VLOOKUP('ELC_Gen-sdj'!$B37,'ELC_Gen-sdj'!$AA$4:$AD$19,4,FALSE))</f>
        <v>0.36862074914999637</v>
      </c>
    </row>
    <row r="38" spans="2:34">
      <c r="B38" s="32" t="str">
        <f t="shared" ref="B38:B42" si="3">B24</f>
        <v>EN_ZGasCCAdv</v>
      </c>
      <c r="C38" s="33">
        <f>VLOOKUP(C$22,heatrate!$K$5:$T$36,VLOOKUP('ELC_Gen-sdj'!$B38,'ELC_Gen-sdj'!$AA$4:$AD$19,4,FALSE))</f>
        <v>0.4534647541370786</v>
      </c>
      <c r="D38" s="34">
        <f>VLOOKUP(D$22,heatrate!$K$5:$T$36,VLOOKUP('ELC_Gen-sdj'!$B38,'ELC_Gen-sdj'!$AA$4:$AD$19,4,FALSE))</f>
        <v>0.4534647541370786</v>
      </c>
      <c r="E38" s="34">
        <f>VLOOKUP(E$22,heatrate!$K$5:$T$36,VLOOKUP('ELC_Gen-sdj'!$B38,'ELC_Gen-sdj'!$AA$4:$AD$19,4,FALSE))</f>
        <v>0.4534647541370786</v>
      </c>
      <c r="F38" s="34">
        <f>VLOOKUP(F$22,heatrate!$K$5:$T$36,VLOOKUP('ELC_Gen-sdj'!$B38,'ELC_Gen-sdj'!$AA$4:$AD$19,4,FALSE))</f>
        <v>0.45394735597732028</v>
      </c>
      <c r="G38" s="34">
        <f>VLOOKUP(G$22,heatrate!$K$5:$T$36,VLOOKUP('ELC_Gen-sdj'!$B38,'ELC_Gen-sdj'!$AA$4:$AD$19,4,FALSE))</f>
        <v>0.45443098613417449</v>
      </c>
      <c r="H38" s="34">
        <f>VLOOKUP(H$22,heatrate!$K$5:$T$36,VLOOKUP('ELC_Gen-sdj'!$B38,'ELC_Gen-sdj'!$AA$4:$AD$19,4,FALSE))</f>
        <v>0.45491564789781591</v>
      </c>
      <c r="I38" s="34">
        <f>VLOOKUP(I$22,heatrate!$K$5:$T$36,VLOOKUP('ELC_Gen-sdj'!$B38,'ELC_Gen-sdj'!$AA$4:$AD$19,4,FALSE))</f>
        <v>0.45540134457246989</v>
      </c>
      <c r="J38" s="34">
        <f>VLOOKUP(J$22,heatrate!$K$5:$T$36,VLOOKUP('ELC_Gen-sdj'!$B38,'ELC_Gen-sdj'!$AA$4:$AD$19,4,FALSE))</f>
        <v>0.45540134457246989</v>
      </c>
      <c r="K38" s="34">
        <f>VLOOKUP(K$22,heatrate!$K$5:$T$36,VLOOKUP('ELC_Gen-sdj'!$B38,'ELC_Gen-sdj'!$AA$4:$AD$19,4,FALSE))</f>
        <v>0.45540134457246989</v>
      </c>
      <c r="L38" s="34">
        <f>VLOOKUP(L$22,heatrate!$K$5:$T$36,VLOOKUP('ELC_Gen-sdj'!$B38,'ELC_Gen-sdj'!$AA$4:$AD$19,4,FALSE))</f>
        <v>0.45540134457246989</v>
      </c>
      <c r="M38" s="34">
        <f>VLOOKUP(M$22,heatrate!$K$5:$T$36,VLOOKUP('ELC_Gen-sdj'!$B38,'ELC_Gen-sdj'!$AA$4:$AD$19,4,FALSE))</f>
        <v>0.45540134457246989</v>
      </c>
      <c r="N38" s="34">
        <f>VLOOKUP(N$22,heatrate!$K$5:$T$36,VLOOKUP('ELC_Gen-sdj'!$B38,'ELC_Gen-sdj'!$AA$4:$AD$19,4,FALSE))</f>
        <v>0.45540134457246989</v>
      </c>
      <c r="O38" s="34">
        <f>VLOOKUP(O$22,heatrate!$K$5:$T$36,VLOOKUP('ELC_Gen-sdj'!$B38,'ELC_Gen-sdj'!$AA$4:$AD$19,4,FALSE))</f>
        <v>0.45540134457246989</v>
      </c>
      <c r="P38" s="34">
        <f>VLOOKUP(P$22,heatrate!$K$5:$T$36,VLOOKUP('ELC_Gen-sdj'!$B38,'ELC_Gen-sdj'!$AA$4:$AD$19,4,FALSE))</f>
        <v>0.45540134457246989</v>
      </c>
      <c r="Q38" s="34">
        <f>VLOOKUP(Q$22,heatrate!$K$5:$T$36,VLOOKUP('ELC_Gen-sdj'!$B38,'ELC_Gen-sdj'!$AA$4:$AD$19,4,FALSE))</f>
        <v>0.45540134457246989</v>
      </c>
      <c r="R38" s="34">
        <f>VLOOKUP(R$22,heatrate!$K$5:$T$36,VLOOKUP('ELC_Gen-sdj'!$B38,'ELC_Gen-sdj'!$AA$4:$AD$19,4,FALSE))</f>
        <v>0.45540134457246989</v>
      </c>
      <c r="S38" s="34">
        <f>VLOOKUP(S$22,heatrate!$K$5:$T$36,VLOOKUP('ELC_Gen-sdj'!$B38,'ELC_Gen-sdj'!$AA$4:$AD$19,4,FALSE))</f>
        <v>0.45540134457246989</v>
      </c>
      <c r="T38" s="34">
        <f>VLOOKUP(T$22,heatrate!$K$5:$T$36,VLOOKUP('ELC_Gen-sdj'!$B38,'ELC_Gen-sdj'!$AA$4:$AD$19,4,FALSE))</f>
        <v>0.45540134457246989</v>
      </c>
      <c r="U38" s="34">
        <f>VLOOKUP(U$22,heatrate!$K$5:$T$36,VLOOKUP('ELC_Gen-sdj'!$B38,'ELC_Gen-sdj'!$AA$4:$AD$19,4,FALSE))</f>
        <v>0.45540134457246989</v>
      </c>
      <c r="V38" s="34">
        <f>VLOOKUP(V$22,heatrate!$K$5:$T$36,VLOOKUP('ELC_Gen-sdj'!$B38,'ELC_Gen-sdj'!$AA$4:$AD$19,4,FALSE))</f>
        <v>0.45540134457246989</v>
      </c>
      <c r="W38" s="34">
        <f>VLOOKUP(W$22,heatrate!$K$5:$T$36,VLOOKUP('ELC_Gen-sdj'!$B38,'ELC_Gen-sdj'!$AA$4:$AD$19,4,FALSE))</f>
        <v>0.45540134457246989</v>
      </c>
      <c r="X38" s="34">
        <f>VLOOKUP(X$22,heatrate!$K$5:$T$36,VLOOKUP('ELC_Gen-sdj'!$B38,'ELC_Gen-sdj'!$AA$4:$AD$19,4,FALSE))</f>
        <v>0.45540134457246989</v>
      </c>
      <c r="Y38" s="34">
        <f>VLOOKUP(Y$22,heatrate!$K$5:$T$36,VLOOKUP('ELC_Gen-sdj'!$B38,'ELC_Gen-sdj'!$AA$4:$AD$19,4,FALSE))</f>
        <v>0.45540134457246989</v>
      </c>
      <c r="Z38" s="34">
        <f>VLOOKUP(Z$22,heatrate!$K$5:$T$36,VLOOKUP('ELC_Gen-sdj'!$B38,'ELC_Gen-sdj'!$AA$4:$AD$19,4,FALSE))</f>
        <v>0.45540134457246989</v>
      </c>
      <c r="AA38" s="34">
        <f>VLOOKUP(AA$22,heatrate!$K$5:$T$36,VLOOKUP('ELC_Gen-sdj'!$B38,'ELC_Gen-sdj'!$AA$4:$AD$19,4,FALSE))</f>
        <v>0.45540134457246989</v>
      </c>
      <c r="AB38" s="34">
        <f>VLOOKUP(AB$22,heatrate!$K$5:$T$36,VLOOKUP('ELC_Gen-sdj'!$B38,'ELC_Gen-sdj'!$AA$4:$AD$19,4,FALSE))</f>
        <v>0.45540134457246989</v>
      </c>
      <c r="AC38" s="34">
        <f>VLOOKUP(AC$22,heatrate!$K$5:$T$36,VLOOKUP('ELC_Gen-sdj'!$B38,'ELC_Gen-sdj'!$AA$4:$AD$19,4,FALSE))</f>
        <v>0.45540134457246989</v>
      </c>
      <c r="AD38" s="34">
        <f>VLOOKUP(AD$22,heatrate!$K$5:$T$36,VLOOKUP('ELC_Gen-sdj'!$B38,'ELC_Gen-sdj'!$AA$4:$AD$19,4,FALSE))</f>
        <v>0.45540134457246989</v>
      </c>
      <c r="AE38" s="34">
        <f>VLOOKUP(AE$22,heatrate!$K$5:$T$36,VLOOKUP('ELC_Gen-sdj'!$B38,'ELC_Gen-sdj'!$AA$4:$AD$19,4,FALSE))</f>
        <v>0.45540134457246989</v>
      </c>
      <c r="AF38" s="34">
        <f>VLOOKUP(AF$22,heatrate!$K$5:$T$36,VLOOKUP('ELC_Gen-sdj'!$B38,'ELC_Gen-sdj'!$AA$4:$AD$19,4,FALSE))</f>
        <v>0.45540134457246989</v>
      </c>
      <c r="AG38" s="34">
        <f>VLOOKUP(AG$22,heatrate!$K$5:$T$36,VLOOKUP('ELC_Gen-sdj'!$B38,'ELC_Gen-sdj'!$AA$4:$AD$19,4,FALSE))</f>
        <v>0.45540134457246989</v>
      </c>
      <c r="AH38" s="34">
        <f>VLOOKUP(AH$22,heatrate!$K$5:$T$36,VLOOKUP('ELC_Gen-sdj'!$B38,'ELC_Gen-sdj'!$AA$4:$AD$19,4,FALSE))</f>
        <v>0.45540134457246989</v>
      </c>
    </row>
    <row r="39" spans="2:34">
      <c r="B39" s="32" t="str">
        <f t="shared" si="3"/>
        <v>EN_GasCCAdv</v>
      </c>
      <c r="C39" s="33">
        <f>VLOOKUP(C$22,heatrate!$K$5:$T$36,VLOOKUP('ELC_Gen-sdj'!$B39,'ELC_Gen-sdj'!$AA$4:$AD$19,4,FALSE))</f>
        <v>0.54163845633039942</v>
      </c>
      <c r="D39" s="34">
        <f>VLOOKUP(D$22,heatrate!$K$5:$T$36,VLOOKUP('ELC_Gen-sdj'!$B39,'ELC_Gen-sdj'!$AA$4:$AD$19,4,FALSE))</f>
        <v>0.54163845633039942</v>
      </c>
      <c r="E39" s="34">
        <f>VLOOKUP(E$22,heatrate!$K$5:$T$36,VLOOKUP('ELC_Gen-sdj'!$B39,'ELC_Gen-sdj'!$AA$4:$AD$19,4,FALSE))</f>
        <v>0.54163845633039942</v>
      </c>
      <c r="F39" s="34">
        <f>VLOOKUP(F$22,heatrate!$K$5:$T$36,VLOOKUP('ELC_Gen-sdj'!$B39,'ELC_Gen-sdj'!$AA$4:$AD$19,4,FALSE))</f>
        <v>0.54379637846717399</v>
      </c>
      <c r="G39" s="34">
        <f>VLOOKUP(G$22,heatrate!$K$5:$T$36,VLOOKUP('ELC_Gen-sdj'!$B39,'ELC_Gen-sdj'!$AA$4:$AD$19,4,FALSE))</f>
        <v>0.54597156398104263</v>
      </c>
      <c r="H39" s="34">
        <f>VLOOKUP(H$22,heatrate!$K$5:$T$36,VLOOKUP('ELC_Gen-sdj'!$B39,'ELC_Gen-sdj'!$AA$4:$AD$19,4,FALSE))</f>
        <v>0.54816422086450067</v>
      </c>
      <c r="I39" s="34">
        <f>VLOOKUP(I$22,heatrate!$K$5:$T$36,VLOOKUP('ELC_Gen-sdj'!$B39,'ELC_Gen-sdj'!$AA$4:$AD$19,4,FALSE))</f>
        <v>0.55037456046476074</v>
      </c>
      <c r="J39" s="34">
        <f>VLOOKUP(J$22,heatrate!$K$5:$T$36,VLOOKUP('ELC_Gen-sdj'!$B39,'ELC_Gen-sdj'!$AA$4:$AD$19,4,FALSE))</f>
        <v>0.55037456046476074</v>
      </c>
      <c r="K39" s="34">
        <f>VLOOKUP(K$22,heatrate!$K$5:$T$36,VLOOKUP('ELC_Gen-sdj'!$B39,'ELC_Gen-sdj'!$AA$4:$AD$19,4,FALSE))</f>
        <v>0.55037456046476074</v>
      </c>
      <c r="L39" s="34">
        <f>VLOOKUP(L$22,heatrate!$K$5:$T$36,VLOOKUP('ELC_Gen-sdj'!$B39,'ELC_Gen-sdj'!$AA$4:$AD$19,4,FALSE))</f>
        <v>0.55037456046476074</v>
      </c>
      <c r="M39" s="34">
        <f>VLOOKUP(M$22,heatrate!$K$5:$T$36,VLOOKUP('ELC_Gen-sdj'!$B39,'ELC_Gen-sdj'!$AA$4:$AD$19,4,FALSE))</f>
        <v>0.55037456046476074</v>
      </c>
      <c r="N39" s="34">
        <f>VLOOKUP(N$22,heatrate!$K$5:$T$36,VLOOKUP('ELC_Gen-sdj'!$B39,'ELC_Gen-sdj'!$AA$4:$AD$19,4,FALSE))</f>
        <v>0.55037456046476074</v>
      </c>
      <c r="O39" s="34">
        <f>VLOOKUP(O$22,heatrate!$K$5:$T$36,VLOOKUP('ELC_Gen-sdj'!$B39,'ELC_Gen-sdj'!$AA$4:$AD$19,4,FALSE))</f>
        <v>0.55037456046476074</v>
      </c>
      <c r="P39" s="34">
        <f>VLOOKUP(P$22,heatrate!$K$5:$T$36,VLOOKUP('ELC_Gen-sdj'!$B39,'ELC_Gen-sdj'!$AA$4:$AD$19,4,FALSE))</f>
        <v>0.55037456046476074</v>
      </c>
      <c r="Q39" s="34">
        <f>VLOOKUP(Q$22,heatrate!$K$5:$T$36,VLOOKUP('ELC_Gen-sdj'!$B39,'ELC_Gen-sdj'!$AA$4:$AD$19,4,FALSE))</f>
        <v>0.55037456046476074</v>
      </c>
      <c r="R39" s="34">
        <f>VLOOKUP(R$22,heatrate!$K$5:$T$36,VLOOKUP('ELC_Gen-sdj'!$B39,'ELC_Gen-sdj'!$AA$4:$AD$19,4,FALSE))</f>
        <v>0.55037456046476074</v>
      </c>
      <c r="S39" s="34">
        <f>VLOOKUP(S$22,heatrate!$K$5:$T$36,VLOOKUP('ELC_Gen-sdj'!$B39,'ELC_Gen-sdj'!$AA$4:$AD$19,4,FALSE))</f>
        <v>0.55037456046476074</v>
      </c>
      <c r="T39" s="34">
        <f>VLOOKUP(T$22,heatrate!$K$5:$T$36,VLOOKUP('ELC_Gen-sdj'!$B39,'ELC_Gen-sdj'!$AA$4:$AD$19,4,FALSE))</f>
        <v>0.55037456046476074</v>
      </c>
      <c r="U39" s="34">
        <f>VLOOKUP(U$22,heatrate!$K$5:$T$36,VLOOKUP('ELC_Gen-sdj'!$B39,'ELC_Gen-sdj'!$AA$4:$AD$19,4,FALSE))</f>
        <v>0.55037456046476074</v>
      </c>
      <c r="V39" s="34">
        <f>VLOOKUP(V$22,heatrate!$K$5:$T$36,VLOOKUP('ELC_Gen-sdj'!$B39,'ELC_Gen-sdj'!$AA$4:$AD$19,4,FALSE))</f>
        <v>0.55037456046476074</v>
      </c>
      <c r="W39" s="34">
        <f>VLOOKUP(W$22,heatrate!$K$5:$T$36,VLOOKUP('ELC_Gen-sdj'!$B39,'ELC_Gen-sdj'!$AA$4:$AD$19,4,FALSE))</f>
        <v>0.55037456046476074</v>
      </c>
      <c r="X39" s="34">
        <f>VLOOKUP(X$22,heatrate!$K$5:$T$36,VLOOKUP('ELC_Gen-sdj'!$B39,'ELC_Gen-sdj'!$AA$4:$AD$19,4,FALSE))</f>
        <v>0.55037456046476074</v>
      </c>
      <c r="Y39" s="34">
        <f>VLOOKUP(Y$22,heatrate!$K$5:$T$36,VLOOKUP('ELC_Gen-sdj'!$B39,'ELC_Gen-sdj'!$AA$4:$AD$19,4,FALSE))</f>
        <v>0.55037456046476074</v>
      </c>
      <c r="Z39" s="34">
        <f>VLOOKUP(Z$22,heatrate!$K$5:$T$36,VLOOKUP('ELC_Gen-sdj'!$B39,'ELC_Gen-sdj'!$AA$4:$AD$19,4,FALSE))</f>
        <v>0.55037456046476074</v>
      </c>
      <c r="AA39" s="34">
        <f>VLOOKUP(AA$22,heatrate!$K$5:$T$36,VLOOKUP('ELC_Gen-sdj'!$B39,'ELC_Gen-sdj'!$AA$4:$AD$19,4,FALSE))</f>
        <v>0.55037456046476074</v>
      </c>
      <c r="AB39" s="34">
        <f>VLOOKUP(AB$22,heatrate!$K$5:$T$36,VLOOKUP('ELC_Gen-sdj'!$B39,'ELC_Gen-sdj'!$AA$4:$AD$19,4,FALSE))</f>
        <v>0.55037456046476074</v>
      </c>
      <c r="AC39" s="34">
        <f>VLOOKUP(AC$22,heatrate!$K$5:$T$36,VLOOKUP('ELC_Gen-sdj'!$B39,'ELC_Gen-sdj'!$AA$4:$AD$19,4,FALSE))</f>
        <v>0.55037456046476074</v>
      </c>
      <c r="AD39" s="34">
        <f>VLOOKUP(AD$22,heatrate!$K$5:$T$36,VLOOKUP('ELC_Gen-sdj'!$B39,'ELC_Gen-sdj'!$AA$4:$AD$19,4,FALSE))</f>
        <v>0.55037456046476074</v>
      </c>
      <c r="AE39" s="34">
        <f>VLOOKUP(AE$22,heatrate!$K$5:$T$36,VLOOKUP('ELC_Gen-sdj'!$B39,'ELC_Gen-sdj'!$AA$4:$AD$19,4,FALSE))</f>
        <v>0.55037456046476074</v>
      </c>
      <c r="AF39" s="34">
        <f>VLOOKUP(AF$22,heatrate!$K$5:$T$36,VLOOKUP('ELC_Gen-sdj'!$B39,'ELC_Gen-sdj'!$AA$4:$AD$19,4,FALSE))</f>
        <v>0.55037456046476074</v>
      </c>
      <c r="AG39" s="34">
        <f>VLOOKUP(AG$22,heatrate!$K$5:$T$36,VLOOKUP('ELC_Gen-sdj'!$B39,'ELC_Gen-sdj'!$AA$4:$AD$19,4,FALSE))</f>
        <v>0.55037456046476074</v>
      </c>
      <c r="AH39" s="34">
        <f>VLOOKUP(AH$22,heatrate!$K$5:$T$36,VLOOKUP('ELC_Gen-sdj'!$B39,'ELC_Gen-sdj'!$AA$4:$AD$19,4,FALSE))</f>
        <v>0.55037456046476074</v>
      </c>
    </row>
    <row r="40" spans="2:34">
      <c r="B40" s="32" t="str">
        <f t="shared" si="3"/>
        <v>EN_GasCC</v>
      </c>
      <c r="C40" s="33">
        <f>VLOOKUP(C$22,heatrate!$K$5:$T$36,VLOOKUP('ELC_Gen-sdj'!$B40,'ELC_Gen-sdj'!$AA$4:$AD$19,4,FALSE))</f>
        <v>0.51701852649719948</v>
      </c>
      <c r="D40" s="34">
        <f>VLOOKUP(D$22,heatrate!$K$5:$T$36,VLOOKUP('ELC_Gen-sdj'!$B40,'ELC_Gen-sdj'!$AA$4:$AD$19,4,FALSE))</f>
        <v>0.51701852649719948</v>
      </c>
      <c r="E40" s="34">
        <f>VLOOKUP(E$22,heatrate!$K$5:$T$36,VLOOKUP('ELC_Gen-sdj'!$B40,'ELC_Gen-sdj'!$AA$4:$AD$19,4,FALSE))</f>
        <v>0.51701852649719948</v>
      </c>
      <c r="F40" s="34">
        <f>VLOOKUP(F$22,heatrate!$K$5:$T$36,VLOOKUP('ELC_Gen-sdj'!$B40,'ELC_Gen-sdj'!$AA$4:$AD$19,4,FALSE))</f>
        <v>0.52196134223809054</v>
      </c>
      <c r="G40" s="34">
        <f>VLOOKUP(G$22,heatrate!$K$5:$T$36,VLOOKUP('ELC_Gen-sdj'!$B40,'ELC_Gen-sdj'!$AA$4:$AD$19,4,FALSE))</f>
        <v>0.52699957913228057</v>
      </c>
      <c r="H40" s="34">
        <f>VLOOKUP(H$22,heatrate!$K$5:$T$36,VLOOKUP('ELC_Gen-sdj'!$B40,'ELC_Gen-sdj'!$AA$4:$AD$19,4,FALSE))</f>
        <v>0.5321360272719714</v>
      </c>
      <c r="I40" s="34">
        <f>VLOOKUP(I$22,heatrate!$K$5:$T$36,VLOOKUP('ELC_Gen-sdj'!$B40,'ELC_Gen-sdj'!$AA$4:$AD$19,4,FALSE))</f>
        <v>0.53737358659551449</v>
      </c>
      <c r="J40" s="34">
        <f>VLOOKUP(J$22,heatrate!$K$5:$T$36,VLOOKUP('ELC_Gen-sdj'!$B40,'ELC_Gen-sdj'!$AA$4:$AD$19,4,FALSE))</f>
        <v>0.53737358659551449</v>
      </c>
      <c r="K40" s="34">
        <f>VLOOKUP(K$22,heatrate!$K$5:$T$36,VLOOKUP('ELC_Gen-sdj'!$B40,'ELC_Gen-sdj'!$AA$4:$AD$19,4,FALSE))</f>
        <v>0.53737358659551449</v>
      </c>
      <c r="L40" s="34">
        <f>VLOOKUP(L$22,heatrate!$K$5:$T$36,VLOOKUP('ELC_Gen-sdj'!$B40,'ELC_Gen-sdj'!$AA$4:$AD$19,4,FALSE))</f>
        <v>0.53737358659551449</v>
      </c>
      <c r="M40" s="34">
        <f>VLOOKUP(M$22,heatrate!$K$5:$T$36,VLOOKUP('ELC_Gen-sdj'!$B40,'ELC_Gen-sdj'!$AA$4:$AD$19,4,FALSE))</f>
        <v>0.53737358659551449</v>
      </c>
      <c r="N40" s="34">
        <f>VLOOKUP(N$22,heatrate!$K$5:$T$36,VLOOKUP('ELC_Gen-sdj'!$B40,'ELC_Gen-sdj'!$AA$4:$AD$19,4,FALSE))</f>
        <v>0.53737358659551449</v>
      </c>
      <c r="O40" s="34">
        <f>VLOOKUP(O$22,heatrate!$K$5:$T$36,VLOOKUP('ELC_Gen-sdj'!$B40,'ELC_Gen-sdj'!$AA$4:$AD$19,4,FALSE))</f>
        <v>0.53737358659551449</v>
      </c>
      <c r="P40" s="34">
        <f>VLOOKUP(P$22,heatrate!$K$5:$T$36,VLOOKUP('ELC_Gen-sdj'!$B40,'ELC_Gen-sdj'!$AA$4:$AD$19,4,FALSE))</f>
        <v>0.53737358659551449</v>
      </c>
      <c r="Q40" s="34">
        <f>VLOOKUP(Q$22,heatrate!$K$5:$T$36,VLOOKUP('ELC_Gen-sdj'!$B40,'ELC_Gen-sdj'!$AA$4:$AD$19,4,FALSE))</f>
        <v>0.53737358659551449</v>
      </c>
      <c r="R40" s="34">
        <f>VLOOKUP(R$22,heatrate!$K$5:$T$36,VLOOKUP('ELC_Gen-sdj'!$B40,'ELC_Gen-sdj'!$AA$4:$AD$19,4,FALSE))</f>
        <v>0.53737358659551449</v>
      </c>
      <c r="S40" s="34">
        <f>VLOOKUP(S$22,heatrate!$K$5:$T$36,VLOOKUP('ELC_Gen-sdj'!$B40,'ELC_Gen-sdj'!$AA$4:$AD$19,4,FALSE))</f>
        <v>0.53737358659551449</v>
      </c>
      <c r="T40" s="34">
        <f>VLOOKUP(T$22,heatrate!$K$5:$T$36,VLOOKUP('ELC_Gen-sdj'!$B40,'ELC_Gen-sdj'!$AA$4:$AD$19,4,FALSE))</f>
        <v>0.53737358659551449</v>
      </c>
      <c r="U40" s="34">
        <f>VLOOKUP(U$22,heatrate!$K$5:$T$36,VLOOKUP('ELC_Gen-sdj'!$B40,'ELC_Gen-sdj'!$AA$4:$AD$19,4,FALSE))</f>
        <v>0.53737358659551449</v>
      </c>
      <c r="V40" s="34">
        <f>VLOOKUP(V$22,heatrate!$K$5:$T$36,VLOOKUP('ELC_Gen-sdj'!$B40,'ELC_Gen-sdj'!$AA$4:$AD$19,4,FALSE))</f>
        <v>0.53737358659551449</v>
      </c>
      <c r="W40" s="34">
        <f>VLOOKUP(W$22,heatrate!$K$5:$T$36,VLOOKUP('ELC_Gen-sdj'!$B40,'ELC_Gen-sdj'!$AA$4:$AD$19,4,FALSE))</f>
        <v>0.53737358659551449</v>
      </c>
      <c r="X40" s="34">
        <f>VLOOKUP(X$22,heatrate!$K$5:$T$36,VLOOKUP('ELC_Gen-sdj'!$B40,'ELC_Gen-sdj'!$AA$4:$AD$19,4,FALSE))</f>
        <v>0.53737358659551449</v>
      </c>
      <c r="Y40" s="34">
        <f>VLOOKUP(Y$22,heatrate!$K$5:$T$36,VLOOKUP('ELC_Gen-sdj'!$B40,'ELC_Gen-sdj'!$AA$4:$AD$19,4,FALSE))</f>
        <v>0.53737358659551449</v>
      </c>
      <c r="Z40" s="34">
        <f>VLOOKUP(Z$22,heatrate!$K$5:$T$36,VLOOKUP('ELC_Gen-sdj'!$B40,'ELC_Gen-sdj'!$AA$4:$AD$19,4,FALSE))</f>
        <v>0.53737358659551449</v>
      </c>
      <c r="AA40" s="34">
        <f>VLOOKUP(AA$22,heatrate!$K$5:$T$36,VLOOKUP('ELC_Gen-sdj'!$B40,'ELC_Gen-sdj'!$AA$4:$AD$19,4,FALSE))</f>
        <v>0.53737358659551449</v>
      </c>
      <c r="AB40" s="34">
        <f>VLOOKUP(AB$22,heatrate!$K$5:$T$36,VLOOKUP('ELC_Gen-sdj'!$B40,'ELC_Gen-sdj'!$AA$4:$AD$19,4,FALSE))</f>
        <v>0.53737358659551449</v>
      </c>
      <c r="AC40" s="34">
        <f>VLOOKUP(AC$22,heatrate!$K$5:$T$36,VLOOKUP('ELC_Gen-sdj'!$B40,'ELC_Gen-sdj'!$AA$4:$AD$19,4,FALSE))</f>
        <v>0.53737358659551449</v>
      </c>
      <c r="AD40" s="34">
        <f>VLOOKUP(AD$22,heatrate!$K$5:$T$36,VLOOKUP('ELC_Gen-sdj'!$B40,'ELC_Gen-sdj'!$AA$4:$AD$19,4,FALSE))</f>
        <v>0.53737358659551449</v>
      </c>
      <c r="AE40" s="34">
        <f>VLOOKUP(AE$22,heatrate!$K$5:$T$36,VLOOKUP('ELC_Gen-sdj'!$B40,'ELC_Gen-sdj'!$AA$4:$AD$19,4,FALSE))</f>
        <v>0.53737358659551449</v>
      </c>
      <c r="AF40" s="34">
        <f>VLOOKUP(AF$22,heatrate!$K$5:$T$36,VLOOKUP('ELC_Gen-sdj'!$B40,'ELC_Gen-sdj'!$AA$4:$AD$19,4,FALSE))</f>
        <v>0.53737358659551449</v>
      </c>
      <c r="AG40" s="34">
        <f>VLOOKUP(AG$22,heatrate!$K$5:$T$36,VLOOKUP('ELC_Gen-sdj'!$B40,'ELC_Gen-sdj'!$AA$4:$AD$19,4,FALSE))</f>
        <v>0.53737358659551449</v>
      </c>
      <c r="AH40" s="34">
        <f>VLOOKUP(AH$22,heatrate!$K$5:$T$36,VLOOKUP('ELC_Gen-sdj'!$B40,'ELC_Gen-sdj'!$AA$4:$AD$19,4,FALSE))</f>
        <v>0.53737358659551449</v>
      </c>
    </row>
    <row r="41" spans="2:34">
      <c r="B41" s="32" t="str">
        <f t="shared" si="3"/>
        <v>EN_GasCTAdv</v>
      </c>
      <c r="C41" s="33">
        <f>VLOOKUP(C$22,heatrate!$K$5:$T$36,VLOOKUP('ELC_Gen-sdj'!$B41,'ELC_Gen-sdj'!$AA$4:$AD$19,4,FALSE))</f>
        <v>0.34819615049811398</v>
      </c>
      <c r="D41" s="34">
        <f>VLOOKUP(D$22,heatrate!$K$5:$T$36,VLOOKUP('ELC_Gen-sdj'!$B41,'ELC_Gen-sdj'!$AA$4:$AD$19,4,FALSE))</f>
        <v>0.34819615049811398</v>
      </c>
      <c r="E41" s="34">
        <f>VLOOKUP(E$22,heatrate!$K$5:$T$36,VLOOKUP('ELC_Gen-sdj'!$B41,'ELC_Gen-sdj'!$AA$4:$AD$19,4,FALSE))</f>
        <v>0.35731123297188655</v>
      </c>
      <c r="F41" s="34">
        <f>VLOOKUP(F$22,heatrate!$K$5:$T$36,VLOOKUP('ELC_Gen-sdj'!$B41,'ELC_Gen-sdj'!$AA$4:$AD$19,4,FALSE))</f>
        <v>0.36691637364317387</v>
      </c>
      <c r="G41" s="34">
        <f>VLOOKUP(G$22,heatrate!$K$5:$T$36,VLOOKUP('ELC_Gen-sdj'!$B41,'ELC_Gen-sdj'!$AA$4:$AD$19,4,FALSE))</f>
        <v>0.37705218506978083</v>
      </c>
      <c r="H41" s="34">
        <f>VLOOKUP(H$22,heatrate!$K$5:$T$36,VLOOKUP('ELC_Gen-sdj'!$B41,'ELC_Gen-sdj'!$AA$4:$AD$19,4,FALSE))</f>
        <v>0.38776389487289964</v>
      </c>
      <c r="I41" s="34">
        <f>VLOOKUP(I$22,heatrate!$K$5:$T$36,VLOOKUP('ELC_Gen-sdj'!$B41,'ELC_Gen-sdj'!$AA$4:$AD$19,4,FALSE))</f>
        <v>0.39910202045397852</v>
      </c>
      <c r="J41" s="34">
        <f>VLOOKUP(J$22,heatrate!$K$5:$T$36,VLOOKUP('ELC_Gen-sdj'!$B41,'ELC_Gen-sdj'!$AA$4:$AD$19,4,FALSE))</f>
        <v>0.39910202045397852</v>
      </c>
      <c r="K41" s="34">
        <f>VLOOKUP(K$22,heatrate!$K$5:$T$36,VLOOKUP('ELC_Gen-sdj'!$B41,'ELC_Gen-sdj'!$AA$4:$AD$19,4,FALSE))</f>
        <v>0.39910202045397852</v>
      </c>
      <c r="L41" s="34">
        <f>VLOOKUP(L$22,heatrate!$K$5:$T$36,VLOOKUP('ELC_Gen-sdj'!$B41,'ELC_Gen-sdj'!$AA$4:$AD$19,4,FALSE))</f>
        <v>0.39910202045397852</v>
      </c>
      <c r="M41" s="34">
        <f>VLOOKUP(M$22,heatrate!$K$5:$T$36,VLOOKUP('ELC_Gen-sdj'!$B41,'ELC_Gen-sdj'!$AA$4:$AD$19,4,FALSE))</f>
        <v>0.39910202045397852</v>
      </c>
      <c r="N41" s="34">
        <f>VLOOKUP(N$22,heatrate!$K$5:$T$36,VLOOKUP('ELC_Gen-sdj'!$B41,'ELC_Gen-sdj'!$AA$4:$AD$19,4,FALSE))</f>
        <v>0.39910202045397852</v>
      </c>
      <c r="O41" s="34">
        <f>VLOOKUP(O$22,heatrate!$K$5:$T$36,VLOOKUP('ELC_Gen-sdj'!$B41,'ELC_Gen-sdj'!$AA$4:$AD$19,4,FALSE))</f>
        <v>0.39910202045397852</v>
      </c>
      <c r="P41" s="34">
        <f>VLOOKUP(P$22,heatrate!$K$5:$T$36,VLOOKUP('ELC_Gen-sdj'!$B41,'ELC_Gen-sdj'!$AA$4:$AD$19,4,FALSE))</f>
        <v>0.39910202045397852</v>
      </c>
      <c r="Q41" s="34">
        <f>VLOOKUP(Q$22,heatrate!$K$5:$T$36,VLOOKUP('ELC_Gen-sdj'!$B41,'ELC_Gen-sdj'!$AA$4:$AD$19,4,FALSE))</f>
        <v>0.39910202045397852</v>
      </c>
      <c r="R41" s="34">
        <f>VLOOKUP(R$22,heatrate!$K$5:$T$36,VLOOKUP('ELC_Gen-sdj'!$B41,'ELC_Gen-sdj'!$AA$4:$AD$19,4,FALSE))</f>
        <v>0.39910202045397852</v>
      </c>
      <c r="S41" s="34">
        <f>VLOOKUP(S$22,heatrate!$K$5:$T$36,VLOOKUP('ELC_Gen-sdj'!$B41,'ELC_Gen-sdj'!$AA$4:$AD$19,4,FALSE))</f>
        <v>0.39910202045397852</v>
      </c>
      <c r="T41" s="34">
        <f>VLOOKUP(T$22,heatrate!$K$5:$T$36,VLOOKUP('ELC_Gen-sdj'!$B41,'ELC_Gen-sdj'!$AA$4:$AD$19,4,FALSE))</f>
        <v>0.39910202045397852</v>
      </c>
      <c r="U41" s="34">
        <f>VLOOKUP(U$22,heatrate!$K$5:$T$36,VLOOKUP('ELC_Gen-sdj'!$B41,'ELC_Gen-sdj'!$AA$4:$AD$19,4,FALSE))</f>
        <v>0.39910202045397852</v>
      </c>
      <c r="V41" s="34">
        <f>VLOOKUP(V$22,heatrate!$K$5:$T$36,VLOOKUP('ELC_Gen-sdj'!$B41,'ELC_Gen-sdj'!$AA$4:$AD$19,4,FALSE))</f>
        <v>0.39910202045397852</v>
      </c>
      <c r="W41" s="34">
        <f>VLOOKUP(W$22,heatrate!$K$5:$T$36,VLOOKUP('ELC_Gen-sdj'!$B41,'ELC_Gen-sdj'!$AA$4:$AD$19,4,FALSE))</f>
        <v>0.39910202045397852</v>
      </c>
      <c r="X41" s="34">
        <f>VLOOKUP(X$22,heatrate!$K$5:$T$36,VLOOKUP('ELC_Gen-sdj'!$B41,'ELC_Gen-sdj'!$AA$4:$AD$19,4,FALSE))</f>
        <v>0.39910202045397852</v>
      </c>
      <c r="Y41" s="34">
        <f>VLOOKUP(Y$22,heatrate!$K$5:$T$36,VLOOKUP('ELC_Gen-sdj'!$B41,'ELC_Gen-sdj'!$AA$4:$AD$19,4,FALSE))</f>
        <v>0.39910202045397852</v>
      </c>
      <c r="Z41" s="34">
        <f>VLOOKUP(Z$22,heatrate!$K$5:$T$36,VLOOKUP('ELC_Gen-sdj'!$B41,'ELC_Gen-sdj'!$AA$4:$AD$19,4,FALSE))</f>
        <v>0.39910202045397852</v>
      </c>
      <c r="AA41" s="34">
        <f>VLOOKUP(AA$22,heatrate!$K$5:$T$36,VLOOKUP('ELC_Gen-sdj'!$B41,'ELC_Gen-sdj'!$AA$4:$AD$19,4,FALSE))</f>
        <v>0.39910202045397852</v>
      </c>
      <c r="AB41" s="34">
        <f>VLOOKUP(AB$22,heatrate!$K$5:$T$36,VLOOKUP('ELC_Gen-sdj'!$B41,'ELC_Gen-sdj'!$AA$4:$AD$19,4,FALSE))</f>
        <v>0.39910202045397852</v>
      </c>
      <c r="AC41" s="34">
        <f>VLOOKUP(AC$22,heatrate!$K$5:$T$36,VLOOKUP('ELC_Gen-sdj'!$B41,'ELC_Gen-sdj'!$AA$4:$AD$19,4,FALSE))</f>
        <v>0.39910202045397852</v>
      </c>
      <c r="AD41" s="34">
        <f>VLOOKUP(AD$22,heatrate!$K$5:$T$36,VLOOKUP('ELC_Gen-sdj'!$B41,'ELC_Gen-sdj'!$AA$4:$AD$19,4,FALSE))</f>
        <v>0.39910202045397852</v>
      </c>
      <c r="AE41" s="34">
        <f>VLOOKUP(AE$22,heatrate!$K$5:$T$36,VLOOKUP('ELC_Gen-sdj'!$B41,'ELC_Gen-sdj'!$AA$4:$AD$19,4,FALSE))</f>
        <v>0.39910202045397852</v>
      </c>
      <c r="AF41" s="34">
        <f>VLOOKUP(AF$22,heatrate!$K$5:$T$36,VLOOKUP('ELC_Gen-sdj'!$B41,'ELC_Gen-sdj'!$AA$4:$AD$19,4,FALSE))</f>
        <v>0.39910202045397852</v>
      </c>
      <c r="AG41" s="34">
        <f>VLOOKUP(AG$22,heatrate!$K$5:$T$36,VLOOKUP('ELC_Gen-sdj'!$B41,'ELC_Gen-sdj'!$AA$4:$AD$19,4,FALSE))</f>
        <v>0.39910202045397852</v>
      </c>
      <c r="AH41" s="34">
        <f>VLOOKUP(AH$22,heatrate!$K$5:$T$36,VLOOKUP('ELC_Gen-sdj'!$B41,'ELC_Gen-sdj'!$AA$4:$AD$19,4,FALSE))</f>
        <v>0.39910202045397852</v>
      </c>
    </row>
    <row r="42" spans="2:34">
      <c r="B42" s="32" t="str">
        <f t="shared" si="3"/>
        <v>EN_GasCT</v>
      </c>
      <c r="C42" s="33">
        <f>VLOOKUP(C$22,heatrate!$K$5:$T$36,VLOOKUP('ELC_Gen-sdj'!$B42,'ELC_Gen-sdj'!$AA$4:$AD$19,4,FALSE))</f>
        <v>0.34678071899202406</v>
      </c>
      <c r="D42" s="34">
        <f>VLOOKUP(D$22,heatrate!$K$5:$T$36,VLOOKUP('ELC_Gen-sdj'!$B42,'ELC_Gen-sdj'!$AA$4:$AD$19,4,FALSE))</f>
        <v>0.34819615049811398</v>
      </c>
      <c r="E42" s="34">
        <f>VLOOKUP(E$22,heatrate!$K$5:$T$36,VLOOKUP('ELC_Gen-sdj'!$B42,'ELC_Gen-sdj'!$AA$4:$AD$19,4,FALSE))</f>
        <v>0.34962318390179475</v>
      </c>
      <c r="F42" s="34">
        <f>VLOOKUP(F$22,heatrate!$K$5:$T$36,VLOOKUP('ELC_Gen-sdj'!$B42,'ELC_Gen-sdj'!$AA$4:$AD$19,4,FALSE))</f>
        <v>0.35106196243637</v>
      </c>
      <c r="G42" s="34">
        <f>VLOOKUP(G$22,heatrate!$K$5:$T$36,VLOOKUP('ELC_Gen-sdj'!$B42,'ELC_Gen-sdj'!$AA$4:$AD$19,4,FALSE))</f>
        <v>0.35251263170263603</v>
      </c>
      <c r="H42" s="34">
        <f>VLOOKUP(H$22,heatrate!$K$5:$T$36,VLOOKUP('ELC_Gen-sdj'!$B42,'ELC_Gen-sdj'!$AA$4:$AD$19,4,FALSE))</f>
        <v>0.35397533971799966</v>
      </c>
      <c r="I42" s="34">
        <f>VLOOKUP(I$22,heatrate!$K$5:$T$36,VLOOKUP('ELC_Gen-sdj'!$B42,'ELC_Gen-sdj'!$AA$4:$AD$19,4,FALSE))</f>
        <v>0.35545023696682471</v>
      </c>
      <c r="J42" s="34">
        <f>VLOOKUP(J$22,heatrate!$K$5:$T$36,VLOOKUP('ELC_Gen-sdj'!$B42,'ELC_Gen-sdj'!$AA$4:$AD$19,4,FALSE))</f>
        <v>0.35545023696682471</v>
      </c>
      <c r="K42" s="34">
        <f>VLOOKUP(K$22,heatrate!$K$5:$T$36,VLOOKUP('ELC_Gen-sdj'!$B42,'ELC_Gen-sdj'!$AA$4:$AD$19,4,FALSE))</f>
        <v>0.35545023696682471</v>
      </c>
      <c r="L42" s="34">
        <f>VLOOKUP(L$22,heatrate!$K$5:$T$36,VLOOKUP('ELC_Gen-sdj'!$B42,'ELC_Gen-sdj'!$AA$4:$AD$19,4,FALSE))</f>
        <v>0.35545023696682471</v>
      </c>
      <c r="M42" s="34">
        <f>VLOOKUP(M$22,heatrate!$K$5:$T$36,VLOOKUP('ELC_Gen-sdj'!$B42,'ELC_Gen-sdj'!$AA$4:$AD$19,4,FALSE))</f>
        <v>0.35545023696682471</v>
      </c>
      <c r="N42" s="34">
        <f>VLOOKUP(N$22,heatrate!$K$5:$T$36,VLOOKUP('ELC_Gen-sdj'!$B42,'ELC_Gen-sdj'!$AA$4:$AD$19,4,FALSE))</f>
        <v>0.35545023696682471</v>
      </c>
      <c r="O42" s="34">
        <f>VLOOKUP(O$22,heatrate!$K$5:$T$36,VLOOKUP('ELC_Gen-sdj'!$B42,'ELC_Gen-sdj'!$AA$4:$AD$19,4,FALSE))</f>
        <v>0.35545023696682471</v>
      </c>
      <c r="P42" s="34">
        <f>VLOOKUP(P$22,heatrate!$K$5:$T$36,VLOOKUP('ELC_Gen-sdj'!$B42,'ELC_Gen-sdj'!$AA$4:$AD$19,4,FALSE))</f>
        <v>0.35545023696682471</v>
      </c>
      <c r="Q42" s="34">
        <f>VLOOKUP(Q$22,heatrate!$K$5:$T$36,VLOOKUP('ELC_Gen-sdj'!$B42,'ELC_Gen-sdj'!$AA$4:$AD$19,4,FALSE))</f>
        <v>0.35545023696682471</v>
      </c>
      <c r="R42" s="34">
        <f>VLOOKUP(R$22,heatrate!$K$5:$T$36,VLOOKUP('ELC_Gen-sdj'!$B42,'ELC_Gen-sdj'!$AA$4:$AD$19,4,FALSE))</f>
        <v>0.35545023696682471</v>
      </c>
      <c r="S42" s="34">
        <f>VLOOKUP(S$22,heatrate!$K$5:$T$36,VLOOKUP('ELC_Gen-sdj'!$B42,'ELC_Gen-sdj'!$AA$4:$AD$19,4,FALSE))</f>
        <v>0.35545023696682471</v>
      </c>
      <c r="T42" s="34">
        <f>VLOOKUP(T$22,heatrate!$K$5:$T$36,VLOOKUP('ELC_Gen-sdj'!$B42,'ELC_Gen-sdj'!$AA$4:$AD$19,4,FALSE))</f>
        <v>0.35545023696682471</v>
      </c>
      <c r="U42" s="34">
        <f>VLOOKUP(U$22,heatrate!$K$5:$T$36,VLOOKUP('ELC_Gen-sdj'!$B42,'ELC_Gen-sdj'!$AA$4:$AD$19,4,FALSE))</f>
        <v>0.35545023696682471</v>
      </c>
      <c r="V42" s="34">
        <f>VLOOKUP(V$22,heatrate!$K$5:$T$36,VLOOKUP('ELC_Gen-sdj'!$B42,'ELC_Gen-sdj'!$AA$4:$AD$19,4,FALSE))</f>
        <v>0.35545023696682471</v>
      </c>
      <c r="W42" s="34">
        <f>VLOOKUP(W$22,heatrate!$K$5:$T$36,VLOOKUP('ELC_Gen-sdj'!$B42,'ELC_Gen-sdj'!$AA$4:$AD$19,4,FALSE))</f>
        <v>0.35545023696682471</v>
      </c>
      <c r="X42" s="34">
        <f>VLOOKUP(X$22,heatrate!$K$5:$T$36,VLOOKUP('ELC_Gen-sdj'!$B42,'ELC_Gen-sdj'!$AA$4:$AD$19,4,FALSE))</f>
        <v>0.35545023696682471</v>
      </c>
      <c r="Y42" s="34">
        <f>VLOOKUP(Y$22,heatrate!$K$5:$T$36,VLOOKUP('ELC_Gen-sdj'!$B42,'ELC_Gen-sdj'!$AA$4:$AD$19,4,FALSE))</f>
        <v>0.35545023696682471</v>
      </c>
      <c r="Z42" s="34">
        <f>VLOOKUP(Z$22,heatrate!$K$5:$T$36,VLOOKUP('ELC_Gen-sdj'!$B42,'ELC_Gen-sdj'!$AA$4:$AD$19,4,FALSE))</f>
        <v>0.35545023696682471</v>
      </c>
      <c r="AA42" s="34">
        <f>VLOOKUP(AA$22,heatrate!$K$5:$T$36,VLOOKUP('ELC_Gen-sdj'!$B42,'ELC_Gen-sdj'!$AA$4:$AD$19,4,FALSE))</f>
        <v>0.35545023696682471</v>
      </c>
      <c r="AB42" s="34">
        <f>VLOOKUP(AB$22,heatrate!$K$5:$T$36,VLOOKUP('ELC_Gen-sdj'!$B42,'ELC_Gen-sdj'!$AA$4:$AD$19,4,FALSE))</f>
        <v>0.35545023696682471</v>
      </c>
      <c r="AC42" s="34">
        <f>VLOOKUP(AC$22,heatrate!$K$5:$T$36,VLOOKUP('ELC_Gen-sdj'!$B42,'ELC_Gen-sdj'!$AA$4:$AD$19,4,FALSE))</f>
        <v>0.35545023696682471</v>
      </c>
      <c r="AD42" s="34">
        <f>VLOOKUP(AD$22,heatrate!$K$5:$T$36,VLOOKUP('ELC_Gen-sdj'!$B42,'ELC_Gen-sdj'!$AA$4:$AD$19,4,FALSE))</f>
        <v>0.35545023696682471</v>
      </c>
      <c r="AE42" s="34">
        <f>VLOOKUP(AE$22,heatrate!$K$5:$T$36,VLOOKUP('ELC_Gen-sdj'!$B42,'ELC_Gen-sdj'!$AA$4:$AD$19,4,FALSE))</f>
        <v>0.35545023696682471</v>
      </c>
      <c r="AF42" s="34">
        <f>VLOOKUP(AF$22,heatrate!$K$5:$T$36,VLOOKUP('ELC_Gen-sdj'!$B42,'ELC_Gen-sdj'!$AA$4:$AD$19,4,FALSE))</f>
        <v>0.35545023696682471</v>
      </c>
      <c r="AG42" s="34">
        <f>VLOOKUP(AG$22,heatrate!$K$5:$T$36,VLOOKUP('ELC_Gen-sdj'!$B42,'ELC_Gen-sdj'!$AA$4:$AD$19,4,FALSE))</f>
        <v>0.35545023696682471</v>
      </c>
      <c r="AH42" s="34">
        <f>VLOOKUP(AH$22,heatrate!$K$5:$T$36,VLOOKUP('ELC_Gen-sdj'!$B42,'ELC_Gen-sdj'!$AA$4:$AD$19,4,FALSE))</f>
        <v>0.35545023696682471</v>
      </c>
    </row>
    <row r="43" spans="2:34">
      <c r="B43" s="32" t="str">
        <f>B30</f>
        <v>EN_ZBiomass</v>
      </c>
      <c r="C43" s="33">
        <f>VLOOKUP(C$22,heatrate!$K$5:$T$36,VLOOKUP('ELC_Gen-sdj'!$B43,'ELC_Gen-sdj'!$AA$4:$AD$19,4,FALSE))</f>
        <v>0.2929031995606452</v>
      </c>
      <c r="D43" s="34">
        <f>VLOOKUP(D$22,heatrate!$K$5:$T$36,VLOOKUP('ELC_Gen-sdj'!$B43,'ELC_Gen-sdj'!$AA$4:$AD$19,4,FALSE))</f>
        <v>0.2929031995606452</v>
      </c>
      <c r="E43" s="34">
        <f>VLOOKUP(E$22,heatrate!$K$5:$T$36,VLOOKUP('ELC_Gen-sdj'!$B43,'ELC_Gen-sdj'!$AA$4:$AD$19,4,FALSE))</f>
        <v>0.2929031995606452</v>
      </c>
      <c r="F43" s="34">
        <f>VLOOKUP(F$22,heatrate!$K$5:$T$36,VLOOKUP('ELC_Gen-sdj'!$B43,'ELC_Gen-sdj'!$AA$4:$AD$19,4,FALSE))</f>
        <v>0.2929031995606452</v>
      </c>
      <c r="G43" s="34">
        <f>VLOOKUP(G$22,heatrate!$K$5:$T$36,VLOOKUP('ELC_Gen-sdj'!$B43,'ELC_Gen-sdj'!$AA$4:$AD$19,4,FALSE))</f>
        <v>0.31443212903397061</v>
      </c>
      <c r="H43" s="34">
        <f>VLOOKUP(H$22,heatrate!$K$5:$T$36,VLOOKUP('ELC_Gen-sdj'!$B43,'ELC_Gen-sdj'!$AA$4:$AD$19,4,FALSE))</f>
        <v>0.3393769667254069</v>
      </c>
      <c r="I43" s="34">
        <f>VLOOKUP(I$22,heatrate!$K$5:$T$36,VLOOKUP('ELC_Gen-sdj'!$B43,'ELC_Gen-sdj'!$AA$4:$AD$19,4,FALSE))</f>
        <v>0.36862074914999637</v>
      </c>
      <c r="J43" s="34">
        <f>VLOOKUP(J$22,heatrate!$K$5:$T$36,VLOOKUP('ELC_Gen-sdj'!$B43,'ELC_Gen-sdj'!$AA$4:$AD$19,4,FALSE))</f>
        <v>0.36862074914999637</v>
      </c>
      <c r="K43" s="34">
        <f>VLOOKUP(K$22,heatrate!$K$5:$T$36,VLOOKUP('ELC_Gen-sdj'!$B43,'ELC_Gen-sdj'!$AA$4:$AD$19,4,FALSE))</f>
        <v>0.36862074914999637</v>
      </c>
      <c r="L43" s="34">
        <f>VLOOKUP(L$22,heatrate!$K$5:$T$36,VLOOKUP('ELC_Gen-sdj'!$B43,'ELC_Gen-sdj'!$AA$4:$AD$19,4,FALSE))</f>
        <v>0.36862074914999637</v>
      </c>
      <c r="M43" s="34">
        <f>VLOOKUP(M$22,heatrate!$K$5:$T$36,VLOOKUP('ELC_Gen-sdj'!$B43,'ELC_Gen-sdj'!$AA$4:$AD$19,4,FALSE))</f>
        <v>0.36862074914999637</v>
      </c>
      <c r="N43" s="34">
        <f>VLOOKUP(N$22,heatrate!$K$5:$T$36,VLOOKUP('ELC_Gen-sdj'!$B43,'ELC_Gen-sdj'!$AA$4:$AD$19,4,FALSE))</f>
        <v>0.36862074914999637</v>
      </c>
      <c r="O43" s="34">
        <f>VLOOKUP(O$22,heatrate!$K$5:$T$36,VLOOKUP('ELC_Gen-sdj'!$B43,'ELC_Gen-sdj'!$AA$4:$AD$19,4,FALSE))</f>
        <v>0.36862074914999637</v>
      </c>
      <c r="P43" s="34">
        <f>VLOOKUP(P$22,heatrate!$K$5:$T$36,VLOOKUP('ELC_Gen-sdj'!$B43,'ELC_Gen-sdj'!$AA$4:$AD$19,4,FALSE))</f>
        <v>0.36862074914999637</v>
      </c>
      <c r="Q43" s="34">
        <f>VLOOKUP(Q$22,heatrate!$K$5:$T$36,VLOOKUP('ELC_Gen-sdj'!$B43,'ELC_Gen-sdj'!$AA$4:$AD$19,4,FALSE))</f>
        <v>0.36862074914999637</v>
      </c>
      <c r="R43" s="34">
        <f>VLOOKUP(R$22,heatrate!$K$5:$T$36,VLOOKUP('ELC_Gen-sdj'!$B43,'ELC_Gen-sdj'!$AA$4:$AD$19,4,FALSE))</f>
        <v>0.36862074914999637</v>
      </c>
      <c r="S43" s="34">
        <f>VLOOKUP(S$22,heatrate!$K$5:$T$36,VLOOKUP('ELC_Gen-sdj'!$B43,'ELC_Gen-sdj'!$AA$4:$AD$19,4,FALSE))</f>
        <v>0.36862074914999637</v>
      </c>
      <c r="T43" s="34">
        <f>VLOOKUP(T$22,heatrate!$K$5:$T$36,VLOOKUP('ELC_Gen-sdj'!$B43,'ELC_Gen-sdj'!$AA$4:$AD$19,4,FALSE))</f>
        <v>0.36862074914999637</v>
      </c>
      <c r="U43" s="34">
        <f>VLOOKUP(U$22,heatrate!$K$5:$T$36,VLOOKUP('ELC_Gen-sdj'!$B43,'ELC_Gen-sdj'!$AA$4:$AD$19,4,FALSE))</f>
        <v>0.36862074914999637</v>
      </c>
      <c r="V43" s="34">
        <f>VLOOKUP(V$22,heatrate!$K$5:$T$36,VLOOKUP('ELC_Gen-sdj'!$B43,'ELC_Gen-sdj'!$AA$4:$AD$19,4,FALSE))</f>
        <v>0.36862074914999637</v>
      </c>
      <c r="W43" s="34">
        <f>VLOOKUP(W$22,heatrate!$K$5:$T$36,VLOOKUP('ELC_Gen-sdj'!$B43,'ELC_Gen-sdj'!$AA$4:$AD$19,4,FALSE))</f>
        <v>0.36862074914999637</v>
      </c>
      <c r="X43" s="34">
        <f>VLOOKUP(X$22,heatrate!$K$5:$T$36,VLOOKUP('ELC_Gen-sdj'!$B43,'ELC_Gen-sdj'!$AA$4:$AD$19,4,FALSE))</f>
        <v>0.36862074914999637</v>
      </c>
      <c r="Y43" s="34">
        <f>VLOOKUP(Y$22,heatrate!$K$5:$T$36,VLOOKUP('ELC_Gen-sdj'!$B43,'ELC_Gen-sdj'!$AA$4:$AD$19,4,FALSE))</f>
        <v>0.36862074914999637</v>
      </c>
      <c r="Z43" s="34">
        <f>VLOOKUP(Z$22,heatrate!$K$5:$T$36,VLOOKUP('ELC_Gen-sdj'!$B43,'ELC_Gen-sdj'!$AA$4:$AD$19,4,FALSE))</f>
        <v>0.36862074914999637</v>
      </c>
      <c r="AA43" s="34">
        <f>VLOOKUP(AA$22,heatrate!$K$5:$T$36,VLOOKUP('ELC_Gen-sdj'!$B43,'ELC_Gen-sdj'!$AA$4:$AD$19,4,FALSE))</f>
        <v>0.36862074914999637</v>
      </c>
      <c r="AB43" s="34">
        <f>VLOOKUP(AB$22,heatrate!$K$5:$T$36,VLOOKUP('ELC_Gen-sdj'!$B43,'ELC_Gen-sdj'!$AA$4:$AD$19,4,FALSE))</f>
        <v>0.36862074914999637</v>
      </c>
      <c r="AC43" s="34">
        <f>VLOOKUP(AC$22,heatrate!$K$5:$T$36,VLOOKUP('ELC_Gen-sdj'!$B43,'ELC_Gen-sdj'!$AA$4:$AD$19,4,FALSE))</f>
        <v>0.36862074914999637</v>
      </c>
      <c r="AD43" s="34">
        <f>VLOOKUP(AD$22,heatrate!$K$5:$T$36,VLOOKUP('ELC_Gen-sdj'!$B43,'ELC_Gen-sdj'!$AA$4:$AD$19,4,FALSE))</f>
        <v>0.36862074914999637</v>
      </c>
      <c r="AE43" s="34">
        <f>VLOOKUP(AE$22,heatrate!$K$5:$T$36,VLOOKUP('ELC_Gen-sdj'!$B43,'ELC_Gen-sdj'!$AA$4:$AD$19,4,FALSE))</f>
        <v>0.36862074914999637</v>
      </c>
      <c r="AF43" s="34">
        <f>VLOOKUP(AF$22,heatrate!$K$5:$T$36,VLOOKUP('ELC_Gen-sdj'!$B43,'ELC_Gen-sdj'!$AA$4:$AD$19,4,FALSE))</f>
        <v>0.36862074914999637</v>
      </c>
      <c r="AG43" s="34">
        <f>VLOOKUP(AG$22,heatrate!$K$5:$T$36,VLOOKUP('ELC_Gen-sdj'!$B43,'ELC_Gen-sdj'!$AA$4:$AD$19,4,FALSE))</f>
        <v>0.36862074914999637</v>
      </c>
      <c r="AH43" s="34">
        <f>VLOOKUP(AH$22,heatrate!$K$5:$T$36,VLOOKUP('ELC_Gen-sdj'!$B43,'ELC_Gen-sdj'!$AA$4:$AD$19,4,FALSE))</f>
        <v>0.36862074914999637</v>
      </c>
    </row>
    <row r="44" spans="2:34">
      <c r="B44" s="32" t="str">
        <f>B31</f>
        <v>EN_OilCCAdv</v>
      </c>
      <c r="C44" s="33">
        <v>0.3</v>
      </c>
      <c r="D44" s="34">
        <v>0.3</v>
      </c>
      <c r="E44" s="34">
        <v>0.3</v>
      </c>
      <c r="F44" s="34">
        <v>0.3</v>
      </c>
      <c r="G44" s="34">
        <v>0.3</v>
      </c>
      <c r="H44" s="34">
        <v>0.3</v>
      </c>
      <c r="I44" s="34">
        <v>0.3</v>
      </c>
      <c r="J44" s="34">
        <v>0.3</v>
      </c>
      <c r="K44" s="34">
        <v>0.3</v>
      </c>
      <c r="L44" s="34">
        <v>0.3</v>
      </c>
      <c r="M44" s="34">
        <v>0.3</v>
      </c>
      <c r="N44" s="34">
        <v>0.3</v>
      </c>
      <c r="O44" s="34">
        <v>0.3</v>
      </c>
      <c r="P44" s="34">
        <v>0.3</v>
      </c>
      <c r="Q44" s="34">
        <v>0.3</v>
      </c>
      <c r="R44" s="34">
        <v>0.3</v>
      </c>
      <c r="S44" s="34">
        <v>0.3</v>
      </c>
      <c r="T44" s="34">
        <v>0.3</v>
      </c>
      <c r="U44" s="34">
        <v>0.3</v>
      </c>
      <c r="V44" s="34">
        <v>0.3</v>
      </c>
      <c r="W44" s="34">
        <v>0.3</v>
      </c>
      <c r="X44" s="34">
        <v>0.3</v>
      </c>
      <c r="Y44" s="34">
        <v>0.3</v>
      </c>
      <c r="Z44" s="34">
        <v>0.3</v>
      </c>
      <c r="AA44" s="34">
        <v>0.3</v>
      </c>
      <c r="AB44" s="34">
        <v>0.3</v>
      </c>
      <c r="AC44" s="34">
        <v>0.3</v>
      </c>
      <c r="AD44" s="34">
        <v>0.3</v>
      </c>
      <c r="AE44" s="34">
        <v>0.3</v>
      </c>
      <c r="AF44" s="34">
        <v>0.3</v>
      </c>
      <c r="AG44" s="34">
        <v>0.3</v>
      </c>
      <c r="AH44" s="34">
        <v>0.3</v>
      </c>
    </row>
    <row r="45" spans="2:34"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AH48"/>
  <sheetViews>
    <sheetView workbookViewId="0">
      <selection activeCell="Q52" sqref="Q52"/>
    </sheetView>
  </sheetViews>
  <sheetFormatPr defaultColWidth="9.109375" defaultRowHeight="14.4"/>
  <cols>
    <col min="1" max="1" width="6.44140625" style="36" bestFit="1" customWidth="1"/>
    <col min="2" max="2" width="14.44140625" style="36" bestFit="1" customWidth="1"/>
    <col min="3" max="3" width="9.44140625" style="36" bestFit="1" customWidth="1"/>
    <col min="4" max="4" width="11" style="36" customWidth="1"/>
    <col min="5" max="5" width="7" style="36" bestFit="1" customWidth="1"/>
    <col min="6" max="6" width="8" style="36" bestFit="1" customWidth="1"/>
    <col min="7" max="7" width="8.88671875" style="36" bestFit="1" customWidth="1"/>
    <col min="8" max="8" width="6.88671875" style="36" bestFit="1" customWidth="1"/>
    <col min="9" max="9" width="7.6640625" style="36" customWidth="1"/>
    <col min="10" max="10" width="5" style="36" bestFit="1" customWidth="1"/>
    <col min="11" max="11" width="6.21875" style="36" customWidth="1"/>
    <col min="12" max="12" width="6.77734375" style="36" customWidth="1"/>
    <col min="13" max="13" width="5" style="36" bestFit="1" customWidth="1"/>
    <col min="14" max="14" width="5.44140625" style="36" bestFit="1" customWidth="1"/>
    <col min="15" max="15" width="5" style="36" bestFit="1" customWidth="1"/>
    <col min="16" max="16" width="8.44140625" style="36" bestFit="1" customWidth="1"/>
    <col min="17" max="17" width="15.44140625" style="36" bestFit="1" customWidth="1"/>
    <col min="18" max="18" width="29.44140625" style="36" bestFit="1" customWidth="1"/>
    <col min="19" max="19" width="10.33203125" style="36" bestFit="1" customWidth="1"/>
    <col min="20" max="20" width="7.88671875" style="36" bestFit="1" customWidth="1"/>
    <col min="21" max="26" width="5" style="36" bestFit="1" customWidth="1"/>
    <col min="27" max="27" width="14.44140625" style="36" bestFit="1" customWidth="1"/>
    <col min="28" max="28" width="17.6640625" style="36" bestFit="1" customWidth="1"/>
    <col min="29" max="29" width="5" style="36" bestFit="1" customWidth="1"/>
    <col min="30" max="30" width="5.44140625" style="36" bestFit="1" customWidth="1"/>
    <col min="31" max="33" width="5" style="36" bestFit="1" customWidth="1"/>
    <col min="34" max="34" width="11" style="36" bestFit="1" customWidth="1"/>
    <col min="35" max="16384" width="9.109375" style="36"/>
  </cols>
  <sheetData>
    <row r="2" spans="2:30">
      <c r="D2" s="27" t="s">
        <v>89</v>
      </c>
      <c r="E2" s="27"/>
      <c r="F2" s="27"/>
      <c r="G2" s="27"/>
      <c r="P2" s="13" t="s">
        <v>4</v>
      </c>
      <c r="Q2" s="13"/>
      <c r="R2" s="13"/>
      <c r="S2" s="13"/>
      <c r="T2" s="13"/>
      <c r="U2" s="13"/>
      <c r="V2" s="13"/>
    </row>
    <row r="3" spans="2:30">
      <c r="B3" s="36" t="s">
        <v>0</v>
      </c>
      <c r="C3" s="27" t="s">
        <v>1</v>
      </c>
      <c r="D3" s="27" t="s">
        <v>2</v>
      </c>
      <c r="E3" s="36">
        <v>2010</v>
      </c>
      <c r="F3" s="36">
        <v>2050</v>
      </c>
      <c r="G3" s="36" t="s">
        <v>78</v>
      </c>
      <c r="H3" s="36" t="s">
        <v>23</v>
      </c>
      <c r="I3" s="36" t="s">
        <v>18</v>
      </c>
      <c r="J3" s="36" t="s">
        <v>19</v>
      </c>
      <c r="K3" s="36" t="s">
        <v>17</v>
      </c>
      <c r="L3" s="36" t="s">
        <v>22</v>
      </c>
      <c r="P3" s="13" t="s">
        <v>5</v>
      </c>
      <c r="Q3" s="13" t="s">
        <v>0</v>
      </c>
      <c r="R3" s="13" t="s">
        <v>6</v>
      </c>
      <c r="S3" s="13" t="s">
        <v>7</v>
      </c>
      <c r="T3" s="13" t="s">
        <v>8</v>
      </c>
      <c r="U3" s="13" t="s">
        <v>9</v>
      </c>
      <c r="V3" s="13" t="s">
        <v>10</v>
      </c>
      <c r="W3" s="13" t="s">
        <v>11</v>
      </c>
      <c r="AC3" s="36" t="s">
        <v>129</v>
      </c>
      <c r="AD3" s="36" t="s">
        <v>130</v>
      </c>
    </row>
    <row r="4" spans="2:30">
      <c r="B4" s="36" t="s">
        <v>36</v>
      </c>
      <c r="C4" s="36" t="s">
        <v>3</v>
      </c>
      <c r="D4" s="36" t="s">
        <v>35</v>
      </c>
      <c r="E4" s="34">
        <v>0.38772727272727298</v>
      </c>
      <c r="F4" s="34">
        <v>0.39038901601830683</v>
      </c>
      <c r="G4" s="34">
        <v>2882.65777101602</v>
      </c>
      <c r="H4" s="34">
        <v>30.636104583740234</v>
      </c>
      <c r="I4" s="34">
        <f>N4/3.6*1.055</f>
        <v>1.2871267484294042</v>
      </c>
      <c r="J4" s="34">
        <v>0.85</v>
      </c>
      <c r="K4" s="5">
        <v>40</v>
      </c>
      <c r="L4" s="36">
        <v>30</v>
      </c>
      <c r="N4" s="34">
        <v>4.3920912742614746</v>
      </c>
      <c r="P4" s="13" t="s">
        <v>12</v>
      </c>
      <c r="Q4" s="13" t="str">
        <f>B4</f>
        <v>EN_COAPUL</v>
      </c>
      <c r="R4" s="13" t="s">
        <v>24</v>
      </c>
      <c r="S4" s="13" t="s">
        <v>16</v>
      </c>
      <c r="T4" s="13" t="s">
        <v>48</v>
      </c>
      <c r="U4" s="13" t="s">
        <v>14</v>
      </c>
      <c r="V4" s="13"/>
      <c r="W4" s="13" t="s">
        <v>15</v>
      </c>
      <c r="Z4" s="36">
        <v>1</v>
      </c>
      <c r="AA4" s="36" t="s">
        <v>123</v>
      </c>
      <c r="AB4" s="36" t="s">
        <v>118</v>
      </c>
      <c r="AC4" s="36">
        <f>MATCH(AB4,ovrcst!$A$4:$W$4,0)</f>
        <v>21</v>
      </c>
      <c r="AD4" s="36">
        <f>IFERROR(MATCH(AB4,heatrate!$K$4:$T$4,0),1)</f>
        <v>1</v>
      </c>
    </row>
    <row r="5" spans="2:30">
      <c r="B5" s="36" t="s">
        <v>37</v>
      </c>
      <c r="C5" s="36" t="s">
        <v>3</v>
      </c>
      <c r="D5" s="36" t="s">
        <v>35</v>
      </c>
      <c r="E5" s="34">
        <v>0.39218390804597703</v>
      </c>
      <c r="F5" s="34">
        <v>0.45798657718120866</v>
      </c>
      <c r="G5" s="34">
        <v>3718.0479451734268</v>
      </c>
      <c r="H5" s="34">
        <v>50.494167327880859</v>
      </c>
      <c r="I5" s="34">
        <f t="shared" ref="I5:I15" si="0">N5/3.6*1.055</f>
        <v>2.0792046507199604</v>
      </c>
      <c r="J5" s="34">
        <v>0.85</v>
      </c>
      <c r="K5" s="5">
        <v>40</v>
      </c>
      <c r="L5" s="36">
        <v>30</v>
      </c>
      <c r="N5" s="34">
        <v>7.0949163436889648</v>
      </c>
      <c r="P5" s="13"/>
      <c r="Q5" s="13" t="str">
        <f t="shared" ref="Q5:Q16" si="1">B5</f>
        <v>EN_COAIGCC</v>
      </c>
      <c r="R5" s="13" t="s">
        <v>21</v>
      </c>
      <c r="S5" s="13" t="s">
        <v>16</v>
      </c>
      <c r="T5" s="13" t="s">
        <v>48</v>
      </c>
      <c r="U5" s="13" t="s">
        <v>14</v>
      </c>
      <c r="V5" s="13"/>
      <c r="W5" s="13" t="s">
        <v>15</v>
      </c>
      <c r="Z5" s="36">
        <v>2</v>
      </c>
      <c r="AA5" s="36" t="s">
        <v>124</v>
      </c>
      <c r="AB5" s="36" t="s">
        <v>114</v>
      </c>
      <c r="AC5" s="36">
        <f>MATCH(AB5,ovrcst!$A$4:$W$4,0)</f>
        <v>17</v>
      </c>
      <c r="AD5" s="36">
        <f>IFERROR(MATCH(AB5,heatrate!$K$4:$T$4,0),1)</f>
        <v>1</v>
      </c>
    </row>
    <row r="6" spans="2:30">
      <c r="B6" s="36" t="s">
        <v>38</v>
      </c>
      <c r="C6" s="36" t="s">
        <v>3</v>
      </c>
      <c r="D6" s="36" t="s">
        <v>35</v>
      </c>
      <c r="H6" s="34">
        <v>65.308937072753906</v>
      </c>
      <c r="I6" s="34">
        <f t="shared" si="0"/>
        <v>1.2819967614279852</v>
      </c>
      <c r="J6" s="34">
        <v>0.85</v>
      </c>
      <c r="K6" s="5">
        <v>40</v>
      </c>
      <c r="L6" s="36">
        <v>30</v>
      </c>
      <c r="N6" s="34">
        <v>4.3745861053466797</v>
      </c>
      <c r="P6" s="13"/>
      <c r="Q6" s="13" t="str">
        <f t="shared" si="1"/>
        <v>EN_ZCOAIGCC</v>
      </c>
      <c r="R6" s="13" t="s">
        <v>25</v>
      </c>
      <c r="S6" s="13" t="s">
        <v>16</v>
      </c>
      <c r="T6" s="13" t="s">
        <v>48</v>
      </c>
      <c r="U6" s="13" t="s">
        <v>14</v>
      </c>
      <c r="V6" s="13"/>
      <c r="W6" s="13" t="s">
        <v>15</v>
      </c>
      <c r="Z6" s="36">
        <v>3</v>
      </c>
      <c r="AA6" s="36" t="s">
        <v>125</v>
      </c>
      <c r="AB6" s="36" t="s">
        <v>115</v>
      </c>
      <c r="AC6" s="36">
        <f>MATCH(AB6,ovrcst!$A$4:$W$4,0)</f>
        <v>18</v>
      </c>
      <c r="AD6" s="36">
        <f>IFERROR(MATCH(AB6,heatrate!$K$4:$T$4,0),1)</f>
        <v>1</v>
      </c>
    </row>
    <row r="7" spans="2:30">
      <c r="B7" s="36" t="s">
        <v>39</v>
      </c>
      <c r="C7" s="36" t="s">
        <v>34</v>
      </c>
      <c r="D7" s="36" t="s">
        <v>35</v>
      </c>
      <c r="H7" s="34">
        <v>31.23478889465332</v>
      </c>
      <c r="I7" s="34">
        <f t="shared" si="0"/>
        <v>1.9524926722049711</v>
      </c>
      <c r="J7" s="34">
        <v>0.87</v>
      </c>
      <c r="K7" s="5">
        <v>30</v>
      </c>
      <c r="L7" s="36">
        <v>30</v>
      </c>
      <c r="N7" s="34">
        <v>6.662534236907959</v>
      </c>
      <c r="P7" s="13"/>
      <c r="Q7" s="13" t="str">
        <f t="shared" si="1"/>
        <v>EN_ZGasCCAdv</v>
      </c>
      <c r="R7" s="13" t="s">
        <v>26</v>
      </c>
      <c r="S7" s="13" t="s">
        <v>13</v>
      </c>
      <c r="T7" s="13" t="s">
        <v>48</v>
      </c>
      <c r="U7" s="13" t="s">
        <v>14</v>
      </c>
      <c r="V7" s="13"/>
      <c r="W7" s="13" t="s">
        <v>15</v>
      </c>
      <c r="Z7" s="36">
        <v>4</v>
      </c>
      <c r="AA7" s="36" t="s">
        <v>36</v>
      </c>
      <c r="AB7" s="36" t="s">
        <v>99</v>
      </c>
      <c r="AC7" s="36">
        <f>MATCH(AB7,ovrcst!$A$4:$W$4,0)</f>
        <v>2</v>
      </c>
      <c r="AD7" s="36">
        <f>IFERROR(MATCH(AB7,heatrate!$K$4:$T$4,0),1)</f>
        <v>2</v>
      </c>
    </row>
    <row r="8" spans="2:30">
      <c r="B8" s="36" t="s">
        <v>40</v>
      </c>
      <c r="C8" s="36" t="s">
        <v>34</v>
      </c>
      <c r="D8" s="36" t="s">
        <v>35</v>
      </c>
      <c r="H8" s="34">
        <v>15.101861000061035</v>
      </c>
      <c r="I8" s="34">
        <f t="shared" si="0"/>
        <v>0.94136211706532358</v>
      </c>
      <c r="J8" s="34">
        <v>0.87</v>
      </c>
      <c r="K8" s="5">
        <v>30</v>
      </c>
      <c r="L8" s="36">
        <v>30</v>
      </c>
      <c r="N8" s="34">
        <v>3.212230920791626</v>
      </c>
      <c r="P8" s="13"/>
      <c r="Q8" s="13" t="str">
        <f t="shared" si="1"/>
        <v>EN_GasCCAdv</v>
      </c>
      <c r="R8" s="13" t="s">
        <v>27</v>
      </c>
      <c r="S8" s="13" t="s">
        <v>13</v>
      </c>
      <c r="T8" s="13" t="s">
        <v>48</v>
      </c>
      <c r="U8" s="13" t="s">
        <v>14</v>
      </c>
      <c r="V8" s="13"/>
      <c r="W8" s="13" t="s">
        <v>15</v>
      </c>
      <c r="Z8" s="36">
        <v>5</v>
      </c>
      <c r="AA8" s="36" t="s">
        <v>37</v>
      </c>
      <c r="AB8" s="36" t="s">
        <v>99</v>
      </c>
      <c r="AC8" s="36">
        <f>MATCH(AB8,ovrcst!$A$4:$W$4,0)</f>
        <v>2</v>
      </c>
      <c r="AD8" s="36">
        <f>IFERROR(MATCH(AB8,heatrate!$K$4:$T$4,0),1)</f>
        <v>2</v>
      </c>
    </row>
    <row r="9" spans="2:30">
      <c r="B9" s="36" t="s">
        <v>41</v>
      </c>
      <c r="C9" s="36" t="s">
        <v>34</v>
      </c>
      <c r="D9" s="36" t="s">
        <v>35</v>
      </c>
      <c r="H9" s="34">
        <v>12.93995189666748</v>
      </c>
      <c r="I9" s="34">
        <f t="shared" si="0"/>
        <v>1.0367807696262994</v>
      </c>
      <c r="J9" s="34">
        <v>0.87</v>
      </c>
      <c r="K9" s="5">
        <v>30</v>
      </c>
      <c r="L9" s="36">
        <v>30</v>
      </c>
      <c r="N9" s="34">
        <v>3.537830114364624</v>
      </c>
      <c r="P9" s="13"/>
      <c r="Q9" s="13" t="str">
        <f t="shared" si="1"/>
        <v>EN_GasCC</v>
      </c>
      <c r="R9" s="13" t="s">
        <v>28</v>
      </c>
      <c r="S9" s="13" t="s">
        <v>13</v>
      </c>
      <c r="T9" s="13" t="s">
        <v>48</v>
      </c>
      <c r="U9" s="13" t="s">
        <v>14</v>
      </c>
      <c r="V9" s="13"/>
      <c r="W9" s="13" t="s">
        <v>15</v>
      </c>
      <c r="Z9" s="36">
        <v>6</v>
      </c>
      <c r="AA9" s="36" t="s">
        <v>38</v>
      </c>
      <c r="AB9" s="36" t="s">
        <v>100</v>
      </c>
      <c r="AC9" s="36">
        <f>MATCH(AB9,ovrcst!$A$4:$W$4,0)</f>
        <v>3</v>
      </c>
      <c r="AD9" s="36">
        <f>IFERROR(MATCH(AB9,heatrate!$K$4:$T$4,0),1)</f>
        <v>3</v>
      </c>
    </row>
    <row r="10" spans="2:30">
      <c r="B10" s="36" t="s">
        <v>42</v>
      </c>
      <c r="C10" s="36" t="s">
        <v>34</v>
      </c>
      <c r="D10" s="36" t="s">
        <v>35</v>
      </c>
      <c r="H10" s="34">
        <v>6.9163618087768555</v>
      </c>
      <c r="I10" s="34">
        <f t="shared" si="0"/>
        <v>2.986195463604397</v>
      </c>
      <c r="J10" s="34">
        <v>0.06</v>
      </c>
      <c r="K10" s="5">
        <v>30</v>
      </c>
      <c r="L10" s="36">
        <v>30</v>
      </c>
      <c r="N10" s="34">
        <v>10.189861297607422</v>
      </c>
      <c r="P10" s="13"/>
      <c r="Q10" s="13" t="str">
        <f t="shared" si="1"/>
        <v>EN_GasCTAdv</v>
      </c>
      <c r="R10" s="13" t="s">
        <v>29</v>
      </c>
      <c r="S10" s="13" t="s">
        <v>13</v>
      </c>
      <c r="T10" s="13" t="s">
        <v>48</v>
      </c>
      <c r="U10" s="13" t="s">
        <v>14</v>
      </c>
      <c r="V10" s="13"/>
      <c r="W10" s="13" t="s">
        <v>15</v>
      </c>
      <c r="Z10" s="36">
        <v>7</v>
      </c>
      <c r="AA10" s="36" t="s">
        <v>39</v>
      </c>
      <c r="AB10" s="36" t="s">
        <v>106</v>
      </c>
      <c r="AC10" s="36">
        <f>MATCH(AB10,ovrcst!$A$4:$W$4,0)</f>
        <v>9</v>
      </c>
      <c r="AD10" s="36">
        <f>IFERROR(MATCH(AB10,heatrate!$K$4:$T$4,0),1)</f>
        <v>9</v>
      </c>
    </row>
    <row r="11" spans="2:30">
      <c r="B11" s="36" t="s">
        <v>43</v>
      </c>
      <c r="C11" s="36" t="s">
        <v>34</v>
      </c>
      <c r="D11" s="36" t="s">
        <v>35</v>
      </c>
      <c r="H11" s="34">
        <v>7.2122020721435547</v>
      </c>
      <c r="I11" s="34">
        <f t="shared" si="0"/>
        <v>4.4487695561514951</v>
      </c>
      <c r="J11" s="34">
        <v>0.06</v>
      </c>
      <c r="K11" s="5">
        <v>30</v>
      </c>
      <c r="L11" s="36">
        <v>30</v>
      </c>
      <c r="N11" s="34">
        <v>15.180635452270508</v>
      </c>
      <c r="P11" s="13"/>
      <c r="Q11" s="13" t="str">
        <f t="shared" si="1"/>
        <v>EN_GasCT</v>
      </c>
      <c r="R11" s="13" t="s">
        <v>30</v>
      </c>
      <c r="S11" s="13" t="s">
        <v>13</v>
      </c>
      <c r="T11" s="13" t="s">
        <v>48</v>
      </c>
      <c r="U11" s="13" t="s">
        <v>14</v>
      </c>
      <c r="V11" s="13"/>
      <c r="W11" s="13" t="s">
        <v>15</v>
      </c>
      <c r="Z11" s="36">
        <v>8</v>
      </c>
      <c r="AA11" s="36" t="s">
        <v>40</v>
      </c>
      <c r="AB11" s="36" t="s">
        <v>105</v>
      </c>
      <c r="AC11" s="36">
        <f>MATCH(AB11,ovrcst!$A$4:$W$4,0)</f>
        <v>8</v>
      </c>
      <c r="AD11" s="36">
        <f>IFERROR(MATCH(AB11,heatrate!$K$4:$T$4,0),1)</f>
        <v>8</v>
      </c>
    </row>
    <row r="12" spans="2:30">
      <c r="B12" s="36" t="s">
        <v>44</v>
      </c>
      <c r="C12" s="36" t="s">
        <v>47</v>
      </c>
      <c r="D12" s="36" t="s">
        <v>35</v>
      </c>
      <c r="E12" s="34">
        <v>0.25274074074074077</v>
      </c>
      <c r="F12" s="34">
        <v>0.27801481481481488</v>
      </c>
      <c r="H12" s="34">
        <v>103.78744506835938</v>
      </c>
      <c r="I12" s="34">
        <f t="shared" si="0"/>
        <v>1.5143873665067882</v>
      </c>
      <c r="J12" s="34">
        <v>0.83</v>
      </c>
      <c r="K12" s="5">
        <v>30</v>
      </c>
      <c r="L12" s="36">
        <v>30</v>
      </c>
      <c r="N12" s="34">
        <v>5.1675777435302734</v>
      </c>
      <c r="P12" s="13"/>
      <c r="Q12" s="13" t="str">
        <f t="shared" si="1"/>
        <v>EN_Biomass</v>
      </c>
      <c r="R12" s="13" t="s">
        <v>31</v>
      </c>
      <c r="S12" s="13" t="s">
        <v>16</v>
      </c>
      <c r="T12" s="13" t="s">
        <v>48</v>
      </c>
      <c r="U12" s="13" t="s">
        <v>14</v>
      </c>
      <c r="V12" s="13"/>
      <c r="W12" s="13" t="s">
        <v>15</v>
      </c>
      <c r="Z12" s="36">
        <v>9</v>
      </c>
      <c r="AA12" s="36" t="s">
        <v>41</v>
      </c>
      <c r="AB12" s="36" t="s">
        <v>104</v>
      </c>
      <c r="AC12" s="36">
        <f>MATCH(AB12,ovrcst!$A$4:$W$4,0)</f>
        <v>7</v>
      </c>
      <c r="AD12" s="36">
        <f>IFERROR(MATCH(AB12,heatrate!$K$4:$T$4,0),1)</f>
        <v>7</v>
      </c>
    </row>
    <row r="13" spans="2:30">
      <c r="B13" s="36" t="s">
        <v>45</v>
      </c>
      <c r="C13" s="36" t="s">
        <v>47</v>
      </c>
      <c r="D13" s="36" t="s">
        <v>35</v>
      </c>
      <c r="H13" s="34">
        <v>103.78744506835938</v>
      </c>
      <c r="I13" s="34">
        <f t="shared" si="0"/>
        <v>1.5143873665067882</v>
      </c>
      <c r="J13" s="34">
        <v>0.83</v>
      </c>
      <c r="K13" s="5">
        <v>30</v>
      </c>
      <c r="L13" s="36">
        <v>30</v>
      </c>
      <c r="N13" s="34">
        <v>5.1675777435302734</v>
      </c>
      <c r="P13" s="13"/>
      <c r="Q13" s="13" t="str">
        <f t="shared" si="1"/>
        <v>EN_ZBiomass</v>
      </c>
      <c r="R13" s="13" t="s">
        <v>32</v>
      </c>
      <c r="S13" s="13" t="s">
        <v>16</v>
      </c>
      <c r="T13" s="13" t="s">
        <v>48</v>
      </c>
      <c r="U13" s="13" t="s">
        <v>14</v>
      </c>
      <c r="V13" s="13"/>
      <c r="W13" s="13" t="s">
        <v>15</v>
      </c>
      <c r="Z13" s="36">
        <v>10</v>
      </c>
      <c r="AA13" s="36" t="s">
        <v>42</v>
      </c>
      <c r="AB13" s="36" t="s">
        <v>103</v>
      </c>
      <c r="AC13" s="36">
        <f>MATCH(AB13,ovrcst!$A$4:$W$4,0)</f>
        <v>6</v>
      </c>
      <c r="AD13" s="36">
        <f>IFERROR(MATCH(AB13,heatrate!$K$4:$T$4,0),1)</f>
        <v>6</v>
      </c>
    </row>
    <row r="14" spans="2:30">
      <c r="B14" s="36" t="s">
        <v>46</v>
      </c>
      <c r="C14" s="36" t="s">
        <v>20</v>
      </c>
      <c r="D14" s="36" t="s">
        <v>35</v>
      </c>
      <c r="H14" s="34">
        <v>15.101861000061035</v>
      </c>
      <c r="I14" s="34">
        <f t="shared" si="0"/>
        <v>0.94136211706532358</v>
      </c>
      <c r="J14" s="34">
        <v>0.3</v>
      </c>
      <c r="K14" s="5">
        <v>30</v>
      </c>
      <c r="L14" s="36">
        <v>30</v>
      </c>
      <c r="N14" s="34">
        <v>3.212230920791626</v>
      </c>
      <c r="P14" s="13"/>
      <c r="Q14" s="13" t="str">
        <f t="shared" si="1"/>
        <v>EN_OilCCAdv</v>
      </c>
      <c r="R14" s="13" t="s">
        <v>33</v>
      </c>
      <c r="S14" s="13" t="s">
        <v>13</v>
      </c>
      <c r="T14" s="13" t="s">
        <v>48</v>
      </c>
      <c r="U14" s="13" t="s">
        <v>14</v>
      </c>
      <c r="V14" s="13"/>
      <c r="W14" s="13" t="s">
        <v>15</v>
      </c>
      <c r="Z14" s="36">
        <v>11</v>
      </c>
      <c r="AA14" s="36" t="s">
        <v>43</v>
      </c>
      <c r="AB14" s="36" t="s">
        <v>102</v>
      </c>
      <c r="AC14" s="36">
        <f>MATCH(AB14,ovrcst!$A$4:$W$4,0)</f>
        <v>5</v>
      </c>
      <c r="AD14" s="36">
        <f>IFERROR(MATCH(AB14,heatrate!$K$4:$T$4,0),1)</f>
        <v>5</v>
      </c>
    </row>
    <row r="15" spans="2:30">
      <c r="B15" s="29" t="s">
        <v>50</v>
      </c>
      <c r="C15" s="36" t="s">
        <v>51</v>
      </c>
      <c r="D15" s="36" t="s">
        <v>35</v>
      </c>
      <c r="E15" s="36">
        <v>0.33</v>
      </c>
      <c r="H15" s="34">
        <f>H13</f>
        <v>103.78744506835938</v>
      </c>
      <c r="I15" s="34">
        <f t="shared" si="0"/>
        <v>1.5143873665067882</v>
      </c>
      <c r="J15" s="34">
        <f>J6</f>
        <v>0.85</v>
      </c>
      <c r="K15" s="5">
        <v>50</v>
      </c>
      <c r="L15" s="36">
        <v>30</v>
      </c>
      <c r="N15" s="34">
        <f>N13</f>
        <v>5.1675777435302734</v>
      </c>
      <c r="Q15" s="13" t="str">
        <f t="shared" si="1"/>
        <v>EN_NuclearAdv</v>
      </c>
      <c r="R15" s="29" t="s">
        <v>49</v>
      </c>
      <c r="S15" s="13" t="s">
        <v>16</v>
      </c>
      <c r="T15" s="13" t="s">
        <v>48</v>
      </c>
      <c r="U15" s="13" t="s">
        <v>14</v>
      </c>
      <c r="V15" s="13"/>
      <c r="W15" s="13" t="s">
        <v>15</v>
      </c>
      <c r="Z15" s="36">
        <v>12</v>
      </c>
      <c r="AA15" s="36" t="s">
        <v>44</v>
      </c>
      <c r="AB15" s="36" t="s">
        <v>109</v>
      </c>
      <c r="AC15" s="36">
        <f>MATCH(AB15,ovrcst!$A$4:$W$4,0)</f>
        <v>12</v>
      </c>
      <c r="AD15" s="36">
        <f>IFERROR(MATCH(AB15,heatrate!$K$4:$T$4,0),1)</f>
        <v>1</v>
      </c>
    </row>
    <row r="16" spans="2:30">
      <c r="B16" s="36" t="s">
        <v>90</v>
      </c>
      <c r="C16" s="36" t="s">
        <v>91</v>
      </c>
      <c r="D16" s="36" t="s">
        <v>35</v>
      </c>
      <c r="E16" s="36">
        <v>0.33</v>
      </c>
      <c r="G16" s="44">
        <v>9999</v>
      </c>
      <c r="H16" s="44">
        <v>500</v>
      </c>
      <c r="I16" s="44">
        <v>10</v>
      </c>
      <c r="J16" s="36">
        <v>0.85</v>
      </c>
      <c r="K16" s="36">
        <v>50</v>
      </c>
      <c r="L16" s="36">
        <v>30</v>
      </c>
      <c r="Q16" s="13" t="str">
        <f t="shared" si="1"/>
        <v>EN_GeoThermal</v>
      </c>
      <c r="R16" s="13" t="s">
        <v>92</v>
      </c>
      <c r="S16" s="13" t="s">
        <v>16</v>
      </c>
      <c r="T16" s="13" t="s">
        <v>48</v>
      </c>
      <c r="U16" s="13" t="s">
        <v>14</v>
      </c>
      <c r="V16" s="13"/>
      <c r="Z16" s="36">
        <v>13</v>
      </c>
      <c r="AA16" s="36" t="s">
        <v>45</v>
      </c>
      <c r="AB16" s="36" t="s">
        <v>100</v>
      </c>
      <c r="AC16" s="36">
        <f>MATCH(AB16,ovrcst!$A$4:$W$4,0)</f>
        <v>3</v>
      </c>
      <c r="AD16" s="36">
        <f>IFERROR(MATCH(AB16,heatrate!$K$4:$T$4,0),1)</f>
        <v>3</v>
      </c>
    </row>
    <row r="17" spans="2:34">
      <c r="B17" s="45" t="s">
        <v>160</v>
      </c>
      <c r="C17" s="45" t="s">
        <v>3</v>
      </c>
      <c r="D17" s="45" t="s">
        <v>35</v>
      </c>
      <c r="E17" s="45"/>
      <c r="F17" s="45"/>
      <c r="G17" s="45"/>
      <c r="H17" s="59">
        <f>H6</f>
        <v>65.308937072753906</v>
      </c>
      <c r="I17" s="59">
        <f t="shared" ref="I17:L17" si="2">I6</f>
        <v>1.2819967614279852</v>
      </c>
      <c r="J17" s="59">
        <f t="shared" si="2"/>
        <v>0.85</v>
      </c>
      <c r="K17" s="59">
        <f t="shared" si="2"/>
        <v>40</v>
      </c>
      <c r="L17" s="59">
        <f t="shared" si="2"/>
        <v>30</v>
      </c>
      <c r="M17" s="45"/>
      <c r="N17" s="45"/>
      <c r="P17" s="45"/>
      <c r="Q17" s="45" t="s">
        <v>160</v>
      </c>
      <c r="R17" s="45" t="s">
        <v>198</v>
      </c>
      <c r="S17" s="45" t="s">
        <v>16</v>
      </c>
      <c r="T17" s="45" t="s">
        <v>48</v>
      </c>
      <c r="U17" s="45" t="s">
        <v>14</v>
      </c>
      <c r="V17" s="45"/>
      <c r="W17" s="45" t="s">
        <v>15</v>
      </c>
      <c r="Z17" s="36">
        <v>14</v>
      </c>
      <c r="AA17" s="36" t="s">
        <v>46</v>
      </c>
      <c r="AB17" s="36" t="s">
        <v>103</v>
      </c>
      <c r="AC17" s="36">
        <f>MATCH(AB17,ovrcst!$A$4:$W$4,0)</f>
        <v>6</v>
      </c>
      <c r="AD17" s="36">
        <f>IFERROR(MATCH(AB17,heatrate!$K$4:$T$4,0),1)</f>
        <v>6</v>
      </c>
    </row>
    <row r="18" spans="2:34">
      <c r="B18" s="45" t="s">
        <v>199</v>
      </c>
      <c r="C18" s="45" t="s">
        <v>34</v>
      </c>
      <c r="D18" s="45" t="s">
        <v>35</v>
      </c>
      <c r="E18" s="45"/>
      <c r="F18" s="45"/>
      <c r="G18" s="45"/>
      <c r="H18" s="59">
        <f>H7</f>
        <v>31.23478889465332</v>
      </c>
      <c r="I18" s="59">
        <f t="shared" ref="I18:L18" si="3">I7</f>
        <v>1.9524926722049711</v>
      </c>
      <c r="J18" s="59">
        <f t="shared" si="3"/>
        <v>0.87</v>
      </c>
      <c r="K18" s="59">
        <f t="shared" si="3"/>
        <v>30</v>
      </c>
      <c r="L18" s="59">
        <f t="shared" si="3"/>
        <v>30</v>
      </c>
      <c r="M18" s="45"/>
      <c r="N18" s="45"/>
      <c r="P18" s="45"/>
      <c r="Q18" s="45" t="s">
        <v>199</v>
      </c>
      <c r="R18" s="45" t="s">
        <v>200</v>
      </c>
      <c r="S18" s="45" t="s">
        <v>13</v>
      </c>
      <c r="T18" s="45" t="s">
        <v>48</v>
      </c>
      <c r="U18" s="45" t="s">
        <v>14</v>
      </c>
      <c r="V18" s="45"/>
      <c r="W18" s="45" t="s">
        <v>15</v>
      </c>
      <c r="Z18" s="36">
        <v>15</v>
      </c>
      <c r="AA18" s="36" t="s">
        <v>126</v>
      </c>
      <c r="AB18" s="36" t="s">
        <v>112</v>
      </c>
      <c r="AC18" s="36">
        <f>MATCH(AB18,ovrcst!$A$4:$W$4,0)</f>
        <v>15</v>
      </c>
      <c r="AD18" s="36">
        <f>IFERROR(MATCH(AB18,heatrate!$K$4:$T$4,0),1)</f>
        <v>1</v>
      </c>
    </row>
    <row r="19" spans="2:34">
      <c r="Z19" s="36">
        <v>16</v>
      </c>
      <c r="AA19" s="29" t="s">
        <v>50</v>
      </c>
      <c r="AB19" s="36" t="s">
        <v>108</v>
      </c>
      <c r="AC19" s="36">
        <f>MATCH(AB19,ovrcst!$A$4:$W$4,0)</f>
        <v>11</v>
      </c>
      <c r="AD19" s="36">
        <f>IFERROR(MATCH(AB19,heatrate!$K$4:$T$4,0),1)</f>
        <v>1</v>
      </c>
    </row>
    <row r="20" spans="2:34">
      <c r="AA20" s="29"/>
    </row>
    <row r="21" spans="2:34">
      <c r="B21" s="36" t="s">
        <v>127</v>
      </c>
    </row>
    <row r="22" spans="2:34">
      <c r="B22" s="36" t="s">
        <v>0</v>
      </c>
      <c r="C22" s="36">
        <v>2019</v>
      </c>
      <c r="D22" s="36">
        <v>2020</v>
      </c>
      <c r="E22" s="36">
        <v>2021</v>
      </c>
      <c r="F22" s="36">
        <v>2022</v>
      </c>
      <c r="G22" s="36">
        <v>2023</v>
      </c>
      <c r="H22" s="36">
        <v>2024</v>
      </c>
      <c r="I22" s="36">
        <v>2025</v>
      </c>
      <c r="J22" s="36">
        <v>2026</v>
      </c>
      <c r="K22" s="36">
        <v>2027</v>
      </c>
      <c r="L22" s="36">
        <v>2028</v>
      </c>
      <c r="M22" s="36">
        <v>2029</v>
      </c>
      <c r="N22" s="36">
        <v>2030</v>
      </c>
      <c r="O22" s="36">
        <v>2031</v>
      </c>
      <c r="P22" s="36">
        <v>2032</v>
      </c>
      <c r="Q22" s="36">
        <v>2033</v>
      </c>
      <c r="R22" s="36">
        <v>2034</v>
      </c>
      <c r="S22" s="36">
        <v>2035</v>
      </c>
      <c r="T22" s="36">
        <v>2036</v>
      </c>
      <c r="U22" s="36">
        <v>2037</v>
      </c>
      <c r="V22" s="36">
        <v>2038</v>
      </c>
      <c r="W22" s="36">
        <v>2039</v>
      </c>
      <c r="X22" s="36">
        <v>2040</v>
      </c>
      <c r="Y22" s="36">
        <v>2041</v>
      </c>
      <c r="Z22" s="36">
        <v>2042</v>
      </c>
      <c r="AA22" s="36">
        <v>2043</v>
      </c>
      <c r="AB22" s="36">
        <v>2044</v>
      </c>
      <c r="AC22" s="36">
        <v>2045</v>
      </c>
      <c r="AD22" s="36">
        <v>2046</v>
      </c>
      <c r="AE22" s="36">
        <v>2047</v>
      </c>
      <c r="AF22" s="36">
        <v>2048</v>
      </c>
      <c r="AG22" s="36">
        <v>2049</v>
      </c>
      <c r="AH22" s="36">
        <v>2050</v>
      </c>
    </row>
    <row r="23" spans="2:34">
      <c r="B23" s="36" t="str">
        <f t="shared" ref="B23:B32" si="4">B6</f>
        <v>EN_ZCOAIGCC</v>
      </c>
      <c r="C23" s="5">
        <f>VLOOKUP(C$22,ovrcst!$A$5:$W$36,VLOOKUP('ELC_Gen-sdj'!$B23,'ELC_Gen-sdj'!$AA$4:$AC$19,3,FALSE))</f>
        <v>5715.7879928716911</v>
      </c>
      <c r="D23" s="5">
        <f>VLOOKUP(D$22,ovrcst!$A$5:$W$36,VLOOKUP('ELC_Gen-sdj'!$B23,'ELC_Gen-sdj'!$AA$4:$AC$19,3,FALSE))</f>
        <v>5651.6864103869648</v>
      </c>
      <c r="E23" s="5">
        <f>VLOOKUP(E$22,ovrcst!$A$5:$W$36,VLOOKUP('ELC_Gen-sdj'!$B23,'ELC_Gen-sdj'!$AA$4:$AC$19,3,FALSE))</f>
        <v>5513.4993360488797</v>
      </c>
      <c r="F23" s="5">
        <f>VLOOKUP(F$22,ovrcst!$A$5:$W$36,VLOOKUP('ELC_Gen-sdj'!$B23,'ELC_Gen-sdj'!$AA$4:$AC$19,3,FALSE))</f>
        <v>5427.627470468432</v>
      </c>
      <c r="G23" s="5">
        <f>VLOOKUP(G$22,ovrcst!$A$5:$W$36,VLOOKUP('ELC_Gen-sdj'!$B23,'ELC_Gen-sdj'!$AA$4:$AC$19,3,FALSE))</f>
        <v>5366.8807077393076</v>
      </c>
      <c r="H23" s="5">
        <f>VLOOKUP(H$22,ovrcst!$A$5:$W$36,VLOOKUP('ELC_Gen-sdj'!$B23,'ELC_Gen-sdj'!$AA$4:$AC$19,3,FALSE))</f>
        <v>5317.9441863543789</v>
      </c>
      <c r="I23" s="5">
        <f>VLOOKUP(I$22,ovrcst!$A$5:$W$36,VLOOKUP('ELC_Gen-sdj'!$B23,'ELC_Gen-sdj'!$AA$4:$AC$19,3,FALSE))</f>
        <v>5278.0965580448074</v>
      </c>
      <c r="J23" s="5">
        <f>VLOOKUP(J$22,ovrcst!$A$5:$W$36,VLOOKUP('ELC_Gen-sdj'!$B23,'ELC_Gen-sdj'!$AA$4:$AC$19,3,FALSE))</f>
        <v>5225.5754959266806</v>
      </c>
      <c r="K23" s="5">
        <f>VLOOKUP(K$22,ovrcst!$A$5:$W$36,VLOOKUP('ELC_Gen-sdj'!$B23,'ELC_Gen-sdj'!$AA$4:$AC$19,3,FALSE))</f>
        <v>5162.7493116089618</v>
      </c>
      <c r="L23" s="5">
        <f>VLOOKUP(L$22,ovrcst!$A$5:$W$36,VLOOKUP('ELC_Gen-sdj'!$B23,'ELC_Gen-sdj'!$AA$4:$AC$19,3,FALSE))</f>
        <v>5092.6073625254576</v>
      </c>
      <c r="M23" s="5">
        <f>VLOOKUP(M$22,ovrcst!$A$5:$W$36,VLOOKUP('ELC_Gen-sdj'!$B23,'ELC_Gen-sdj'!$AA$4:$AC$19,3,FALSE))</f>
        <v>5020.642065173116</v>
      </c>
      <c r="N23" s="5">
        <f>VLOOKUP(N$22,ovrcst!$A$5:$W$36,VLOOKUP('ELC_Gen-sdj'!$B23,'ELC_Gen-sdj'!$AA$4:$AC$19,3,FALSE))</f>
        <v>4957.238097759674</v>
      </c>
      <c r="O23" s="5">
        <f>VLOOKUP(O$22,ovrcst!$A$5:$W$36,VLOOKUP('ELC_Gen-sdj'!$B23,'ELC_Gen-sdj'!$AA$4:$AC$19,3,FALSE))</f>
        <v>4894.1573319755598</v>
      </c>
      <c r="P23" s="5">
        <f>VLOOKUP(P$22,ovrcst!$A$5:$W$36,VLOOKUP('ELC_Gen-sdj'!$B23,'ELC_Gen-sdj'!$AA$4:$AC$19,3,FALSE))</f>
        <v>4831.2734694501023</v>
      </c>
      <c r="Q23" s="5">
        <f>VLOOKUP(Q$22,ovrcst!$A$5:$W$36,VLOOKUP('ELC_Gen-sdj'!$B23,'ELC_Gen-sdj'!$AA$4:$AC$19,3,FALSE))</f>
        <v>4771.2183564154784</v>
      </c>
      <c r="R23" s="5">
        <f>VLOOKUP(R$22,ovrcst!$A$5:$W$36,VLOOKUP('ELC_Gen-sdj'!$B23,'ELC_Gen-sdj'!$AA$4:$AC$19,3,FALSE))</f>
        <v>4711.9339521384927</v>
      </c>
      <c r="S23" s="5">
        <f>VLOOKUP(S$22,ovrcst!$A$5:$W$36,VLOOKUP('ELC_Gen-sdj'!$B23,'ELC_Gen-sdj'!$AA$4:$AC$19,3,FALSE))</f>
        <v>4649.7412403258659</v>
      </c>
      <c r="T23" s="5">
        <f>VLOOKUP(T$22,ovrcst!$A$5:$W$36,VLOOKUP('ELC_Gen-sdj'!$B23,'ELC_Gen-sdj'!$AA$4:$AC$19,3,FALSE))</f>
        <v>4590.5418625254579</v>
      </c>
      <c r="U23" s="5">
        <f>VLOOKUP(U$22,ovrcst!$A$5:$W$36,VLOOKUP('ELC_Gen-sdj'!$B23,'ELC_Gen-sdj'!$AA$4:$AC$19,3,FALSE))</f>
        <v>4532.315069246436</v>
      </c>
      <c r="V23" s="5">
        <f>VLOOKUP(V$22,ovrcst!$A$5:$W$36,VLOOKUP('ELC_Gen-sdj'!$B23,'ELC_Gen-sdj'!$AA$4:$AC$19,3,FALSE))</f>
        <v>4476.1254338085537</v>
      </c>
      <c r="W23" s="5">
        <f>VLOOKUP(W$22,ovrcst!$A$5:$W$36,VLOOKUP('ELC_Gen-sdj'!$B23,'ELC_Gen-sdj'!$AA$4:$AC$19,3,FALSE))</f>
        <v>4419.474366598778</v>
      </c>
      <c r="X23" s="5">
        <f>VLOOKUP(X$22,ovrcst!$A$5:$W$36,VLOOKUP('ELC_Gen-sdj'!$B23,'ELC_Gen-sdj'!$AA$4:$AC$19,3,FALSE))</f>
        <v>4364.7306792260697</v>
      </c>
      <c r="Y23" s="5">
        <f>VLOOKUP(Y$22,ovrcst!$A$5:$W$36,VLOOKUP('ELC_Gen-sdj'!$B23,'ELC_Gen-sdj'!$AA$4:$AC$19,3,FALSE))</f>
        <v>4311.2981914460288</v>
      </c>
      <c r="Z23" s="5">
        <f>VLOOKUP(Z$22,ovrcst!$A$5:$W$36,VLOOKUP('ELC_Gen-sdj'!$B23,'ELC_Gen-sdj'!$AA$4:$AC$19,3,FALSE))</f>
        <v>4254.7545264765786</v>
      </c>
      <c r="AA23" s="5">
        <f>VLOOKUP(AA$22,ovrcst!$A$5:$W$36,VLOOKUP('ELC_Gen-sdj'!$B23,'ELC_Gen-sdj'!$AA$4:$AC$19,3,FALSE))</f>
        <v>4204.7201181262726</v>
      </c>
      <c r="AB23" s="5">
        <f>VLOOKUP(AB$22,ovrcst!$A$5:$W$36,VLOOKUP('ELC_Gen-sdj'!$B23,'ELC_Gen-sdj'!$AA$4:$AC$19,3,FALSE))</f>
        <v>4149.4130682281057</v>
      </c>
      <c r="AC23" s="5">
        <f>VLOOKUP(AC$22,ovrcst!$A$5:$W$36,VLOOKUP('ELC_Gen-sdj'!$B23,'ELC_Gen-sdj'!$AA$4:$AC$19,3,FALSE))</f>
        <v>4099.6024134419549</v>
      </c>
      <c r="AD23" s="5">
        <f>VLOOKUP(AD$22,ovrcst!$A$5:$W$36,VLOOKUP('ELC_Gen-sdj'!$B23,'ELC_Gen-sdj'!$AA$4:$AC$19,3,FALSE))</f>
        <v>4045.5374470468432</v>
      </c>
      <c r="AE23" s="5">
        <f>VLOOKUP(AE$22,ovrcst!$A$5:$W$36,VLOOKUP('ELC_Gen-sdj'!$B23,'ELC_Gen-sdj'!$AA$4:$AC$19,3,FALSE))</f>
        <v>3995.2867433808556</v>
      </c>
      <c r="AF23" s="5">
        <f>VLOOKUP(AF$22,ovrcst!$A$5:$W$36,VLOOKUP('ELC_Gen-sdj'!$B23,'ELC_Gen-sdj'!$AA$4:$AC$19,3,FALSE))</f>
        <v>3945.0531934826881</v>
      </c>
      <c r="AG23" s="5">
        <f>VLOOKUP(AG$22,ovrcst!$A$5:$W$36,VLOOKUP('ELC_Gen-sdj'!$B23,'ELC_Gen-sdj'!$AA$4:$AC$19,3,FALSE))</f>
        <v>3894.9128747454174</v>
      </c>
      <c r="AH23" s="5">
        <f>VLOOKUP(AH$22,ovrcst!$A$5:$W$36,VLOOKUP('ELC_Gen-sdj'!$B23,'ELC_Gen-sdj'!$AA$4:$AC$19,3,FALSE))</f>
        <v>3845.2213075356417</v>
      </c>
    </row>
    <row r="24" spans="2:34">
      <c r="B24" s="36" t="str">
        <f t="shared" si="4"/>
        <v>EN_ZGasCCAdv</v>
      </c>
      <c r="C24" s="5">
        <f>VLOOKUP(C$22,ovrcst!$A$5:$W$36,VLOOKUP('ELC_Gen-sdj'!$B24,'ELC_Gen-sdj'!$AA$4:$AC$19,3,FALSE))</f>
        <v>2204.7527264537057</v>
      </c>
      <c r="D24" s="5">
        <f>VLOOKUP(D$22,ovrcst!$A$5:$W$36,VLOOKUP('ELC_Gen-sdj'!$B24,'ELC_Gen-sdj'!$AA$4:$AC$19,3,FALSE))</f>
        <v>2176.3550779414863</v>
      </c>
      <c r="E24" s="5">
        <f>VLOOKUP(E$22,ovrcst!$A$5:$W$36,VLOOKUP('ELC_Gen-sdj'!$B24,'ELC_Gen-sdj'!$AA$4:$AC$19,3,FALSE))</f>
        <v>2119.527684065833</v>
      </c>
      <c r="F24" s="5">
        <f>VLOOKUP(F$22,ovrcst!$A$5:$W$36,VLOOKUP('ELC_Gen-sdj'!$B24,'ELC_Gen-sdj'!$AA$4:$AC$19,3,FALSE))</f>
        <v>2082.9271460250129</v>
      </c>
      <c r="G24" s="5">
        <f>VLOOKUP(G$22,ovrcst!$A$5:$W$36,VLOOKUP('ELC_Gen-sdj'!$B24,'ELC_Gen-sdj'!$AA$4:$AC$19,3,FALSE))</f>
        <v>2023.7324353742019</v>
      </c>
      <c r="H24" s="5">
        <f>VLOOKUP(H$22,ovrcst!$A$5:$W$36,VLOOKUP('ELC_Gen-sdj'!$B24,'ELC_Gen-sdj'!$AA$4:$AC$19,3,FALSE))</f>
        <v>1991.6680541404785</v>
      </c>
      <c r="I24" s="5">
        <f>VLOOKUP(I$22,ovrcst!$A$5:$W$36,VLOOKUP('ELC_Gen-sdj'!$B24,'ELC_Gen-sdj'!$AA$4:$AC$19,3,FALSE))</f>
        <v>1962.4599814015355</v>
      </c>
      <c r="J24" s="5">
        <f>VLOOKUP(J$22,ovrcst!$A$5:$W$36,VLOOKUP('ELC_Gen-sdj'!$B24,'ELC_Gen-sdj'!$AA$4:$AC$19,3,FALSE))</f>
        <v>1929.6563305345417</v>
      </c>
      <c r="K24" s="5">
        <f>VLOOKUP(K$22,ovrcst!$A$5:$W$36,VLOOKUP('ELC_Gen-sdj'!$B24,'ELC_Gen-sdj'!$AA$4:$AC$19,3,FALSE))</f>
        <v>1894.1682958045187</v>
      </c>
      <c r="L24" s="5">
        <f>VLOOKUP(L$22,ovrcst!$A$5:$W$36,VLOOKUP('ELC_Gen-sdj'!$B24,'ELC_Gen-sdj'!$AA$4:$AC$19,3,FALSE))</f>
        <v>1861.101622629034</v>
      </c>
      <c r="M24" s="5">
        <f>VLOOKUP(M$22,ovrcst!$A$5:$W$36,VLOOKUP('ELC_Gen-sdj'!$B24,'ELC_Gen-sdj'!$AA$4:$AC$19,3,FALSE))</f>
        <v>1827.5859589325796</v>
      </c>
      <c r="N24" s="5">
        <f>VLOOKUP(N$22,ovrcst!$A$5:$W$36,VLOOKUP('ELC_Gen-sdj'!$B24,'ELC_Gen-sdj'!$AA$4:$AC$19,3,FALSE))</f>
        <v>1799.7582499270172</v>
      </c>
      <c r="O24" s="5">
        <f>VLOOKUP(O$22,ovrcst!$A$5:$W$36,VLOOKUP('ELC_Gen-sdj'!$B24,'ELC_Gen-sdj'!$AA$4:$AC$19,3,FALSE))</f>
        <v>1772.7205513033425</v>
      </c>
      <c r="P24" s="5">
        <f>VLOOKUP(P$22,ovrcst!$A$5:$W$36,VLOOKUP('ELC_Gen-sdj'!$B24,'ELC_Gen-sdj'!$AA$4:$AC$19,3,FALSE))</f>
        <v>1744.3398946731445</v>
      </c>
      <c r="Q24" s="5">
        <f>VLOOKUP(Q$22,ovrcst!$A$5:$W$36,VLOOKUP('ELC_Gen-sdj'!$B24,'ELC_Gen-sdj'!$AA$4:$AC$19,3,FALSE))</f>
        <v>1718.3577062795916</v>
      </c>
      <c r="R24" s="5">
        <f>VLOOKUP(R$22,ovrcst!$A$5:$W$36,VLOOKUP('ELC_Gen-sdj'!$B24,'ELC_Gen-sdj'!$AA$4:$AC$19,3,FALSE))</f>
        <v>1691.7835125191639</v>
      </c>
      <c r="S24" s="5">
        <f>VLOOKUP(S$22,ovrcst!$A$5:$W$36,VLOOKUP('ELC_Gen-sdj'!$B24,'ELC_Gen-sdj'!$AA$4:$AC$19,3,FALSE))</f>
        <v>1665.4230155032312</v>
      </c>
      <c r="T24" s="5">
        <f>VLOOKUP(T$22,ovrcst!$A$5:$W$36,VLOOKUP('ELC_Gen-sdj'!$B24,'ELC_Gen-sdj'!$AA$4:$AC$19,3,FALSE))</f>
        <v>1639.504900946743</v>
      </c>
      <c r="U24" s="5">
        <f>VLOOKUP(U$22,ovrcst!$A$5:$W$36,VLOOKUP('ELC_Gen-sdj'!$B24,'ELC_Gen-sdj'!$AA$4:$AC$19,3,FALSE))</f>
        <v>1615.4570872329855</v>
      </c>
      <c r="V24" s="5">
        <f>VLOOKUP(V$22,ovrcst!$A$5:$W$36,VLOOKUP('ELC_Gen-sdj'!$B24,'ELC_Gen-sdj'!$AA$4:$AC$19,3,FALSE))</f>
        <v>1593.5526257281338</v>
      </c>
      <c r="W24" s="5">
        <f>VLOOKUP(W$22,ovrcst!$A$5:$W$36,VLOOKUP('ELC_Gen-sdj'!$B24,'ELC_Gen-sdj'!$AA$4:$AC$19,3,FALSE))</f>
        <v>1571.5137622837831</v>
      </c>
      <c r="X24" s="5">
        <f>VLOOKUP(X$22,ovrcst!$A$5:$W$36,VLOOKUP('ELC_Gen-sdj'!$B24,'ELC_Gen-sdj'!$AA$4:$AC$19,3,FALSE))</f>
        <v>1550.1819546560928</v>
      </c>
      <c r="Y24" s="5">
        <f>VLOOKUP(Y$22,ovrcst!$A$5:$W$36,VLOOKUP('ELC_Gen-sdj'!$B24,'ELC_Gen-sdj'!$AA$4:$AC$19,3,FALSE))</f>
        <v>1529.3439768621179</v>
      </c>
      <c r="Z24" s="5">
        <f>VLOOKUP(Z$22,ovrcst!$A$5:$W$36,VLOOKUP('ELC_Gen-sdj'!$B24,'ELC_Gen-sdj'!$AA$4:$AC$19,3,FALSE))</f>
        <v>1507.4316090765146</v>
      </c>
      <c r="AA24" s="5">
        <f>VLOOKUP(AA$22,ovrcst!$A$5:$W$36,VLOOKUP('ELC_Gen-sdj'!$B24,'ELC_Gen-sdj'!$AA$4:$AC$19,3,FALSE))</f>
        <v>1487.8542263174072</v>
      </c>
      <c r="AB24" s="5">
        <f>VLOOKUP(AB$22,ovrcst!$A$5:$W$36,VLOOKUP('ELC_Gen-sdj'!$B24,'ELC_Gen-sdj'!$AA$4:$AC$19,3,FALSE))</f>
        <v>1466.4389923962826</v>
      </c>
      <c r="AC24" s="5">
        <f>VLOOKUP(AC$22,ovrcst!$A$5:$W$36,VLOOKUP('ELC_Gen-sdj'!$B24,'ELC_Gen-sdj'!$AA$4:$AC$19,3,FALSE))</f>
        <v>1446.9943585946364</v>
      </c>
      <c r="AD24" s="5">
        <f>VLOOKUP(AD$22,ovrcst!$A$5:$W$36,VLOOKUP('ELC_Gen-sdj'!$B24,'ELC_Gen-sdj'!$AA$4:$AC$19,3,FALSE))</f>
        <v>1426.0769670969578</v>
      </c>
      <c r="AE24" s="5">
        <f>VLOOKUP(AE$22,ovrcst!$A$5:$W$36,VLOOKUP('ELC_Gen-sdj'!$B24,'ELC_Gen-sdj'!$AA$4:$AC$19,3,FALSE))</f>
        <v>1406.5328605095826</v>
      </c>
      <c r="AF24" s="5">
        <f>VLOOKUP(AF$22,ovrcst!$A$5:$W$36,VLOOKUP('ELC_Gen-sdj'!$B24,'ELC_Gen-sdj'!$AA$4:$AC$19,3,FALSE))</f>
        <v>1387.022382923439</v>
      </c>
      <c r="AG24" s="5">
        <f>VLOOKUP(AG$22,ovrcst!$A$5:$W$36,VLOOKUP('ELC_Gen-sdj'!$B24,'ELC_Gen-sdj'!$AA$4:$AC$19,3,FALSE))</f>
        <v>1367.572676110253</v>
      </c>
      <c r="AH24" s="5">
        <f>VLOOKUP(AH$22,ovrcst!$A$5:$W$36,VLOOKUP('ELC_Gen-sdj'!$B24,'ELC_Gen-sdj'!$AA$4:$AC$19,3,FALSE))</f>
        <v>1348.3088186108378</v>
      </c>
    </row>
    <row r="25" spans="2:34">
      <c r="B25" s="39" t="str">
        <f t="shared" si="4"/>
        <v>EN_GasCCAdv</v>
      </c>
      <c r="C25" s="40">
        <f>VLOOKUP(C$22,ovrcst!$A$5:$W$36,VLOOKUP('ELC_Gen-sdj'!$B25,'ELC_Gen-sdj'!$AA$4:$AC$19,3,FALSE))</f>
        <v>794.43951592145902</v>
      </c>
      <c r="D25" s="40">
        <f>VLOOKUP(D$22,ovrcst!$A$5:$W$36,VLOOKUP('ELC_Gen-sdj'!$B25,'ELC_Gen-sdj'!$AA$4:$AC$19,3,FALSE))</f>
        <v>786.43841465656715</v>
      </c>
      <c r="E25" s="40">
        <f>VLOOKUP(E$22,ovrcst!$A$5:$W$36,VLOOKUP('ELC_Gen-sdj'!$B25,'ELC_Gen-sdj'!$AA$4:$AC$19,3,FALSE))</f>
        <v>768.10346098690979</v>
      </c>
      <c r="F25" s="40">
        <f>VLOOKUP(F$22,ovrcst!$A$5:$W$36,VLOOKUP('ELC_Gen-sdj'!$B25,'ELC_Gen-sdj'!$AA$4:$AC$19,3,FALSE))</f>
        <v>757.02855199294015</v>
      </c>
      <c r="G25" s="40">
        <f>VLOOKUP(G$22,ovrcst!$A$5:$W$36,VLOOKUP('ELC_Gen-sdj'!$B25,'ELC_Gen-sdj'!$AA$4:$AC$19,3,FALSE))</f>
        <v>732.12888568171775</v>
      </c>
      <c r="H25" s="40">
        <f>VLOOKUP(H$22,ovrcst!$A$5:$W$36,VLOOKUP('ELC_Gen-sdj'!$B25,'ELC_Gen-sdj'!$AA$4:$AC$19,3,FALSE))</f>
        <v>720.96291458302687</v>
      </c>
      <c r="I25" s="40">
        <f>VLOOKUP(I$22,ovrcst!$A$5:$W$36,VLOOKUP('ELC_Gen-sdj'!$B25,'ELC_Gen-sdj'!$AA$4:$AC$19,3,FALSE))</f>
        <v>710.71389634505078</v>
      </c>
      <c r="J25" s="40">
        <f>VLOOKUP(J$22,ovrcst!$A$5:$W$36,VLOOKUP('ELC_Gen-sdj'!$B25,'ELC_Gen-sdj'!$AA$4:$AC$19,3,FALSE))</f>
        <v>699.33326132519483</v>
      </c>
      <c r="K25" s="40">
        <f>VLOOKUP(K$22,ovrcst!$A$5:$W$36,VLOOKUP('ELC_Gen-sdj'!$B25,'ELC_Gen-sdj'!$AA$4:$AC$19,3,FALSE))</f>
        <v>687.13795686865717</v>
      </c>
      <c r="L25" s="40">
        <f>VLOOKUP(L$22,ovrcst!$A$5:$W$36,VLOOKUP('ELC_Gen-sdj'!$B25,'ELC_Gen-sdj'!$AA$4:$AC$19,3,FALSE))</f>
        <v>676.65861983379909</v>
      </c>
      <c r="M25" s="40">
        <f>VLOOKUP(M$22,ovrcst!$A$5:$W$36,VLOOKUP('ELC_Gen-sdj'!$B25,'ELC_Gen-sdj'!$AA$4:$AC$19,3,FALSE))</f>
        <v>666.00142576114126</v>
      </c>
      <c r="N25" s="40">
        <f>VLOOKUP(N$22,ovrcst!$A$5:$W$36,VLOOKUP('ELC_Gen-sdj'!$B25,'ELC_Gen-sdj'!$AA$4:$AC$19,3,FALSE))</f>
        <v>657.80877518752743</v>
      </c>
      <c r="O25" s="40">
        <f>VLOOKUP(O$22,ovrcst!$A$5:$W$36,VLOOKUP('ELC_Gen-sdj'!$B25,'ELC_Gen-sdj'!$AA$4:$AC$19,3,FALSE))</f>
        <v>649.97504044712446</v>
      </c>
      <c r="P25" s="40">
        <f>VLOOKUP(P$22,ovrcst!$A$5:$W$36,VLOOKUP('ELC_Gen-sdj'!$B25,'ELC_Gen-sdj'!$AA$4:$AC$19,3,FALSE))</f>
        <v>641.36372168701268</v>
      </c>
      <c r="Q25" s="40">
        <f>VLOOKUP(Q$22,ovrcst!$A$5:$W$36,VLOOKUP('ELC_Gen-sdj'!$B25,'ELC_Gen-sdj'!$AA$4:$AC$19,3,FALSE))</f>
        <v>633.8220216208266</v>
      </c>
      <c r="R25" s="40">
        <f>VLOOKUP(R$22,ovrcst!$A$5:$W$36,VLOOKUP('ELC_Gen-sdj'!$B25,'ELC_Gen-sdj'!$AA$4:$AC$19,3,FALSE))</f>
        <v>625.87377279747011</v>
      </c>
      <c r="S25" s="5">
        <f>VLOOKUP(S$22,ovrcst!$A$5:$W$36,VLOOKUP('ELC_Gen-sdj'!$B25,'ELC_Gen-sdj'!$AA$4:$AC$19,3,FALSE))</f>
        <v>618.16891454625681</v>
      </c>
      <c r="T25" s="5">
        <f>VLOOKUP(T$22,ovrcst!$A$5:$W$36,VLOOKUP('ELC_Gen-sdj'!$B25,'ELC_Gen-sdj'!$AA$4:$AC$19,3,FALSE))</f>
        <v>610.47914950728045</v>
      </c>
      <c r="U25" s="5">
        <f>VLOOKUP(U$22,ovrcst!$A$5:$W$36,VLOOKUP('ELC_Gen-sdj'!$B25,'ELC_Gen-sdj'!$AA$4:$AC$19,3,FALSE))</f>
        <v>603.6915805633181</v>
      </c>
      <c r="V25" s="5">
        <f>VLOOKUP(V$22,ovrcst!$A$5:$W$36,VLOOKUP('ELC_Gen-sdj'!$B25,'ELC_Gen-sdj'!$AA$4:$AC$19,3,FALSE))</f>
        <v>597.89283626268559</v>
      </c>
      <c r="W25" s="5">
        <f>VLOOKUP(W$22,ovrcst!$A$5:$W$36,VLOOKUP('ELC_Gen-sdj'!$B25,'ELC_Gen-sdj'!$AA$4:$AC$19,3,FALSE))</f>
        <v>592.00617370201508</v>
      </c>
      <c r="X25" s="5">
        <f>VLOOKUP(X$22,ovrcst!$A$5:$W$36,VLOOKUP('ELC_Gen-sdj'!$B25,'ELC_Gen-sdj'!$AA$4:$AC$19,3,FALSE))</f>
        <v>586.3488748345344</v>
      </c>
      <c r="Y25" s="5">
        <f>VLOOKUP(Y$22,ovrcst!$A$5:$W$36,VLOOKUP('ELC_Gen-sdj'!$B25,'ELC_Gen-sdj'!$AA$4:$AC$19,3,FALSE))</f>
        <v>580.84255956758341</v>
      </c>
      <c r="Z25" s="5">
        <f>VLOOKUP(Z$22,ovrcst!$A$5:$W$36,VLOOKUP('ELC_Gen-sdj'!$B25,'ELC_Gen-sdj'!$AA$4:$AC$19,3,FALSE))</f>
        <v>574.89064384468304</v>
      </c>
      <c r="AA25" s="5">
        <f>VLOOKUP(AA$22,ovrcst!$A$5:$W$36,VLOOKUP('ELC_Gen-sdj'!$B25,'ELC_Gen-sdj'!$AA$4:$AC$19,3,FALSE))</f>
        <v>569.7928978526254</v>
      </c>
      <c r="AB25" s="5">
        <f>VLOOKUP(AB$22,ovrcst!$A$5:$W$36,VLOOKUP('ELC_Gen-sdj'!$B25,'ELC_Gen-sdj'!$AA$4:$AC$19,3,FALSE))</f>
        <v>563.95538406383287</v>
      </c>
      <c r="AC25" s="5">
        <f>VLOOKUP(AC$22,ovrcst!$A$5:$W$36,VLOOKUP('ELC_Gen-sdj'!$B25,'ELC_Gen-sdj'!$AA$4:$AC$19,3,FALSE))</f>
        <v>558.83923463009262</v>
      </c>
      <c r="AD25" s="5">
        <f>VLOOKUP(AD$22,ovrcst!$A$5:$W$36,VLOOKUP('ELC_Gen-sdj'!$B25,'ELC_Gen-sdj'!$AA$4:$AC$19,3,FALSE))</f>
        <v>553.11769377849669</v>
      </c>
      <c r="AE25" s="5">
        <f>VLOOKUP(AE$22,ovrcst!$A$5:$W$36,VLOOKUP('ELC_Gen-sdj'!$B25,'ELC_Gen-sdj'!$AA$4:$AC$19,3,FALSE))</f>
        <v>547.89168811589946</v>
      </c>
      <c r="AF25" s="5">
        <f>VLOOKUP(AF$22,ovrcst!$A$5:$W$36,VLOOKUP('ELC_Gen-sdj'!$B25,'ELC_Gen-sdj'!$AA$4:$AC$19,3,FALSE))</f>
        <v>542.64318282100305</v>
      </c>
      <c r="AG25" s="5">
        <f>VLOOKUP(AG$22,ovrcst!$A$5:$W$36,VLOOKUP('ELC_Gen-sdj'!$B25,'ELC_Gen-sdj'!$AA$4:$AC$19,3,FALSE))</f>
        <v>537.38222165024263</v>
      </c>
      <c r="AH25" s="5">
        <f>VLOOKUP(AH$22,ovrcst!$A$5:$W$36,VLOOKUP('ELC_Gen-sdj'!$B25,'ELC_Gen-sdj'!$AA$4:$AC$19,3,FALSE))</f>
        <v>532.15789913957929</v>
      </c>
    </row>
    <row r="26" spans="2:34">
      <c r="B26" s="36" t="str">
        <f t="shared" si="4"/>
        <v>EN_GasCC</v>
      </c>
      <c r="C26" s="5">
        <f>VLOOKUP(C$22,ovrcst!$A$5:$W$36,VLOOKUP('ELC_Gen-sdj'!$B26,'ELC_Gen-sdj'!$AA$4:$AC$19,3,FALSE))</f>
        <v>999.32722103014635</v>
      </c>
      <c r="D26" s="5">
        <f>VLOOKUP(D$22,ovrcst!$A$5:$W$36,VLOOKUP('ELC_Gen-sdj'!$B26,'ELC_Gen-sdj'!$AA$4:$AC$19,3,FALSE))</f>
        <v>990.01963397384725</v>
      </c>
      <c r="E26" s="5">
        <f>VLOOKUP(E$22,ovrcst!$A$5:$W$36,VLOOKUP('ELC_Gen-sdj'!$B26,'ELC_Gen-sdj'!$AA$4:$AC$19,3,FALSE))</f>
        <v>967.68334022919942</v>
      </c>
      <c r="F26" s="5">
        <f>VLOOKUP(F$22,ovrcst!$A$5:$W$36,VLOOKUP('ELC_Gen-sdj'!$B26,'ELC_Gen-sdj'!$AA$4:$AC$19,3,FALSE))</f>
        <v>954.4694025614134</v>
      </c>
      <c r="G26" s="5">
        <f>VLOOKUP(G$22,ovrcst!$A$5:$W$36,VLOOKUP('ELC_Gen-sdj'!$B26,'ELC_Gen-sdj'!$AA$4:$AC$19,3,FALSE))</f>
        <v>945.63998672144874</v>
      </c>
      <c r="H26" s="5">
        <f>VLOOKUP(H$22,ovrcst!$A$5:$W$36,VLOOKUP('ELC_Gen-sdj'!$B26,'ELC_Gen-sdj'!$AA$4:$AC$19,3,FALSE))</f>
        <v>938.87054374705326</v>
      </c>
      <c r="I26" s="5">
        <f>VLOOKUP(I$22,ovrcst!$A$5:$W$36,VLOOKUP('ELC_Gen-sdj'!$B26,'ELC_Gen-sdj'!$AA$4:$AC$19,3,FALSE))</f>
        <v>933.69142090120965</v>
      </c>
      <c r="J26" s="5">
        <f>VLOOKUP(J$22,ovrcst!$A$5:$W$36,VLOOKUP('ELC_Gen-sdj'!$B26,'ELC_Gen-sdj'!$AA$4:$AC$19,3,FALSE))</f>
        <v>926.25481828591228</v>
      </c>
      <c r="K26" s="5">
        <f>VLOOKUP(K$22,ovrcst!$A$5:$W$36,VLOOKUP('ELC_Gen-sdj'!$B26,'ELC_Gen-sdj'!$AA$4:$AC$19,3,FALSE))</f>
        <v>916.96743483406635</v>
      </c>
      <c r="L26" s="5">
        <f>VLOOKUP(L$22,ovrcst!$A$5:$W$36,VLOOKUP('ELC_Gen-sdj'!$B26,'ELC_Gen-sdj'!$AA$4:$AC$19,3,FALSE))</f>
        <v>906.34990041086542</v>
      </c>
      <c r="M26" s="5">
        <f>VLOOKUP(M$22,ovrcst!$A$5:$W$36,VLOOKUP('ELC_Gen-sdj'!$B26,'ELC_Gen-sdj'!$AA$4:$AC$19,3,FALSE))</f>
        <v>895.37335629817096</v>
      </c>
      <c r="N26" s="5">
        <f>VLOOKUP(N$22,ovrcst!$A$5:$W$36,VLOOKUP('ELC_Gen-sdj'!$B26,'ELC_Gen-sdj'!$AA$4:$AC$19,3,FALSE))</f>
        <v>885.89111010613226</v>
      </c>
      <c r="O26" s="5">
        <f>VLOOKUP(O$22,ovrcst!$A$5:$W$36,VLOOKUP('ELC_Gen-sdj'!$B26,'ELC_Gen-sdj'!$AA$4:$AC$19,3,FALSE))</f>
        <v>876.43693554129345</v>
      </c>
      <c r="P26" s="5">
        <f>VLOOKUP(P$22,ovrcst!$A$5:$W$36,VLOOKUP('ELC_Gen-sdj'!$B26,'ELC_Gen-sdj'!$AA$4:$AC$19,3,FALSE))</f>
        <v>866.98804737941066</v>
      </c>
      <c r="Q26" s="5">
        <f>VLOOKUP(Q$22,ovrcst!$A$5:$W$36,VLOOKUP('ELC_Gen-sdj'!$B26,'ELC_Gen-sdj'!$AA$4:$AC$19,3,FALSE))</f>
        <v>858.01756425183066</v>
      </c>
      <c r="R26" s="5">
        <f>VLOOKUP(R$22,ovrcst!$A$5:$W$36,VLOOKUP('ELC_Gen-sdj'!$B26,'ELC_Gen-sdj'!$AA$4:$AC$19,3,FALSE))</f>
        <v>849.15749131602001</v>
      </c>
      <c r="S26" s="5">
        <f>VLOOKUP(S$22,ovrcst!$A$5:$W$36,VLOOKUP('ELC_Gen-sdj'!$B26,'ELC_Gen-sdj'!$AA$4:$AC$19,3,FALSE))</f>
        <v>839.74384038796472</v>
      </c>
      <c r="T26" s="5">
        <f>VLOOKUP(T$22,ovrcst!$A$5:$W$36,VLOOKUP('ELC_Gen-sdj'!$B26,'ELC_Gen-sdj'!$AA$4:$AC$19,3,FALSE))</f>
        <v>830.84095470859359</v>
      </c>
      <c r="U26" s="5">
        <f>VLOOKUP(U$22,ovrcst!$A$5:$W$36,VLOOKUP('ELC_Gen-sdj'!$B26,'ELC_Gen-sdj'!$AA$4:$AC$19,3,FALSE))</f>
        <v>822.08535991609494</v>
      </c>
      <c r="V26" s="5">
        <f>VLOOKUP(V$22,ovrcst!$A$5:$W$36,VLOOKUP('ELC_Gen-sdj'!$B26,'ELC_Gen-sdj'!$AA$4:$AC$19,3,FALSE))</f>
        <v>813.67103928719212</v>
      </c>
      <c r="W26" s="5">
        <f>VLOOKUP(W$22,ovrcst!$A$5:$W$36,VLOOKUP('ELC_Gen-sdj'!$B26,'ELC_Gen-sdj'!$AA$4:$AC$19,3,FALSE))</f>
        <v>805.14542804083646</v>
      </c>
      <c r="X26" s="5">
        <f>VLOOKUP(X$22,ovrcst!$A$5:$W$36,VLOOKUP('ELC_Gen-sdj'!$B26,'ELC_Gen-sdj'!$AA$4:$AC$19,3,FALSE))</f>
        <v>796.93953640536154</v>
      </c>
      <c r="Y26" s="5">
        <f>VLOOKUP(Y$22,ovrcst!$A$5:$W$36,VLOOKUP('ELC_Gen-sdj'!$B26,'ELC_Gen-sdj'!$AA$4:$AC$19,3,FALSE))</f>
        <v>788.94659520625066</v>
      </c>
      <c r="Z26" s="5">
        <f>VLOOKUP(Z$22,ovrcst!$A$5:$W$36,VLOOKUP('ELC_Gen-sdj'!$B26,'ELC_Gen-sdj'!$AA$4:$AC$19,3,FALSE))</f>
        <v>780.35638188343751</v>
      </c>
      <c r="AA26" s="5">
        <f>VLOOKUP(AA$22,ovrcst!$A$5:$W$36,VLOOKUP('ELC_Gen-sdj'!$B26,'ELC_Gen-sdj'!$AA$4:$AC$19,3,FALSE))</f>
        <v>772.93328682633012</v>
      </c>
      <c r="AB26" s="5">
        <f>VLOOKUP(AB$22,ovrcst!$A$5:$W$36,VLOOKUP('ELC_Gen-sdj'!$B26,'ELC_Gen-sdj'!$AA$4:$AC$19,3,FALSE))</f>
        <v>764.51450248732283</v>
      </c>
      <c r="AC26" s="5">
        <f>VLOOKUP(AC$22,ovrcst!$A$5:$W$36,VLOOKUP('ELC_Gen-sdj'!$B26,'ELC_Gen-sdj'!$AA$4:$AC$19,3,FALSE))</f>
        <v>757.08101263386811</v>
      </c>
      <c r="AD26" s="5">
        <f>VLOOKUP(AD$22,ovrcst!$A$5:$W$36,VLOOKUP('ELC_Gen-sdj'!$B26,'ELC_Gen-sdj'!$AA$4:$AC$19,3,FALSE))</f>
        <v>748.83530266437026</v>
      </c>
      <c r="AE26" s="5">
        <f>VLOOKUP(AE$22,ovrcst!$A$5:$W$36,VLOOKUP('ELC_Gen-sdj'!$B26,'ELC_Gen-sdj'!$AA$4:$AC$19,3,FALSE))</f>
        <v>741.2680881772784</v>
      </c>
      <c r="AF26" s="5">
        <f>VLOOKUP(AF$22,ovrcst!$A$5:$W$36,VLOOKUP('ELC_Gen-sdj'!$B26,'ELC_Gen-sdj'!$AA$4:$AC$19,3,FALSE))</f>
        <v>733.67790949416428</v>
      </c>
      <c r="AG26" s="5">
        <f>VLOOKUP(AG$22,ovrcst!$A$5:$W$36,VLOOKUP('ELC_Gen-sdj'!$B26,'ELC_Gen-sdj'!$AA$4:$AC$19,3,FALSE))</f>
        <v>726.07845218278214</v>
      </c>
      <c r="AH26" s="5">
        <f>VLOOKUP(AH$22,ovrcst!$A$5:$W$36,VLOOKUP('ELC_Gen-sdj'!$B26,'ELC_Gen-sdj'!$AA$4:$AC$19,3,FALSE))</f>
        <v>718.53584439077429</v>
      </c>
    </row>
    <row r="27" spans="2:34" s="42" customFormat="1">
      <c r="B27" s="42" t="str">
        <f t="shared" si="4"/>
        <v>EN_GasCTAdv</v>
      </c>
      <c r="C27" s="43">
        <f>VLOOKUP(C$22,ovrcst!$A$5:$W$36,VLOOKUP('ELC_Gen-sdj'!$B27,'ELC_Gen-sdj'!$AA$4:$AC$19,3,FALSE))</f>
        <v>691.0768157887843</v>
      </c>
      <c r="D27" s="43">
        <f>VLOOKUP(D$22,ovrcst!$A$5:$W$36,VLOOKUP('ELC_Gen-sdj'!$B27,'ELC_Gen-sdj'!$AA$4:$AC$19,3,FALSE))</f>
        <v>683.76621123055679</v>
      </c>
      <c r="E27" s="43">
        <f>VLOOKUP(E$22,ovrcst!$A$5:$W$36,VLOOKUP('ELC_Gen-sdj'!$B27,'ELC_Gen-sdj'!$AA$4:$AC$19,3,FALSE))</f>
        <v>667.48039872330708</v>
      </c>
      <c r="F27" s="43">
        <f>VLOOKUP(F$22,ovrcst!$A$5:$W$36,VLOOKUP('ELC_Gen-sdj'!$B27,'ELC_Gen-sdj'!$AA$4:$AC$19,3,FALSE))</f>
        <v>657.5143656011345</v>
      </c>
      <c r="G27" s="43">
        <f>VLOOKUP(G$22,ovrcst!$A$5:$W$36,VLOOKUP('ELC_Gen-sdj'!$B27,'ELC_Gen-sdj'!$AA$4:$AC$19,3,FALSE))</f>
        <v>625.44563297699176</v>
      </c>
      <c r="H27" s="43">
        <f>VLOOKUP(H$22,ovrcst!$A$5:$W$36,VLOOKUP('ELC_Gen-sdj'!$B27,'ELC_Gen-sdj'!$AA$4:$AC$19,3,FALSE))</f>
        <v>612.36512873569245</v>
      </c>
      <c r="I27" s="43">
        <f>VLOOKUP(I$22,ovrcst!$A$5:$W$36,VLOOKUP('ELC_Gen-sdj'!$B27,'ELC_Gen-sdj'!$AA$4:$AC$19,3,FALSE))</f>
        <v>599.88018282301789</v>
      </c>
      <c r="J27" s="43">
        <f>VLOOKUP(J$22,ovrcst!$A$5:$W$36,VLOOKUP('ELC_Gen-sdj'!$B27,'ELC_Gen-sdj'!$AA$4:$AC$19,3,FALSE))</f>
        <v>586.79665335842799</v>
      </c>
      <c r="K27" s="43">
        <f>VLOOKUP(K$22,ovrcst!$A$5:$W$36,VLOOKUP('ELC_Gen-sdj'!$B27,'ELC_Gen-sdj'!$AA$4:$AC$19,3,FALSE))</f>
        <v>573.38688246717516</v>
      </c>
      <c r="L27" s="43">
        <f>VLOOKUP(L$22,ovrcst!$A$5:$W$36,VLOOKUP('ELC_Gen-sdj'!$B27,'ELC_Gen-sdj'!$AA$4:$AC$19,3,FALSE))</f>
        <v>563.08421888622388</v>
      </c>
      <c r="M27" s="43">
        <f>VLOOKUP(M$22,ovrcst!$A$5:$W$36,VLOOKUP('ELC_Gen-sdj'!$B27,'ELC_Gen-sdj'!$AA$4:$AC$19,3,FALSE))</f>
        <v>552.68940292531795</v>
      </c>
      <c r="N27" s="43">
        <f>VLOOKUP(N$22,ovrcst!$A$5:$W$36,VLOOKUP('ELC_Gen-sdj'!$B27,'ELC_Gen-sdj'!$AA$4:$AC$19,3,FALSE))</f>
        <v>545.18176316075028</v>
      </c>
      <c r="O27" s="43">
        <f>VLOOKUP(O$22,ovrcst!$A$5:$W$36,VLOOKUP('ELC_Gen-sdj'!$B27,'ELC_Gen-sdj'!$AA$4:$AC$19,3,FALSE))</f>
        <v>538.1821541760055</v>
      </c>
      <c r="P27" s="43">
        <f>VLOOKUP(P$22,ovrcst!$A$5:$W$36,VLOOKUP('ELC_Gen-sdj'!$B27,'ELC_Gen-sdj'!$AA$4:$AC$19,3,FALSE))</f>
        <v>530.05109484271452</v>
      </c>
      <c r="Q27" s="43">
        <f>VLOOKUP(Q$22,ovrcst!$A$5:$W$36,VLOOKUP('ELC_Gen-sdj'!$B27,'ELC_Gen-sdj'!$AA$4:$AC$19,3,FALSE))</f>
        <v>523.25171840914777</v>
      </c>
      <c r="R27" s="43">
        <f>VLOOKUP(R$22,ovrcst!$A$5:$W$36,VLOOKUP('ELC_Gen-sdj'!$B27,'ELC_Gen-sdj'!$AA$4:$AC$19,3,FALSE))</f>
        <v>515.81087957852662</v>
      </c>
      <c r="S27" s="43">
        <f>VLOOKUP(S$22,ovrcst!$A$5:$W$36,VLOOKUP('ELC_Gen-sdj'!$B27,'ELC_Gen-sdj'!$AA$4:$AC$19,3,FALSE))</f>
        <v>508.97975794471898</v>
      </c>
      <c r="T27" s="43">
        <f>VLOOKUP(T$22,ovrcst!$A$5:$W$36,VLOOKUP('ELC_Gen-sdj'!$B27,'ELC_Gen-sdj'!$AA$4:$AC$19,3,FALSE))</f>
        <v>501.93412983203177</v>
      </c>
      <c r="U27" s="43">
        <f>VLOOKUP(U$22,ovrcst!$A$5:$W$36,VLOOKUP('ELC_Gen-sdj'!$B27,'ELC_Gen-sdj'!$AA$4:$AC$19,3,FALSE))</f>
        <v>496.13037458887266</v>
      </c>
      <c r="V27" s="43">
        <f>VLOOKUP(V$22,ovrcst!$A$5:$W$36,VLOOKUP('ELC_Gen-sdj'!$B27,'ELC_Gen-sdj'!$AA$4:$AC$19,3,FALSE))</f>
        <v>491.60428881995716</v>
      </c>
      <c r="W27" s="43">
        <f>VLOOKUP(W$22,ovrcst!$A$5:$W$36,VLOOKUP('ELC_Gen-sdj'!$B27,'ELC_Gen-sdj'!$AA$4:$AC$19,3,FALSE))</f>
        <v>487.00232364089447</v>
      </c>
      <c r="X27" s="43">
        <f>VLOOKUP(X$22,ovrcst!$A$5:$W$36,VLOOKUP('ELC_Gen-sdj'!$B27,'ELC_Gen-sdj'!$AA$4:$AC$19,3,FALSE))</f>
        <v>482.58534609527305</v>
      </c>
      <c r="Y27" s="43">
        <f>VLOOKUP(Y$22,ovrcst!$A$5:$W$36,VLOOKUP('ELC_Gen-sdj'!$B27,'ELC_Gen-sdj'!$AA$4:$AC$19,3,FALSE))</f>
        <v>478.28898178879183</v>
      </c>
      <c r="Z27" s="43">
        <f>VLOOKUP(Z$22,ovrcst!$A$5:$W$36,VLOOKUP('ELC_Gen-sdj'!$B27,'ELC_Gen-sdj'!$AA$4:$AC$19,3,FALSE))</f>
        <v>473.62192940771479</v>
      </c>
      <c r="AA27" s="43">
        <f>VLOOKUP(AA$22,ovrcst!$A$5:$W$36,VLOOKUP('ELC_Gen-sdj'!$B27,'ELC_Gen-sdj'!$AA$4:$AC$19,3,FALSE))</f>
        <v>469.65517412339614</v>
      </c>
      <c r="AB27" s="43">
        <f>VLOOKUP(AB$22,ovrcst!$A$5:$W$36,VLOOKUP('ELC_Gen-sdj'!$B27,'ELC_Gen-sdj'!$AA$4:$AC$19,3,FALSE))</f>
        <v>465.07507586444302</v>
      </c>
      <c r="AC27" s="43">
        <f>VLOOKUP(AC$22,ovrcst!$A$5:$W$36,VLOOKUP('ELC_Gen-sdj'!$B27,'ELC_Gen-sdj'!$AA$4:$AC$19,3,FALSE))</f>
        <v>461.08628247391044</v>
      </c>
      <c r="AD27" s="43">
        <f>VLOOKUP(AD$22,ovrcst!$A$5:$W$36,VLOOKUP('ELC_Gen-sdj'!$B27,'ELC_Gen-sdj'!$AA$4:$AC$19,3,FALSE))</f>
        <v>456.59451063224731</v>
      </c>
      <c r="AE27" s="43">
        <f>VLOOKUP(AE$22,ovrcst!$A$5:$W$36,VLOOKUP('ELC_Gen-sdj'!$B27,'ELC_Gen-sdj'!$AA$4:$AC$19,3,FALSE))</f>
        <v>452.50808410008494</v>
      </c>
      <c r="AF27" s="43">
        <f>VLOOKUP(AF$22,ovrcst!$A$5:$W$36,VLOOKUP('ELC_Gen-sdj'!$B27,'ELC_Gen-sdj'!$AA$4:$AC$19,3,FALSE))</f>
        <v>448.39967652374338</v>
      </c>
      <c r="AG27" s="43">
        <f>VLOOKUP(AG$22,ovrcst!$A$5:$W$36,VLOOKUP('ELC_Gen-sdj'!$B27,'ELC_Gen-sdj'!$AA$4:$AC$19,3,FALSE))</f>
        <v>444.27762270208376</v>
      </c>
      <c r="AH27" s="43">
        <f>VLOOKUP(AH$22,ovrcst!$A$5:$W$36,VLOOKUP('ELC_Gen-sdj'!$B27,'ELC_Gen-sdj'!$AA$4:$AC$19,3,FALSE))</f>
        <v>440.18226175197276</v>
      </c>
    </row>
    <row r="28" spans="2:34">
      <c r="B28" s="36" t="str">
        <f t="shared" si="4"/>
        <v>EN_GasCT</v>
      </c>
      <c r="C28" s="5">
        <f>VLOOKUP(C$22,ovrcst!$A$5:$W$36,VLOOKUP('ELC_Gen-sdj'!$B28,'ELC_Gen-sdj'!$AA$4:$AC$19,3,FALSE))</f>
        <v>1126.002408681185</v>
      </c>
      <c r="D28" s="5">
        <f>VLOOKUP(D$22,ovrcst!$A$5:$W$36,VLOOKUP('ELC_Gen-sdj'!$B28,'ELC_Gen-sdj'!$AA$4:$AC$19,3,FALSE))</f>
        <v>1115.5153164235383</v>
      </c>
      <c r="E28" s="5">
        <f>VLOOKUP(E$22,ovrcst!$A$5:$W$36,VLOOKUP('ELC_Gen-sdj'!$B28,'ELC_Gen-sdj'!$AA$4:$AC$19,3,FALSE))</f>
        <v>1090.3474355472445</v>
      </c>
      <c r="F28" s="5">
        <f>VLOOKUP(F$22,ovrcst!$A$5:$W$36,VLOOKUP('ELC_Gen-sdj'!$B28,'ELC_Gen-sdj'!$AA$4:$AC$19,3,FALSE))</f>
        <v>1075.4584258953284</v>
      </c>
      <c r="G28" s="5">
        <f>VLOOKUP(G$22,ovrcst!$A$5:$W$36,VLOOKUP('ELC_Gen-sdj'!$B28,'ELC_Gen-sdj'!$AA$4:$AC$19,3,FALSE))</f>
        <v>1065.5099575376823</v>
      </c>
      <c r="H28" s="5">
        <f>VLOOKUP(H$22,ovrcst!$A$5:$W$36,VLOOKUP('ELC_Gen-sdj'!$B28,'ELC_Gen-sdj'!$AA$4:$AC$19,3,FALSE))</f>
        <v>1057.8823556940195</v>
      </c>
      <c r="I28" s="5">
        <f>VLOOKUP(I$22,ovrcst!$A$5:$W$36,VLOOKUP('ELC_Gen-sdj'!$B28,'ELC_Gen-sdj'!$AA$4:$AC$19,3,FALSE))</f>
        <v>1052.0467887752784</v>
      </c>
      <c r="J28" s="5">
        <f>VLOOKUP(J$22,ovrcst!$A$5:$W$36,VLOOKUP('ELC_Gen-sdj'!$B28,'ELC_Gen-sdj'!$AA$4:$AC$19,3,FALSE))</f>
        <v>1043.6674434552065</v>
      </c>
      <c r="K28" s="5">
        <f>VLOOKUP(K$22,ovrcst!$A$5:$W$36,VLOOKUP('ELC_Gen-sdj'!$B28,'ELC_Gen-sdj'!$AA$4:$AC$19,3,FALSE))</f>
        <v>1033.2027351233853</v>
      </c>
      <c r="L28" s="5">
        <f>VLOOKUP(L$22,ovrcst!$A$5:$W$36,VLOOKUP('ELC_Gen-sdj'!$B28,'ELC_Gen-sdj'!$AA$4:$AC$19,3,FALSE))</f>
        <v>1021.239437426818</v>
      </c>
      <c r="M28" s="5">
        <f>VLOOKUP(M$22,ovrcst!$A$5:$W$36,VLOOKUP('ELC_Gen-sdj'!$B28,'ELC_Gen-sdj'!$AA$4:$AC$19,3,FALSE))</f>
        <v>1008.8713552222156</v>
      </c>
      <c r="N28" s="5">
        <f>VLOOKUP(N$22,ovrcst!$A$5:$W$36,VLOOKUP('ELC_Gen-sdj'!$B28,'ELC_Gen-sdj'!$AA$4:$AC$19,3,FALSE))</f>
        <v>998.18723246161107</v>
      </c>
      <c r="O28" s="5">
        <f>VLOOKUP(O$22,ovrcst!$A$5:$W$36,VLOOKUP('ELC_Gen-sdj'!$B28,'ELC_Gen-sdj'!$AA$4:$AC$19,3,FALSE))</f>
        <v>987.53447221994065</v>
      </c>
      <c r="P28" s="5">
        <f>VLOOKUP(P$22,ovrcst!$A$5:$W$36,VLOOKUP('ELC_Gen-sdj'!$B28,'ELC_Gen-sdj'!$AA$4:$AC$19,3,FALSE))</f>
        <v>976.88806508978598</v>
      </c>
      <c r="Q28" s="5">
        <f>VLOOKUP(Q$22,ovrcst!$A$5:$W$36,VLOOKUP('ELC_Gen-sdj'!$B28,'ELC_Gen-sdj'!$AA$4:$AC$19,3,FALSE))</f>
        <v>966.78039933298066</v>
      </c>
      <c r="R28" s="5">
        <f>VLOOKUP(R$22,ovrcst!$A$5:$W$36,VLOOKUP('ELC_Gen-sdj'!$B28,'ELC_Gen-sdj'!$AA$4:$AC$19,3,FALSE))</f>
        <v>956.79718847118465</v>
      </c>
      <c r="S28" s="5">
        <f>VLOOKUP(S$22,ovrcst!$A$5:$W$36,VLOOKUP('ELC_Gen-sdj'!$B28,'ELC_Gen-sdj'!$AA$4:$AC$19,3,FALSE))</f>
        <v>946.19030395990262</v>
      </c>
      <c r="T28" s="5">
        <f>VLOOKUP(T$22,ovrcst!$A$5:$W$36,VLOOKUP('ELC_Gen-sdj'!$B28,'ELC_Gen-sdj'!$AA$4:$AC$19,3,FALSE))</f>
        <v>936.1588850919635</v>
      </c>
      <c r="U28" s="5">
        <f>VLOOKUP(U$22,ovrcst!$A$5:$W$36,VLOOKUP('ELC_Gen-sdj'!$B28,'ELC_Gen-sdj'!$AA$4:$AC$19,3,FALSE))</f>
        <v>926.29330898546959</v>
      </c>
      <c r="V28" s="5">
        <f>VLOOKUP(V$22,ovrcst!$A$5:$W$36,VLOOKUP('ELC_Gen-sdj'!$B28,'ELC_Gen-sdj'!$AA$4:$AC$19,3,FALSE))</f>
        <v>916.81252304101258</v>
      </c>
      <c r="W28" s="5">
        <f>VLOOKUP(W$22,ovrcst!$A$5:$W$36,VLOOKUP('ELC_Gen-sdj'!$B28,'ELC_Gen-sdj'!$AA$4:$AC$19,3,FALSE))</f>
        <v>907.20611701873656</v>
      </c>
      <c r="X28" s="5">
        <f>VLOOKUP(X$22,ovrcst!$A$5:$W$36,VLOOKUP('ELC_Gen-sdj'!$B28,'ELC_Gen-sdj'!$AA$4:$AC$19,3,FALSE))</f>
        <v>897.96013355669197</v>
      </c>
      <c r="Y28" s="5">
        <f>VLOOKUP(Y$22,ovrcst!$A$5:$W$36,VLOOKUP('ELC_Gen-sdj'!$B28,'ELC_Gen-sdj'!$AA$4:$AC$19,3,FALSE))</f>
        <v>888.95396763848021</v>
      </c>
      <c r="Z28" s="5">
        <f>VLOOKUP(Z$22,ovrcst!$A$5:$W$36,VLOOKUP('ELC_Gen-sdj'!$B28,'ELC_Gen-sdj'!$AA$4:$AC$19,3,FALSE))</f>
        <v>879.27486948997478</v>
      </c>
      <c r="AA28" s="5">
        <f>VLOOKUP(AA$22,ovrcst!$A$5:$W$36,VLOOKUP('ELC_Gen-sdj'!$B28,'ELC_Gen-sdj'!$AA$4:$AC$19,3,FALSE))</f>
        <v>870.9108558745271</v>
      </c>
      <c r="AB28" s="5">
        <f>VLOOKUP(AB$22,ovrcst!$A$5:$W$36,VLOOKUP('ELC_Gen-sdj'!$B28,'ELC_Gen-sdj'!$AA$4:$AC$19,3,FALSE))</f>
        <v>861.42476548308298</v>
      </c>
      <c r="AC28" s="5">
        <f>VLOOKUP(AC$22,ovrcst!$A$5:$W$36,VLOOKUP('ELC_Gen-sdj'!$B28,'ELC_Gen-sdj'!$AA$4:$AC$19,3,FALSE))</f>
        <v>853.04909335406467</v>
      </c>
      <c r="AD28" s="5">
        <f>VLOOKUP(AD$22,ovrcst!$A$5:$W$36,VLOOKUP('ELC_Gen-sdj'!$B28,'ELC_Gen-sdj'!$AA$4:$AC$19,3,FALSE))</f>
        <v>843.75828282616067</v>
      </c>
      <c r="AE28" s="5">
        <f>VLOOKUP(AE$22,ovrcst!$A$5:$W$36,VLOOKUP('ELC_Gen-sdj'!$B28,'ELC_Gen-sdj'!$AA$4:$AC$19,3,FALSE))</f>
        <v>835.23163261212983</v>
      </c>
      <c r="AF28" s="5">
        <f>VLOOKUP(AF$22,ovrcst!$A$5:$W$36,VLOOKUP('ELC_Gen-sdj'!$B28,'ELC_Gen-sdj'!$AA$4:$AC$19,3,FALSE))</f>
        <v>826.67939135434369</v>
      </c>
      <c r="AG28" s="5">
        <f>VLOOKUP(AG$22,ovrcst!$A$5:$W$36,VLOOKUP('ELC_Gen-sdj'!$B28,'ELC_Gen-sdj'!$AA$4:$AC$19,3,FALSE))</f>
        <v>818.11654120258322</v>
      </c>
      <c r="AH28" s="5">
        <f>VLOOKUP(AH$22,ovrcst!$A$5:$W$36,VLOOKUP('ELC_Gen-sdj'!$B28,'ELC_Gen-sdj'!$AA$4:$AC$19,3,FALSE))</f>
        <v>809.61792891620826</v>
      </c>
    </row>
    <row r="29" spans="2:34">
      <c r="B29" s="36" t="str">
        <f t="shared" si="4"/>
        <v>EN_Biomass</v>
      </c>
      <c r="C29" s="5">
        <f>VLOOKUP(C$22,ovrcst!$A$5:$W$36,VLOOKUP('ELC_Gen-sdj'!$B29,'ELC_Gen-sdj'!$AA$4:$AC$19,3,FALSE))</f>
        <v>3899.5782844311379</v>
      </c>
      <c r="D29" s="5">
        <f>VLOOKUP(D$22,ovrcst!$A$5:$W$36,VLOOKUP('ELC_Gen-sdj'!$B29,'ELC_Gen-sdj'!$AA$4:$AC$19,3,FALSE))</f>
        <v>3858.2388443113769</v>
      </c>
      <c r="E29" s="5">
        <f>VLOOKUP(E$22,ovrcst!$A$5:$W$36,VLOOKUP('ELC_Gen-sdj'!$B29,'ELC_Gen-sdj'!$AA$4:$AC$19,3,FALSE))</f>
        <v>3756.4370768463073</v>
      </c>
      <c r="F29" s="5">
        <f>VLOOKUP(F$22,ovrcst!$A$5:$W$36,VLOOKUP('ELC_Gen-sdj'!$B29,'ELC_Gen-sdj'!$AA$4:$AC$19,3,FALSE))</f>
        <v>3698.7399710578843</v>
      </c>
      <c r="G29" s="5">
        <f>VLOOKUP(G$22,ovrcst!$A$5:$W$36,VLOOKUP('ELC_Gen-sdj'!$B29,'ELC_Gen-sdj'!$AA$4:$AC$19,3,FALSE))</f>
        <v>3659.7218163672655</v>
      </c>
      <c r="H29" s="5">
        <f>VLOOKUP(H$22,ovrcst!$A$5:$W$36,VLOOKUP('ELC_Gen-sdj'!$B29,'ELC_Gen-sdj'!$AA$4:$AC$19,3,FALSE))</f>
        <v>3628.7298453093813</v>
      </c>
      <c r="I29" s="5">
        <f>VLOOKUP(I$22,ovrcst!$A$5:$W$36,VLOOKUP('ELC_Gen-sdj'!$B29,'ELC_Gen-sdj'!$AA$4:$AC$19,3,FALSE))</f>
        <v>3603.9215518962073</v>
      </c>
      <c r="J29" s="5">
        <f>VLOOKUP(J$22,ovrcst!$A$5:$W$36,VLOOKUP('ELC_Gen-sdj'!$B29,'ELC_Gen-sdj'!$AA$4:$AC$19,3,FALSE))</f>
        <v>3570.4401746506987</v>
      </c>
      <c r="K29" s="5">
        <f>VLOOKUP(K$22,ovrcst!$A$5:$W$36,VLOOKUP('ELC_Gen-sdj'!$B29,'ELC_Gen-sdj'!$AA$4:$AC$19,3,FALSE))</f>
        <v>3529.88627245509</v>
      </c>
      <c r="L29" s="5">
        <f>VLOOKUP(L$22,ovrcst!$A$5:$W$36,VLOOKUP('ELC_Gen-sdj'!$B29,'ELC_Gen-sdj'!$AA$4:$AC$19,3,FALSE))</f>
        <v>3484.2914271457084</v>
      </c>
      <c r="M29" s="5">
        <f>VLOOKUP(M$22,ovrcst!$A$5:$W$36,VLOOKUP('ELC_Gen-sdj'!$B29,'ELC_Gen-sdj'!$AA$4:$AC$19,3,FALSE))</f>
        <v>3437.404000998004</v>
      </c>
      <c r="N29" s="5">
        <f>VLOOKUP(N$22,ovrcst!$A$5:$W$36,VLOOKUP('ELC_Gen-sdj'!$B29,'ELC_Gen-sdj'!$AA$4:$AC$19,3,FALSE))</f>
        <v>3396.336721556886</v>
      </c>
      <c r="O29" s="5">
        <f>VLOOKUP(O$22,ovrcst!$A$5:$W$36,VLOOKUP('ELC_Gen-sdj'!$B29,'ELC_Gen-sdj'!$AA$4:$AC$19,3,FALSE))</f>
        <v>3355.4529121756486</v>
      </c>
      <c r="P29" s="5">
        <f>VLOOKUP(P$22,ovrcst!$A$5:$W$36,VLOOKUP('ELC_Gen-sdj'!$B29,'ELC_Gen-sdj'!$AA$4:$AC$19,3,FALSE))</f>
        <v>3314.6660778443115</v>
      </c>
      <c r="Q29" s="5">
        <f>VLOOKUP(Q$22,ovrcst!$A$5:$W$36,VLOOKUP('ELC_Gen-sdj'!$B29,'ELC_Gen-sdj'!$AA$4:$AC$19,3,FALSE))</f>
        <v>3275.7814451097806</v>
      </c>
      <c r="R29" s="5">
        <f>VLOOKUP(R$22,ovrcst!$A$5:$W$36,VLOOKUP('ELC_Gen-sdj'!$B29,'ELC_Gen-sdj'!$AA$4:$AC$19,3,FALSE))</f>
        <v>3237.3902095808385</v>
      </c>
      <c r="S29" s="5">
        <f>VLOOKUP(S$22,ovrcst!$A$5:$W$36,VLOOKUP('ELC_Gen-sdj'!$B29,'ELC_Gen-sdj'!$AA$4:$AC$19,3,FALSE))</f>
        <v>3196.9632514970062</v>
      </c>
      <c r="T29" s="5">
        <f>VLOOKUP(T$22,ovrcst!$A$5:$W$36,VLOOKUP('ELC_Gen-sdj'!$B29,'ELC_Gen-sdj'!$AA$4:$AC$19,3,FALSE))</f>
        <v>3158.5559351297406</v>
      </c>
      <c r="U29" s="5">
        <f>VLOOKUP(U$22,ovrcst!$A$5:$W$36,VLOOKUP('ELC_Gen-sdj'!$B29,'ELC_Gen-sdj'!$AA$4:$AC$19,3,FALSE))</f>
        <v>3120.7811427145707</v>
      </c>
      <c r="V29" s="5">
        <f>VLOOKUP(V$22,ovrcst!$A$5:$W$36,VLOOKUP('ELC_Gen-sdj'!$B29,'ELC_Gen-sdj'!$AA$4:$AC$19,3,FALSE))</f>
        <v>3084.3722714570858</v>
      </c>
      <c r="W29" s="5">
        <f>VLOOKUP(W$22,ovrcst!$A$5:$W$36,VLOOKUP('ELC_Gen-sdj'!$B29,'ELC_Gen-sdj'!$AA$4:$AC$19,3,FALSE))</f>
        <v>3047.6105898203591</v>
      </c>
      <c r="X29" s="5">
        <f>VLOOKUP(X$22,ovrcst!$A$5:$W$36,VLOOKUP('ELC_Gen-sdj'!$B29,'ELC_Gen-sdj'!$AA$4:$AC$19,3,FALSE))</f>
        <v>3012.1285748502996</v>
      </c>
      <c r="Y29" s="5">
        <f>VLOOKUP(Y$22,ovrcst!$A$5:$W$36,VLOOKUP('ELC_Gen-sdj'!$B29,'ELC_Gen-sdj'!$AA$4:$AC$19,3,FALSE))</f>
        <v>2977.5176207584827</v>
      </c>
      <c r="Z29" s="5">
        <f>VLOOKUP(Z$22,ovrcst!$A$5:$W$36,VLOOKUP('ELC_Gen-sdj'!$B29,'ELC_Gen-sdj'!$AA$4:$AC$19,3,FALSE))</f>
        <v>2940.7213403193609</v>
      </c>
      <c r="AA29" s="5">
        <f>VLOOKUP(AA$22,ovrcst!$A$5:$W$36,VLOOKUP('ELC_Gen-sdj'!$B29,'ELC_Gen-sdj'!$AA$4:$AC$19,3,FALSE))</f>
        <v>2908.3909820359286</v>
      </c>
      <c r="AB29" s="5">
        <f>VLOOKUP(AB$22,ovrcst!$A$5:$W$36,VLOOKUP('ELC_Gen-sdj'!$B29,'ELC_Gen-sdj'!$AA$4:$AC$19,3,FALSE))</f>
        <v>2872.3790209580839</v>
      </c>
      <c r="AC29" s="5">
        <f>VLOOKUP(AC$22,ovrcst!$A$5:$W$36,VLOOKUP('ELC_Gen-sdj'!$B29,'ELC_Gen-sdj'!$AA$4:$AC$19,3,FALSE))</f>
        <v>2840.1363772455093</v>
      </c>
      <c r="AD29" s="5">
        <f>VLOOKUP(AD$22,ovrcst!$A$5:$W$36,VLOOKUP('ELC_Gen-sdj'!$B29,'ELC_Gen-sdj'!$AA$4:$AC$19,3,FALSE))</f>
        <v>2804.9126357285431</v>
      </c>
      <c r="AE29" s="5">
        <f>VLOOKUP(AE$22,ovrcst!$A$5:$W$36,VLOOKUP('ELC_Gen-sdj'!$B29,'ELC_Gen-sdj'!$AA$4:$AC$19,3,FALSE))</f>
        <v>2772.2981766467065</v>
      </c>
      <c r="AF29" s="5">
        <f>VLOOKUP(AF$22,ovrcst!$A$5:$W$36,VLOOKUP('ELC_Gen-sdj'!$B29,'ELC_Gen-sdj'!$AA$4:$AC$19,3,FALSE))</f>
        <v>2739.6620329341317</v>
      </c>
      <c r="AG29" s="5">
        <f>VLOOKUP(AG$22,ovrcst!$A$5:$W$36,VLOOKUP('ELC_Gen-sdj'!$B29,'ELC_Gen-sdj'!$AA$4:$AC$19,3,FALSE))</f>
        <v>2707.0561027944109</v>
      </c>
      <c r="AH29" s="5">
        <f>VLOOKUP(AH$22,ovrcst!$A$5:$W$36,VLOOKUP('ELC_Gen-sdj'!$B29,'ELC_Gen-sdj'!$AA$4:$AC$19,3,FALSE))</f>
        <v>2674.7279371257487</v>
      </c>
    </row>
    <row r="30" spans="2:34">
      <c r="B30" s="36" t="str">
        <f t="shared" si="4"/>
        <v>EN_ZBiomass</v>
      </c>
      <c r="C30" s="5">
        <f>VLOOKUP(C$22,ovrcst!$A$5:$W$36,VLOOKUP('ELC_Gen-sdj'!$B30,'ELC_Gen-sdj'!$AA$4:$AC$19,3,FALSE))</f>
        <v>5715.7879928716911</v>
      </c>
      <c r="D30" s="5">
        <f>VLOOKUP(D$22,ovrcst!$A$5:$W$36,VLOOKUP('ELC_Gen-sdj'!$B30,'ELC_Gen-sdj'!$AA$4:$AC$19,3,FALSE))</f>
        <v>5651.6864103869648</v>
      </c>
      <c r="E30" s="5">
        <f>VLOOKUP(E$22,ovrcst!$A$5:$W$36,VLOOKUP('ELC_Gen-sdj'!$B30,'ELC_Gen-sdj'!$AA$4:$AC$19,3,FALSE))</f>
        <v>5513.4993360488797</v>
      </c>
      <c r="F30" s="5">
        <f>VLOOKUP(F$22,ovrcst!$A$5:$W$36,VLOOKUP('ELC_Gen-sdj'!$B30,'ELC_Gen-sdj'!$AA$4:$AC$19,3,FALSE))</f>
        <v>5427.627470468432</v>
      </c>
      <c r="G30" s="5">
        <f>VLOOKUP(G$22,ovrcst!$A$5:$W$36,VLOOKUP('ELC_Gen-sdj'!$B30,'ELC_Gen-sdj'!$AA$4:$AC$19,3,FALSE))</f>
        <v>5366.8807077393076</v>
      </c>
      <c r="H30" s="5">
        <f>VLOOKUP(H$22,ovrcst!$A$5:$W$36,VLOOKUP('ELC_Gen-sdj'!$B30,'ELC_Gen-sdj'!$AA$4:$AC$19,3,FALSE))</f>
        <v>5317.9441863543789</v>
      </c>
      <c r="I30" s="5">
        <f>VLOOKUP(I$22,ovrcst!$A$5:$W$36,VLOOKUP('ELC_Gen-sdj'!$B30,'ELC_Gen-sdj'!$AA$4:$AC$19,3,FALSE))</f>
        <v>5278.0965580448074</v>
      </c>
      <c r="J30" s="5">
        <f>VLOOKUP(J$22,ovrcst!$A$5:$W$36,VLOOKUP('ELC_Gen-sdj'!$B30,'ELC_Gen-sdj'!$AA$4:$AC$19,3,FALSE))</f>
        <v>5225.5754959266806</v>
      </c>
      <c r="K30" s="5">
        <f>VLOOKUP(K$22,ovrcst!$A$5:$W$36,VLOOKUP('ELC_Gen-sdj'!$B30,'ELC_Gen-sdj'!$AA$4:$AC$19,3,FALSE))</f>
        <v>5162.7493116089618</v>
      </c>
      <c r="L30" s="5">
        <f>VLOOKUP(L$22,ovrcst!$A$5:$W$36,VLOOKUP('ELC_Gen-sdj'!$B30,'ELC_Gen-sdj'!$AA$4:$AC$19,3,FALSE))</f>
        <v>5092.6073625254576</v>
      </c>
      <c r="M30" s="5">
        <f>VLOOKUP(M$22,ovrcst!$A$5:$W$36,VLOOKUP('ELC_Gen-sdj'!$B30,'ELC_Gen-sdj'!$AA$4:$AC$19,3,FALSE))</f>
        <v>5020.642065173116</v>
      </c>
      <c r="N30" s="5">
        <f>VLOOKUP(N$22,ovrcst!$A$5:$W$36,VLOOKUP('ELC_Gen-sdj'!$B30,'ELC_Gen-sdj'!$AA$4:$AC$19,3,FALSE))</f>
        <v>4957.238097759674</v>
      </c>
      <c r="O30" s="5">
        <f>VLOOKUP(O$22,ovrcst!$A$5:$W$36,VLOOKUP('ELC_Gen-sdj'!$B30,'ELC_Gen-sdj'!$AA$4:$AC$19,3,FALSE))</f>
        <v>4894.1573319755598</v>
      </c>
      <c r="P30" s="5">
        <f>VLOOKUP(P$22,ovrcst!$A$5:$W$36,VLOOKUP('ELC_Gen-sdj'!$B30,'ELC_Gen-sdj'!$AA$4:$AC$19,3,FALSE))</f>
        <v>4831.2734694501023</v>
      </c>
      <c r="Q30" s="5">
        <f>VLOOKUP(Q$22,ovrcst!$A$5:$W$36,VLOOKUP('ELC_Gen-sdj'!$B30,'ELC_Gen-sdj'!$AA$4:$AC$19,3,FALSE))</f>
        <v>4771.2183564154784</v>
      </c>
      <c r="R30" s="5">
        <f>VLOOKUP(R$22,ovrcst!$A$5:$W$36,VLOOKUP('ELC_Gen-sdj'!$B30,'ELC_Gen-sdj'!$AA$4:$AC$19,3,FALSE))</f>
        <v>4711.9339521384927</v>
      </c>
      <c r="S30" s="5">
        <f>VLOOKUP(S$22,ovrcst!$A$5:$W$36,VLOOKUP('ELC_Gen-sdj'!$B30,'ELC_Gen-sdj'!$AA$4:$AC$19,3,FALSE))</f>
        <v>4649.7412403258659</v>
      </c>
      <c r="T30" s="5">
        <f>VLOOKUP(T$22,ovrcst!$A$5:$W$36,VLOOKUP('ELC_Gen-sdj'!$B30,'ELC_Gen-sdj'!$AA$4:$AC$19,3,FALSE))</f>
        <v>4590.5418625254579</v>
      </c>
      <c r="U30" s="5">
        <f>VLOOKUP(U$22,ovrcst!$A$5:$W$36,VLOOKUP('ELC_Gen-sdj'!$B30,'ELC_Gen-sdj'!$AA$4:$AC$19,3,FALSE))</f>
        <v>4532.315069246436</v>
      </c>
      <c r="V30" s="5">
        <f>VLOOKUP(V$22,ovrcst!$A$5:$W$36,VLOOKUP('ELC_Gen-sdj'!$B30,'ELC_Gen-sdj'!$AA$4:$AC$19,3,FALSE))</f>
        <v>4476.1254338085537</v>
      </c>
      <c r="W30" s="5">
        <f>VLOOKUP(W$22,ovrcst!$A$5:$W$36,VLOOKUP('ELC_Gen-sdj'!$B30,'ELC_Gen-sdj'!$AA$4:$AC$19,3,FALSE))</f>
        <v>4419.474366598778</v>
      </c>
      <c r="X30" s="5">
        <f>VLOOKUP(X$22,ovrcst!$A$5:$W$36,VLOOKUP('ELC_Gen-sdj'!$B30,'ELC_Gen-sdj'!$AA$4:$AC$19,3,FALSE))</f>
        <v>4364.7306792260697</v>
      </c>
      <c r="Y30" s="5">
        <f>VLOOKUP(Y$22,ovrcst!$A$5:$W$36,VLOOKUP('ELC_Gen-sdj'!$B30,'ELC_Gen-sdj'!$AA$4:$AC$19,3,FALSE))</f>
        <v>4311.2981914460288</v>
      </c>
      <c r="Z30" s="5">
        <f>VLOOKUP(Z$22,ovrcst!$A$5:$W$36,VLOOKUP('ELC_Gen-sdj'!$B30,'ELC_Gen-sdj'!$AA$4:$AC$19,3,FALSE))</f>
        <v>4254.7545264765786</v>
      </c>
      <c r="AA30" s="5">
        <f>VLOOKUP(AA$22,ovrcst!$A$5:$W$36,VLOOKUP('ELC_Gen-sdj'!$B30,'ELC_Gen-sdj'!$AA$4:$AC$19,3,FALSE))</f>
        <v>4204.7201181262726</v>
      </c>
      <c r="AB30" s="5">
        <f>VLOOKUP(AB$22,ovrcst!$A$5:$W$36,VLOOKUP('ELC_Gen-sdj'!$B30,'ELC_Gen-sdj'!$AA$4:$AC$19,3,FALSE))</f>
        <v>4149.4130682281057</v>
      </c>
      <c r="AC30" s="5">
        <f>VLOOKUP(AC$22,ovrcst!$A$5:$W$36,VLOOKUP('ELC_Gen-sdj'!$B30,'ELC_Gen-sdj'!$AA$4:$AC$19,3,FALSE))</f>
        <v>4099.6024134419549</v>
      </c>
      <c r="AD30" s="5">
        <f>VLOOKUP(AD$22,ovrcst!$A$5:$W$36,VLOOKUP('ELC_Gen-sdj'!$B30,'ELC_Gen-sdj'!$AA$4:$AC$19,3,FALSE))</f>
        <v>4045.5374470468432</v>
      </c>
      <c r="AE30" s="5">
        <f>VLOOKUP(AE$22,ovrcst!$A$5:$W$36,VLOOKUP('ELC_Gen-sdj'!$B30,'ELC_Gen-sdj'!$AA$4:$AC$19,3,FALSE))</f>
        <v>3995.2867433808556</v>
      </c>
      <c r="AF30" s="5">
        <f>VLOOKUP(AF$22,ovrcst!$A$5:$W$36,VLOOKUP('ELC_Gen-sdj'!$B30,'ELC_Gen-sdj'!$AA$4:$AC$19,3,FALSE))</f>
        <v>3945.0531934826881</v>
      </c>
      <c r="AG30" s="5">
        <f>VLOOKUP(AG$22,ovrcst!$A$5:$W$36,VLOOKUP('ELC_Gen-sdj'!$B30,'ELC_Gen-sdj'!$AA$4:$AC$19,3,FALSE))</f>
        <v>3894.9128747454174</v>
      </c>
      <c r="AH30" s="5">
        <f>VLOOKUP(AH$22,ovrcst!$A$5:$W$36,VLOOKUP('ELC_Gen-sdj'!$B30,'ELC_Gen-sdj'!$AA$4:$AC$19,3,FALSE))</f>
        <v>3845.2213075356417</v>
      </c>
    </row>
    <row r="31" spans="2:34">
      <c r="B31" s="35" t="str">
        <f t="shared" si="4"/>
        <v>EN_OilCCAdv</v>
      </c>
      <c r="C31" s="41">
        <f>C25*1.3</f>
        <v>1032.7713706978968</v>
      </c>
      <c r="D31" s="41">
        <f t="shared" ref="D31:Z31" si="5">D25*1.3</f>
        <v>1022.3699390535373</v>
      </c>
      <c r="E31" s="41">
        <f t="shared" si="5"/>
        <v>998.53449928298278</v>
      </c>
      <c r="F31" s="41">
        <f t="shared" si="5"/>
        <v>984.13711759082219</v>
      </c>
      <c r="G31" s="41">
        <f t="shared" si="5"/>
        <v>951.76755138623309</v>
      </c>
      <c r="H31" s="41">
        <f t="shared" si="5"/>
        <v>937.25178895793499</v>
      </c>
      <c r="I31" s="41">
        <f t="shared" si="5"/>
        <v>923.9280652485661</v>
      </c>
      <c r="J31" s="41">
        <f t="shared" si="5"/>
        <v>909.13323972275327</v>
      </c>
      <c r="K31" s="41">
        <f t="shared" si="5"/>
        <v>893.27934392925431</v>
      </c>
      <c r="L31" s="41">
        <f t="shared" si="5"/>
        <v>879.65620578393884</v>
      </c>
      <c r="M31" s="41">
        <f t="shared" si="5"/>
        <v>865.80185348948362</v>
      </c>
      <c r="N31" s="41">
        <f t="shared" si="5"/>
        <v>855.15140774378574</v>
      </c>
      <c r="O31" s="41">
        <f t="shared" si="5"/>
        <v>844.96755258126177</v>
      </c>
      <c r="P31" s="41">
        <f t="shared" si="5"/>
        <v>833.77283819311651</v>
      </c>
      <c r="Q31" s="41">
        <f t="shared" si="5"/>
        <v>823.96862810707466</v>
      </c>
      <c r="R31" s="41">
        <f t="shared" si="5"/>
        <v>813.63590463671119</v>
      </c>
      <c r="S31" s="41">
        <f t="shared" si="5"/>
        <v>803.61958891013387</v>
      </c>
      <c r="T31" s="41">
        <f t="shared" si="5"/>
        <v>793.62289435946457</v>
      </c>
      <c r="U31" s="41">
        <f t="shared" si="5"/>
        <v>784.79905473231361</v>
      </c>
      <c r="V31" s="41">
        <f t="shared" si="5"/>
        <v>777.2606871414913</v>
      </c>
      <c r="W31" s="41">
        <f t="shared" si="5"/>
        <v>769.60802581261964</v>
      </c>
      <c r="X31" s="41">
        <f t="shared" si="5"/>
        <v>762.25353728489472</v>
      </c>
      <c r="Y31" s="41">
        <f t="shared" si="5"/>
        <v>755.09532743785849</v>
      </c>
      <c r="Z31" s="41">
        <f t="shared" si="5"/>
        <v>747.35783699808803</v>
      </c>
      <c r="AA31" s="5">
        <f>VLOOKUP(AA$22,ovrcst!$A$5:$W$36,VLOOKUP('ELC_Gen-sdj'!$B31,'ELC_Gen-sdj'!$AA$4:$AC$19,3,FALSE))</f>
        <v>469.65517412339614</v>
      </c>
      <c r="AB31" s="5">
        <f>VLOOKUP(AB$22,ovrcst!$A$5:$W$36,VLOOKUP('ELC_Gen-sdj'!$B31,'ELC_Gen-sdj'!$AA$4:$AC$19,3,FALSE))</f>
        <v>465.07507586444302</v>
      </c>
      <c r="AC31" s="5">
        <f>VLOOKUP(AC$22,ovrcst!$A$5:$W$36,VLOOKUP('ELC_Gen-sdj'!$B31,'ELC_Gen-sdj'!$AA$4:$AC$19,3,FALSE))</f>
        <v>461.08628247391044</v>
      </c>
      <c r="AD31" s="5">
        <f>VLOOKUP(AD$22,ovrcst!$A$5:$W$36,VLOOKUP('ELC_Gen-sdj'!$B31,'ELC_Gen-sdj'!$AA$4:$AC$19,3,FALSE))</f>
        <v>456.59451063224731</v>
      </c>
      <c r="AE31" s="5">
        <f>VLOOKUP(AE$22,ovrcst!$A$5:$W$36,VLOOKUP('ELC_Gen-sdj'!$B31,'ELC_Gen-sdj'!$AA$4:$AC$19,3,FALSE))</f>
        <v>452.50808410008494</v>
      </c>
      <c r="AF31" s="5">
        <f>VLOOKUP(AF$22,ovrcst!$A$5:$W$36,VLOOKUP('ELC_Gen-sdj'!$B31,'ELC_Gen-sdj'!$AA$4:$AC$19,3,FALSE))</f>
        <v>448.39967652374338</v>
      </c>
      <c r="AG31" s="5">
        <f>VLOOKUP(AG$22,ovrcst!$A$5:$W$36,VLOOKUP('ELC_Gen-sdj'!$B31,'ELC_Gen-sdj'!$AA$4:$AC$19,3,FALSE))</f>
        <v>444.27762270208376</v>
      </c>
      <c r="AH31" s="5">
        <f>VLOOKUP(AH$22,ovrcst!$A$5:$W$36,VLOOKUP('ELC_Gen-sdj'!$B31,'ELC_Gen-sdj'!$AA$4:$AC$19,3,FALSE))</f>
        <v>440.18226175197276</v>
      </c>
    </row>
    <row r="32" spans="2:34">
      <c r="B32" s="36" t="str">
        <f t="shared" si="4"/>
        <v>EN_NuclearAdv</v>
      </c>
      <c r="C32" s="5">
        <f>VLOOKUP(C$22,ovrcst!$A$5:$W$36,VLOOKUP('ELC_Gen-sdj'!$B32,'ELC_Gen-sdj'!$AA$4:$AC$19,3,FALSE))</f>
        <v>6034.2658544366905</v>
      </c>
      <c r="D32" s="5">
        <f>VLOOKUP(D$22,ovrcst!$A$5:$W$36,VLOOKUP('ELC_Gen-sdj'!$B32,'ELC_Gen-sdj'!$AA$4:$AC$19,3,FALSE))</f>
        <v>5962.7387367896317</v>
      </c>
      <c r="E32" s="5">
        <f>VLOOKUP(E$22,ovrcst!$A$5:$W$36,VLOOKUP('ELC_Gen-sdj'!$B32,'ELC_Gen-sdj'!$AA$4:$AC$19,3,FALSE))</f>
        <v>5813.1538005982065</v>
      </c>
      <c r="F32" s="5">
        <f>VLOOKUP(F$22,ovrcst!$A$5:$W$36,VLOOKUP('ELC_Gen-sdj'!$B32,'ELC_Gen-sdj'!$AA$4:$AC$19,3,FALSE))</f>
        <v>5718.8483379860418</v>
      </c>
      <c r="G32" s="5">
        <f>VLOOKUP(G$22,ovrcst!$A$5:$W$36,VLOOKUP('ELC_Gen-sdj'!$B32,'ELC_Gen-sdj'!$AA$4:$AC$19,3,FALSE))</f>
        <v>5651.0838574277177</v>
      </c>
      <c r="H32" s="5">
        <f>VLOOKUP(H$22,ovrcst!$A$5:$W$36,VLOOKUP('ELC_Gen-sdj'!$B32,'ELC_Gen-sdj'!$AA$4:$AC$19,3,FALSE))</f>
        <v>5595.7970817547366</v>
      </c>
      <c r="I32" s="5">
        <f>VLOOKUP(I$22,ovrcst!$A$5:$W$36,VLOOKUP('ELC_Gen-sdj'!$B32,'ELC_Gen-sdj'!$AA$4:$AC$19,3,FALSE))</f>
        <v>5550.1031086739786</v>
      </c>
      <c r="J32" s="5">
        <f>VLOOKUP(J$22,ovrcst!$A$5:$W$36,VLOOKUP('ELC_Gen-sdj'!$B32,'ELC_Gen-sdj'!$AA$4:$AC$19,3,FALSE))</f>
        <v>5491.1155204386851</v>
      </c>
      <c r="K32" s="5">
        <f>VLOOKUP(K$22,ovrcst!$A$5:$W$36,VLOOKUP('ELC_Gen-sdj'!$B32,'ELC_Gen-sdj'!$AA$4:$AC$19,3,FALSE))</f>
        <v>5421.3467996011968</v>
      </c>
      <c r="L32" s="5">
        <f>VLOOKUP(L$22,ovrcst!$A$5:$W$36,VLOOKUP('ELC_Gen-sdj'!$B32,'ELC_Gen-sdj'!$AA$4:$AC$19,3,FALSE))</f>
        <v>5343.9588464606186</v>
      </c>
      <c r="M32" s="5">
        <f>VLOOKUP(M$22,ovrcst!$A$5:$W$36,VLOOKUP('ELC_Gen-sdj'!$B32,'ELC_Gen-sdj'!$AA$4:$AC$19,3,FALSE))</f>
        <v>5264.7273020937191</v>
      </c>
      <c r="N32" s="5">
        <f>VLOOKUP(N$22,ovrcst!$A$5:$W$36,VLOOKUP('ELC_Gen-sdj'!$B32,'ELC_Gen-sdj'!$AA$4:$AC$19,3,FALSE))</f>
        <v>5194.5399152542377</v>
      </c>
      <c r="O32" s="5">
        <f>VLOOKUP(O$22,ovrcst!$A$5:$W$36,VLOOKUP('ELC_Gen-sdj'!$B32,'ELC_Gen-sdj'!$AA$4:$AC$19,3,FALSE))</f>
        <v>5124.7502612163516</v>
      </c>
      <c r="P32" s="5">
        <f>VLOOKUP(P$22,ovrcst!$A$5:$W$36,VLOOKUP('ELC_Gen-sdj'!$B32,'ELC_Gen-sdj'!$AA$4:$AC$19,3,FALSE))</f>
        <v>5055.228844466601</v>
      </c>
      <c r="Q32" s="5">
        <f>VLOOKUP(Q$22,ovrcst!$A$5:$W$36,VLOOKUP('ELC_Gen-sdj'!$B32,'ELC_Gen-sdj'!$AA$4:$AC$19,3,FALSE))</f>
        <v>4988.7247437686947</v>
      </c>
      <c r="R32" s="5">
        <f>VLOOKUP(R$22,ovrcst!$A$5:$W$36,VLOOKUP('ELC_Gen-sdj'!$B32,'ELC_Gen-sdj'!$AA$4:$AC$19,3,FALSE))</f>
        <v>4923.0847497507484</v>
      </c>
      <c r="S32" s="5">
        <f>VLOOKUP(S$22,ovrcst!$A$5:$W$36,VLOOKUP('ELC_Gen-sdj'!$B32,'ELC_Gen-sdj'!$AA$4:$AC$19,3,FALSE))</f>
        <v>4854.4663858424728</v>
      </c>
      <c r="T32" s="5">
        <f>VLOOKUP(T$22,ovrcst!$A$5:$W$36,VLOOKUP('ELC_Gen-sdj'!$B32,'ELC_Gen-sdj'!$AA$4:$AC$19,3,FALSE))</f>
        <v>4789.0337776669994</v>
      </c>
      <c r="U32" s="5">
        <f>VLOOKUP(U$22,ovrcst!$A$5:$W$36,VLOOKUP('ELC_Gen-sdj'!$B32,'ELC_Gen-sdj'!$AA$4:$AC$19,3,FALSE))</f>
        <v>4724.6736350947167</v>
      </c>
      <c r="V32" s="5">
        <f>VLOOKUP(V$22,ovrcst!$A$5:$W$36,VLOOKUP('ELC_Gen-sdj'!$B32,'ELC_Gen-sdj'!$AA$4:$AC$19,3,FALSE))</f>
        <v>4662.4929900299112</v>
      </c>
      <c r="W32" s="5">
        <f>VLOOKUP(W$22,ovrcst!$A$5:$W$36,VLOOKUP('ELC_Gen-sdj'!$B32,'ELC_Gen-sdj'!$AA$4:$AC$19,3,FALSE))</f>
        <v>4599.8883230309075</v>
      </c>
      <c r="X32" s="5">
        <f>VLOOKUP(X$22,ovrcst!$A$5:$W$36,VLOOKUP('ELC_Gen-sdj'!$B32,'ELC_Gen-sdj'!$AA$4:$AC$19,3,FALSE))</f>
        <v>4539.3253828514462</v>
      </c>
      <c r="Y32" s="5">
        <f>VLOOKUP(Y$22,ovrcst!$A$5:$W$36,VLOOKUP('ELC_Gen-sdj'!$B32,'ELC_Gen-sdj'!$AA$4:$AC$19,3,FALSE))</f>
        <v>4480.1800648055842</v>
      </c>
      <c r="Z32" s="5">
        <f>VLOOKUP(Z$22,ovrcst!$A$5:$W$36,VLOOKUP('ELC_Gen-sdj'!$B32,'ELC_Gen-sdj'!$AA$4:$AC$19,3,FALSE))</f>
        <v>4417.8577547357927</v>
      </c>
      <c r="AA32" s="5">
        <f>VLOOKUP(AA$22,ovrcst!$A$5:$W$36,VLOOKUP('ELC_Gen-sdj'!$B32,'ELC_Gen-sdj'!$AA$4:$AC$19,3,FALSE))</f>
        <v>4362.3494745762719</v>
      </c>
      <c r="AB32" s="5">
        <f>VLOOKUP(AB$22,ovrcst!$A$5:$W$36,VLOOKUP('ELC_Gen-sdj'!$B32,'ELC_Gen-sdj'!$AA$4:$AC$19,3,FALSE))</f>
        <v>4301.4243399800598</v>
      </c>
      <c r="AC32" s="5">
        <f>VLOOKUP(AC$22,ovrcst!$A$5:$W$36,VLOOKUP('ELC_Gen-sdj'!$B32,'ELC_Gen-sdj'!$AA$4:$AC$19,3,FALSE))</f>
        <v>4246.250993020938</v>
      </c>
      <c r="AD32" s="5">
        <f>VLOOKUP(AD$22,ovrcst!$A$5:$W$36,VLOOKUP('ELC_Gen-sdj'!$B32,'ELC_Gen-sdj'!$AA$4:$AC$19,3,FALSE))</f>
        <v>4186.7269282153538</v>
      </c>
      <c r="AE32" s="5">
        <f>VLOOKUP(AE$22,ovrcst!$A$5:$W$36,VLOOKUP('ELC_Gen-sdj'!$B32,'ELC_Gen-sdj'!$AA$4:$AC$19,3,FALSE))</f>
        <v>4131.205504486541</v>
      </c>
      <c r="AF32" s="5">
        <f>VLOOKUP(AF$22,ovrcst!$A$5:$W$36,VLOOKUP('ELC_Gen-sdj'!$B32,'ELC_Gen-sdj'!$AA$4:$AC$19,3,FALSE))</f>
        <v>4075.7544257228319</v>
      </c>
      <c r="AG32" s="5">
        <f>VLOOKUP(AG$22,ovrcst!$A$5:$W$36,VLOOKUP('ELC_Gen-sdj'!$B32,'ELC_Gen-sdj'!$AA$4:$AC$19,3,FALSE))</f>
        <v>4020.4532881355935</v>
      </c>
      <c r="AH32" s="5">
        <f>VLOOKUP(AH$22,ovrcst!$A$5:$W$36,VLOOKUP('ELC_Gen-sdj'!$B32,'ELC_Gen-sdj'!$AA$4:$AC$19,3,FALSE))</f>
        <v>3965.6701286141583</v>
      </c>
    </row>
    <row r="33" spans="2:34">
      <c r="B33" s="45" t="s">
        <v>199</v>
      </c>
      <c r="C33" s="58">
        <f>'Retrofit costs'!$D$16* 'Retrofit costs'!$G$6*'Retrofit costs'!B50</f>
        <v>895.86549000000002</v>
      </c>
      <c r="D33" s="58">
        <f>'Retrofit costs'!$D$16* 'Retrofit costs'!$G$6*'Retrofit costs'!C50</f>
        <v>884.32656638557387</v>
      </c>
      <c r="E33" s="58">
        <f>'Retrofit costs'!$D$16* 'Retrofit costs'!$G$6*'Retrofit costs'!D50</f>
        <v>861.23567712212241</v>
      </c>
      <c r="F33" s="58">
        <f>'Retrofit costs'!$D$16* 'Retrofit costs'!$G$6*'Retrofit costs'!E50</f>
        <v>846.36364247044355</v>
      </c>
      <c r="G33" s="58">
        <f>'Retrofit costs'!$D$16* 'Retrofit costs'!$G$6*'Retrofit costs'!F50</f>
        <v>822.31083245401362</v>
      </c>
      <c r="H33" s="58">
        <f>'Retrofit costs'!$D$16* 'Retrofit costs'!$G$6*'Retrofit costs'!G50</f>
        <v>809.28199150471551</v>
      </c>
      <c r="I33" s="58">
        <f>'Retrofit costs'!$D$16* 'Retrofit costs'!$G$6*'Retrofit costs'!H50</f>
        <v>797.41376515793741</v>
      </c>
      <c r="J33" s="58">
        <f>'Retrofit costs'!$D$16* 'Retrofit costs'!$G$6*'Retrofit costs'!I50</f>
        <v>784.08453399058669</v>
      </c>
      <c r="K33" s="58">
        <f>'Retrofit costs'!$D$16* 'Retrofit costs'!$G$6*'Retrofit costs'!J50</f>
        <v>769.66454700470513</v>
      </c>
      <c r="L33" s="58">
        <f>'Retrofit costs'!$D$16* 'Retrofit costs'!$G$6*'Retrofit costs'!K50</f>
        <v>756.22844099082408</v>
      </c>
      <c r="M33" s="58">
        <f>'Retrofit costs'!$D$16* 'Retrofit costs'!$G$6*'Retrofit costs'!L50</f>
        <v>742.60989496530453</v>
      </c>
      <c r="N33" s="58">
        <f>'Retrofit costs'!$D$16* 'Retrofit costs'!$G$6*'Retrofit costs'!M50</f>
        <v>731.3025570199992</v>
      </c>
      <c r="O33" s="58">
        <f>'Retrofit costs'!$D$16* 'Retrofit costs'!$G$6*'Retrofit costs'!N50</f>
        <v>720.31622697248793</v>
      </c>
      <c r="P33" s="58">
        <f>'Retrofit costs'!$D$16* 'Retrofit costs'!$G$6*'Retrofit costs'!O50</f>
        <v>708.78420773356413</v>
      </c>
      <c r="Q33" s="58">
        <f>'Retrofit costs'!$D$16* 'Retrofit costs'!$G$6*'Retrofit costs'!P50</f>
        <v>698.22676713844464</v>
      </c>
      <c r="R33" s="58">
        <f>'Retrofit costs'!$D$16* 'Retrofit costs'!$G$6*'Retrofit costs'!Q50</f>
        <v>687.42877477000638</v>
      </c>
      <c r="S33" s="58">
        <f>'Retrofit costs'!$D$16* 'Retrofit costs'!$G$6*'Retrofit costs'!R50</f>
        <v>676.71761460566131</v>
      </c>
      <c r="T33" s="58">
        <f>'Retrofit costs'!$D$16* 'Retrofit costs'!$G$6*'Retrofit costs'!S50</f>
        <v>666.18620937439448</v>
      </c>
      <c r="U33" s="58">
        <f>'Retrofit costs'!$D$16* 'Retrofit costs'!$G$6*'Retrofit costs'!T50</f>
        <v>656.41477053791482</v>
      </c>
      <c r="V33" s="58">
        <f>'Retrofit costs'!$D$16* 'Retrofit costs'!$G$6*'Retrofit costs'!U50</f>
        <v>647.51424808758361</v>
      </c>
      <c r="W33" s="58">
        <f>'Retrofit costs'!$D$16* 'Retrofit costs'!$G$6*'Retrofit costs'!V50</f>
        <v>638.55911359031336</v>
      </c>
      <c r="X33" s="58">
        <f>'Retrofit costs'!$D$16* 'Retrofit costs'!$G$6*'Retrofit costs'!W50</f>
        <v>629.89127974950657</v>
      </c>
      <c r="Y33" s="58">
        <f>'Retrofit costs'!$D$16* 'Retrofit costs'!$G$6*'Retrofit costs'!X50</f>
        <v>621.424105647386</v>
      </c>
      <c r="Z33" s="58">
        <f>'Retrofit costs'!$D$16* 'Retrofit costs'!$G$6*'Retrofit costs'!Y50</f>
        <v>612.52037060818054</v>
      </c>
      <c r="AA33" s="58">
        <f>'Retrofit costs'!$D$16* 'Retrofit costs'!$G$6*'Retrofit costs'!Z50</f>
        <v>604.5654188405889</v>
      </c>
      <c r="AB33" s="58">
        <f>'Retrofit costs'!$D$16* 'Retrofit costs'!$G$6*'Retrofit costs'!AA50</f>
        <v>595.86368607935003</v>
      </c>
      <c r="AC33" s="58">
        <f>'Retrofit costs'!$D$16* 'Retrofit costs'!$G$6*'Retrofit costs'!AB50</f>
        <v>587.9626746962723</v>
      </c>
      <c r="AD33" s="58">
        <f>'Retrofit costs'!$D$16* 'Retrofit costs'!$G$6*'Retrofit costs'!AC50</f>
        <v>579.46323212443747</v>
      </c>
      <c r="AE33" s="58">
        <f>'Retrofit costs'!$D$16* 'Retrofit costs'!$G$6*'Retrofit costs'!AD50</f>
        <v>571.52180158919839</v>
      </c>
      <c r="AF33" s="58">
        <f>'Retrofit costs'!$D$16* 'Retrofit costs'!$G$6*'Retrofit costs'!AE50</f>
        <v>563.59403565285288</v>
      </c>
      <c r="AG33" s="58">
        <f>'Retrofit costs'!$D$16* 'Retrofit costs'!$G$6*'Retrofit costs'!AF50</f>
        <v>555.69096293386463</v>
      </c>
      <c r="AH33" s="58">
        <f>'Retrofit costs'!$D$16* 'Retrofit costs'!$G$6*'Retrofit costs'!AG50</f>
        <v>547.86340706742396</v>
      </c>
    </row>
    <row r="34" spans="2:34">
      <c r="B34" s="45" t="s">
        <v>160</v>
      </c>
      <c r="C34" s="45">
        <f>'Retrofit costs'!$C$34*'Retrofit costs'!$G$6*'Retrofit costs'!B51</f>
        <v>2357.7759000000001</v>
      </c>
      <c r="D34" s="45">
        <f>'Retrofit costs'!$C$34*'Retrofit costs'!$G$6*'Retrofit costs'!C51</f>
        <v>2331.3338474741126</v>
      </c>
      <c r="E34" s="45">
        <f>'Retrofit costs'!$C$34*'Retrofit costs'!$G$6*'Retrofit costs'!D51</f>
        <v>2274.3313564838631</v>
      </c>
      <c r="F34" s="45">
        <f>'Retrofit costs'!$C$34*'Retrofit costs'!$G$6*'Retrofit costs'!E51</f>
        <v>2238.9090113223347</v>
      </c>
      <c r="G34" s="45">
        <f>'Retrofit costs'!$C$34*'Retrofit costs'!$G$6*'Retrofit costs'!F51</f>
        <v>2213.8508297829967</v>
      </c>
      <c r="H34" s="45">
        <f>'Retrofit costs'!$C$34*'Retrofit costs'!$G$6*'Retrofit costs'!G51</f>
        <v>2193.6644003886395</v>
      </c>
      <c r="I34" s="45">
        <f>'Retrofit costs'!$C$34*'Retrofit costs'!$G$6*'Retrofit costs'!H51</f>
        <v>2177.2271606208883</v>
      </c>
      <c r="J34" s="45">
        <f>'Retrofit costs'!$C$34*'Retrofit costs'!$G$6*'Retrofit costs'!I51</f>
        <v>2155.5620998000604</v>
      </c>
      <c r="K34" s="45">
        <f>'Retrofit costs'!$C$34*'Retrofit costs'!$G$6*'Retrofit costs'!J51</f>
        <v>2129.6461519975855</v>
      </c>
      <c r="L34" s="45">
        <f>'Retrofit costs'!$C$34*'Retrofit costs'!$G$6*'Retrofit costs'!K51</f>
        <v>2100.7124341384979</v>
      </c>
      <c r="M34" s="45">
        <f>'Retrofit costs'!$C$34*'Retrofit costs'!$G$6*'Retrofit costs'!L51</f>
        <v>2071.0265808588983</v>
      </c>
      <c r="N34" s="45">
        <f>'Retrofit costs'!$C$34*'Retrofit costs'!$G$6*'Retrofit costs'!M51</f>
        <v>2044.8722961796493</v>
      </c>
      <c r="O34" s="45">
        <f>'Retrofit costs'!$C$34*'Retrofit costs'!$G$6*'Retrofit costs'!N51</f>
        <v>2018.8513329275459</v>
      </c>
      <c r="P34" s="45">
        <f>'Retrofit costs'!$C$34*'Retrofit costs'!$G$6*'Retrofit costs'!O51</f>
        <v>1992.9115927296336</v>
      </c>
      <c r="Q34" s="45">
        <f>'Retrofit costs'!$C$34*'Retrofit costs'!$G$6*'Retrofit costs'!P51</f>
        <v>1968.1387183050747</v>
      </c>
      <c r="R34" s="45">
        <f>'Retrofit costs'!$C$34*'Retrofit costs'!$G$6*'Retrofit costs'!Q51</f>
        <v>1943.6837630435332</v>
      </c>
      <c r="S34" s="45">
        <f>'Retrofit costs'!$C$34*'Retrofit costs'!$G$6*'Retrofit costs'!R51</f>
        <v>1918.029124129296</v>
      </c>
      <c r="T34" s="45">
        <f>'Retrofit costs'!$C$34*'Retrofit costs'!$G$6*'Retrofit costs'!S51</f>
        <v>1893.6092424879773</v>
      </c>
      <c r="U34" s="45">
        <f>'Retrofit costs'!$C$34*'Retrofit costs'!$G$6*'Retrofit costs'!T51</f>
        <v>1869.5905542338339</v>
      </c>
      <c r="V34" s="45">
        <f>'Retrofit costs'!$C$34*'Retrofit costs'!$G$6*'Retrofit costs'!U51</f>
        <v>1846.4121983482678</v>
      </c>
      <c r="W34" s="45">
        <f>'Retrofit costs'!$C$34*'Retrofit costs'!$G$6*'Retrofit costs'!V51</f>
        <v>1823.0435007788221</v>
      </c>
      <c r="X34" s="45">
        <f>'Retrofit costs'!$C$34*'Retrofit costs'!$G$6*'Retrofit costs'!W51</f>
        <v>1800.4616018480924</v>
      </c>
      <c r="Y34" s="45">
        <f>'Retrofit costs'!$C$34*'Retrofit costs'!$G$6*'Retrofit costs'!X51</f>
        <v>1778.4205758124976</v>
      </c>
      <c r="Z34" s="45">
        <f>'Retrofit costs'!$C$34*'Retrofit costs'!$G$6*'Retrofit costs'!Y51</f>
        <v>1755.0961819180936</v>
      </c>
      <c r="AA34" s="45">
        <f>'Retrofit costs'!$C$34*'Retrofit costs'!$G$6*'Retrofit costs'!Z51</f>
        <v>1734.4568715856892</v>
      </c>
      <c r="AB34" s="45">
        <f>'Retrofit costs'!$C$34*'Retrofit costs'!$G$6*'Retrofit costs'!AA51</f>
        <v>1711.6425842971084</v>
      </c>
      <c r="AC34" s="45">
        <f>'Retrofit costs'!$C$34*'Retrofit costs'!$G$6*'Retrofit costs'!AB51</f>
        <v>1691.0955728326401</v>
      </c>
      <c r="AD34" s="45">
        <f>'Retrofit costs'!$C$34*'Retrofit costs'!$G$6*'Retrofit costs'!AC51</f>
        <v>1668.7936478907634</v>
      </c>
      <c r="AE34" s="45">
        <f>'Retrofit costs'!$C$34*'Retrofit costs'!$G$6*'Retrofit costs'!AD51</f>
        <v>1648.0651152353416</v>
      </c>
      <c r="AF34" s="45">
        <f>'Retrofit costs'!$C$34*'Retrofit costs'!$G$6*'Retrofit costs'!AE51</f>
        <v>1627.3436585492198</v>
      </c>
      <c r="AG34" s="45">
        <f>'Retrofit costs'!$C$34*'Retrofit costs'!$G$6*'Retrofit costs'!AF51</f>
        <v>1606.6606599347697</v>
      </c>
      <c r="AH34" s="45">
        <f>'Retrofit costs'!$C$34*'Retrofit costs'!$G$6*'Retrofit costs'!AG51</f>
        <v>1586.1627723737624</v>
      </c>
    </row>
    <row r="37" spans="2:34">
      <c r="B37" s="36" t="s">
        <v>128</v>
      </c>
    </row>
    <row r="38" spans="2:34">
      <c r="B38" s="36" t="s">
        <v>0</v>
      </c>
      <c r="C38" s="36">
        <v>2019</v>
      </c>
      <c r="D38" s="36">
        <v>2020</v>
      </c>
      <c r="E38" s="36">
        <v>2021</v>
      </c>
      <c r="F38" s="36">
        <v>2022</v>
      </c>
      <c r="G38" s="36">
        <v>2023</v>
      </c>
      <c r="H38" s="36">
        <v>2024</v>
      </c>
      <c r="I38" s="36">
        <v>2025</v>
      </c>
      <c r="J38" s="36">
        <v>2026</v>
      </c>
      <c r="K38" s="36">
        <v>2027</v>
      </c>
      <c r="L38" s="36">
        <v>2028</v>
      </c>
      <c r="M38" s="36">
        <v>2029</v>
      </c>
      <c r="N38" s="36">
        <v>2030</v>
      </c>
      <c r="O38" s="36">
        <v>2031</v>
      </c>
      <c r="P38" s="36">
        <v>2032</v>
      </c>
      <c r="Q38" s="36">
        <v>2033</v>
      </c>
      <c r="R38" s="36">
        <v>2034</v>
      </c>
      <c r="S38" s="36">
        <v>2035</v>
      </c>
      <c r="T38" s="36">
        <v>2036</v>
      </c>
      <c r="U38" s="36">
        <v>2037</v>
      </c>
      <c r="V38" s="36">
        <v>2038</v>
      </c>
      <c r="W38" s="36">
        <v>2039</v>
      </c>
      <c r="X38" s="36">
        <v>2040</v>
      </c>
      <c r="Y38" s="36">
        <v>2041</v>
      </c>
      <c r="Z38" s="36">
        <v>2042</v>
      </c>
      <c r="AA38" s="36">
        <v>2043</v>
      </c>
      <c r="AB38" s="36">
        <v>2044</v>
      </c>
      <c r="AC38" s="36">
        <v>2045</v>
      </c>
      <c r="AD38" s="36">
        <v>2046</v>
      </c>
      <c r="AE38" s="36">
        <v>2047</v>
      </c>
      <c r="AF38" s="36">
        <v>2048</v>
      </c>
      <c r="AG38" s="36">
        <v>2049</v>
      </c>
      <c r="AH38" s="36">
        <v>2050</v>
      </c>
    </row>
    <row r="39" spans="2:34">
      <c r="B39" s="36" t="str">
        <f t="shared" ref="B39:B44" si="6">B23</f>
        <v>EN_ZCOAIGCC</v>
      </c>
      <c r="C39" s="34">
        <f>VLOOKUP(C$22,heatrate!$K$5:$T$36,VLOOKUP('ELC_Gen-sdj'!$B37,'ELC_Gen-sdj'!$AA$4:$AD$19,4,FALSE))</f>
        <v>0.2929031995606452</v>
      </c>
      <c r="D39" s="34">
        <f>VLOOKUP(D$22,heatrate!$K$5:$T$36,VLOOKUP('ELC_Gen-sdj'!$B37,'ELC_Gen-sdj'!$AA$4:$AD$19,4,FALSE))</f>
        <v>0.2929031995606452</v>
      </c>
      <c r="E39" s="34">
        <f>VLOOKUP(E$22,heatrate!$K$5:$T$36,VLOOKUP('ELC_Gen-sdj'!$B37,'ELC_Gen-sdj'!$AA$4:$AD$19,4,FALSE))</f>
        <v>0.2929031995606452</v>
      </c>
      <c r="F39" s="34">
        <f>VLOOKUP(F$22,heatrate!$K$5:$T$36,VLOOKUP('ELC_Gen-sdj'!$B37,'ELC_Gen-sdj'!$AA$4:$AD$19,4,FALSE))</f>
        <v>0.2929031995606452</v>
      </c>
      <c r="G39" s="34">
        <f>VLOOKUP(G$22,heatrate!$K$5:$T$36,VLOOKUP('ELC_Gen-sdj'!$B37,'ELC_Gen-sdj'!$AA$4:$AD$19,4,FALSE))</f>
        <v>0.31443212903397061</v>
      </c>
      <c r="H39" s="34">
        <f>VLOOKUP(H$22,heatrate!$K$5:$T$36,VLOOKUP('ELC_Gen-sdj'!$B37,'ELC_Gen-sdj'!$AA$4:$AD$19,4,FALSE))</f>
        <v>0.3393769667254069</v>
      </c>
      <c r="I39" s="34">
        <f>VLOOKUP(I$22,heatrate!$K$5:$T$36,VLOOKUP('ELC_Gen-sdj'!$B37,'ELC_Gen-sdj'!$AA$4:$AD$19,4,FALSE))</f>
        <v>0.36862074914999637</v>
      </c>
      <c r="J39" s="34">
        <f>VLOOKUP(J$22,heatrate!$K$5:$T$36,VLOOKUP('ELC_Gen-sdj'!$B37,'ELC_Gen-sdj'!$AA$4:$AD$19,4,FALSE))</f>
        <v>0.36862074914999637</v>
      </c>
      <c r="K39" s="34">
        <f>VLOOKUP(K$22,heatrate!$K$5:$T$36,VLOOKUP('ELC_Gen-sdj'!$B37,'ELC_Gen-sdj'!$AA$4:$AD$19,4,FALSE))</f>
        <v>0.36862074914999637</v>
      </c>
      <c r="L39" s="34">
        <f>VLOOKUP(L$22,heatrate!$K$5:$T$36,VLOOKUP('ELC_Gen-sdj'!$B37,'ELC_Gen-sdj'!$AA$4:$AD$19,4,FALSE))</f>
        <v>0.36862074914999637</v>
      </c>
      <c r="M39" s="34">
        <f>VLOOKUP(M$22,heatrate!$K$5:$T$36,VLOOKUP('ELC_Gen-sdj'!$B37,'ELC_Gen-sdj'!$AA$4:$AD$19,4,FALSE))</f>
        <v>0.36862074914999637</v>
      </c>
      <c r="N39" s="34">
        <f>VLOOKUP(N$22,heatrate!$K$5:$T$36,VLOOKUP('ELC_Gen-sdj'!$B37,'ELC_Gen-sdj'!$AA$4:$AD$19,4,FALSE))</f>
        <v>0.36862074914999637</v>
      </c>
      <c r="O39" s="34">
        <f>VLOOKUP(O$22,heatrate!$K$5:$T$36,VLOOKUP('ELC_Gen-sdj'!$B37,'ELC_Gen-sdj'!$AA$4:$AD$19,4,FALSE))</f>
        <v>0.36862074914999637</v>
      </c>
      <c r="P39" s="34">
        <f>VLOOKUP(P$22,heatrate!$K$5:$T$36,VLOOKUP('ELC_Gen-sdj'!$B37,'ELC_Gen-sdj'!$AA$4:$AD$19,4,FALSE))</f>
        <v>0.36862074914999637</v>
      </c>
      <c r="Q39" s="34">
        <f>VLOOKUP(Q$22,heatrate!$K$5:$T$36,VLOOKUP('ELC_Gen-sdj'!$B37,'ELC_Gen-sdj'!$AA$4:$AD$19,4,FALSE))</f>
        <v>0.36862074914999637</v>
      </c>
      <c r="R39" s="34">
        <f>VLOOKUP(R$22,heatrate!$K$5:$T$36,VLOOKUP('ELC_Gen-sdj'!$B37,'ELC_Gen-sdj'!$AA$4:$AD$19,4,FALSE))</f>
        <v>0.36862074914999637</v>
      </c>
      <c r="S39" s="34">
        <f>VLOOKUP(S$22,heatrate!$K$5:$T$36,VLOOKUP('ELC_Gen-sdj'!$B37,'ELC_Gen-sdj'!$AA$4:$AD$19,4,FALSE))</f>
        <v>0.36862074914999637</v>
      </c>
      <c r="T39" s="34">
        <f>VLOOKUP(T$22,heatrate!$K$5:$T$36,VLOOKUP('ELC_Gen-sdj'!$B37,'ELC_Gen-sdj'!$AA$4:$AD$19,4,FALSE))</f>
        <v>0.36862074914999637</v>
      </c>
      <c r="U39" s="34">
        <f>VLOOKUP(U$22,heatrate!$K$5:$T$36,VLOOKUP('ELC_Gen-sdj'!$B37,'ELC_Gen-sdj'!$AA$4:$AD$19,4,FALSE))</f>
        <v>0.36862074914999637</v>
      </c>
      <c r="V39" s="34">
        <f>VLOOKUP(V$22,heatrate!$K$5:$T$36,VLOOKUP('ELC_Gen-sdj'!$B37,'ELC_Gen-sdj'!$AA$4:$AD$19,4,FALSE))</f>
        <v>0.36862074914999637</v>
      </c>
      <c r="W39" s="34">
        <f>VLOOKUP(W$22,heatrate!$K$5:$T$36,VLOOKUP('ELC_Gen-sdj'!$B37,'ELC_Gen-sdj'!$AA$4:$AD$19,4,FALSE))</f>
        <v>0.36862074914999637</v>
      </c>
      <c r="X39" s="34">
        <f>VLOOKUP(X$22,heatrate!$K$5:$T$36,VLOOKUP('ELC_Gen-sdj'!$B37,'ELC_Gen-sdj'!$AA$4:$AD$19,4,FALSE))</f>
        <v>0.36862074914999637</v>
      </c>
      <c r="Y39" s="34">
        <f>VLOOKUP(Y$22,heatrate!$K$5:$T$36,VLOOKUP('ELC_Gen-sdj'!$B37,'ELC_Gen-sdj'!$AA$4:$AD$19,4,FALSE))</f>
        <v>0.36862074914999637</v>
      </c>
      <c r="Z39" s="34">
        <f>VLOOKUP(Z$22,heatrate!$K$5:$T$36,VLOOKUP('ELC_Gen-sdj'!$B37,'ELC_Gen-sdj'!$AA$4:$AD$19,4,FALSE))</f>
        <v>0.36862074914999637</v>
      </c>
      <c r="AA39" s="34">
        <f>VLOOKUP(AA$22,heatrate!$K$5:$T$36,VLOOKUP('ELC_Gen-sdj'!$B37,'ELC_Gen-sdj'!$AA$4:$AD$19,4,FALSE))</f>
        <v>0.36862074914999637</v>
      </c>
      <c r="AB39" s="34">
        <f>VLOOKUP(AB$22,heatrate!$K$5:$T$36,VLOOKUP('ELC_Gen-sdj'!$B37,'ELC_Gen-sdj'!$AA$4:$AD$19,4,FALSE))</f>
        <v>0.36862074914999637</v>
      </c>
      <c r="AC39" s="34">
        <f>VLOOKUP(AC$22,heatrate!$K$5:$T$36,VLOOKUP('ELC_Gen-sdj'!$B37,'ELC_Gen-sdj'!$AA$4:$AD$19,4,FALSE))</f>
        <v>0.36862074914999637</v>
      </c>
      <c r="AD39" s="34">
        <f>VLOOKUP(AD$22,heatrate!$K$5:$T$36,VLOOKUP('ELC_Gen-sdj'!$B37,'ELC_Gen-sdj'!$AA$4:$AD$19,4,FALSE))</f>
        <v>0.36862074914999637</v>
      </c>
      <c r="AE39" s="34">
        <f>VLOOKUP(AE$22,heatrate!$K$5:$T$36,VLOOKUP('ELC_Gen-sdj'!$B37,'ELC_Gen-sdj'!$AA$4:$AD$19,4,FALSE))</f>
        <v>0.36862074914999637</v>
      </c>
      <c r="AF39" s="34">
        <f>VLOOKUP(AF$22,heatrate!$K$5:$T$36,VLOOKUP('ELC_Gen-sdj'!$B37,'ELC_Gen-sdj'!$AA$4:$AD$19,4,FALSE))</f>
        <v>0.36862074914999637</v>
      </c>
      <c r="AG39" s="34">
        <f>VLOOKUP(AG$22,heatrate!$K$5:$T$36,VLOOKUP('ELC_Gen-sdj'!$B37,'ELC_Gen-sdj'!$AA$4:$AD$19,4,FALSE))</f>
        <v>0.36862074914999637</v>
      </c>
      <c r="AH39" s="34">
        <f>VLOOKUP(AH$22,heatrate!$K$5:$T$36,VLOOKUP('ELC_Gen-sdj'!$B37,'ELC_Gen-sdj'!$AA$4:$AD$19,4,FALSE))</f>
        <v>0.36862074914999637</v>
      </c>
    </row>
    <row r="40" spans="2:34">
      <c r="B40" s="36" t="str">
        <f t="shared" si="6"/>
        <v>EN_ZGasCCAdv</v>
      </c>
      <c r="C40" s="34">
        <f>VLOOKUP(C$22,heatrate!$K$5:$T$36,VLOOKUP('ELC_Gen-sdj'!$B38,'ELC_Gen-sdj'!$AA$4:$AD$19,4,FALSE))</f>
        <v>0.4534647541370786</v>
      </c>
      <c r="D40" s="34">
        <f>VLOOKUP(D$22,heatrate!$K$5:$T$36,VLOOKUP('ELC_Gen-sdj'!$B38,'ELC_Gen-sdj'!$AA$4:$AD$19,4,FALSE))</f>
        <v>0.4534647541370786</v>
      </c>
      <c r="E40" s="34">
        <f>VLOOKUP(E$22,heatrate!$K$5:$T$36,VLOOKUP('ELC_Gen-sdj'!$B38,'ELC_Gen-sdj'!$AA$4:$AD$19,4,FALSE))</f>
        <v>0.4534647541370786</v>
      </c>
      <c r="F40" s="34">
        <f>VLOOKUP(F$22,heatrate!$K$5:$T$36,VLOOKUP('ELC_Gen-sdj'!$B38,'ELC_Gen-sdj'!$AA$4:$AD$19,4,FALSE))</f>
        <v>0.45394735597732028</v>
      </c>
      <c r="G40" s="34">
        <f>VLOOKUP(G$22,heatrate!$K$5:$T$36,VLOOKUP('ELC_Gen-sdj'!$B38,'ELC_Gen-sdj'!$AA$4:$AD$19,4,FALSE))</f>
        <v>0.45443098613417449</v>
      </c>
      <c r="H40" s="34">
        <f>VLOOKUP(H$22,heatrate!$K$5:$T$36,VLOOKUP('ELC_Gen-sdj'!$B38,'ELC_Gen-sdj'!$AA$4:$AD$19,4,FALSE))</f>
        <v>0.45491564789781591</v>
      </c>
      <c r="I40" s="34">
        <f>VLOOKUP(I$22,heatrate!$K$5:$T$36,VLOOKUP('ELC_Gen-sdj'!$B38,'ELC_Gen-sdj'!$AA$4:$AD$19,4,FALSE))</f>
        <v>0.45540134457246989</v>
      </c>
      <c r="J40" s="34">
        <f>VLOOKUP(J$22,heatrate!$K$5:$T$36,VLOOKUP('ELC_Gen-sdj'!$B38,'ELC_Gen-sdj'!$AA$4:$AD$19,4,FALSE))</f>
        <v>0.45540134457246989</v>
      </c>
      <c r="K40" s="34">
        <f>VLOOKUP(K$22,heatrate!$K$5:$T$36,VLOOKUP('ELC_Gen-sdj'!$B38,'ELC_Gen-sdj'!$AA$4:$AD$19,4,FALSE))</f>
        <v>0.45540134457246989</v>
      </c>
      <c r="L40" s="34">
        <f>VLOOKUP(L$22,heatrate!$K$5:$T$36,VLOOKUP('ELC_Gen-sdj'!$B38,'ELC_Gen-sdj'!$AA$4:$AD$19,4,FALSE))</f>
        <v>0.45540134457246989</v>
      </c>
      <c r="M40" s="34">
        <f>VLOOKUP(M$22,heatrate!$K$5:$T$36,VLOOKUP('ELC_Gen-sdj'!$B38,'ELC_Gen-sdj'!$AA$4:$AD$19,4,FALSE))</f>
        <v>0.45540134457246989</v>
      </c>
      <c r="N40" s="34">
        <f>VLOOKUP(N$22,heatrate!$K$5:$T$36,VLOOKUP('ELC_Gen-sdj'!$B38,'ELC_Gen-sdj'!$AA$4:$AD$19,4,FALSE))</f>
        <v>0.45540134457246989</v>
      </c>
      <c r="O40" s="34">
        <f>VLOOKUP(O$22,heatrate!$K$5:$T$36,VLOOKUP('ELC_Gen-sdj'!$B38,'ELC_Gen-sdj'!$AA$4:$AD$19,4,FALSE))</f>
        <v>0.45540134457246989</v>
      </c>
      <c r="P40" s="34">
        <f>VLOOKUP(P$22,heatrate!$K$5:$T$36,VLOOKUP('ELC_Gen-sdj'!$B38,'ELC_Gen-sdj'!$AA$4:$AD$19,4,FALSE))</f>
        <v>0.45540134457246989</v>
      </c>
      <c r="Q40" s="34">
        <f>VLOOKUP(Q$22,heatrate!$K$5:$T$36,VLOOKUP('ELC_Gen-sdj'!$B38,'ELC_Gen-sdj'!$AA$4:$AD$19,4,FALSE))</f>
        <v>0.45540134457246989</v>
      </c>
      <c r="R40" s="34">
        <f>VLOOKUP(R$22,heatrate!$K$5:$T$36,VLOOKUP('ELC_Gen-sdj'!$B38,'ELC_Gen-sdj'!$AA$4:$AD$19,4,FALSE))</f>
        <v>0.45540134457246989</v>
      </c>
      <c r="S40" s="34">
        <f>VLOOKUP(S$22,heatrate!$K$5:$T$36,VLOOKUP('ELC_Gen-sdj'!$B38,'ELC_Gen-sdj'!$AA$4:$AD$19,4,FALSE))</f>
        <v>0.45540134457246989</v>
      </c>
      <c r="T40" s="34">
        <f>VLOOKUP(T$22,heatrate!$K$5:$T$36,VLOOKUP('ELC_Gen-sdj'!$B38,'ELC_Gen-sdj'!$AA$4:$AD$19,4,FALSE))</f>
        <v>0.45540134457246989</v>
      </c>
      <c r="U40" s="34">
        <f>VLOOKUP(U$22,heatrate!$K$5:$T$36,VLOOKUP('ELC_Gen-sdj'!$B38,'ELC_Gen-sdj'!$AA$4:$AD$19,4,FALSE))</f>
        <v>0.45540134457246989</v>
      </c>
      <c r="V40" s="34">
        <f>VLOOKUP(V$22,heatrate!$K$5:$T$36,VLOOKUP('ELC_Gen-sdj'!$B38,'ELC_Gen-sdj'!$AA$4:$AD$19,4,FALSE))</f>
        <v>0.45540134457246989</v>
      </c>
      <c r="W40" s="34">
        <f>VLOOKUP(W$22,heatrate!$K$5:$T$36,VLOOKUP('ELC_Gen-sdj'!$B38,'ELC_Gen-sdj'!$AA$4:$AD$19,4,FALSE))</f>
        <v>0.45540134457246989</v>
      </c>
      <c r="X40" s="34">
        <f>VLOOKUP(X$22,heatrate!$K$5:$T$36,VLOOKUP('ELC_Gen-sdj'!$B38,'ELC_Gen-sdj'!$AA$4:$AD$19,4,FALSE))</f>
        <v>0.45540134457246989</v>
      </c>
      <c r="Y40" s="34">
        <f>VLOOKUP(Y$22,heatrate!$K$5:$T$36,VLOOKUP('ELC_Gen-sdj'!$B38,'ELC_Gen-sdj'!$AA$4:$AD$19,4,FALSE))</f>
        <v>0.45540134457246989</v>
      </c>
      <c r="Z40" s="34">
        <f>VLOOKUP(Z$22,heatrate!$K$5:$T$36,VLOOKUP('ELC_Gen-sdj'!$B38,'ELC_Gen-sdj'!$AA$4:$AD$19,4,FALSE))</f>
        <v>0.45540134457246989</v>
      </c>
      <c r="AA40" s="34">
        <f>VLOOKUP(AA$22,heatrate!$K$5:$T$36,VLOOKUP('ELC_Gen-sdj'!$B38,'ELC_Gen-sdj'!$AA$4:$AD$19,4,FALSE))</f>
        <v>0.45540134457246989</v>
      </c>
      <c r="AB40" s="34">
        <f>VLOOKUP(AB$22,heatrate!$K$5:$T$36,VLOOKUP('ELC_Gen-sdj'!$B38,'ELC_Gen-sdj'!$AA$4:$AD$19,4,FALSE))</f>
        <v>0.45540134457246989</v>
      </c>
      <c r="AC40" s="34">
        <f>VLOOKUP(AC$22,heatrate!$K$5:$T$36,VLOOKUP('ELC_Gen-sdj'!$B38,'ELC_Gen-sdj'!$AA$4:$AD$19,4,FALSE))</f>
        <v>0.45540134457246989</v>
      </c>
      <c r="AD40" s="34">
        <f>VLOOKUP(AD$22,heatrate!$K$5:$T$36,VLOOKUP('ELC_Gen-sdj'!$B38,'ELC_Gen-sdj'!$AA$4:$AD$19,4,FALSE))</f>
        <v>0.45540134457246989</v>
      </c>
      <c r="AE40" s="34">
        <f>VLOOKUP(AE$22,heatrate!$K$5:$T$36,VLOOKUP('ELC_Gen-sdj'!$B38,'ELC_Gen-sdj'!$AA$4:$AD$19,4,FALSE))</f>
        <v>0.45540134457246989</v>
      </c>
      <c r="AF40" s="34">
        <f>VLOOKUP(AF$22,heatrate!$K$5:$T$36,VLOOKUP('ELC_Gen-sdj'!$B38,'ELC_Gen-sdj'!$AA$4:$AD$19,4,FALSE))</f>
        <v>0.45540134457246989</v>
      </c>
      <c r="AG40" s="34">
        <f>VLOOKUP(AG$22,heatrate!$K$5:$T$36,VLOOKUP('ELC_Gen-sdj'!$B38,'ELC_Gen-sdj'!$AA$4:$AD$19,4,FALSE))</f>
        <v>0.45540134457246989</v>
      </c>
      <c r="AH40" s="34">
        <f>VLOOKUP(AH$22,heatrate!$K$5:$T$36,VLOOKUP('ELC_Gen-sdj'!$B38,'ELC_Gen-sdj'!$AA$4:$AD$19,4,FALSE))</f>
        <v>0.45540134457246989</v>
      </c>
    </row>
    <row r="41" spans="2:34">
      <c r="B41" s="36" t="str">
        <f t="shared" si="6"/>
        <v>EN_GasCCAdv</v>
      </c>
      <c r="C41" s="34">
        <f>VLOOKUP(C$22,heatrate!$K$5:$T$36,VLOOKUP('ELC_Gen-sdj'!$B39,'ELC_Gen-sdj'!$AA$4:$AD$19,4,FALSE))</f>
        <v>0.54163845633039942</v>
      </c>
      <c r="D41" s="34">
        <f>VLOOKUP(D$22,heatrate!$K$5:$T$36,VLOOKUP('ELC_Gen-sdj'!$B39,'ELC_Gen-sdj'!$AA$4:$AD$19,4,FALSE))</f>
        <v>0.54163845633039942</v>
      </c>
      <c r="E41" s="34">
        <f>VLOOKUP(E$22,heatrate!$K$5:$T$36,VLOOKUP('ELC_Gen-sdj'!$B39,'ELC_Gen-sdj'!$AA$4:$AD$19,4,FALSE))</f>
        <v>0.54163845633039942</v>
      </c>
      <c r="F41" s="34">
        <f>VLOOKUP(F$22,heatrate!$K$5:$T$36,VLOOKUP('ELC_Gen-sdj'!$B39,'ELC_Gen-sdj'!$AA$4:$AD$19,4,FALSE))</f>
        <v>0.54379637846717399</v>
      </c>
      <c r="G41" s="34">
        <f>VLOOKUP(G$22,heatrate!$K$5:$T$36,VLOOKUP('ELC_Gen-sdj'!$B39,'ELC_Gen-sdj'!$AA$4:$AD$19,4,FALSE))</f>
        <v>0.54597156398104263</v>
      </c>
      <c r="H41" s="34">
        <f>VLOOKUP(H$22,heatrate!$K$5:$T$36,VLOOKUP('ELC_Gen-sdj'!$B39,'ELC_Gen-sdj'!$AA$4:$AD$19,4,FALSE))</f>
        <v>0.54816422086450067</v>
      </c>
      <c r="I41" s="34">
        <f>VLOOKUP(I$22,heatrate!$K$5:$T$36,VLOOKUP('ELC_Gen-sdj'!$B39,'ELC_Gen-sdj'!$AA$4:$AD$19,4,FALSE))</f>
        <v>0.55037456046476074</v>
      </c>
      <c r="J41" s="34">
        <f>VLOOKUP(J$22,heatrate!$K$5:$T$36,VLOOKUP('ELC_Gen-sdj'!$B39,'ELC_Gen-sdj'!$AA$4:$AD$19,4,FALSE))</f>
        <v>0.55037456046476074</v>
      </c>
      <c r="K41" s="34">
        <f>VLOOKUP(K$22,heatrate!$K$5:$T$36,VLOOKUP('ELC_Gen-sdj'!$B39,'ELC_Gen-sdj'!$AA$4:$AD$19,4,FALSE))</f>
        <v>0.55037456046476074</v>
      </c>
      <c r="L41" s="34">
        <f>VLOOKUP(L$22,heatrate!$K$5:$T$36,VLOOKUP('ELC_Gen-sdj'!$B39,'ELC_Gen-sdj'!$AA$4:$AD$19,4,FALSE))</f>
        <v>0.55037456046476074</v>
      </c>
      <c r="M41" s="34">
        <f>VLOOKUP(M$22,heatrate!$K$5:$T$36,VLOOKUP('ELC_Gen-sdj'!$B39,'ELC_Gen-sdj'!$AA$4:$AD$19,4,FALSE))</f>
        <v>0.55037456046476074</v>
      </c>
      <c r="N41" s="34">
        <f>VLOOKUP(N$22,heatrate!$K$5:$T$36,VLOOKUP('ELC_Gen-sdj'!$B39,'ELC_Gen-sdj'!$AA$4:$AD$19,4,FALSE))</f>
        <v>0.55037456046476074</v>
      </c>
      <c r="O41" s="34">
        <f>VLOOKUP(O$22,heatrate!$K$5:$T$36,VLOOKUP('ELC_Gen-sdj'!$B39,'ELC_Gen-sdj'!$AA$4:$AD$19,4,FALSE))</f>
        <v>0.55037456046476074</v>
      </c>
      <c r="P41" s="34">
        <f>VLOOKUP(P$22,heatrate!$K$5:$T$36,VLOOKUP('ELC_Gen-sdj'!$B39,'ELC_Gen-sdj'!$AA$4:$AD$19,4,FALSE))</f>
        <v>0.55037456046476074</v>
      </c>
      <c r="Q41" s="34">
        <f>VLOOKUP(Q$22,heatrate!$K$5:$T$36,VLOOKUP('ELC_Gen-sdj'!$B39,'ELC_Gen-sdj'!$AA$4:$AD$19,4,FALSE))</f>
        <v>0.55037456046476074</v>
      </c>
      <c r="R41" s="34">
        <f>VLOOKUP(R$22,heatrate!$K$5:$T$36,VLOOKUP('ELC_Gen-sdj'!$B39,'ELC_Gen-sdj'!$AA$4:$AD$19,4,FALSE))</f>
        <v>0.55037456046476074</v>
      </c>
      <c r="S41" s="34">
        <f>VLOOKUP(S$22,heatrate!$K$5:$T$36,VLOOKUP('ELC_Gen-sdj'!$B39,'ELC_Gen-sdj'!$AA$4:$AD$19,4,FALSE))</f>
        <v>0.55037456046476074</v>
      </c>
      <c r="T41" s="34">
        <f>VLOOKUP(T$22,heatrate!$K$5:$T$36,VLOOKUP('ELC_Gen-sdj'!$B39,'ELC_Gen-sdj'!$AA$4:$AD$19,4,FALSE))</f>
        <v>0.55037456046476074</v>
      </c>
      <c r="U41" s="34">
        <f>VLOOKUP(U$22,heatrate!$K$5:$T$36,VLOOKUP('ELC_Gen-sdj'!$B39,'ELC_Gen-sdj'!$AA$4:$AD$19,4,FALSE))</f>
        <v>0.55037456046476074</v>
      </c>
      <c r="V41" s="34">
        <f>VLOOKUP(V$22,heatrate!$K$5:$T$36,VLOOKUP('ELC_Gen-sdj'!$B39,'ELC_Gen-sdj'!$AA$4:$AD$19,4,FALSE))</f>
        <v>0.55037456046476074</v>
      </c>
      <c r="W41" s="34">
        <f>VLOOKUP(W$22,heatrate!$K$5:$T$36,VLOOKUP('ELC_Gen-sdj'!$B39,'ELC_Gen-sdj'!$AA$4:$AD$19,4,FALSE))</f>
        <v>0.55037456046476074</v>
      </c>
      <c r="X41" s="34">
        <f>VLOOKUP(X$22,heatrate!$K$5:$T$36,VLOOKUP('ELC_Gen-sdj'!$B39,'ELC_Gen-sdj'!$AA$4:$AD$19,4,FALSE))</f>
        <v>0.55037456046476074</v>
      </c>
      <c r="Y41" s="34">
        <f>VLOOKUP(Y$22,heatrate!$K$5:$T$36,VLOOKUP('ELC_Gen-sdj'!$B39,'ELC_Gen-sdj'!$AA$4:$AD$19,4,FALSE))</f>
        <v>0.55037456046476074</v>
      </c>
      <c r="Z41" s="34">
        <f>VLOOKUP(Z$22,heatrate!$K$5:$T$36,VLOOKUP('ELC_Gen-sdj'!$B39,'ELC_Gen-sdj'!$AA$4:$AD$19,4,FALSE))</f>
        <v>0.55037456046476074</v>
      </c>
      <c r="AA41" s="34">
        <f>VLOOKUP(AA$22,heatrate!$K$5:$T$36,VLOOKUP('ELC_Gen-sdj'!$B39,'ELC_Gen-sdj'!$AA$4:$AD$19,4,FALSE))</f>
        <v>0.55037456046476074</v>
      </c>
      <c r="AB41" s="34">
        <f>VLOOKUP(AB$22,heatrate!$K$5:$T$36,VLOOKUP('ELC_Gen-sdj'!$B39,'ELC_Gen-sdj'!$AA$4:$AD$19,4,FALSE))</f>
        <v>0.55037456046476074</v>
      </c>
      <c r="AC41" s="34">
        <f>VLOOKUP(AC$22,heatrate!$K$5:$T$36,VLOOKUP('ELC_Gen-sdj'!$B39,'ELC_Gen-sdj'!$AA$4:$AD$19,4,FALSE))</f>
        <v>0.55037456046476074</v>
      </c>
      <c r="AD41" s="34">
        <f>VLOOKUP(AD$22,heatrate!$K$5:$T$36,VLOOKUP('ELC_Gen-sdj'!$B39,'ELC_Gen-sdj'!$AA$4:$AD$19,4,FALSE))</f>
        <v>0.55037456046476074</v>
      </c>
      <c r="AE41" s="34">
        <f>VLOOKUP(AE$22,heatrate!$K$5:$T$36,VLOOKUP('ELC_Gen-sdj'!$B39,'ELC_Gen-sdj'!$AA$4:$AD$19,4,FALSE))</f>
        <v>0.55037456046476074</v>
      </c>
      <c r="AF41" s="34">
        <f>VLOOKUP(AF$22,heatrate!$K$5:$T$36,VLOOKUP('ELC_Gen-sdj'!$B39,'ELC_Gen-sdj'!$AA$4:$AD$19,4,FALSE))</f>
        <v>0.55037456046476074</v>
      </c>
      <c r="AG41" s="34">
        <f>VLOOKUP(AG$22,heatrate!$K$5:$T$36,VLOOKUP('ELC_Gen-sdj'!$B39,'ELC_Gen-sdj'!$AA$4:$AD$19,4,FALSE))</f>
        <v>0.55037456046476074</v>
      </c>
      <c r="AH41" s="34">
        <f>VLOOKUP(AH$22,heatrate!$K$5:$T$36,VLOOKUP('ELC_Gen-sdj'!$B39,'ELC_Gen-sdj'!$AA$4:$AD$19,4,FALSE))</f>
        <v>0.55037456046476074</v>
      </c>
    </row>
    <row r="42" spans="2:34">
      <c r="B42" s="36" t="str">
        <f t="shared" si="6"/>
        <v>EN_GasCC</v>
      </c>
      <c r="C42" s="34">
        <f>VLOOKUP(C$22,heatrate!$K$5:$T$36,VLOOKUP('ELC_Gen-sdj'!$B40,'ELC_Gen-sdj'!$AA$4:$AD$19,4,FALSE))</f>
        <v>0.51701852649719948</v>
      </c>
      <c r="D42" s="34">
        <f>VLOOKUP(D$22,heatrate!$K$5:$T$36,VLOOKUP('ELC_Gen-sdj'!$B40,'ELC_Gen-sdj'!$AA$4:$AD$19,4,FALSE))</f>
        <v>0.51701852649719948</v>
      </c>
      <c r="E42" s="34">
        <f>VLOOKUP(E$22,heatrate!$K$5:$T$36,VLOOKUP('ELC_Gen-sdj'!$B40,'ELC_Gen-sdj'!$AA$4:$AD$19,4,FALSE))</f>
        <v>0.51701852649719948</v>
      </c>
      <c r="F42" s="34">
        <f>VLOOKUP(F$22,heatrate!$K$5:$T$36,VLOOKUP('ELC_Gen-sdj'!$B40,'ELC_Gen-sdj'!$AA$4:$AD$19,4,FALSE))</f>
        <v>0.52196134223809054</v>
      </c>
      <c r="G42" s="34">
        <f>VLOOKUP(G$22,heatrate!$K$5:$T$36,VLOOKUP('ELC_Gen-sdj'!$B40,'ELC_Gen-sdj'!$AA$4:$AD$19,4,FALSE))</f>
        <v>0.52699957913228057</v>
      </c>
      <c r="H42" s="34">
        <f>VLOOKUP(H$22,heatrate!$K$5:$T$36,VLOOKUP('ELC_Gen-sdj'!$B40,'ELC_Gen-sdj'!$AA$4:$AD$19,4,FALSE))</f>
        <v>0.5321360272719714</v>
      </c>
      <c r="I42" s="34">
        <f>VLOOKUP(I$22,heatrate!$K$5:$T$36,VLOOKUP('ELC_Gen-sdj'!$B40,'ELC_Gen-sdj'!$AA$4:$AD$19,4,FALSE))</f>
        <v>0.53737358659551449</v>
      </c>
      <c r="J42" s="34">
        <f>VLOOKUP(J$22,heatrate!$K$5:$T$36,VLOOKUP('ELC_Gen-sdj'!$B40,'ELC_Gen-sdj'!$AA$4:$AD$19,4,FALSE))</f>
        <v>0.53737358659551449</v>
      </c>
      <c r="K42" s="34">
        <f>VLOOKUP(K$22,heatrate!$K$5:$T$36,VLOOKUP('ELC_Gen-sdj'!$B40,'ELC_Gen-sdj'!$AA$4:$AD$19,4,FALSE))</f>
        <v>0.53737358659551449</v>
      </c>
      <c r="L42" s="34">
        <f>VLOOKUP(L$22,heatrate!$K$5:$T$36,VLOOKUP('ELC_Gen-sdj'!$B40,'ELC_Gen-sdj'!$AA$4:$AD$19,4,FALSE))</f>
        <v>0.53737358659551449</v>
      </c>
      <c r="M42" s="34">
        <f>VLOOKUP(M$22,heatrate!$K$5:$T$36,VLOOKUP('ELC_Gen-sdj'!$B40,'ELC_Gen-sdj'!$AA$4:$AD$19,4,FALSE))</f>
        <v>0.53737358659551449</v>
      </c>
      <c r="N42" s="34">
        <f>VLOOKUP(N$22,heatrate!$K$5:$T$36,VLOOKUP('ELC_Gen-sdj'!$B40,'ELC_Gen-sdj'!$AA$4:$AD$19,4,FALSE))</f>
        <v>0.53737358659551449</v>
      </c>
      <c r="O42" s="34">
        <f>VLOOKUP(O$22,heatrate!$K$5:$T$36,VLOOKUP('ELC_Gen-sdj'!$B40,'ELC_Gen-sdj'!$AA$4:$AD$19,4,FALSE))</f>
        <v>0.53737358659551449</v>
      </c>
      <c r="P42" s="34">
        <f>VLOOKUP(P$22,heatrate!$K$5:$T$36,VLOOKUP('ELC_Gen-sdj'!$B40,'ELC_Gen-sdj'!$AA$4:$AD$19,4,FALSE))</f>
        <v>0.53737358659551449</v>
      </c>
      <c r="Q42" s="34">
        <f>VLOOKUP(Q$22,heatrate!$K$5:$T$36,VLOOKUP('ELC_Gen-sdj'!$B40,'ELC_Gen-sdj'!$AA$4:$AD$19,4,FALSE))</f>
        <v>0.53737358659551449</v>
      </c>
      <c r="R42" s="34">
        <f>VLOOKUP(R$22,heatrate!$K$5:$T$36,VLOOKUP('ELC_Gen-sdj'!$B40,'ELC_Gen-sdj'!$AA$4:$AD$19,4,FALSE))</f>
        <v>0.53737358659551449</v>
      </c>
      <c r="S42" s="34">
        <f>VLOOKUP(S$22,heatrate!$K$5:$T$36,VLOOKUP('ELC_Gen-sdj'!$B40,'ELC_Gen-sdj'!$AA$4:$AD$19,4,FALSE))</f>
        <v>0.53737358659551449</v>
      </c>
      <c r="T42" s="34">
        <f>VLOOKUP(T$22,heatrate!$K$5:$T$36,VLOOKUP('ELC_Gen-sdj'!$B40,'ELC_Gen-sdj'!$AA$4:$AD$19,4,FALSE))</f>
        <v>0.53737358659551449</v>
      </c>
      <c r="U42" s="34">
        <f>VLOOKUP(U$22,heatrate!$K$5:$T$36,VLOOKUP('ELC_Gen-sdj'!$B40,'ELC_Gen-sdj'!$AA$4:$AD$19,4,FALSE))</f>
        <v>0.53737358659551449</v>
      </c>
      <c r="V42" s="34">
        <f>VLOOKUP(V$22,heatrate!$K$5:$T$36,VLOOKUP('ELC_Gen-sdj'!$B40,'ELC_Gen-sdj'!$AA$4:$AD$19,4,FALSE))</f>
        <v>0.53737358659551449</v>
      </c>
      <c r="W42" s="34">
        <f>VLOOKUP(W$22,heatrate!$K$5:$T$36,VLOOKUP('ELC_Gen-sdj'!$B40,'ELC_Gen-sdj'!$AA$4:$AD$19,4,FALSE))</f>
        <v>0.53737358659551449</v>
      </c>
      <c r="X42" s="34">
        <f>VLOOKUP(X$22,heatrate!$K$5:$T$36,VLOOKUP('ELC_Gen-sdj'!$B40,'ELC_Gen-sdj'!$AA$4:$AD$19,4,FALSE))</f>
        <v>0.53737358659551449</v>
      </c>
      <c r="Y42" s="34">
        <f>VLOOKUP(Y$22,heatrate!$K$5:$T$36,VLOOKUP('ELC_Gen-sdj'!$B40,'ELC_Gen-sdj'!$AA$4:$AD$19,4,FALSE))</f>
        <v>0.53737358659551449</v>
      </c>
      <c r="Z42" s="34">
        <f>VLOOKUP(Z$22,heatrate!$K$5:$T$36,VLOOKUP('ELC_Gen-sdj'!$B40,'ELC_Gen-sdj'!$AA$4:$AD$19,4,FALSE))</f>
        <v>0.53737358659551449</v>
      </c>
      <c r="AA42" s="34">
        <f>VLOOKUP(AA$22,heatrate!$K$5:$T$36,VLOOKUP('ELC_Gen-sdj'!$B40,'ELC_Gen-sdj'!$AA$4:$AD$19,4,FALSE))</f>
        <v>0.53737358659551449</v>
      </c>
      <c r="AB42" s="34">
        <f>VLOOKUP(AB$22,heatrate!$K$5:$T$36,VLOOKUP('ELC_Gen-sdj'!$B40,'ELC_Gen-sdj'!$AA$4:$AD$19,4,FALSE))</f>
        <v>0.53737358659551449</v>
      </c>
      <c r="AC42" s="34">
        <f>VLOOKUP(AC$22,heatrate!$K$5:$T$36,VLOOKUP('ELC_Gen-sdj'!$B40,'ELC_Gen-sdj'!$AA$4:$AD$19,4,FALSE))</f>
        <v>0.53737358659551449</v>
      </c>
      <c r="AD42" s="34">
        <f>VLOOKUP(AD$22,heatrate!$K$5:$T$36,VLOOKUP('ELC_Gen-sdj'!$B40,'ELC_Gen-sdj'!$AA$4:$AD$19,4,FALSE))</f>
        <v>0.53737358659551449</v>
      </c>
      <c r="AE42" s="34">
        <f>VLOOKUP(AE$22,heatrate!$K$5:$T$36,VLOOKUP('ELC_Gen-sdj'!$B40,'ELC_Gen-sdj'!$AA$4:$AD$19,4,FALSE))</f>
        <v>0.53737358659551449</v>
      </c>
      <c r="AF42" s="34">
        <f>VLOOKUP(AF$22,heatrate!$K$5:$T$36,VLOOKUP('ELC_Gen-sdj'!$B40,'ELC_Gen-sdj'!$AA$4:$AD$19,4,FALSE))</f>
        <v>0.53737358659551449</v>
      </c>
      <c r="AG42" s="34">
        <f>VLOOKUP(AG$22,heatrate!$K$5:$T$36,VLOOKUP('ELC_Gen-sdj'!$B40,'ELC_Gen-sdj'!$AA$4:$AD$19,4,FALSE))</f>
        <v>0.53737358659551449</v>
      </c>
      <c r="AH42" s="34">
        <f>VLOOKUP(AH$22,heatrate!$K$5:$T$36,VLOOKUP('ELC_Gen-sdj'!$B40,'ELC_Gen-sdj'!$AA$4:$AD$19,4,FALSE))</f>
        <v>0.53737358659551449</v>
      </c>
    </row>
    <row r="43" spans="2:34">
      <c r="B43" s="36" t="str">
        <f t="shared" si="6"/>
        <v>EN_GasCTAdv</v>
      </c>
      <c r="C43" s="34">
        <f>VLOOKUP(C$22,heatrate!$K$5:$T$36,VLOOKUP('ELC_Gen-sdj'!$B41,'ELC_Gen-sdj'!$AA$4:$AD$19,4,FALSE))</f>
        <v>0.34819615049811398</v>
      </c>
      <c r="D43" s="34">
        <f>VLOOKUP(D$22,heatrate!$K$5:$T$36,VLOOKUP('ELC_Gen-sdj'!$B41,'ELC_Gen-sdj'!$AA$4:$AD$19,4,FALSE))</f>
        <v>0.34819615049811398</v>
      </c>
      <c r="E43" s="34">
        <f>VLOOKUP(E$22,heatrate!$K$5:$T$36,VLOOKUP('ELC_Gen-sdj'!$B41,'ELC_Gen-sdj'!$AA$4:$AD$19,4,FALSE))</f>
        <v>0.35731123297188655</v>
      </c>
      <c r="F43" s="34">
        <f>VLOOKUP(F$22,heatrate!$K$5:$T$36,VLOOKUP('ELC_Gen-sdj'!$B41,'ELC_Gen-sdj'!$AA$4:$AD$19,4,FALSE))</f>
        <v>0.36691637364317387</v>
      </c>
      <c r="G43" s="34">
        <f>VLOOKUP(G$22,heatrate!$K$5:$T$36,VLOOKUP('ELC_Gen-sdj'!$B41,'ELC_Gen-sdj'!$AA$4:$AD$19,4,FALSE))</f>
        <v>0.37705218506978083</v>
      </c>
      <c r="H43" s="34">
        <f>VLOOKUP(H$22,heatrate!$K$5:$T$36,VLOOKUP('ELC_Gen-sdj'!$B41,'ELC_Gen-sdj'!$AA$4:$AD$19,4,FALSE))</f>
        <v>0.38776389487289964</v>
      </c>
      <c r="I43" s="34">
        <f>VLOOKUP(I$22,heatrate!$K$5:$T$36,VLOOKUP('ELC_Gen-sdj'!$B41,'ELC_Gen-sdj'!$AA$4:$AD$19,4,FALSE))</f>
        <v>0.39910202045397852</v>
      </c>
      <c r="J43" s="34">
        <f>VLOOKUP(J$22,heatrate!$K$5:$T$36,VLOOKUP('ELC_Gen-sdj'!$B41,'ELC_Gen-sdj'!$AA$4:$AD$19,4,FALSE))</f>
        <v>0.39910202045397852</v>
      </c>
      <c r="K43" s="34">
        <f>VLOOKUP(K$22,heatrate!$K$5:$T$36,VLOOKUP('ELC_Gen-sdj'!$B41,'ELC_Gen-sdj'!$AA$4:$AD$19,4,FALSE))</f>
        <v>0.39910202045397852</v>
      </c>
      <c r="L43" s="34">
        <f>VLOOKUP(L$22,heatrate!$K$5:$T$36,VLOOKUP('ELC_Gen-sdj'!$B41,'ELC_Gen-sdj'!$AA$4:$AD$19,4,FALSE))</f>
        <v>0.39910202045397852</v>
      </c>
      <c r="M43" s="34">
        <f>VLOOKUP(M$22,heatrate!$K$5:$T$36,VLOOKUP('ELC_Gen-sdj'!$B41,'ELC_Gen-sdj'!$AA$4:$AD$19,4,FALSE))</f>
        <v>0.39910202045397852</v>
      </c>
      <c r="N43" s="34">
        <f>VLOOKUP(N$22,heatrate!$K$5:$T$36,VLOOKUP('ELC_Gen-sdj'!$B41,'ELC_Gen-sdj'!$AA$4:$AD$19,4,FALSE))</f>
        <v>0.39910202045397852</v>
      </c>
      <c r="O43" s="34">
        <f>VLOOKUP(O$22,heatrate!$K$5:$T$36,VLOOKUP('ELC_Gen-sdj'!$B41,'ELC_Gen-sdj'!$AA$4:$AD$19,4,FALSE))</f>
        <v>0.39910202045397852</v>
      </c>
      <c r="P43" s="34">
        <f>VLOOKUP(P$22,heatrate!$K$5:$T$36,VLOOKUP('ELC_Gen-sdj'!$B41,'ELC_Gen-sdj'!$AA$4:$AD$19,4,FALSE))</f>
        <v>0.39910202045397852</v>
      </c>
      <c r="Q43" s="34">
        <f>VLOOKUP(Q$22,heatrate!$K$5:$T$36,VLOOKUP('ELC_Gen-sdj'!$B41,'ELC_Gen-sdj'!$AA$4:$AD$19,4,FALSE))</f>
        <v>0.39910202045397852</v>
      </c>
      <c r="R43" s="34">
        <f>VLOOKUP(R$22,heatrate!$K$5:$T$36,VLOOKUP('ELC_Gen-sdj'!$B41,'ELC_Gen-sdj'!$AA$4:$AD$19,4,FALSE))</f>
        <v>0.39910202045397852</v>
      </c>
      <c r="S43" s="34">
        <f>VLOOKUP(S$22,heatrate!$K$5:$T$36,VLOOKUP('ELC_Gen-sdj'!$B41,'ELC_Gen-sdj'!$AA$4:$AD$19,4,FALSE))</f>
        <v>0.39910202045397852</v>
      </c>
      <c r="T43" s="34">
        <f>VLOOKUP(T$22,heatrate!$K$5:$T$36,VLOOKUP('ELC_Gen-sdj'!$B41,'ELC_Gen-sdj'!$AA$4:$AD$19,4,FALSE))</f>
        <v>0.39910202045397852</v>
      </c>
      <c r="U43" s="34">
        <f>VLOOKUP(U$22,heatrate!$K$5:$T$36,VLOOKUP('ELC_Gen-sdj'!$B41,'ELC_Gen-sdj'!$AA$4:$AD$19,4,FALSE))</f>
        <v>0.39910202045397852</v>
      </c>
      <c r="V43" s="34">
        <f>VLOOKUP(V$22,heatrate!$K$5:$T$36,VLOOKUP('ELC_Gen-sdj'!$B41,'ELC_Gen-sdj'!$AA$4:$AD$19,4,FALSE))</f>
        <v>0.39910202045397852</v>
      </c>
      <c r="W43" s="34">
        <f>VLOOKUP(W$22,heatrate!$K$5:$T$36,VLOOKUP('ELC_Gen-sdj'!$B41,'ELC_Gen-sdj'!$AA$4:$AD$19,4,FALSE))</f>
        <v>0.39910202045397852</v>
      </c>
      <c r="X43" s="34">
        <f>VLOOKUP(X$22,heatrate!$K$5:$T$36,VLOOKUP('ELC_Gen-sdj'!$B41,'ELC_Gen-sdj'!$AA$4:$AD$19,4,FALSE))</f>
        <v>0.39910202045397852</v>
      </c>
      <c r="Y43" s="34">
        <f>VLOOKUP(Y$22,heatrate!$K$5:$T$36,VLOOKUP('ELC_Gen-sdj'!$B41,'ELC_Gen-sdj'!$AA$4:$AD$19,4,FALSE))</f>
        <v>0.39910202045397852</v>
      </c>
      <c r="Z43" s="34">
        <f>VLOOKUP(Z$22,heatrate!$K$5:$T$36,VLOOKUP('ELC_Gen-sdj'!$B41,'ELC_Gen-sdj'!$AA$4:$AD$19,4,FALSE))</f>
        <v>0.39910202045397852</v>
      </c>
      <c r="AA43" s="34">
        <f>VLOOKUP(AA$22,heatrate!$K$5:$T$36,VLOOKUP('ELC_Gen-sdj'!$B41,'ELC_Gen-sdj'!$AA$4:$AD$19,4,FALSE))</f>
        <v>0.39910202045397852</v>
      </c>
      <c r="AB43" s="34">
        <f>VLOOKUP(AB$22,heatrate!$K$5:$T$36,VLOOKUP('ELC_Gen-sdj'!$B41,'ELC_Gen-sdj'!$AA$4:$AD$19,4,FALSE))</f>
        <v>0.39910202045397852</v>
      </c>
      <c r="AC43" s="34">
        <f>VLOOKUP(AC$22,heatrate!$K$5:$T$36,VLOOKUP('ELC_Gen-sdj'!$B41,'ELC_Gen-sdj'!$AA$4:$AD$19,4,FALSE))</f>
        <v>0.39910202045397852</v>
      </c>
      <c r="AD43" s="34">
        <f>VLOOKUP(AD$22,heatrate!$K$5:$T$36,VLOOKUP('ELC_Gen-sdj'!$B41,'ELC_Gen-sdj'!$AA$4:$AD$19,4,FALSE))</f>
        <v>0.39910202045397852</v>
      </c>
      <c r="AE43" s="34">
        <f>VLOOKUP(AE$22,heatrate!$K$5:$T$36,VLOOKUP('ELC_Gen-sdj'!$B41,'ELC_Gen-sdj'!$AA$4:$AD$19,4,FALSE))</f>
        <v>0.39910202045397852</v>
      </c>
      <c r="AF43" s="34">
        <f>VLOOKUP(AF$22,heatrate!$K$5:$T$36,VLOOKUP('ELC_Gen-sdj'!$B41,'ELC_Gen-sdj'!$AA$4:$AD$19,4,FALSE))</f>
        <v>0.39910202045397852</v>
      </c>
      <c r="AG43" s="34">
        <f>VLOOKUP(AG$22,heatrate!$K$5:$T$36,VLOOKUP('ELC_Gen-sdj'!$B41,'ELC_Gen-sdj'!$AA$4:$AD$19,4,FALSE))</f>
        <v>0.39910202045397852</v>
      </c>
      <c r="AH43" s="34">
        <f>VLOOKUP(AH$22,heatrate!$K$5:$T$36,VLOOKUP('ELC_Gen-sdj'!$B41,'ELC_Gen-sdj'!$AA$4:$AD$19,4,FALSE))</f>
        <v>0.39910202045397852</v>
      </c>
    </row>
    <row r="44" spans="2:34">
      <c r="B44" s="36" t="str">
        <f t="shared" si="6"/>
        <v>EN_GasCT</v>
      </c>
      <c r="C44" s="34">
        <f>VLOOKUP(C$22,heatrate!$K$5:$T$36,VLOOKUP('ELC_Gen-sdj'!$B42,'ELC_Gen-sdj'!$AA$4:$AD$19,4,FALSE))</f>
        <v>0.34678071899202406</v>
      </c>
      <c r="D44" s="34">
        <f>VLOOKUP(D$22,heatrate!$K$5:$T$36,VLOOKUP('ELC_Gen-sdj'!$B42,'ELC_Gen-sdj'!$AA$4:$AD$19,4,FALSE))</f>
        <v>0.34819615049811398</v>
      </c>
      <c r="E44" s="34">
        <f>VLOOKUP(E$22,heatrate!$K$5:$T$36,VLOOKUP('ELC_Gen-sdj'!$B42,'ELC_Gen-sdj'!$AA$4:$AD$19,4,FALSE))</f>
        <v>0.34962318390179475</v>
      </c>
      <c r="F44" s="34">
        <f>VLOOKUP(F$22,heatrate!$K$5:$T$36,VLOOKUP('ELC_Gen-sdj'!$B42,'ELC_Gen-sdj'!$AA$4:$AD$19,4,FALSE))</f>
        <v>0.35106196243637</v>
      </c>
      <c r="G44" s="34">
        <f>VLOOKUP(G$22,heatrate!$K$5:$T$36,VLOOKUP('ELC_Gen-sdj'!$B42,'ELC_Gen-sdj'!$AA$4:$AD$19,4,FALSE))</f>
        <v>0.35251263170263603</v>
      </c>
      <c r="H44" s="34">
        <f>VLOOKUP(H$22,heatrate!$K$5:$T$36,VLOOKUP('ELC_Gen-sdj'!$B42,'ELC_Gen-sdj'!$AA$4:$AD$19,4,FALSE))</f>
        <v>0.35397533971799966</v>
      </c>
      <c r="I44" s="34">
        <f>VLOOKUP(I$22,heatrate!$K$5:$T$36,VLOOKUP('ELC_Gen-sdj'!$B42,'ELC_Gen-sdj'!$AA$4:$AD$19,4,FALSE))</f>
        <v>0.35545023696682471</v>
      </c>
      <c r="J44" s="34">
        <f>VLOOKUP(J$22,heatrate!$K$5:$T$36,VLOOKUP('ELC_Gen-sdj'!$B42,'ELC_Gen-sdj'!$AA$4:$AD$19,4,FALSE))</f>
        <v>0.35545023696682471</v>
      </c>
      <c r="K44" s="34">
        <f>VLOOKUP(K$22,heatrate!$K$5:$T$36,VLOOKUP('ELC_Gen-sdj'!$B42,'ELC_Gen-sdj'!$AA$4:$AD$19,4,FALSE))</f>
        <v>0.35545023696682471</v>
      </c>
      <c r="L44" s="34">
        <f>VLOOKUP(L$22,heatrate!$K$5:$T$36,VLOOKUP('ELC_Gen-sdj'!$B42,'ELC_Gen-sdj'!$AA$4:$AD$19,4,FALSE))</f>
        <v>0.35545023696682471</v>
      </c>
      <c r="M44" s="34">
        <f>VLOOKUP(M$22,heatrate!$K$5:$T$36,VLOOKUP('ELC_Gen-sdj'!$B42,'ELC_Gen-sdj'!$AA$4:$AD$19,4,FALSE))</f>
        <v>0.35545023696682471</v>
      </c>
      <c r="N44" s="34">
        <f>VLOOKUP(N$22,heatrate!$K$5:$T$36,VLOOKUP('ELC_Gen-sdj'!$B42,'ELC_Gen-sdj'!$AA$4:$AD$19,4,FALSE))</f>
        <v>0.35545023696682471</v>
      </c>
      <c r="O44" s="34">
        <f>VLOOKUP(O$22,heatrate!$K$5:$T$36,VLOOKUP('ELC_Gen-sdj'!$B42,'ELC_Gen-sdj'!$AA$4:$AD$19,4,FALSE))</f>
        <v>0.35545023696682471</v>
      </c>
      <c r="P44" s="34">
        <f>VLOOKUP(P$22,heatrate!$K$5:$T$36,VLOOKUP('ELC_Gen-sdj'!$B42,'ELC_Gen-sdj'!$AA$4:$AD$19,4,FALSE))</f>
        <v>0.35545023696682471</v>
      </c>
      <c r="Q44" s="34">
        <f>VLOOKUP(Q$22,heatrate!$K$5:$T$36,VLOOKUP('ELC_Gen-sdj'!$B42,'ELC_Gen-sdj'!$AA$4:$AD$19,4,FALSE))</f>
        <v>0.35545023696682471</v>
      </c>
      <c r="R44" s="34">
        <f>VLOOKUP(R$22,heatrate!$K$5:$T$36,VLOOKUP('ELC_Gen-sdj'!$B42,'ELC_Gen-sdj'!$AA$4:$AD$19,4,FALSE))</f>
        <v>0.35545023696682471</v>
      </c>
      <c r="S44" s="34">
        <f>VLOOKUP(S$22,heatrate!$K$5:$T$36,VLOOKUP('ELC_Gen-sdj'!$B42,'ELC_Gen-sdj'!$AA$4:$AD$19,4,FALSE))</f>
        <v>0.35545023696682471</v>
      </c>
      <c r="T44" s="34">
        <f>VLOOKUP(T$22,heatrate!$K$5:$T$36,VLOOKUP('ELC_Gen-sdj'!$B42,'ELC_Gen-sdj'!$AA$4:$AD$19,4,FALSE))</f>
        <v>0.35545023696682471</v>
      </c>
      <c r="U44" s="34">
        <f>VLOOKUP(U$22,heatrate!$K$5:$T$36,VLOOKUP('ELC_Gen-sdj'!$B42,'ELC_Gen-sdj'!$AA$4:$AD$19,4,FALSE))</f>
        <v>0.35545023696682471</v>
      </c>
      <c r="V44" s="34">
        <f>VLOOKUP(V$22,heatrate!$K$5:$T$36,VLOOKUP('ELC_Gen-sdj'!$B42,'ELC_Gen-sdj'!$AA$4:$AD$19,4,FALSE))</f>
        <v>0.35545023696682471</v>
      </c>
      <c r="W44" s="34">
        <f>VLOOKUP(W$22,heatrate!$K$5:$T$36,VLOOKUP('ELC_Gen-sdj'!$B42,'ELC_Gen-sdj'!$AA$4:$AD$19,4,FALSE))</f>
        <v>0.35545023696682471</v>
      </c>
      <c r="X44" s="34">
        <f>VLOOKUP(X$22,heatrate!$K$5:$T$36,VLOOKUP('ELC_Gen-sdj'!$B42,'ELC_Gen-sdj'!$AA$4:$AD$19,4,FALSE))</f>
        <v>0.35545023696682471</v>
      </c>
      <c r="Y44" s="34">
        <f>VLOOKUP(Y$22,heatrate!$K$5:$T$36,VLOOKUP('ELC_Gen-sdj'!$B42,'ELC_Gen-sdj'!$AA$4:$AD$19,4,FALSE))</f>
        <v>0.35545023696682471</v>
      </c>
      <c r="Z44" s="34">
        <f>VLOOKUP(Z$22,heatrate!$K$5:$T$36,VLOOKUP('ELC_Gen-sdj'!$B42,'ELC_Gen-sdj'!$AA$4:$AD$19,4,FALSE))</f>
        <v>0.35545023696682471</v>
      </c>
      <c r="AA44" s="34">
        <f>VLOOKUP(AA$22,heatrate!$K$5:$T$36,VLOOKUP('ELC_Gen-sdj'!$B42,'ELC_Gen-sdj'!$AA$4:$AD$19,4,FALSE))</f>
        <v>0.35545023696682471</v>
      </c>
      <c r="AB44" s="34">
        <f>VLOOKUP(AB$22,heatrate!$K$5:$T$36,VLOOKUP('ELC_Gen-sdj'!$B42,'ELC_Gen-sdj'!$AA$4:$AD$19,4,FALSE))</f>
        <v>0.35545023696682471</v>
      </c>
      <c r="AC44" s="34">
        <f>VLOOKUP(AC$22,heatrate!$K$5:$T$36,VLOOKUP('ELC_Gen-sdj'!$B42,'ELC_Gen-sdj'!$AA$4:$AD$19,4,FALSE))</f>
        <v>0.35545023696682471</v>
      </c>
      <c r="AD44" s="34">
        <f>VLOOKUP(AD$22,heatrate!$K$5:$T$36,VLOOKUP('ELC_Gen-sdj'!$B42,'ELC_Gen-sdj'!$AA$4:$AD$19,4,FALSE))</f>
        <v>0.35545023696682471</v>
      </c>
      <c r="AE44" s="34">
        <f>VLOOKUP(AE$22,heatrate!$K$5:$T$36,VLOOKUP('ELC_Gen-sdj'!$B42,'ELC_Gen-sdj'!$AA$4:$AD$19,4,FALSE))</f>
        <v>0.35545023696682471</v>
      </c>
      <c r="AF44" s="34">
        <f>VLOOKUP(AF$22,heatrate!$K$5:$T$36,VLOOKUP('ELC_Gen-sdj'!$B42,'ELC_Gen-sdj'!$AA$4:$AD$19,4,FALSE))</f>
        <v>0.35545023696682471</v>
      </c>
      <c r="AG44" s="34">
        <f>VLOOKUP(AG$22,heatrate!$K$5:$T$36,VLOOKUP('ELC_Gen-sdj'!$B42,'ELC_Gen-sdj'!$AA$4:$AD$19,4,FALSE))</f>
        <v>0.35545023696682471</v>
      </c>
      <c r="AH44" s="34">
        <f>VLOOKUP(AH$22,heatrate!$K$5:$T$36,VLOOKUP('ELC_Gen-sdj'!$B42,'ELC_Gen-sdj'!$AA$4:$AD$19,4,FALSE))</f>
        <v>0.35545023696682471</v>
      </c>
    </row>
    <row r="45" spans="2:34">
      <c r="B45" s="36" t="str">
        <f>B30</f>
        <v>EN_ZBiomass</v>
      </c>
      <c r="C45" s="34">
        <f>VLOOKUP(C$22,heatrate!$K$5:$T$36,VLOOKUP('ELC_Gen-sdj'!$B43,'ELC_Gen-sdj'!$AA$4:$AD$19,4,FALSE))</f>
        <v>0.2929031995606452</v>
      </c>
      <c r="D45" s="34">
        <f>VLOOKUP(D$22,heatrate!$K$5:$T$36,VLOOKUP('ELC_Gen-sdj'!$B43,'ELC_Gen-sdj'!$AA$4:$AD$19,4,FALSE))</f>
        <v>0.2929031995606452</v>
      </c>
      <c r="E45" s="34">
        <f>VLOOKUP(E$22,heatrate!$K$5:$T$36,VLOOKUP('ELC_Gen-sdj'!$B43,'ELC_Gen-sdj'!$AA$4:$AD$19,4,FALSE))</f>
        <v>0.2929031995606452</v>
      </c>
      <c r="F45" s="34">
        <f>VLOOKUP(F$22,heatrate!$K$5:$T$36,VLOOKUP('ELC_Gen-sdj'!$B43,'ELC_Gen-sdj'!$AA$4:$AD$19,4,FALSE))</f>
        <v>0.2929031995606452</v>
      </c>
      <c r="G45" s="34">
        <f>VLOOKUP(G$22,heatrate!$K$5:$T$36,VLOOKUP('ELC_Gen-sdj'!$B43,'ELC_Gen-sdj'!$AA$4:$AD$19,4,FALSE))</f>
        <v>0.31443212903397061</v>
      </c>
      <c r="H45" s="34">
        <f>VLOOKUP(H$22,heatrate!$K$5:$T$36,VLOOKUP('ELC_Gen-sdj'!$B43,'ELC_Gen-sdj'!$AA$4:$AD$19,4,FALSE))</f>
        <v>0.3393769667254069</v>
      </c>
      <c r="I45" s="34">
        <f>VLOOKUP(I$22,heatrate!$K$5:$T$36,VLOOKUP('ELC_Gen-sdj'!$B43,'ELC_Gen-sdj'!$AA$4:$AD$19,4,FALSE))</f>
        <v>0.36862074914999637</v>
      </c>
      <c r="J45" s="34">
        <f>VLOOKUP(J$22,heatrate!$K$5:$T$36,VLOOKUP('ELC_Gen-sdj'!$B43,'ELC_Gen-sdj'!$AA$4:$AD$19,4,FALSE))</f>
        <v>0.36862074914999637</v>
      </c>
      <c r="K45" s="34">
        <f>VLOOKUP(K$22,heatrate!$K$5:$T$36,VLOOKUP('ELC_Gen-sdj'!$B43,'ELC_Gen-sdj'!$AA$4:$AD$19,4,FALSE))</f>
        <v>0.36862074914999637</v>
      </c>
      <c r="L45" s="34">
        <f>VLOOKUP(L$22,heatrate!$K$5:$T$36,VLOOKUP('ELC_Gen-sdj'!$B43,'ELC_Gen-sdj'!$AA$4:$AD$19,4,FALSE))</f>
        <v>0.36862074914999637</v>
      </c>
      <c r="M45" s="34">
        <f>VLOOKUP(M$22,heatrate!$K$5:$T$36,VLOOKUP('ELC_Gen-sdj'!$B43,'ELC_Gen-sdj'!$AA$4:$AD$19,4,FALSE))</f>
        <v>0.36862074914999637</v>
      </c>
      <c r="N45" s="34">
        <f>VLOOKUP(N$22,heatrate!$K$5:$T$36,VLOOKUP('ELC_Gen-sdj'!$B43,'ELC_Gen-sdj'!$AA$4:$AD$19,4,FALSE))</f>
        <v>0.36862074914999637</v>
      </c>
      <c r="O45" s="34">
        <f>VLOOKUP(O$22,heatrate!$K$5:$T$36,VLOOKUP('ELC_Gen-sdj'!$B43,'ELC_Gen-sdj'!$AA$4:$AD$19,4,FALSE))</f>
        <v>0.36862074914999637</v>
      </c>
      <c r="P45" s="34">
        <f>VLOOKUP(P$22,heatrate!$K$5:$T$36,VLOOKUP('ELC_Gen-sdj'!$B43,'ELC_Gen-sdj'!$AA$4:$AD$19,4,FALSE))</f>
        <v>0.36862074914999637</v>
      </c>
      <c r="Q45" s="34">
        <f>VLOOKUP(Q$22,heatrate!$K$5:$T$36,VLOOKUP('ELC_Gen-sdj'!$B43,'ELC_Gen-sdj'!$AA$4:$AD$19,4,FALSE))</f>
        <v>0.36862074914999637</v>
      </c>
      <c r="R45" s="34">
        <f>VLOOKUP(R$22,heatrate!$K$5:$T$36,VLOOKUP('ELC_Gen-sdj'!$B43,'ELC_Gen-sdj'!$AA$4:$AD$19,4,FALSE))</f>
        <v>0.36862074914999637</v>
      </c>
      <c r="S45" s="34">
        <f>VLOOKUP(S$22,heatrate!$K$5:$T$36,VLOOKUP('ELC_Gen-sdj'!$B43,'ELC_Gen-sdj'!$AA$4:$AD$19,4,FALSE))</f>
        <v>0.36862074914999637</v>
      </c>
      <c r="T45" s="34">
        <f>VLOOKUP(T$22,heatrate!$K$5:$T$36,VLOOKUP('ELC_Gen-sdj'!$B43,'ELC_Gen-sdj'!$AA$4:$AD$19,4,FALSE))</f>
        <v>0.36862074914999637</v>
      </c>
      <c r="U45" s="34">
        <f>VLOOKUP(U$22,heatrate!$K$5:$T$36,VLOOKUP('ELC_Gen-sdj'!$B43,'ELC_Gen-sdj'!$AA$4:$AD$19,4,FALSE))</f>
        <v>0.36862074914999637</v>
      </c>
      <c r="V45" s="34">
        <f>VLOOKUP(V$22,heatrate!$K$5:$T$36,VLOOKUP('ELC_Gen-sdj'!$B43,'ELC_Gen-sdj'!$AA$4:$AD$19,4,FALSE))</f>
        <v>0.36862074914999637</v>
      </c>
      <c r="W45" s="34">
        <f>VLOOKUP(W$22,heatrate!$K$5:$T$36,VLOOKUP('ELC_Gen-sdj'!$B43,'ELC_Gen-sdj'!$AA$4:$AD$19,4,FALSE))</f>
        <v>0.36862074914999637</v>
      </c>
      <c r="X45" s="34">
        <f>VLOOKUP(X$22,heatrate!$K$5:$T$36,VLOOKUP('ELC_Gen-sdj'!$B43,'ELC_Gen-sdj'!$AA$4:$AD$19,4,FALSE))</f>
        <v>0.36862074914999637</v>
      </c>
      <c r="Y45" s="34">
        <f>VLOOKUP(Y$22,heatrate!$K$5:$T$36,VLOOKUP('ELC_Gen-sdj'!$B43,'ELC_Gen-sdj'!$AA$4:$AD$19,4,FALSE))</f>
        <v>0.36862074914999637</v>
      </c>
      <c r="Z45" s="34">
        <f>VLOOKUP(Z$22,heatrate!$K$5:$T$36,VLOOKUP('ELC_Gen-sdj'!$B43,'ELC_Gen-sdj'!$AA$4:$AD$19,4,FALSE))</f>
        <v>0.36862074914999637</v>
      </c>
      <c r="AA45" s="34">
        <f>VLOOKUP(AA$22,heatrate!$K$5:$T$36,VLOOKUP('ELC_Gen-sdj'!$B43,'ELC_Gen-sdj'!$AA$4:$AD$19,4,FALSE))</f>
        <v>0.36862074914999637</v>
      </c>
      <c r="AB45" s="34">
        <f>VLOOKUP(AB$22,heatrate!$K$5:$T$36,VLOOKUP('ELC_Gen-sdj'!$B43,'ELC_Gen-sdj'!$AA$4:$AD$19,4,FALSE))</f>
        <v>0.36862074914999637</v>
      </c>
      <c r="AC45" s="34">
        <f>VLOOKUP(AC$22,heatrate!$K$5:$T$36,VLOOKUP('ELC_Gen-sdj'!$B43,'ELC_Gen-sdj'!$AA$4:$AD$19,4,FALSE))</f>
        <v>0.36862074914999637</v>
      </c>
      <c r="AD45" s="34">
        <f>VLOOKUP(AD$22,heatrate!$K$5:$T$36,VLOOKUP('ELC_Gen-sdj'!$B43,'ELC_Gen-sdj'!$AA$4:$AD$19,4,FALSE))</f>
        <v>0.36862074914999637</v>
      </c>
      <c r="AE45" s="34">
        <f>VLOOKUP(AE$22,heatrate!$K$5:$T$36,VLOOKUP('ELC_Gen-sdj'!$B43,'ELC_Gen-sdj'!$AA$4:$AD$19,4,FALSE))</f>
        <v>0.36862074914999637</v>
      </c>
      <c r="AF45" s="34">
        <f>VLOOKUP(AF$22,heatrate!$K$5:$T$36,VLOOKUP('ELC_Gen-sdj'!$B43,'ELC_Gen-sdj'!$AA$4:$AD$19,4,FALSE))</f>
        <v>0.36862074914999637</v>
      </c>
      <c r="AG45" s="34">
        <f>VLOOKUP(AG$22,heatrate!$K$5:$T$36,VLOOKUP('ELC_Gen-sdj'!$B43,'ELC_Gen-sdj'!$AA$4:$AD$19,4,FALSE))</f>
        <v>0.36862074914999637</v>
      </c>
      <c r="AH45" s="34">
        <f>VLOOKUP(AH$22,heatrate!$K$5:$T$36,VLOOKUP('ELC_Gen-sdj'!$B43,'ELC_Gen-sdj'!$AA$4:$AD$19,4,FALSE))</f>
        <v>0.36862074914999637</v>
      </c>
    </row>
    <row r="46" spans="2:34">
      <c r="B46" s="36" t="str">
        <f>B31</f>
        <v>EN_OilCCAdv</v>
      </c>
      <c r="C46" s="34">
        <f>VLOOKUP(C$22,heatrate!$K$5:$T$36,VLOOKUP('ELC_Gen-sdj'!$B44,'ELC_Gen-sdj'!$AA$4:$AD$19,4,FALSE))</f>
        <v>0.34819615049811398</v>
      </c>
      <c r="D46" s="34">
        <f>VLOOKUP(D$22,heatrate!$K$5:$T$36,VLOOKUP('ELC_Gen-sdj'!$B44,'ELC_Gen-sdj'!$AA$4:$AD$19,4,FALSE))</f>
        <v>0.34819615049811398</v>
      </c>
      <c r="E46" s="34">
        <f>VLOOKUP(E$22,heatrate!$K$5:$T$36,VLOOKUP('ELC_Gen-sdj'!$B44,'ELC_Gen-sdj'!$AA$4:$AD$19,4,FALSE))</f>
        <v>0.35731123297188655</v>
      </c>
      <c r="F46" s="34">
        <f>VLOOKUP(F$22,heatrate!$K$5:$T$36,VLOOKUP('ELC_Gen-sdj'!$B44,'ELC_Gen-sdj'!$AA$4:$AD$19,4,FALSE))</f>
        <v>0.36691637364317387</v>
      </c>
      <c r="G46" s="34">
        <f>VLOOKUP(G$22,heatrate!$K$5:$T$36,VLOOKUP('ELC_Gen-sdj'!$B44,'ELC_Gen-sdj'!$AA$4:$AD$19,4,FALSE))</f>
        <v>0.37705218506978083</v>
      </c>
      <c r="H46" s="34">
        <f>VLOOKUP(H$22,heatrate!$K$5:$T$36,VLOOKUP('ELC_Gen-sdj'!$B44,'ELC_Gen-sdj'!$AA$4:$AD$19,4,FALSE))</f>
        <v>0.38776389487289964</v>
      </c>
      <c r="I46" s="34">
        <f>VLOOKUP(I$22,heatrate!$K$5:$T$36,VLOOKUP('ELC_Gen-sdj'!$B44,'ELC_Gen-sdj'!$AA$4:$AD$19,4,FALSE))</f>
        <v>0.39910202045397852</v>
      </c>
      <c r="J46" s="34">
        <f>VLOOKUP(J$22,heatrate!$K$5:$T$36,VLOOKUP('ELC_Gen-sdj'!$B44,'ELC_Gen-sdj'!$AA$4:$AD$19,4,FALSE))</f>
        <v>0.39910202045397852</v>
      </c>
      <c r="K46" s="34">
        <f>VLOOKUP(K$22,heatrate!$K$5:$T$36,VLOOKUP('ELC_Gen-sdj'!$B44,'ELC_Gen-sdj'!$AA$4:$AD$19,4,FALSE))</f>
        <v>0.39910202045397852</v>
      </c>
      <c r="L46" s="34">
        <f>VLOOKUP(L$22,heatrate!$K$5:$T$36,VLOOKUP('ELC_Gen-sdj'!$B44,'ELC_Gen-sdj'!$AA$4:$AD$19,4,FALSE))</f>
        <v>0.39910202045397852</v>
      </c>
      <c r="M46" s="34">
        <f>VLOOKUP(M$22,heatrate!$K$5:$T$36,VLOOKUP('ELC_Gen-sdj'!$B44,'ELC_Gen-sdj'!$AA$4:$AD$19,4,FALSE))</f>
        <v>0.39910202045397852</v>
      </c>
      <c r="N46" s="34">
        <f>VLOOKUP(N$22,heatrate!$K$5:$T$36,VLOOKUP('ELC_Gen-sdj'!$B44,'ELC_Gen-sdj'!$AA$4:$AD$19,4,FALSE))</f>
        <v>0.39910202045397852</v>
      </c>
      <c r="O46" s="34">
        <f>VLOOKUP(O$22,heatrate!$K$5:$T$36,VLOOKUP('ELC_Gen-sdj'!$B44,'ELC_Gen-sdj'!$AA$4:$AD$19,4,FALSE))</f>
        <v>0.39910202045397852</v>
      </c>
      <c r="P46" s="34">
        <f>VLOOKUP(P$22,heatrate!$K$5:$T$36,VLOOKUP('ELC_Gen-sdj'!$B44,'ELC_Gen-sdj'!$AA$4:$AD$19,4,FALSE))</f>
        <v>0.39910202045397852</v>
      </c>
      <c r="Q46" s="34">
        <f>VLOOKUP(Q$22,heatrate!$K$5:$T$36,VLOOKUP('ELC_Gen-sdj'!$B44,'ELC_Gen-sdj'!$AA$4:$AD$19,4,FALSE))</f>
        <v>0.39910202045397852</v>
      </c>
      <c r="R46" s="34">
        <f>VLOOKUP(R$22,heatrate!$K$5:$T$36,VLOOKUP('ELC_Gen-sdj'!$B44,'ELC_Gen-sdj'!$AA$4:$AD$19,4,FALSE))</f>
        <v>0.39910202045397852</v>
      </c>
      <c r="S46" s="34">
        <f>VLOOKUP(S$22,heatrate!$K$5:$T$36,VLOOKUP('ELC_Gen-sdj'!$B44,'ELC_Gen-sdj'!$AA$4:$AD$19,4,FALSE))</f>
        <v>0.39910202045397852</v>
      </c>
      <c r="T46" s="34">
        <f>VLOOKUP(T$22,heatrate!$K$5:$T$36,VLOOKUP('ELC_Gen-sdj'!$B44,'ELC_Gen-sdj'!$AA$4:$AD$19,4,FALSE))</f>
        <v>0.39910202045397852</v>
      </c>
      <c r="U46" s="34">
        <f>VLOOKUP(U$22,heatrate!$K$5:$T$36,VLOOKUP('ELC_Gen-sdj'!$B44,'ELC_Gen-sdj'!$AA$4:$AD$19,4,FALSE))</f>
        <v>0.39910202045397852</v>
      </c>
      <c r="V46" s="34">
        <f>VLOOKUP(V$22,heatrate!$K$5:$T$36,VLOOKUP('ELC_Gen-sdj'!$B44,'ELC_Gen-sdj'!$AA$4:$AD$19,4,FALSE))</f>
        <v>0.39910202045397852</v>
      </c>
      <c r="W46" s="34">
        <f>VLOOKUP(W$22,heatrate!$K$5:$T$36,VLOOKUP('ELC_Gen-sdj'!$B44,'ELC_Gen-sdj'!$AA$4:$AD$19,4,FALSE))</f>
        <v>0.39910202045397852</v>
      </c>
      <c r="X46" s="34">
        <f>VLOOKUP(X$22,heatrate!$K$5:$T$36,VLOOKUP('ELC_Gen-sdj'!$B44,'ELC_Gen-sdj'!$AA$4:$AD$19,4,FALSE))</f>
        <v>0.39910202045397852</v>
      </c>
      <c r="Y46" s="34">
        <f>VLOOKUP(Y$22,heatrate!$K$5:$T$36,VLOOKUP('ELC_Gen-sdj'!$B44,'ELC_Gen-sdj'!$AA$4:$AD$19,4,FALSE))</f>
        <v>0.39910202045397852</v>
      </c>
      <c r="Z46" s="34">
        <f>VLOOKUP(Z$22,heatrate!$K$5:$T$36,VLOOKUP('ELC_Gen-sdj'!$B44,'ELC_Gen-sdj'!$AA$4:$AD$19,4,FALSE))</f>
        <v>0.39910202045397852</v>
      </c>
      <c r="AA46" s="34">
        <f>VLOOKUP(AA$22,heatrate!$K$5:$T$36,VLOOKUP('ELC_Gen-sdj'!$B44,'ELC_Gen-sdj'!$AA$4:$AD$19,4,FALSE))</f>
        <v>0.39910202045397852</v>
      </c>
      <c r="AB46" s="34">
        <f>VLOOKUP(AB$22,heatrate!$K$5:$T$36,VLOOKUP('ELC_Gen-sdj'!$B44,'ELC_Gen-sdj'!$AA$4:$AD$19,4,FALSE))</f>
        <v>0.39910202045397852</v>
      </c>
      <c r="AC46" s="34">
        <f>VLOOKUP(AC$22,heatrate!$K$5:$T$36,VLOOKUP('ELC_Gen-sdj'!$B44,'ELC_Gen-sdj'!$AA$4:$AD$19,4,FALSE))</f>
        <v>0.39910202045397852</v>
      </c>
      <c r="AD46" s="34">
        <f>VLOOKUP(AD$22,heatrate!$K$5:$T$36,VLOOKUP('ELC_Gen-sdj'!$B44,'ELC_Gen-sdj'!$AA$4:$AD$19,4,FALSE))</f>
        <v>0.39910202045397852</v>
      </c>
      <c r="AE46" s="34">
        <f>VLOOKUP(AE$22,heatrate!$K$5:$T$36,VLOOKUP('ELC_Gen-sdj'!$B44,'ELC_Gen-sdj'!$AA$4:$AD$19,4,FALSE))</f>
        <v>0.39910202045397852</v>
      </c>
      <c r="AF46" s="34">
        <f>VLOOKUP(AF$22,heatrate!$K$5:$T$36,VLOOKUP('ELC_Gen-sdj'!$B44,'ELC_Gen-sdj'!$AA$4:$AD$19,4,FALSE))</f>
        <v>0.39910202045397852</v>
      </c>
      <c r="AG46" s="34">
        <f>VLOOKUP(AG$22,heatrate!$K$5:$T$36,VLOOKUP('ELC_Gen-sdj'!$B44,'ELC_Gen-sdj'!$AA$4:$AD$19,4,FALSE))</f>
        <v>0.39910202045397852</v>
      </c>
      <c r="AH46" s="34">
        <f>VLOOKUP(AH$22,heatrate!$K$5:$T$36,VLOOKUP('ELC_Gen-sdj'!$B44,'ELC_Gen-sdj'!$AA$4:$AD$19,4,FALSE))</f>
        <v>0.39910202045397852</v>
      </c>
    </row>
    <row r="47" spans="2:34">
      <c r="B47" s="45" t="s">
        <v>199</v>
      </c>
      <c r="C47" s="45">
        <f>C40</f>
        <v>0.4534647541370786</v>
      </c>
      <c r="D47" s="45">
        <f t="shared" ref="D47:AG47" si="7">D40</f>
        <v>0.4534647541370786</v>
      </c>
      <c r="E47" s="45">
        <f t="shared" si="7"/>
        <v>0.4534647541370786</v>
      </c>
      <c r="F47" s="45">
        <f t="shared" si="7"/>
        <v>0.45394735597732028</v>
      </c>
      <c r="G47" s="45">
        <f t="shared" si="7"/>
        <v>0.45443098613417449</v>
      </c>
      <c r="H47" s="45">
        <f t="shared" si="7"/>
        <v>0.45491564789781591</v>
      </c>
      <c r="I47" s="45">
        <f t="shared" si="7"/>
        <v>0.45540134457246989</v>
      </c>
      <c r="J47" s="45">
        <f t="shared" si="7"/>
        <v>0.45540134457246989</v>
      </c>
      <c r="K47" s="45">
        <f t="shared" si="7"/>
        <v>0.45540134457246989</v>
      </c>
      <c r="L47" s="45">
        <f t="shared" si="7"/>
        <v>0.45540134457246989</v>
      </c>
      <c r="M47" s="45">
        <f t="shared" si="7"/>
        <v>0.45540134457246989</v>
      </c>
      <c r="N47" s="45">
        <f t="shared" si="7"/>
        <v>0.45540134457246989</v>
      </c>
      <c r="O47" s="45">
        <f t="shared" si="7"/>
        <v>0.45540134457246989</v>
      </c>
      <c r="P47" s="45">
        <f t="shared" si="7"/>
        <v>0.45540134457246989</v>
      </c>
      <c r="Q47" s="45">
        <f t="shared" si="7"/>
        <v>0.45540134457246989</v>
      </c>
      <c r="R47" s="45">
        <f t="shared" si="7"/>
        <v>0.45540134457246989</v>
      </c>
      <c r="S47" s="45">
        <f t="shared" si="7"/>
        <v>0.45540134457246989</v>
      </c>
      <c r="T47" s="45">
        <f t="shared" si="7"/>
        <v>0.45540134457246989</v>
      </c>
      <c r="U47" s="45">
        <f t="shared" si="7"/>
        <v>0.45540134457246989</v>
      </c>
      <c r="V47" s="45">
        <f t="shared" si="7"/>
        <v>0.45540134457246989</v>
      </c>
      <c r="W47" s="45">
        <f t="shared" si="7"/>
        <v>0.45540134457246989</v>
      </c>
      <c r="X47" s="45">
        <f t="shared" si="7"/>
        <v>0.45540134457246989</v>
      </c>
      <c r="Y47" s="45">
        <f t="shared" si="7"/>
        <v>0.45540134457246989</v>
      </c>
      <c r="Z47" s="45">
        <f t="shared" si="7"/>
        <v>0.45540134457246989</v>
      </c>
      <c r="AA47" s="45">
        <f t="shared" si="7"/>
        <v>0.45540134457246989</v>
      </c>
      <c r="AB47" s="45">
        <f t="shared" si="7"/>
        <v>0.45540134457246989</v>
      </c>
      <c r="AC47" s="45">
        <f t="shared" si="7"/>
        <v>0.45540134457246989</v>
      </c>
      <c r="AD47" s="45">
        <f t="shared" si="7"/>
        <v>0.45540134457246989</v>
      </c>
      <c r="AE47" s="45">
        <f t="shared" si="7"/>
        <v>0.45540134457246989</v>
      </c>
      <c r="AF47" s="45">
        <f t="shared" si="7"/>
        <v>0.45540134457246989</v>
      </c>
      <c r="AG47" s="45">
        <f t="shared" si="7"/>
        <v>0.45540134457246989</v>
      </c>
    </row>
    <row r="48" spans="2:34">
      <c r="B48" s="45" t="s">
        <v>160</v>
      </c>
      <c r="C48" s="45">
        <f>C39</f>
        <v>0.2929031995606452</v>
      </c>
      <c r="D48" s="45">
        <f t="shared" ref="D48:AG48" si="8">D39</f>
        <v>0.2929031995606452</v>
      </c>
      <c r="E48" s="45">
        <f t="shared" si="8"/>
        <v>0.2929031995606452</v>
      </c>
      <c r="F48" s="45">
        <f t="shared" si="8"/>
        <v>0.2929031995606452</v>
      </c>
      <c r="G48" s="45">
        <f t="shared" si="8"/>
        <v>0.31443212903397061</v>
      </c>
      <c r="H48" s="45">
        <f t="shared" si="8"/>
        <v>0.3393769667254069</v>
      </c>
      <c r="I48" s="45">
        <f t="shared" si="8"/>
        <v>0.36862074914999637</v>
      </c>
      <c r="J48" s="45">
        <f t="shared" si="8"/>
        <v>0.36862074914999637</v>
      </c>
      <c r="K48" s="45">
        <f t="shared" si="8"/>
        <v>0.36862074914999637</v>
      </c>
      <c r="L48" s="45">
        <f t="shared" si="8"/>
        <v>0.36862074914999637</v>
      </c>
      <c r="M48" s="45">
        <f t="shared" si="8"/>
        <v>0.36862074914999637</v>
      </c>
      <c r="N48" s="45">
        <f t="shared" si="8"/>
        <v>0.36862074914999637</v>
      </c>
      <c r="O48" s="45">
        <f t="shared" si="8"/>
        <v>0.36862074914999637</v>
      </c>
      <c r="P48" s="45">
        <f t="shared" si="8"/>
        <v>0.36862074914999637</v>
      </c>
      <c r="Q48" s="45">
        <f t="shared" si="8"/>
        <v>0.36862074914999637</v>
      </c>
      <c r="R48" s="45">
        <f t="shared" si="8"/>
        <v>0.36862074914999637</v>
      </c>
      <c r="S48" s="45">
        <f t="shared" si="8"/>
        <v>0.36862074914999637</v>
      </c>
      <c r="T48" s="45">
        <f t="shared" si="8"/>
        <v>0.36862074914999637</v>
      </c>
      <c r="U48" s="45">
        <f t="shared" si="8"/>
        <v>0.36862074914999637</v>
      </c>
      <c r="V48" s="45">
        <f t="shared" si="8"/>
        <v>0.36862074914999637</v>
      </c>
      <c r="W48" s="45">
        <f t="shared" si="8"/>
        <v>0.36862074914999637</v>
      </c>
      <c r="X48" s="45">
        <f t="shared" si="8"/>
        <v>0.36862074914999637</v>
      </c>
      <c r="Y48" s="45">
        <f t="shared" si="8"/>
        <v>0.36862074914999637</v>
      </c>
      <c r="Z48" s="45">
        <f t="shared" si="8"/>
        <v>0.36862074914999637</v>
      </c>
      <c r="AA48" s="45">
        <f t="shared" si="8"/>
        <v>0.36862074914999637</v>
      </c>
      <c r="AB48" s="45">
        <f t="shared" si="8"/>
        <v>0.36862074914999637</v>
      </c>
      <c r="AC48" s="45">
        <f t="shared" si="8"/>
        <v>0.36862074914999637</v>
      </c>
      <c r="AD48" s="45">
        <f t="shared" si="8"/>
        <v>0.36862074914999637</v>
      </c>
      <c r="AE48" s="45">
        <f t="shared" si="8"/>
        <v>0.36862074914999637</v>
      </c>
      <c r="AF48" s="45">
        <f t="shared" si="8"/>
        <v>0.36862074914999637</v>
      </c>
      <c r="AG48" s="45">
        <f t="shared" si="8"/>
        <v>0.36862074914999637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BE8B9-26B9-40E4-8A7C-67A54EF5BD6F}">
  <dimension ref="D5:O30"/>
  <sheetViews>
    <sheetView tabSelected="1" workbookViewId="0">
      <selection activeCell="M9" sqref="M9"/>
    </sheetView>
  </sheetViews>
  <sheetFormatPr defaultRowHeight="14.4"/>
  <cols>
    <col min="6" max="6" width="15.5546875" bestFit="1" customWidth="1"/>
    <col min="7" max="7" width="44.6640625" customWidth="1"/>
    <col min="8" max="8" width="12.21875" bestFit="1" customWidth="1"/>
    <col min="9" max="9" width="10.44140625" bestFit="1" customWidth="1"/>
    <col min="11" max="11" width="10.109375" bestFit="1" customWidth="1"/>
  </cols>
  <sheetData>
    <row r="5" spans="4:15">
      <c r="D5" s="64"/>
      <c r="E5" s="64"/>
      <c r="F5" s="64"/>
      <c r="G5" s="64"/>
      <c r="H5" s="64"/>
      <c r="I5" s="64"/>
      <c r="J5" s="64" t="s">
        <v>214</v>
      </c>
      <c r="K5" s="64"/>
      <c r="L5" s="64"/>
      <c r="M5" s="64"/>
      <c r="N5" s="64"/>
      <c r="O5" s="64"/>
    </row>
    <row r="6" spans="4:15">
      <c r="D6" s="64" t="s">
        <v>5</v>
      </c>
      <c r="E6" s="64" t="s">
        <v>209</v>
      </c>
      <c r="F6" s="64" t="s">
        <v>0</v>
      </c>
      <c r="G6" s="64" t="s">
        <v>153</v>
      </c>
      <c r="H6" s="64" t="s">
        <v>1</v>
      </c>
      <c r="I6" s="64" t="s">
        <v>2</v>
      </c>
      <c r="J6" s="64" t="s">
        <v>210</v>
      </c>
      <c r="K6" s="64" t="s">
        <v>211</v>
      </c>
      <c r="L6" s="64" t="s">
        <v>70</v>
      </c>
      <c r="M6" s="64" t="s">
        <v>76</v>
      </c>
      <c r="N6" s="64" t="s">
        <v>212</v>
      </c>
      <c r="O6" s="64" t="s">
        <v>17</v>
      </c>
    </row>
    <row r="7" spans="4:15">
      <c r="D7" s="64" t="s">
        <v>213</v>
      </c>
      <c r="E7" s="64"/>
      <c r="F7" s="64"/>
      <c r="G7" s="64"/>
      <c r="H7" s="64"/>
      <c r="I7" s="64"/>
      <c r="J7" s="64"/>
      <c r="K7" s="64"/>
      <c r="L7" s="64"/>
      <c r="M7" s="64" t="s">
        <v>215</v>
      </c>
      <c r="N7" s="64"/>
      <c r="O7" s="64"/>
    </row>
    <row r="8" spans="4:15">
      <c r="D8" s="64"/>
      <c r="E8" s="64"/>
      <c r="F8" s="61" t="s">
        <v>204</v>
      </c>
      <c r="G8" s="64"/>
      <c r="H8" s="64" t="s">
        <v>217</v>
      </c>
      <c r="I8" s="64" t="s">
        <v>69</v>
      </c>
      <c r="J8" s="64"/>
      <c r="K8" s="64">
        <v>1</v>
      </c>
      <c r="L8" s="64"/>
      <c r="M8" s="64"/>
      <c r="N8" s="64">
        <v>2010</v>
      </c>
      <c r="O8" s="64">
        <v>100</v>
      </c>
    </row>
    <row r="9" spans="4:15">
      <c r="D9" s="64"/>
      <c r="E9" s="64"/>
      <c r="F9" s="61" t="s">
        <v>206</v>
      </c>
      <c r="G9" s="64"/>
      <c r="H9" s="64" t="s">
        <v>218</v>
      </c>
      <c r="I9" s="64" t="s">
        <v>69</v>
      </c>
      <c r="J9" s="64"/>
      <c r="K9" s="64">
        <v>1</v>
      </c>
      <c r="L9" s="64"/>
      <c r="M9" s="64"/>
      <c r="N9" s="64">
        <v>2010</v>
      </c>
      <c r="O9" s="64">
        <v>100</v>
      </c>
    </row>
    <row r="10" spans="4:15">
      <c r="D10" s="64"/>
      <c r="E10" s="64"/>
    </row>
    <row r="11" spans="4:15"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</row>
    <row r="12" spans="4:15"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</row>
    <row r="16" spans="4:15">
      <c r="E16" s="63" t="s">
        <v>4</v>
      </c>
      <c r="F16" s="63"/>
      <c r="G16" s="63"/>
      <c r="H16" s="63"/>
      <c r="I16" s="63"/>
      <c r="J16" s="63"/>
      <c r="K16" s="63"/>
      <c r="L16" s="63"/>
    </row>
    <row r="17" spans="5:14">
      <c r="E17" s="63" t="s">
        <v>5</v>
      </c>
      <c r="F17" s="63" t="s">
        <v>0</v>
      </c>
      <c r="G17" s="63" t="s">
        <v>6</v>
      </c>
      <c r="H17" s="63" t="s">
        <v>8</v>
      </c>
      <c r="I17" s="63" t="s">
        <v>9</v>
      </c>
      <c r="J17" s="63" t="s">
        <v>7</v>
      </c>
      <c r="K17" s="63" t="s">
        <v>10</v>
      </c>
      <c r="L17" s="63" t="s">
        <v>11</v>
      </c>
    </row>
    <row r="18" spans="5:14">
      <c r="E18" s="62" t="s">
        <v>53</v>
      </c>
      <c r="F18" s="61" t="s">
        <v>204</v>
      </c>
      <c r="G18" s="61" t="s">
        <v>203</v>
      </c>
      <c r="H18" s="61" t="s">
        <v>61</v>
      </c>
      <c r="I18" s="61" t="s">
        <v>201</v>
      </c>
      <c r="J18" s="61"/>
      <c r="K18" s="61"/>
      <c r="L18" s="61" t="s">
        <v>202</v>
      </c>
    </row>
    <row r="19" spans="5:14">
      <c r="E19" s="62" t="s">
        <v>53</v>
      </c>
      <c r="F19" s="61" t="s">
        <v>206</v>
      </c>
      <c r="G19" s="61" t="s">
        <v>207</v>
      </c>
      <c r="H19" s="61" t="s">
        <v>61</v>
      </c>
      <c r="I19" s="61" t="s">
        <v>201</v>
      </c>
      <c r="J19" s="61"/>
      <c r="K19" s="61"/>
      <c r="L19" s="61" t="s">
        <v>202</v>
      </c>
    </row>
    <row r="25" spans="5:14">
      <c r="E25" t="s">
        <v>216</v>
      </c>
    </row>
    <row r="26" spans="5:14">
      <c r="E26" s="62" t="s">
        <v>53</v>
      </c>
      <c r="F26" s="61" t="s">
        <v>205</v>
      </c>
      <c r="G26" s="61" t="s">
        <v>208</v>
      </c>
      <c r="H26" s="61" t="s">
        <v>61</v>
      </c>
      <c r="I26" s="61" t="s">
        <v>201</v>
      </c>
      <c r="J26" s="61"/>
      <c r="K26" s="61"/>
      <c r="L26" s="61" t="s">
        <v>202</v>
      </c>
    </row>
    <row r="30" spans="5:14">
      <c r="E30" s="61"/>
      <c r="F30" s="64"/>
      <c r="G30" s="64"/>
      <c r="H30" s="64"/>
      <c r="I30" s="64"/>
      <c r="J30" s="64"/>
      <c r="K30" s="64"/>
      <c r="L30" s="64"/>
      <c r="M30" s="64"/>
      <c r="N30" s="6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36"/>
  <sheetViews>
    <sheetView workbookViewId="0"/>
  </sheetViews>
  <sheetFormatPr defaultColWidth="8.88671875" defaultRowHeight="14.4"/>
  <sheetData>
    <row r="1" spans="1:23">
      <c r="A1" s="16" t="s">
        <v>96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</row>
    <row r="2" spans="1:23">
      <c r="A2" s="12" t="s">
        <v>97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</row>
    <row r="3" spans="1:2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</row>
    <row r="4" spans="1:23" ht="43.2">
      <c r="A4" s="17" t="s">
        <v>98</v>
      </c>
      <c r="B4" s="17" t="s">
        <v>99</v>
      </c>
      <c r="C4" s="17" t="s">
        <v>100</v>
      </c>
      <c r="D4" s="17" t="s">
        <v>101</v>
      </c>
      <c r="E4" s="17" t="s">
        <v>102</v>
      </c>
      <c r="F4" s="17" t="s">
        <v>103</v>
      </c>
      <c r="G4" s="17" t="s">
        <v>104</v>
      </c>
      <c r="H4" s="17" t="s">
        <v>105</v>
      </c>
      <c r="I4" s="17" t="s">
        <v>106</v>
      </c>
      <c r="J4" s="17" t="s">
        <v>107</v>
      </c>
      <c r="K4" s="17" t="s">
        <v>108</v>
      </c>
      <c r="L4" s="17" t="s">
        <v>109</v>
      </c>
      <c r="M4" s="17" t="s">
        <v>110</v>
      </c>
      <c r="N4" s="17" t="s">
        <v>111</v>
      </c>
      <c r="O4" s="17" t="s">
        <v>112</v>
      </c>
      <c r="P4" s="17" t="s">
        <v>113</v>
      </c>
      <c r="Q4" s="17" t="s">
        <v>114</v>
      </c>
      <c r="R4" s="17" t="s">
        <v>115</v>
      </c>
      <c r="S4" s="17" t="s">
        <v>116</v>
      </c>
      <c r="T4" s="17" t="s">
        <v>117</v>
      </c>
      <c r="U4" s="17" t="s">
        <v>118</v>
      </c>
      <c r="V4" s="17" t="s">
        <v>119</v>
      </c>
      <c r="W4" s="17" t="s">
        <v>120</v>
      </c>
    </row>
    <row r="5" spans="1:23">
      <c r="A5" s="18">
        <v>2019</v>
      </c>
      <c r="B5" s="19">
        <v>5168.6426178861784</v>
      </c>
      <c r="C5" s="19">
        <v>5715.7879928716911</v>
      </c>
      <c r="D5" s="19">
        <v>1371.3094454726163</v>
      </c>
      <c r="E5" s="19">
        <v>1126.002408681185</v>
      </c>
      <c r="F5" s="19">
        <v>691.0768157887843</v>
      </c>
      <c r="G5" s="19">
        <v>999.32722103014635</v>
      </c>
      <c r="H5" s="19">
        <v>794.43951592145902</v>
      </c>
      <c r="I5" s="19">
        <v>2204.7527264537057</v>
      </c>
      <c r="J5" s="19">
        <v>7197.3475813953482</v>
      </c>
      <c r="K5" s="19">
        <v>6034.2658544366905</v>
      </c>
      <c r="L5" s="19">
        <v>3899.5782844311379</v>
      </c>
      <c r="M5" s="19">
        <v>2786.5502933333337</v>
      </c>
      <c r="N5" s="19">
        <v>8894.7868268839102</v>
      </c>
      <c r="O5" s="19">
        <v>2947.7592770000001</v>
      </c>
      <c r="P5" s="19">
        <v>1950.3365679727831</v>
      </c>
      <c r="Q5" s="19">
        <v>1919.9304789039093</v>
      </c>
      <c r="R5" s="19">
        <v>6541.9375379640042</v>
      </c>
      <c r="S5" s="19">
        <v>4291.3345329670328</v>
      </c>
      <c r="T5" s="19">
        <v>2160.2096522704924</v>
      </c>
      <c r="U5" s="19">
        <v>2024.4633266392557</v>
      </c>
      <c r="V5" s="19">
        <v>1576.4641665014869</v>
      </c>
      <c r="W5" s="19">
        <v>1893.7525848912082</v>
      </c>
    </row>
    <row r="6" spans="1:23">
      <c r="A6" s="18">
        <v>2020</v>
      </c>
      <c r="B6" s="19">
        <v>5110.677083333333</v>
      </c>
      <c r="C6" s="19">
        <v>5651.6864103869648</v>
      </c>
      <c r="D6" s="19">
        <v>1358.5377701975299</v>
      </c>
      <c r="E6" s="19">
        <v>1115.5153164235383</v>
      </c>
      <c r="F6" s="19">
        <v>683.76621123055679</v>
      </c>
      <c r="G6" s="19">
        <v>990.01963397384725</v>
      </c>
      <c r="H6" s="19">
        <v>786.43841465656715</v>
      </c>
      <c r="I6" s="19">
        <v>2176.3550779414863</v>
      </c>
      <c r="J6" s="19">
        <v>7055.6867735085943</v>
      </c>
      <c r="K6" s="19">
        <v>5962.7387367896317</v>
      </c>
      <c r="L6" s="19">
        <v>3858.2388443113769</v>
      </c>
      <c r="M6" s="19">
        <v>2753.5199655555557</v>
      </c>
      <c r="N6" s="19">
        <v>8811.9450896130365</v>
      </c>
      <c r="O6" s="19">
        <v>2920.303711</v>
      </c>
      <c r="P6" s="19">
        <v>1858.2925180646389</v>
      </c>
      <c r="Q6" s="19">
        <v>1902.0490225218844</v>
      </c>
      <c r="R6" s="19">
        <v>6455.9898762654666</v>
      </c>
      <c r="S6" s="19">
        <v>4240.3061061307117</v>
      </c>
      <c r="T6" s="19">
        <v>2065.7620066267782</v>
      </c>
      <c r="U6" s="19">
        <v>1935.950554494786</v>
      </c>
      <c r="V6" s="19">
        <v>1557.7777294350842</v>
      </c>
      <c r="W6" s="19">
        <v>1871.3051088490861</v>
      </c>
    </row>
    <row r="7" spans="1:23">
      <c r="A7" s="18">
        <v>2021</v>
      </c>
      <c r="B7" s="19">
        <v>4985.7177733739845</v>
      </c>
      <c r="C7" s="19">
        <v>5513.4993360488797</v>
      </c>
      <c r="D7" s="19">
        <v>1327.8869313302123</v>
      </c>
      <c r="E7" s="19">
        <v>1090.3474355472445</v>
      </c>
      <c r="F7" s="19">
        <v>667.48039872330708</v>
      </c>
      <c r="G7" s="19">
        <v>967.68334022919942</v>
      </c>
      <c r="H7" s="19">
        <v>768.10346098690979</v>
      </c>
      <c r="I7" s="19">
        <v>2119.527684065833</v>
      </c>
      <c r="J7" s="19">
        <v>6629.8438088978764</v>
      </c>
      <c r="K7" s="19">
        <v>5813.1538005982065</v>
      </c>
      <c r="L7" s="19">
        <v>3756.4370768463073</v>
      </c>
      <c r="M7" s="19">
        <v>2684.4433588888887</v>
      </c>
      <c r="N7" s="19">
        <v>8613.1330753564162</v>
      </c>
      <c r="O7" s="19">
        <v>2854.4155270000001</v>
      </c>
      <c r="P7" s="19">
        <v>1795.5102107948242</v>
      </c>
      <c r="Q7" s="19">
        <v>1859.1356729050947</v>
      </c>
      <c r="R7" s="19">
        <v>6285.7541312681305</v>
      </c>
      <c r="S7" s="19">
        <v>4133.7727530364373</v>
      </c>
      <c r="T7" s="19">
        <v>1979.5231836919338</v>
      </c>
      <c r="U7" s="19">
        <v>1855.1309970304312</v>
      </c>
      <c r="V7" s="19">
        <v>1518.6982923686821</v>
      </c>
      <c r="W7" s="19">
        <v>1824.3604684034894</v>
      </c>
    </row>
    <row r="8" spans="1:23">
      <c r="A8" s="18">
        <v>2022</v>
      </c>
      <c r="B8" s="19">
        <v>4908.066664634146</v>
      </c>
      <c r="C8" s="19">
        <v>5427.627470468432</v>
      </c>
      <c r="D8" s="19">
        <v>1309.7542870736615</v>
      </c>
      <c r="E8" s="19">
        <v>1075.4584258953284</v>
      </c>
      <c r="F8" s="19">
        <v>657.5143656011345</v>
      </c>
      <c r="G8" s="19">
        <v>954.4694025614134</v>
      </c>
      <c r="H8" s="19">
        <v>757.02855199294015</v>
      </c>
      <c r="I8" s="19">
        <v>2082.9271460250129</v>
      </c>
      <c r="J8" s="19">
        <v>6485.3510687563194</v>
      </c>
      <c r="K8" s="19">
        <v>5718.8483379860418</v>
      </c>
      <c r="L8" s="19">
        <v>3698.7399710578843</v>
      </c>
      <c r="M8" s="19">
        <v>2607.0372177777781</v>
      </c>
      <c r="N8" s="19">
        <v>8495.518950101834</v>
      </c>
      <c r="O8" s="19">
        <v>2815.436279</v>
      </c>
      <c r="P8" s="19">
        <v>1746.7542670825344</v>
      </c>
      <c r="Q8" s="19">
        <v>1833.7487770078617</v>
      </c>
      <c r="R8" s="19">
        <v>6175.5557470712492</v>
      </c>
      <c r="S8" s="19">
        <v>4066.5532432041646</v>
      </c>
      <c r="T8" s="19">
        <v>1890.4494331716098</v>
      </c>
      <c r="U8" s="19">
        <v>1771.6546565376239</v>
      </c>
      <c r="V8" s="19">
        <v>1494.0607770069375</v>
      </c>
      <c r="W8" s="19">
        <v>1757.7585913130845</v>
      </c>
    </row>
    <row r="9" spans="1:23">
      <c r="A9" s="18">
        <v>2023</v>
      </c>
      <c r="B9" s="19">
        <v>4853.1345274390242</v>
      </c>
      <c r="C9" s="19">
        <v>5366.8807077393076</v>
      </c>
      <c r="D9" s="19">
        <v>1297.6384594759145</v>
      </c>
      <c r="E9" s="19">
        <v>1065.5099575376823</v>
      </c>
      <c r="F9" s="19">
        <v>625.44563297699176</v>
      </c>
      <c r="G9" s="19">
        <v>945.63998672144874</v>
      </c>
      <c r="H9" s="19">
        <v>732.12888568171775</v>
      </c>
      <c r="I9" s="19">
        <v>2023.7324353742019</v>
      </c>
      <c r="J9" s="19">
        <v>6369.8668756319521</v>
      </c>
      <c r="K9" s="19">
        <v>5651.0838574277177</v>
      </c>
      <c r="L9" s="19">
        <v>3659.7218163672655</v>
      </c>
      <c r="M9" s="19">
        <v>2561.7673066666666</v>
      </c>
      <c r="N9" s="19">
        <v>8416.9305305498983</v>
      </c>
      <c r="O9" s="19">
        <v>2789.3908689999998</v>
      </c>
      <c r="P9" s="19">
        <v>1672.8367279603428</v>
      </c>
      <c r="Q9" s="19">
        <v>1816.7858302685031</v>
      </c>
      <c r="R9" s="19">
        <v>6094.1664761542588</v>
      </c>
      <c r="S9" s="19">
        <v>4018.2097975708507</v>
      </c>
      <c r="T9" s="19">
        <v>1819.6350646912347</v>
      </c>
      <c r="U9" s="19">
        <v>1705.290218796878</v>
      </c>
      <c r="V9" s="19">
        <v>1476.3570733399408</v>
      </c>
      <c r="W9" s="19">
        <v>1658.6332243282532</v>
      </c>
    </row>
    <row r="10" spans="1:23">
      <c r="A10" s="18">
        <v>2024</v>
      </c>
      <c r="B10" s="19">
        <v>4808.8825508130076</v>
      </c>
      <c r="C10" s="19">
        <v>5317.9441863543789</v>
      </c>
      <c r="D10" s="19">
        <v>1288.3490512594099</v>
      </c>
      <c r="E10" s="19">
        <v>1057.8823556940195</v>
      </c>
      <c r="F10" s="19">
        <v>612.36512873569245</v>
      </c>
      <c r="G10" s="19">
        <v>938.87054374705326</v>
      </c>
      <c r="H10" s="19">
        <v>720.96291458302687</v>
      </c>
      <c r="I10" s="19">
        <v>1991.6680541404785</v>
      </c>
      <c r="J10" s="19">
        <v>6268.8923862487363</v>
      </c>
      <c r="K10" s="19">
        <v>5595.7970817547366</v>
      </c>
      <c r="L10" s="19">
        <v>3628.7298453093813</v>
      </c>
      <c r="M10" s="19">
        <v>2498.3132599999999</v>
      </c>
      <c r="N10" s="19">
        <v>8356.6770224032589</v>
      </c>
      <c r="O10" s="19">
        <v>2769.421143</v>
      </c>
      <c r="P10" s="19">
        <v>1616.8542966877092</v>
      </c>
      <c r="Q10" s="19">
        <v>1803.7799403528486</v>
      </c>
      <c r="R10" s="19">
        <v>6026.3287401574798</v>
      </c>
      <c r="S10" s="19">
        <v>3978.7404363472788</v>
      </c>
      <c r="T10" s="19">
        <v>1798.8233095927874</v>
      </c>
      <c r="U10" s="19">
        <v>1685.7860522278879</v>
      </c>
      <c r="V10" s="19">
        <v>1461.9132160555007</v>
      </c>
      <c r="W10" s="19">
        <v>1568.4124202757093</v>
      </c>
    </row>
    <row r="11" spans="1:23">
      <c r="A11" s="18">
        <v>2025</v>
      </c>
      <c r="B11" s="19">
        <v>4772.849478658537</v>
      </c>
      <c r="C11" s="19">
        <v>5278.0965580448074</v>
      </c>
      <c r="D11" s="19">
        <v>1281.2421506130725</v>
      </c>
      <c r="E11" s="19">
        <v>1052.0467887752784</v>
      </c>
      <c r="F11" s="19">
        <v>599.88018282301789</v>
      </c>
      <c r="G11" s="19">
        <v>933.69142090120965</v>
      </c>
      <c r="H11" s="19">
        <v>710.71389634505078</v>
      </c>
      <c r="I11" s="19">
        <v>1962.4599814015355</v>
      </c>
      <c r="J11" s="19">
        <v>6178.963717896866</v>
      </c>
      <c r="K11" s="19">
        <v>5550.1031086739786</v>
      </c>
      <c r="L11" s="19">
        <v>3603.9215518962073</v>
      </c>
      <c r="M11" s="19">
        <v>2445.8588322222222</v>
      </c>
      <c r="N11" s="19">
        <v>8310.5786975560077</v>
      </c>
      <c r="O11" s="19">
        <v>2754.1423340000001</v>
      </c>
      <c r="P11" s="19">
        <v>1572.9773784568029</v>
      </c>
      <c r="Q11" s="19">
        <v>1793.829646312277</v>
      </c>
      <c r="R11" s="19">
        <v>5968.8836043307092</v>
      </c>
      <c r="S11" s="19">
        <v>3946.0933547008544</v>
      </c>
      <c r="T11" s="19">
        <v>1782.1759090208</v>
      </c>
      <c r="U11" s="19">
        <v>1670.184829014026</v>
      </c>
      <c r="V11" s="19">
        <v>1449.975610505451</v>
      </c>
      <c r="W11" s="19">
        <v>1485.5622637400841</v>
      </c>
    </row>
    <row r="12" spans="1:23">
      <c r="A12" s="18">
        <v>2026</v>
      </c>
      <c r="B12" s="19">
        <v>4725.3566839430896</v>
      </c>
      <c r="C12" s="19">
        <v>5225.5754959266806</v>
      </c>
      <c r="D12" s="19">
        <v>1271.0375091225055</v>
      </c>
      <c r="E12" s="19">
        <v>1043.6674434552065</v>
      </c>
      <c r="F12" s="19">
        <v>586.79665335842799</v>
      </c>
      <c r="G12" s="19">
        <v>926.25481828591228</v>
      </c>
      <c r="H12" s="19">
        <v>699.33326132519483</v>
      </c>
      <c r="I12" s="19">
        <v>1929.6563305345417</v>
      </c>
      <c r="J12" s="19">
        <v>6074.5643488372098</v>
      </c>
      <c r="K12" s="19">
        <v>5491.1155204386851</v>
      </c>
      <c r="L12" s="19">
        <v>3570.4401746506987</v>
      </c>
      <c r="M12" s="19">
        <v>2378.4936522222224</v>
      </c>
      <c r="N12" s="19">
        <v>8244.3872515274943</v>
      </c>
      <c r="O12" s="19">
        <v>2732.205078</v>
      </c>
      <c r="P12" s="19">
        <v>1531.6347010525287</v>
      </c>
      <c r="Q12" s="19">
        <v>1779.5424144588319</v>
      </c>
      <c r="R12" s="19">
        <v>5897.2115108267717</v>
      </c>
      <c r="S12" s="19">
        <v>3903.99529577148</v>
      </c>
      <c r="T12" s="19">
        <v>1768.2436562248015</v>
      </c>
      <c r="U12" s="19">
        <v>1657.1283170526704</v>
      </c>
      <c r="V12" s="19">
        <v>1434.5649890981169</v>
      </c>
      <c r="W12" s="19">
        <v>1403.6335987148607</v>
      </c>
    </row>
    <row r="13" spans="1:23">
      <c r="A13" s="18">
        <v>2027</v>
      </c>
      <c r="B13" s="19">
        <v>4668.5433739837399</v>
      </c>
      <c r="C13" s="19">
        <v>5162.7493116089618</v>
      </c>
      <c r="D13" s="19">
        <v>1258.2927810235753</v>
      </c>
      <c r="E13" s="19">
        <v>1033.2027351233853</v>
      </c>
      <c r="F13" s="19">
        <v>573.38688246717516</v>
      </c>
      <c r="G13" s="19">
        <v>916.96743483406635</v>
      </c>
      <c r="H13" s="19">
        <v>687.13795686865717</v>
      </c>
      <c r="I13" s="19">
        <v>1894.1682958045187</v>
      </c>
      <c r="J13" s="19">
        <v>5958.7454186046516</v>
      </c>
      <c r="K13" s="19">
        <v>5421.3467996011968</v>
      </c>
      <c r="L13" s="19">
        <v>3529.88627245509</v>
      </c>
      <c r="M13" s="19">
        <v>2256.5214033333332</v>
      </c>
      <c r="N13" s="19">
        <v>8161.7215346232178</v>
      </c>
      <c r="O13" s="19">
        <v>2704.8083499999998</v>
      </c>
      <c r="P13" s="19">
        <v>1495.6825956461453</v>
      </c>
      <c r="Q13" s="19">
        <v>1761.6990964988777</v>
      </c>
      <c r="R13" s="19">
        <v>5814.0691318897634</v>
      </c>
      <c r="S13" s="19">
        <v>3854.2347582096268</v>
      </c>
      <c r="T13" s="19">
        <v>1750.8764143020162</v>
      </c>
      <c r="U13" s="19">
        <v>1640.8524684303957</v>
      </c>
      <c r="V13" s="19">
        <v>1416.33767789891</v>
      </c>
      <c r="W13" s="19">
        <v>1384.1294384391899</v>
      </c>
    </row>
    <row r="14" spans="1:23">
      <c r="A14" s="18">
        <v>2028</v>
      </c>
      <c r="B14" s="19">
        <v>4605.1159369918696</v>
      </c>
      <c r="C14" s="19">
        <v>5092.6073625254576</v>
      </c>
      <c r="D14" s="19">
        <v>1243.7232473700974</v>
      </c>
      <c r="E14" s="19">
        <v>1021.239437426818</v>
      </c>
      <c r="F14" s="19">
        <v>563.08421888622388</v>
      </c>
      <c r="G14" s="19">
        <v>906.34990041086542</v>
      </c>
      <c r="H14" s="19">
        <v>676.65861983379909</v>
      </c>
      <c r="I14" s="19">
        <v>1861.101622629034</v>
      </c>
      <c r="J14" s="19">
        <v>5835.1979191102128</v>
      </c>
      <c r="K14" s="19">
        <v>5343.9588464606186</v>
      </c>
      <c r="L14" s="19">
        <v>3484.2914271457084</v>
      </c>
      <c r="M14" s="19">
        <v>2199.7974988888891</v>
      </c>
      <c r="N14" s="19">
        <v>8067.2182291242361</v>
      </c>
      <c r="O14" s="19">
        <v>2673.4880370000001</v>
      </c>
      <c r="P14" s="19">
        <v>1457.9030904014442</v>
      </c>
      <c r="Q14" s="19">
        <v>1741.3005466776151</v>
      </c>
      <c r="R14" s="19">
        <v>5722.8907785433066</v>
      </c>
      <c r="S14" s="19">
        <v>3799.0598549257761</v>
      </c>
      <c r="T14" s="19">
        <v>1731.4284489372933</v>
      </c>
      <c r="U14" s="19">
        <v>1622.6265293253155</v>
      </c>
      <c r="V14" s="19">
        <v>1396.1201000991082</v>
      </c>
      <c r="W14" s="19">
        <v>1362.7080309747614</v>
      </c>
    </row>
    <row r="15" spans="1:23">
      <c r="A15" s="18">
        <v>2029</v>
      </c>
      <c r="B15" s="19">
        <v>4540.040054878049</v>
      </c>
      <c r="C15" s="19">
        <v>5020.642065173116</v>
      </c>
      <c r="D15" s="19">
        <v>1228.6607818944974</v>
      </c>
      <c r="E15" s="19">
        <v>1008.8713552222156</v>
      </c>
      <c r="F15" s="19">
        <v>552.68940292531795</v>
      </c>
      <c r="G15" s="19">
        <v>895.37335629817096</v>
      </c>
      <c r="H15" s="19">
        <v>666.00142576114126</v>
      </c>
      <c r="I15" s="19">
        <v>1827.5859589325796</v>
      </c>
      <c r="J15" s="19">
        <v>5710.3623255813955</v>
      </c>
      <c r="K15" s="19">
        <v>5264.7273020937191</v>
      </c>
      <c r="L15" s="19">
        <v>3437.404000998004</v>
      </c>
      <c r="M15" s="19">
        <v>2141.3781733333335</v>
      </c>
      <c r="N15" s="19">
        <v>7969.5182230142564</v>
      </c>
      <c r="O15" s="19">
        <v>2641.108643</v>
      </c>
      <c r="P15" s="19">
        <v>1419.9291399646929</v>
      </c>
      <c r="Q15" s="19">
        <v>1720.2120704836609</v>
      </c>
      <c r="R15" s="19">
        <v>5629.8919438976382</v>
      </c>
      <c r="S15" s="19">
        <v>3742.5772132253705</v>
      </c>
      <c r="T15" s="19">
        <v>1711.2788866171686</v>
      </c>
      <c r="U15" s="19">
        <v>1603.7432072191759</v>
      </c>
      <c r="V15" s="19">
        <v>1375.4206521308226</v>
      </c>
      <c r="W15" s="19">
        <v>1340.847562571272</v>
      </c>
    </row>
    <row r="16" spans="1:23">
      <c r="A16" s="18">
        <v>2030</v>
      </c>
      <c r="B16" s="19">
        <v>4482.7057134146344</v>
      </c>
      <c r="C16" s="19">
        <v>4957.238097759674</v>
      </c>
      <c r="D16" s="19">
        <v>1215.648915581038</v>
      </c>
      <c r="E16" s="19">
        <v>998.18723246161107</v>
      </c>
      <c r="F16" s="19">
        <v>545.18176316075028</v>
      </c>
      <c r="G16" s="19">
        <v>885.89111010613226</v>
      </c>
      <c r="H16" s="19">
        <v>657.80877518752743</v>
      </c>
      <c r="I16" s="19">
        <v>1799.7582499270172</v>
      </c>
      <c r="J16" s="19">
        <v>5596.0191011122351</v>
      </c>
      <c r="K16" s="19">
        <v>5194.5399152542377</v>
      </c>
      <c r="L16" s="19">
        <v>3396.336721556886</v>
      </c>
      <c r="M16" s="19">
        <v>2094.6308055555555</v>
      </c>
      <c r="N16" s="19">
        <v>7885.118658859471</v>
      </c>
      <c r="O16" s="19">
        <v>2613.1372070000002</v>
      </c>
      <c r="P16" s="19">
        <v>1384.6848494272842</v>
      </c>
      <c r="Q16" s="19">
        <v>1701.9945554671226</v>
      </c>
      <c r="R16" s="19">
        <v>5546.7101574803146</v>
      </c>
      <c r="S16" s="19">
        <v>3692.5267375168692</v>
      </c>
      <c r="T16" s="19">
        <v>1693.9711972787975</v>
      </c>
      <c r="U16" s="19">
        <v>1587.522899943938</v>
      </c>
      <c r="V16" s="19">
        <v>1357.0838523290388</v>
      </c>
      <c r="W16" s="19">
        <v>1321.3199687501792</v>
      </c>
    </row>
    <row r="17" spans="1:23">
      <c r="A17" s="18">
        <v>2031</v>
      </c>
      <c r="B17" s="19">
        <v>4425.6626534552843</v>
      </c>
      <c r="C17" s="19">
        <v>4894.1573319755598</v>
      </c>
      <c r="D17" s="19">
        <v>1202.6754414083132</v>
      </c>
      <c r="E17" s="19">
        <v>987.53447221994065</v>
      </c>
      <c r="F17" s="19">
        <v>538.1821541760055</v>
      </c>
      <c r="G17" s="19">
        <v>876.43693554129345</v>
      </c>
      <c r="H17" s="19">
        <v>649.97504044712446</v>
      </c>
      <c r="I17" s="19">
        <v>1772.7205513033425</v>
      </c>
      <c r="J17" s="19">
        <v>5482.7304448938321</v>
      </c>
      <c r="K17" s="19">
        <v>5124.7502612163516</v>
      </c>
      <c r="L17" s="19">
        <v>3355.4529121756486</v>
      </c>
      <c r="M17" s="19">
        <v>2048.7344022222223</v>
      </c>
      <c r="N17" s="19">
        <v>7800.9682087576375</v>
      </c>
      <c r="O17" s="19">
        <v>2585.2482909999999</v>
      </c>
      <c r="P17" s="19">
        <v>1349.8124148352827</v>
      </c>
      <c r="Q17" s="19">
        <v>1683.830965390189</v>
      </c>
      <c r="R17" s="19">
        <v>5464.0858562992125</v>
      </c>
      <c r="S17" s="19">
        <v>3642.7618072424648</v>
      </c>
      <c r="T17" s="19">
        <v>1675.2431734636773</v>
      </c>
      <c r="U17" s="19">
        <v>1569.9715878898737</v>
      </c>
      <c r="V17" s="19">
        <v>1338.8514598612489</v>
      </c>
      <c r="W17" s="19">
        <v>1301.9206185783623</v>
      </c>
    </row>
    <row r="18" spans="1:23">
      <c r="A18" s="18">
        <v>2032</v>
      </c>
      <c r="B18" s="19">
        <v>4368.7987286585367</v>
      </c>
      <c r="C18" s="19">
        <v>4831.2734694501023</v>
      </c>
      <c r="D18" s="19">
        <v>1189.7095958679586</v>
      </c>
      <c r="E18" s="19">
        <v>976.88806508978598</v>
      </c>
      <c r="F18" s="19">
        <v>530.05109484271452</v>
      </c>
      <c r="G18" s="19">
        <v>866.98804737941066</v>
      </c>
      <c r="H18" s="19">
        <v>641.36372168701268</v>
      </c>
      <c r="I18" s="19">
        <v>1744.3398946731445</v>
      </c>
      <c r="J18" s="19">
        <v>5370.357624873609</v>
      </c>
      <c r="K18" s="19">
        <v>5055.228844466601</v>
      </c>
      <c r="L18" s="19">
        <v>3314.6660778443115</v>
      </c>
      <c r="M18" s="19">
        <v>2004.6373155555555</v>
      </c>
      <c r="N18" s="19">
        <v>7716.8669847250512</v>
      </c>
      <c r="O18" s="19">
        <v>2557.3754880000001</v>
      </c>
      <c r="P18" s="19">
        <v>1315.2784959773842</v>
      </c>
      <c r="Q18" s="19">
        <v>1665.6776051504251</v>
      </c>
      <c r="R18" s="19">
        <v>5381.879190944881</v>
      </c>
      <c r="S18" s="19">
        <v>3593.1896187584348</v>
      </c>
      <c r="T18" s="19">
        <v>1657.9845092648577</v>
      </c>
      <c r="U18" s="19">
        <v>1553.7974985450642</v>
      </c>
      <c r="V18" s="19">
        <v>1320.6886313181369</v>
      </c>
      <c r="W18" s="19">
        <v>1282.6162861994601</v>
      </c>
    </row>
    <row r="19" spans="1:23">
      <c r="A19" s="18">
        <v>2033</v>
      </c>
      <c r="B19" s="19">
        <v>4314.4918302845526</v>
      </c>
      <c r="C19" s="19">
        <v>4771.2183564154784</v>
      </c>
      <c r="D19" s="19">
        <v>1177.399966937217</v>
      </c>
      <c r="E19" s="19">
        <v>966.78039933298066</v>
      </c>
      <c r="F19" s="19">
        <v>523.25171840914777</v>
      </c>
      <c r="G19" s="19">
        <v>858.01756425183066</v>
      </c>
      <c r="H19" s="19">
        <v>633.8220216208266</v>
      </c>
      <c r="I19" s="19">
        <v>1718.3577062795916</v>
      </c>
      <c r="J19" s="19">
        <v>5261.806137512639</v>
      </c>
      <c r="K19" s="19">
        <v>4988.7247437686947</v>
      </c>
      <c r="L19" s="19">
        <v>3275.7814451097806</v>
      </c>
      <c r="M19" s="19">
        <v>1963.2904733333335</v>
      </c>
      <c r="N19" s="19">
        <v>7637.0225580448068</v>
      </c>
      <c r="O19" s="19">
        <v>2530.913818</v>
      </c>
      <c r="P19" s="19">
        <v>1281.7910293330463</v>
      </c>
      <c r="Q19" s="19">
        <v>1648.4432604585031</v>
      </c>
      <c r="R19" s="19">
        <v>5303.0169625984254</v>
      </c>
      <c r="S19" s="19">
        <v>3545.7650551057131</v>
      </c>
      <c r="T19" s="19">
        <v>1641.6278527708337</v>
      </c>
      <c r="U19" s="19">
        <v>1538.4687733711658</v>
      </c>
      <c r="V19" s="19">
        <v>1303.3144816650149</v>
      </c>
      <c r="W19" s="19">
        <v>1264.1042676253003</v>
      </c>
    </row>
    <row r="20" spans="1:23">
      <c r="A20" s="18">
        <v>2034</v>
      </c>
      <c r="B20" s="19">
        <v>4260.8831138211381</v>
      </c>
      <c r="C20" s="19">
        <v>4711.9339521384927</v>
      </c>
      <c r="D20" s="19">
        <v>1165.2419338905622</v>
      </c>
      <c r="E20" s="19">
        <v>956.79718847118465</v>
      </c>
      <c r="F20" s="19">
        <v>515.81087957852662</v>
      </c>
      <c r="G20" s="19">
        <v>849.15749131602001</v>
      </c>
      <c r="H20" s="19">
        <v>625.87377279747011</v>
      </c>
      <c r="I20" s="19">
        <v>1691.7835125191639</v>
      </c>
      <c r="J20" s="19">
        <v>5154.760470171891</v>
      </c>
      <c r="K20" s="19">
        <v>4923.0847497507484</v>
      </c>
      <c r="L20" s="19">
        <v>3237.3902095808385</v>
      </c>
      <c r="M20" s="19">
        <v>1926.5858288888887</v>
      </c>
      <c r="N20" s="19">
        <v>7558.1606619144604</v>
      </c>
      <c r="O20" s="19">
        <v>2504.7773440000001</v>
      </c>
      <c r="P20" s="19">
        <v>1245.6897437507662</v>
      </c>
      <c r="Q20" s="19">
        <v>1631.4210834999078</v>
      </c>
      <c r="R20" s="19">
        <v>5225.1985807086612</v>
      </c>
      <c r="S20" s="19">
        <v>3498.9568837156999</v>
      </c>
      <c r="T20" s="19">
        <v>1625.4700054879377</v>
      </c>
      <c r="U20" s="19">
        <v>1523.3262241460393</v>
      </c>
      <c r="V20" s="19">
        <v>1286.1659613478694</v>
      </c>
      <c r="W20" s="19">
        <v>1245.8367292363471</v>
      </c>
    </row>
    <row r="21" spans="1:23">
      <c r="A21" s="18">
        <v>2035</v>
      </c>
      <c r="B21" s="19">
        <v>4204.6434359756104</v>
      </c>
      <c r="C21" s="19">
        <v>4649.7412403258659</v>
      </c>
      <c r="D21" s="19">
        <v>1152.3240767621051</v>
      </c>
      <c r="E21" s="19">
        <v>946.19030395990262</v>
      </c>
      <c r="F21" s="19">
        <v>508.97975794471898</v>
      </c>
      <c r="G21" s="19">
        <v>839.74384038796472</v>
      </c>
      <c r="H21" s="19">
        <v>618.16891454625681</v>
      </c>
      <c r="I21" s="19">
        <v>1665.4230155032312</v>
      </c>
      <c r="J21" s="19">
        <v>5045.2176086956524</v>
      </c>
      <c r="K21" s="19">
        <v>4854.4663858424728</v>
      </c>
      <c r="L21" s="19">
        <v>3196.9632514970062</v>
      </c>
      <c r="M21" s="19">
        <v>1894.3737788888889</v>
      </c>
      <c r="N21" s="19">
        <v>7474.3712016293275</v>
      </c>
      <c r="O21" s="19">
        <v>2477.0083009999998</v>
      </c>
      <c r="P21" s="19">
        <v>1212.2124983677281</v>
      </c>
      <c r="Q21" s="19">
        <v>1613.3352890172125</v>
      </c>
      <c r="R21" s="19">
        <v>5144.3500669291343</v>
      </c>
      <c r="S21" s="19">
        <v>3450.0340350877195</v>
      </c>
      <c r="T21" s="19">
        <v>1608.2392129827426</v>
      </c>
      <c r="U21" s="19">
        <v>1507.1783014725775</v>
      </c>
      <c r="V21" s="19">
        <v>1268.2390465807732</v>
      </c>
      <c r="W21" s="19">
        <v>1226.8420480093521</v>
      </c>
    </row>
    <row r="22" spans="1:23">
      <c r="A22" s="18">
        <v>2036</v>
      </c>
      <c r="B22" s="19">
        <v>4151.1108892276425</v>
      </c>
      <c r="C22" s="19">
        <v>4590.5418625254579</v>
      </c>
      <c r="D22" s="19">
        <v>1140.1072262341086</v>
      </c>
      <c r="E22" s="19">
        <v>936.1588850919635</v>
      </c>
      <c r="F22" s="19">
        <v>501.93412983203177</v>
      </c>
      <c r="G22" s="19">
        <v>830.84095470859359</v>
      </c>
      <c r="H22" s="19">
        <v>610.47914950728045</v>
      </c>
      <c r="I22" s="19">
        <v>1639.504900946743</v>
      </c>
      <c r="J22" s="19">
        <v>4939.6441911021238</v>
      </c>
      <c r="K22" s="19">
        <v>4789.0337776669994</v>
      </c>
      <c r="L22" s="19">
        <v>3158.5559351297406</v>
      </c>
      <c r="M22" s="19">
        <v>2902.0754666666667</v>
      </c>
      <c r="N22" s="19">
        <v>7395.1294195519349</v>
      </c>
      <c r="O22" s="19">
        <v>2450.7460940000001</v>
      </c>
      <c r="P22" s="19">
        <v>1179.7993496829654</v>
      </c>
      <c r="Q22" s="19">
        <v>1596.2307705597948</v>
      </c>
      <c r="R22" s="19">
        <v>5067.01179527559</v>
      </c>
      <c r="S22" s="19">
        <v>3403.3779700854702</v>
      </c>
      <c r="T22" s="19">
        <v>1591.9738901627279</v>
      </c>
      <c r="U22" s="19">
        <v>1491.9348947592248</v>
      </c>
      <c r="V22" s="19">
        <v>1251.1446055500498</v>
      </c>
      <c r="W22" s="19">
        <v>1208.6795527608147</v>
      </c>
    </row>
    <row r="23" spans="1:23">
      <c r="A23" s="18">
        <v>2037</v>
      </c>
      <c r="B23" s="19">
        <v>4098.4586392276424</v>
      </c>
      <c r="C23" s="19">
        <v>4532.315069246436</v>
      </c>
      <c r="D23" s="19">
        <v>1128.0925445440359</v>
      </c>
      <c r="E23" s="19">
        <v>926.29330898546959</v>
      </c>
      <c r="F23" s="19">
        <v>496.13037458887266</v>
      </c>
      <c r="G23" s="19">
        <v>822.08535991609494</v>
      </c>
      <c r="H23" s="19">
        <v>603.6915805633181</v>
      </c>
      <c r="I23" s="19">
        <v>1615.4570872329855</v>
      </c>
      <c r="J23" s="19">
        <v>4835.8170343781594</v>
      </c>
      <c r="K23" s="19">
        <v>4724.6736350947167</v>
      </c>
      <c r="L23" s="19">
        <v>3120.7811427145707</v>
      </c>
      <c r="M23" s="19">
        <v>2855.8672422222221</v>
      </c>
      <c r="N23" s="19">
        <v>7317.1978421588592</v>
      </c>
      <c r="O23" s="19">
        <v>2424.9179690000001</v>
      </c>
      <c r="P23" s="19">
        <v>1146.0479583892791</v>
      </c>
      <c r="Q23" s="19">
        <v>1579.4093945039247</v>
      </c>
      <c r="R23" s="19">
        <v>4990.9365196850395</v>
      </c>
      <c r="S23" s="19">
        <v>3357.4871108861898</v>
      </c>
      <c r="T23" s="19">
        <v>1575.9781579747489</v>
      </c>
      <c r="U23" s="19">
        <v>1476.9445360195812</v>
      </c>
      <c r="V23" s="19">
        <v>1234.330478691774</v>
      </c>
      <c r="W23" s="19">
        <v>1190.814350085861</v>
      </c>
    </row>
    <row r="24" spans="1:23">
      <c r="A24" s="18">
        <v>2038</v>
      </c>
      <c r="B24" s="19">
        <v>4047.6466229674797</v>
      </c>
      <c r="C24" s="19">
        <v>4476.1254338085537</v>
      </c>
      <c r="D24" s="19">
        <v>1116.5463070484207</v>
      </c>
      <c r="E24" s="19">
        <v>916.81252304101258</v>
      </c>
      <c r="F24" s="19">
        <v>491.60428881995716</v>
      </c>
      <c r="G24" s="19">
        <v>813.67103928719212</v>
      </c>
      <c r="H24" s="19">
        <v>597.89283626268559</v>
      </c>
      <c r="I24" s="19">
        <v>1593.5526257281338</v>
      </c>
      <c r="J24" s="19">
        <v>4734.8247714863501</v>
      </c>
      <c r="K24" s="19">
        <v>4662.4929900299112</v>
      </c>
      <c r="L24" s="19">
        <v>3084.3722714570858</v>
      </c>
      <c r="M24" s="19">
        <v>2809.4737411111109</v>
      </c>
      <c r="N24" s="19">
        <v>7242.3038523421583</v>
      </c>
      <c r="O24" s="19">
        <v>2400.0971679999998</v>
      </c>
      <c r="P24" s="19">
        <v>1118.2963926543282</v>
      </c>
      <c r="Q24" s="19">
        <v>1563.2438453635134</v>
      </c>
      <c r="R24" s="19">
        <v>4917.2891929133857</v>
      </c>
      <c r="S24" s="19">
        <v>3313.1469781826358</v>
      </c>
      <c r="T24" s="19">
        <v>1563.1892310267406</v>
      </c>
      <c r="U24" s="19">
        <v>1464.9592659008522</v>
      </c>
      <c r="V24" s="19">
        <v>1218.0856907829534</v>
      </c>
      <c r="W24" s="19">
        <v>1173.5235643897213</v>
      </c>
    </row>
    <row r="25" spans="1:23">
      <c r="A25" s="18">
        <v>2039</v>
      </c>
      <c r="B25" s="19">
        <v>3996.4190223577234</v>
      </c>
      <c r="C25" s="19">
        <v>4419.474366598778</v>
      </c>
      <c r="D25" s="19">
        <v>1104.8469979396241</v>
      </c>
      <c r="E25" s="19">
        <v>907.20611701873656</v>
      </c>
      <c r="F25" s="19">
        <v>487.00232364089447</v>
      </c>
      <c r="G25" s="19">
        <v>805.14542804083646</v>
      </c>
      <c r="H25" s="19">
        <v>592.00617370201508</v>
      </c>
      <c r="I25" s="19">
        <v>1571.5137622837831</v>
      </c>
      <c r="J25" s="19">
        <v>4633.9919777553077</v>
      </c>
      <c r="K25" s="19">
        <v>4599.8883230309075</v>
      </c>
      <c r="L25" s="19">
        <v>3047.6105898203591</v>
      </c>
      <c r="M25" s="19">
        <v>2769.2054577777776</v>
      </c>
      <c r="N25" s="19">
        <v>7166.4198737270872</v>
      </c>
      <c r="O25" s="19">
        <v>2374.94751</v>
      </c>
      <c r="P25" s="19">
        <v>1109.5140973462001</v>
      </c>
      <c r="Q25" s="19">
        <v>1546.8641079727861</v>
      </c>
      <c r="R25" s="19">
        <v>4843.3198700787398</v>
      </c>
      <c r="S25" s="19">
        <v>3268.5083963112907</v>
      </c>
      <c r="T25" s="19">
        <v>1550.9130180750433</v>
      </c>
      <c r="U25" s="19">
        <v>1453.4545262510192</v>
      </c>
      <c r="V25" s="19">
        <v>1201.7302041625371</v>
      </c>
      <c r="W25" s="19">
        <v>1156.1516351717116</v>
      </c>
    </row>
    <row r="26" spans="1:23">
      <c r="A26" s="18">
        <v>2040</v>
      </c>
      <c r="B26" s="19">
        <v>3946.9152926829265</v>
      </c>
      <c r="C26" s="19">
        <v>4364.7306792260697</v>
      </c>
      <c r="D26" s="19">
        <v>1093.5867242846139</v>
      </c>
      <c r="E26" s="19">
        <v>897.96013355669197</v>
      </c>
      <c r="F26" s="19">
        <v>482.58534609527305</v>
      </c>
      <c r="G26" s="19">
        <v>796.93953640536154</v>
      </c>
      <c r="H26" s="19">
        <v>586.3488748345344</v>
      </c>
      <c r="I26" s="19">
        <v>1550.1819546560928</v>
      </c>
      <c r="J26" s="19">
        <v>4535.7941263902931</v>
      </c>
      <c r="K26" s="19">
        <v>4539.3253828514462</v>
      </c>
      <c r="L26" s="19">
        <v>3012.1285748502996</v>
      </c>
      <c r="M26" s="19">
        <v>2730.2053488888891</v>
      </c>
      <c r="N26" s="19">
        <v>7093.3810539714868</v>
      </c>
      <c r="O26" s="19">
        <v>2350.741211</v>
      </c>
      <c r="P26" s="19">
        <v>1101.1270211512526</v>
      </c>
      <c r="Q26" s="19">
        <v>1531.0988984613139</v>
      </c>
      <c r="R26" s="19">
        <v>4771.6223051181105</v>
      </c>
      <c r="S26" s="19">
        <v>3225.3222480881691</v>
      </c>
      <c r="T26" s="19">
        <v>1539.1892175573932</v>
      </c>
      <c r="U26" s="19">
        <v>1442.467410338907</v>
      </c>
      <c r="V26" s="19">
        <v>1185.9080049554016</v>
      </c>
      <c r="W26" s="19">
        <v>1139.3177482173658</v>
      </c>
    </row>
    <row r="27" spans="1:23">
      <c r="A27" s="18">
        <v>2041</v>
      </c>
      <c r="B27" s="19">
        <v>3898.5977794715445</v>
      </c>
      <c r="C27" s="19">
        <v>4311.2981914460288</v>
      </c>
      <c r="D27" s="19">
        <v>1082.6184454040715</v>
      </c>
      <c r="E27" s="19">
        <v>888.95396763848021</v>
      </c>
      <c r="F27" s="19">
        <v>478.28898178879183</v>
      </c>
      <c r="G27" s="19">
        <v>788.94659520625066</v>
      </c>
      <c r="H27" s="19">
        <v>580.84255956758341</v>
      </c>
      <c r="I27" s="19">
        <v>1529.3439768621179</v>
      </c>
      <c r="J27" s="19">
        <v>4439.5805025278059</v>
      </c>
      <c r="K27" s="19">
        <v>4480.1800648055842</v>
      </c>
      <c r="L27" s="19">
        <v>2977.5176207584827</v>
      </c>
      <c r="M27" s="19">
        <v>2692.0966255555554</v>
      </c>
      <c r="N27" s="19">
        <v>7022.2376802443996</v>
      </c>
      <c r="O27" s="19">
        <v>2327.163086</v>
      </c>
      <c r="P27" s="19">
        <v>1092.9899980362898</v>
      </c>
      <c r="Q27" s="19">
        <v>1515.7426186210555</v>
      </c>
      <c r="R27" s="19">
        <v>4701.5352027559056</v>
      </c>
      <c r="S27" s="19">
        <v>3183.1462134502922</v>
      </c>
      <c r="T27" s="19">
        <v>1527.8152110654962</v>
      </c>
      <c r="U27" s="19">
        <v>1431.8081334161864</v>
      </c>
      <c r="V27" s="19">
        <v>1170.4561288404363</v>
      </c>
      <c r="W27" s="19">
        <v>1124.8231472160728</v>
      </c>
    </row>
    <row r="28" spans="1:23">
      <c r="A28" s="18">
        <v>2042</v>
      </c>
      <c r="B28" s="19">
        <v>3847.4669420731707</v>
      </c>
      <c r="C28" s="19">
        <v>4254.7545264765786</v>
      </c>
      <c r="D28" s="19">
        <v>1070.8306641184131</v>
      </c>
      <c r="E28" s="19">
        <v>879.27486948997478</v>
      </c>
      <c r="F28" s="19">
        <v>473.62192940771479</v>
      </c>
      <c r="G28" s="19">
        <v>780.35638188343751</v>
      </c>
      <c r="H28" s="19">
        <v>574.89064384468304</v>
      </c>
      <c r="I28" s="19">
        <v>1507.4316090765146</v>
      </c>
      <c r="J28" s="19">
        <v>4340.8030323559151</v>
      </c>
      <c r="K28" s="19">
        <v>4417.8577547357927</v>
      </c>
      <c r="L28" s="19">
        <v>2940.7213403193609</v>
      </c>
      <c r="M28" s="19">
        <v>2652.1183266666662</v>
      </c>
      <c r="N28" s="19">
        <v>6945.7774114052954</v>
      </c>
      <c r="O28" s="19">
        <v>2301.8227539999998</v>
      </c>
      <c r="P28" s="19">
        <v>1083.9797947175198</v>
      </c>
      <c r="Q28" s="19">
        <v>1499.2387368592681</v>
      </c>
      <c r="R28" s="19">
        <v>4628.2391889763776</v>
      </c>
      <c r="S28" s="19">
        <v>3138.7149257759779</v>
      </c>
      <c r="T28" s="19">
        <v>1515.2205827398197</v>
      </c>
      <c r="U28" s="19">
        <v>1420.0049294526502</v>
      </c>
      <c r="V28" s="19">
        <v>1154.1742001982161</v>
      </c>
      <c r="W28" s="19">
        <v>1115.5504084825309</v>
      </c>
    </row>
    <row r="29" spans="1:23">
      <c r="A29" s="18">
        <v>2043</v>
      </c>
      <c r="B29" s="19">
        <v>3802.2220274390243</v>
      </c>
      <c r="C29" s="19">
        <v>4204.7201181262726</v>
      </c>
      <c r="D29" s="19">
        <v>1060.6446033070847</v>
      </c>
      <c r="E29" s="19">
        <v>870.9108558745271</v>
      </c>
      <c r="F29" s="19">
        <v>469.65517412339614</v>
      </c>
      <c r="G29" s="19">
        <v>772.93328682633012</v>
      </c>
      <c r="H29" s="19">
        <v>569.7928978526254</v>
      </c>
      <c r="I29" s="19">
        <v>1487.8542263174072</v>
      </c>
      <c r="J29" s="19">
        <v>4249.2865864509613</v>
      </c>
      <c r="K29" s="19">
        <v>4362.3494745762719</v>
      </c>
      <c r="L29" s="19">
        <v>2908.3909820359286</v>
      </c>
      <c r="M29" s="19">
        <v>2616.2695311111111</v>
      </c>
      <c r="N29" s="19">
        <v>6879.7072902240334</v>
      </c>
      <c r="O29" s="19">
        <v>2279.9260250000002</v>
      </c>
      <c r="P29" s="19">
        <v>1076.5473019917204</v>
      </c>
      <c r="Q29" s="19">
        <v>1484.9775203259558</v>
      </c>
      <c r="R29" s="19">
        <v>4562.2020334645667</v>
      </c>
      <c r="S29" s="19">
        <v>3099.1271884840307</v>
      </c>
      <c r="T29" s="19">
        <v>1504.8308948065319</v>
      </c>
      <c r="U29" s="19">
        <v>1410.2681139316253</v>
      </c>
      <c r="V29" s="19">
        <v>1139.6723914767097</v>
      </c>
      <c r="W29" s="19">
        <v>1107.9013548592898</v>
      </c>
    </row>
    <row r="30" spans="1:23">
      <c r="A30" s="18">
        <v>2044</v>
      </c>
      <c r="B30" s="19">
        <v>3752.2096707317073</v>
      </c>
      <c r="C30" s="19">
        <v>4149.4130682281057</v>
      </c>
      <c r="D30" s="19">
        <v>1049.091966953345</v>
      </c>
      <c r="E30" s="19">
        <v>861.42476548308298</v>
      </c>
      <c r="F30" s="19">
        <v>465.07507586444302</v>
      </c>
      <c r="G30" s="19">
        <v>764.51450248732283</v>
      </c>
      <c r="H30" s="19">
        <v>563.95538406383287</v>
      </c>
      <c r="I30" s="19">
        <v>1466.4389923962826</v>
      </c>
      <c r="J30" s="19">
        <v>4153.0561769464111</v>
      </c>
      <c r="K30" s="19">
        <v>4301.4243399800598</v>
      </c>
      <c r="L30" s="19">
        <v>2872.3790209580839</v>
      </c>
      <c r="M30" s="19">
        <v>2577.2105577777775</v>
      </c>
      <c r="N30" s="19">
        <v>6804.7720295315676</v>
      </c>
      <c r="O30" s="19">
        <v>2255.0913089999999</v>
      </c>
      <c r="P30" s="19">
        <v>1067.6836034182513</v>
      </c>
      <c r="Q30" s="19">
        <v>1468.8028783418063</v>
      </c>
      <c r="R30" s="19">
        <v>4490.6198100393694</v>
      </c>
      <c r="S30" s="19">
        <v>3055.6939349977506</v>
      </c>
      <c r="T30" s="19">
        <v>1492.4411911042516</v>
      </c>
      <c r="U30" s="19">
        <v>1398.6570009315205</v>
      </c>
      <c r="V30" s="19">
        <v>1123.7558265609516</v>
      </c>
      <c r="W30" s="19">
        <v>1098.7797097739735</v>
      </c>
    </row>
    <row r="31" spans="1:23">
      <c r="A31" s="18">
        <v>2045</v>
      </c>
      <c r="B31" s="19">
        <v>3707.1667184959347</v>
      </c>
      <c r="C31" s="19">
        <v>4099.6024134419549</v>
      </c>
      <c r="D31" s="19">
        <v>1038.8915087112368</v>
      </c>
      <c r="E31" s="19">
        <v>853.04909335406467</v>
      </c>
      <c r="F31" s="19">
        <v>461.08628247391044</v>
      </c>
      <c r="G31" s="19">
        <v>757.08101263386811</v>
      </c>
      <c r="H31" s="19">
        <v>558.83923463009262</v>
      </c>
      <c r="I31" s="19">
        <v>1446.9943585946364</v>
      </c>
      <c r="J31" s="19">
        <v>4062.9492780586452</v>
      </c>
      <c r="K31" s="19">
        <v>4246.250993020938</v>
      </c>
      <c r="L31" s="19">
        <v>2840.1363772455093</v>
      </c>
      <c r="M31" s="19">
        <v>2541.6370988888889</v>
      </c>
      <c r="N31" s="19">
        <v>6738.6094226069245</v>
      </c>
      <c r="O31" s="19">
        <v>2233.1635740000002</v>
      </c>
      <c r="P31" s="19">
        <v>1060.1524277738404</v>
      </c>
      <c r="Q31" s="19">
        <v>1454.521834256981</v>
      </c>
      <c r="R31" s="19">
        <v>4425.1641702755905</v>
      </c>
      <c r="S31" s="19">
        <v>3016.3486358524519</v>
      </c>
      <c r="T31" s="19">
        <v>1481.9138513677219</v>
      </c>
      <c r="U31" s="19">
        <v>1388.7911539896293</v>
      </c>
      <c r="V31" s="19">
        <v>1109.3417304261648</v>
      </c>
      <c r="W31" s="19">
        <v>1091.0289939506001</v>
      </c>
    </row>
    <row r="32" spans="1:23">
      <c r="A32" s="18">
        <v>2046</v>
      </c>
      <c r="B32" s="19">
        <v>3658.2773099593496</v>
      </c>
      <c r="C32" s="19">
        <v>4045.5374470468432</v>
      </c>
      <c r="D32" s="19">
        <v>1027.5766643280795</v>
      </c>
      <c r="E32" s="19">
        <v>843.75828282616067</v>
      </c>
      <c r="F32" s="19">
        <v>456.59451063224731</v>
      </c>
      <c r="G32" s="19">
        <v>748.83530266437026</v>
      </c>
      <c r="H32" s="19">
        <v>553.11769377849669</v>
      </c>
      <c r="I32" s="19">
        <v>1426.0769670969578</v>
      </c>
      <c r="J32" s="19">
        <v>3969.2471678463098</v>
      </c>
      <c r="K32" s="19">
        <v>4186.7269282153538</v>
      </c>
      <c r="L32" s="19">
        <v>2804.9126357285431</v>
      </c>
      <c r="M32" s="19">
        <v>2503.4977211111113</v>
      </c>
      <c r="N32" s="19">
        <v>6665.2160773930755</v>
      </c>
      <c r="O32" s="19">
        <v>2208.8400879999999</v>
      </c>
      <c r="P32" s="19">
        <v>1051.4399767544555</v>
      </c>
      <c r="Q32" s="19">
        <v>1438.679840961621</v>
      </c>
      <c r="R32" s="19">
        <v>4355.295255905512</v>
      </c>
      <c r="S32" s="19">
        <v>2973.9147874493929</v>
      </c>
      <c r="T32" s="19">
        <v>1469.735187701106</v>
      </c>
      <c r="U32" s="19">
        <v>1377.3777480138051</v>
      </c>
      <c r="V32" s="19">
        <v>1093.7908919722499</v>
      </c>
      <c r="W32" s="19">
        <v>1082.0627575101762</v>
      </c>
    </row>
    <row r="33" spans="1:23">
      <c r="A33" s="18">
        <v>2047</v>
      </c>
      <c r="B33" s="19">
        <v>3612.8366361788617</v>
      </c>
      <c r="C33" s="19">
        <v>3995.2867433808556</v>
      </c>
      <c r="D33" s="19">
        <v>1017.1923719724368</v>
      </c>
      <c r="E33" s="19">
        <v>835.23163261212983</v>
      </c>
      <c r="F33" s="19">
        <v>452.50808410008494</v>
      </c>
      <c r="G33" s="19">
        <v>741.2680881772784</v>
      </c>
      <c r="H33" s="19">
        <v>547.89168811589946</v>
      </c>
      <c r="I33" s="19">
        <v>1406.5328605095826</v>
      </c>
      <c r="J33" s="19">
        <v>3879.9198412537917</v>
      </c>
      <c r="K33" s="19">
        <v>4131.205504486541</v>
      </c>
      <c r="L33" s="19">
        <v>2772.2981766467065</v>
      </c>
      <c r="M33" s="19">
        <v>2467.7910699999998</v>
      </c>
      <c r="N33" s="19">
        <v>6597.8616069246436</v>
      </c>
      <c r="O33" s="19">
        <v>2186.517578</v>
      </c>
      <c r="P33" s="19">
        <v>1043.6353848622859</v>
      </c>
      <c r="Q33" s="19">
        <v>1424.1415425431594</v>
      </c>
      <c r="R33" s="19">
        <v>4289.7132214566927</v>
      </c>
      <c r="S33" s="19">
        <v>2934.3265013495279</v>
      </c>
      <c r="T33" s="19">
        <v>1458.8256700137997</v>
      </c>
      <c r="U33" s="19">
        <v>1367.1538858163995</v>
      </c>
      <c r="V33" s="19">
        <v>1079.2855758176415</v>
      </c>
      <c r="W33" s="19">
        <v>1074.0309537498831</v>
      </c>
    </row>
    <row r="34" spans="1:23">
      <c r="A34" s="18">
        <v>2048</v>
      </c>
      <c r="B34" s="19">
        <v>3567.4125853658534</v>
      </c>
      <c r="C34" s="19">
        <v>3945.0531934826881</v>
      </c>
      <c r="D34" s="19">
        <v>1006.777072169604</v>
      </c>
      <c r="E34" s="19">
        <v>826.67939135434369</v>
      </c>
      <c r="F34" s="19">
        <v>448.39967652374338</v>
      </c>
      <c r="G34" s="19">
        <v>733.67790949416428</v>
      </c>
      <c r="H34" s="19">
        <v>542.64318282100305</v>
      </c>
      <c r="I34" s="19">
        <v>1387.022382923439</v>
      </c>
      <c r="J34" s="19">
        <v>3789.208885743175</v>
      </c>
      <c r="K34" s="19">
        <v>4075.7544257228319</v>
      </c>
      <c r="L34" s="19">
        <v>2739.6620329341317</v>
      </c>
      <c r="M34" s="19">
        <v>2432.1652555555556</v>
      </c>
      <c r="N34" s="19">
        <v>6530.3032708757637</v>
      </c>
      <c r="O34" s="19">
        <v>2164.1274410000001</v>
      </c>
      <c r="P34" s="19">
        <v>1035.7560812716868</v>
      </c>
      <c r="Q34" s="19">
        <v>1409.5589549716462</v>
      </c>
      <c r="R34" s="19">
        <v>4224.3243838582675</v>
      </c>
      <c r="S34" s="19">
        <v>2894.7912055780475</v>
      </c>
      <c r="T34" s="19">
        <v>1447.8117862375138</v>
      </c>
      <c r="U34" s="19">
        <v>1356.8320735386949</v>
      </c>
      <c r="V34" s="19">
        <v>1064.7991318136769</v>
      </c>
      <c r="W34" s="19">
        <v>1065.9220874727566</v>
      </c>
    </row>
    <row r="35" spans="1:23">
      <c r="A35" s="18">
        <v>2049</v>
      </c>
      <c r="B35" s="19">
        <v>3522.0711565040651</v>
      </c>
      <c r="C35" s="19">
        <v>3894.9128747454174</v>
      </c>
      <c r="D35" s="19">
        <v>996.34860471023694</v>
      </c>
      <c r="E35" s="19">
        <v>818.11654120258322</v>
      </c>
      <c r="F35" s="19">
        <v>444.27762270208376</v>
      </c>
      <c r="G35" s="19">
        <v>726.07845218278214</v>
      </c>
      <c r="H35" s="19">
        <v>537.38222165024263</v>
      </c>
      <c r="I35" s="19">
        <v>1367.572676110253</v>
      </c>
      <c r="J35" s="19">
        <v>3699.5369474216382</v>
      </c>
      <c r="K35" s="19">
        <v>4020.4532881355935</v>
      </c>
      <c r="L35" s="19">
        <v>2707.0561027944109</v>
      </c>
      <c r="M35" s="19">
        <v>2396.6666666666665</v>
      </c>
      <c r="N35" s="19">
        <v>6462.6614012219961</v>
      </c>
      <c r="O35" s="19">
        <v>2141.709961</v>
      </c>
      <c r="P35" s="19">
        <v>1027.8205617407443</v>
      </c>
      <c r="Q35" s="19">
        <v>1394.9586622708439</v>
      </c>
      <c r="R35" s="19">
        <v>4159.2094842519682</v>
      </c>
      <c r="S35" s="19">
        <v>2855.3643612235714</v>
      </c>
      <c r="T35" s="19">
        <v>1436.7193006057757</v>
      </c>
      <c r="U35" s="19">
        <v>1346.436570789552</v>
      </c>
      <c r="V35" s="19">
        <v>1050.3515242814669</v>
      </c>
      <c r="W35" s="19">
        <v>1057.7555112191824</v>
      </c>
    </row>
    <row r="36" spans="1:23">
      <c r="A36" s="18">
        <v>2050</v>
      </c>
      <c r="B36" s="19">
        <v>3477.1363790650403</v>
      </c>
      <c r="C36" s="19">
        <v>3845.2213075356417</v>
      </c>
      <c r="D36" s="19">
        <v>985.99858172757069</v>
      </c>
      <c r="E36" s="19">
        <v>809.61792891620826</v>
      </c>
      <c r="F36" s="19">
        <v>440.18226175197276</v>
      </c>
      <c r="G36" s="19">
        <v>718.53584439077429</v>
      </c>
      <c r="H36" s="19">
        <v>532.15789913957929</v>
      </c>
      <c r="I36" s="19">
        <v>1348.3088186108378</v>
      </c>
      <c r="J36" s="19">
        <v>3612.6633690596559</v>
      </c>
      <c r="K36" s="19">
        <v>3965.6701286141583</v>
      </c>
      <c r="L36" s="19">
        <v>2674.7279371257487</v>
      </c>
      <c r="M36" s="19">
        <v>2690.8333333333335</v>
      </c>
      <c r="N36" s="19">
        <v>6395.5272046843183</v>
      </c>
      <c r="O36" s="19">
        <v>2119.460693</v>
      </c>
      <c r="P36" s="19">
        <v>1019.9225799763358</v>
      </c>
      <c r="Q36" s="19">
        <v>1380.4678364835845</v>
      </c>
      <c r="R36" s="19">
        <v>4094.751553149606</v>
      </c>
      <c r="S36" s="19">
        <v>2816.3073526765634</v>
      </c>
      <c r="T36" s="19">
        <v>1425.6792501581417</v>
      </c>
      <c r="U36" s="19">
        <v>1336.0903954189764</v>
      </c>
      <c r="V36" s="19">
        <v>1036.039293359762</v>
      </c>
      <c r="W36" s="19">
        <v>1049.6275244831652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36"/>
  <sheetViews>
    <sheetView workbookViewId="0"/>
  </sheetViews>
  <sheetFormatPr defaultColWidth="8.88671875" defaultRowHeight="14.4"/>
  <sheetData>
    <row r="1" spans="1:20">
      <c r="A1" s="16" t="s">
        <v>121</v>
      </c>
      <c r="B1" s="12"/>
      <c r="C1" s="12"/>
      <c r="D1" s="12"/>
      <c r="E1" s="12"/>
      <c r="F1" s="12"/>
      <c r="G1" s="12"/>
      <c r="H1" s="12"/>
      <c r="I1" s="12"/>
      <c r="J1" s="12"/>
    </row>
    <row r="2" spans="1:20">
      <c r="A2" s="7" t="s">
        <v>122</v>
      </c>
      <c r="B2" s="12"/>
      <c r="C2" s="12"/>
      <c r="D2" s="12"/>
      <c r="E2" s="12"/>
      <c r="F2" s="12"/>
      <c r="G2" s="12"/>
      <c r="H2" s="12"/>
      <c r="I2" s="12"/>
      <c r="J2" s="12"/>
    </row>
    <row r="3" spans="1:20">
      <c r="A3" s="12"/>
      <c r="B3" s="12"/>
      <c r="C3" s="12"/>
      <c r="D3" s="12"/>
      <c r="E3" s="12"/>
      <c r="F3" s="12"/>
      <c r="G3" s="12"/>
      <c r="H3" s="12"/>
      <c r="I3" s="12"/>
      <c r="J3" s="12"/>
      <c r="L3" s="25">
        <f>3.6/1.055</f>
        <v>3.4123222748815167</v>
      </c>
    </row>
    <row r="4" spans="1:20" ht="43.2">
      <c r="A4" s="17" t="s">
        <v>98</v>
      </c>
      <c r="B4" s="17" t="s">
        <v>99</v>
      </c>
      <c r="C4" s="20" t="s">
        <v>100</v>
      </c>
      <c r="D4" s="20" t="s">
        <v>101</v>
      </c>
      <c r="E4" s="20" t="s">
        <v>102</v>
      </c>
      <c r="F4" s="20" t="s">
        <v>103</v>
      </c>
      <c r="G4" s="20" t="s">
        <v>104</v>
      </c>
      <c r="H4" s="20" t="s">
        <v>105</v>
      </c>
      <c r="I4" s="20" t="s">
        <v>106</v>
      </c>
      <c r="J4" s="20" t="s">
        <v>107</v>
      </c>
      <c r="K4" s="23" t="str">
        <f>A4</f>
        <v>Online Year</v>
      </c>
      <c r="L4" s="12" t="str">
        <f>B4</f>
        <v>Coal with 30% CCS</v>
      </c>
      <c r="M4" s="12" t="str">
        <f t="shared" ref="M4:T4" si="0">C4</f>
        <v>Coal with 90% CCS</v>
      </c>
      <c r="N4" s="12" t="str">
        <f t="shared" si="0"/>
        <v>Internal Combustion</v>
      </c>
      <c r="O4" s="12" t="str">
        <f t="shared" si="0"/>
        <v>Comb. Turb</v>
      </c>
      <c r="P4" s="12" t="str">
        <f t="shared" si="0"/>
        <v>Adv. CT</v>
      </c>
      <c r="Q4" s="12" t="str">
        <f t="shared" si="0"/>
        <v>Comb. Cyc</v>
      </c>
      <c r="R4" s="12" t="str">
        <f t="shared" si="0"/>
        <v>Adv CC</v>
      </c>
      <c r="S4" s="12" t="str">
        <f t="shared" si="0"/>
        <v>Adv CC w/seq</v>
      </c>
      <c r="T4" s="12" t="str">
        <f t="shared" si="0"/>
        <v>Fuel Cell</v>
      </c>
    </row>
    <row r="5" spans="1:20">
      <c r="A5" s="18">
        <v>2019</v>
      </c>
      <c r="B5" s="21">
        <v>9750</v>
      </c>
      <c r="C5" s="21">
        <v>11650</v>
      </c>
      <c r="D5" s="21">
        <v>8500</v>
      </c>
      <c r="E5" s="21">
        <v>9840</v>
      </c>
      <c r="F5" s="21">
        <v>9800</v>
      </c>
      <c r="G5" s="21">
        <v>6600</v>
      </c>
      <c r="H5" s="21">
        <v>6300</v>
      </c>
      <c r="I5" s="21">
        <v>7525</v>
      </c>
      <c r="J5" s="21">
        <v>9500</v>
      </c>
      <c r="K5" s="24">
        <f>A5</f>
        <v>2019</v>
      </c>
      <c r="L5" s="22">
        <f>1000/(B5/$L$3)</f>
        <v>0.34998177178271966</v>
      </c>
      <c r="M5" s="22">
        <f t="shared" ref="M5:R5" si="1">1000/(C5/$L$3)</f>
        <v>0.2929031995606452</v>
      </c>
      <c r="N5" s="22">
        <f t="shared" si="1"/>
        <v>0.4014496793978255</v>
      </c>
      <c r="O5" s="22">
        <f t="shared" si="1"/>
        <v>0.34678071899202406</v>
      </c>
      <c r="P5" s="22">
        <f t="shared" si="1"/>
        <v>0.34819615049811398</v>
      </c>
      <c r="Q5" s="22">
        <f t="shared" si="1"/>
        <v>0.51701852649719948</v>
      </c>
      <c r="R5" s="22">
        <f t="shared" si="1"/>
        <v>0.54163845633039942</v>
      </c>
      <c r="S5" s="22">
        <f>1000/(I5/$L$3)</f>
        <v>0.4534647541370786</v>
      </c>
      <c r="T5" s="22">
        <f t="shared" ref="T5" si="2">1000/(J5/$L$3)</f>
        <v>0.35919181840858067</v>
      </c>
    </row>
    <row r="6" spans="1:20">
      <c r="A6" s="18">
        <v>2020</v>
      </c>
      <c r="B6" s="21">
        <v>9750</v>
      </c>
      <c r="C6" s="21">
        <v>11650</v>
      </c>
      <c r="D6" s="21">
        <v>8500</v>
      </c>
      <c r="E6" s="21">
        <v>9800</v>
      </c>
      <c r="F6" s="21">
        <v>9800</v>
      </c>
      <c r="G6" s="21">
        <v>6600</v>
      </c>
      <c r="H6" s="21">
        <v>6300</v>
      </c>
      <c r="I6" s="21">
        <v>7525</v>
      </c>
      <c r="J6" s="21">
        <v>9500</v>
      </c>
      <c r="K6" s="24">
        <f t="shared" ref="K6:K36" si="3">A6</f>
        <v>2020</v>
      </c>
      <c r="L6" s="22">
        <f t="shared" ref="L6:L36" si="4">1000/(B6/$L$3)</f>
        <v>0.34998177178271966</v>
      </c>
      <c r="M6" s="22">
        <f t="shared" ref="M6:M36" si="5">1000/(C6/$L$3)</f>
        <v>0.2929031995606452</v>
      </c>
      <c r="N6" s="22">
        <f t="shared" ref="N6:N36" si="6">1000/(D6/$L$3)</f>
        <v>0.4014496793978255</v>
      </c>
      <c r="O6" s="22">
        <f t="shared" ref="O6:O36" si="7">1000/(E6/$L$3)</f>
        <v>0.34819615049811398</v>
      </c>
      <c r="P6" s="22">
        <f t="shared" ref="P6:P36" si="8">1000/(F6/$L$3)</f>
        <v>0.34819615049811398</v>
      </c>
      <c r="Q6" s="22">
        <f t="shared" ref="Q6:Q36" si="9">1000/(G6/$L$3)</f>
        <v>0.51701852649719948</v>
      </c>
      <c r="R6" s="22">
        <f t="shared" ref="R6:R36" si="10">1000/(H6/$L$3)</f>
        <v>0.54163845633039942</v>
      </c>
      <c r="S6" s="22">
        <f t="shared" ref="S6:S36" si="11">1000/(I6/$L$3)</f>
        <v>0.4534647541370786</v>
      </c>
      <c r="T6" s="22">
        <f t="shared" ref="T6:T36" si="12">1000/(J6/$L$3)</f>
        <v>0.35919181840858067</v>
      </c>
    </row>
    <row r="7" spans="1:20">
      <c r="A7" s="18">
        <v>2021</v>
      </c>
      <c r="B7" s="21">
        <v>9750</v>
      </c>
      <c r="C7" s="21">
        <v>11650</v>
      </c>
      <c r="D7" s="21">
        <v>8432</v>
      </c>
      <c r="E7" s="21">
        <v>9760</v>
      </c>
      <c r="F7" s="21">
        <v>9550</v>
      </c>
      <c r="G7" s="21">
        <v>6600</v>
      </c>
      <c r="H7" s="21">
        <v>6300</v>
      </c>
      <c r="I7" s="21">
        <v>7525</v>
      </c>
      <c r="J7" s="21">
        <v>9500</v>
      </c>
      <c r="K7" s="24">
        <f t="shared" si="3"/>
        <v>2021</v>
      </c>
      <c r="L7" s="22">
        <f t="shared" si="4"/>
        <v>0.34998177178271966</v>
      </c>
      <c r="M7" s="22">
        <f t="shared" si="5"/>
        <v>0.2929031995606452</v>
      </c>
      <c r="N7" s="22">
        <f t="shared" si="6"/>
        <v>0.40468717681232408</v>
      </c>
      <c r="O7" s="22">
        <f t="shared" si="7"/>
        <v>0.34962318390179475</v>
      </c>
      <c r="P7" s="22">
        <f t="shared" si="8"/>
        <v>0.35731123297188655</v>
      </c>
      <c r="Q7" s="22">
        <f t="shared" si="9"/>
        <v>0.51701852649719948</v>
      </c>
      <c r="R7" s="22">
        <f t="shared" si="10"/>
        <v>0.54163845633039942</v>
      </c>
      <c r="S7" s="22">
        <f t="shared" si="11"/>
        <v>0.4534647541370786</v>
      </c>
      <c r="T7" s="22">
        <f t="shared" si="12"/>
        <v>0.35919181840858067</v>
      </c>
    </row>
    <row r="8" spans="1:20">
      <c r="A8" s="18">
        <v>2022</v>
      </c>
      <c r="B8" s="21">
        <v>9750</v>
      </c>
      <c r="C8" s="21">
        <v>11650</v>
      </c>
      <c r="D8" s="21">
        <v>8364</v>
      </c>
      <c r="E8" s="21">
        <v>9720</v>
      </c>
      <c r="F8" s="21">
        <v>9300</v>
      </c>
      <c r="G8" s="21">
        <v>6537.5</v>
      </c>
      <c r="H8" s="21">
        <v>6275</v>
      </c>
      <c r="I8" s="21">
        <v>7517</v>
      </c>
      <c r="J8" s="21">
        <v>8865</v>
      </c>
      <c r="K8" s="24">
        <f t="shared" si="3"/>
        <v>2022</v>
      </c>
      <c r="L8" s="22">
        <f t="shared" si="4"/>
        <v>0.34998177178271966</v>
      </c>
      <c r="M8" s="22">
        <f t="shared" si="5"/>
        <v>0.2929031995606452</v>
      </c>
      <c r="N8" s="22">
        <f t="shared" si="6"/>
        <v>0.40797731646120483</v>
      </c>
      <c r="O8" s="22">
        <f t="shared" si="7"/>
        <v>0.35106196243637</v>
      </c>
      <c r="P8" s="22">
        <f t="shared" si="8"/>
        <v>0.36691637364317387</v>
      </c>
      <c r="Q8" s="22">
        <f t="shared" si="9"/>
        <v>0.52196134223809054</v>
      </c>
      <c r="R8" s="22">
        <f t="shared" si="10"/>
        <v>0.54379637846717399</v>
      </c>
      <c r="S8" s="22">
        <f t="shared" si="11"/>
        <v>0.45394735597732028</v>
      </c>
      <c r="T8" s="22">
        <f t="shared" si="12"/>
        <v>0.38492073038708591</v>
      </c>
    </row>
    <row r="9" spans="1:20">
      <c r="A9" s="18">
        <v>2023</v>
      </c>
      <c r="B9" s="21">
        <v>9573.6666669999995</v>
      </c>
      <c r="C9" s="21">
        <v>10852.333333</v>
      </c>
      <c r="D9" s="21">
        <v>8296</v>
      </c>
      <c r="E9" s="21">
        <v>9680</v>
      </c>
      <c r="F9" s="21">
        <v>9050</v>
      </c>
      <c r="G9" s="21">
        <v>6475</v>
      </c>
      <c r="H9" s="21">
        <v>6250</v>
      </c>
      <c r="I9" s="21">
        <v>7509</v>
      </c>
      <c r="J9" s="21">
        <v>8230</v>
      </c>
      <c r="K9" s="24">
        <f t="shared" si="3"/>
        <v>2023</v>
      </c>
      <c r="L9" s="22">
        <f t="shared" si="4"/>
        <v>0.35642793859155752</v>
      </c>
      <c r="M9" s="22">
        <f t="shared" si="5"/>
        <v>0.31443212903397061</v>
      </c>
      <c r="N9" s="22">
        <f t="shared" si="6"/>
        <v>0.41132139282564084</v>
      </c>
      <c r="O9" s="22">
        <f t="shared" si="7"/>
        <v>0.35251263170263603</v>
      </c>
      <c r="P9" s="22">
        <f t="shared" si="8"/>
        <v>0.37705218506978083</v>
      </c>
      <c r="Q9" s="22">
        <f t="shared" si="9"/>
        <v>0.52699957913228057</v>
      </c>
      <c r="R9" s="22">
        <f t="shared" si="10"/>
        <v>0.54597156398104263</v>
      </c>
      <c r="S9" s="22">
        <f t="shared" si="11"/>
        <v>0.45443098613417449</v>
      </c>
      <c r="T9" s="22">
        <f t="shared" si="12"/>
        <v>0.41461996049593153</v>
      </c>
    </row>
    <row r="10" spans="1:20">
      <c r="A10" s="18">
        <v>2024</v>
      </c>
      <c r="B10" s="21">
        <v>9397.3333330000005</v>
      </c>
      <c r="C10" s="21">
        <v>10054.666667</v>
      </c>
      <c r="D10" s="21">
        <v>8228</v>
      </c>
      <c r="E10" s="21">
        <v>9640</v>
      </c>
      <c r="F10" s="21">
        <v>8800</v>
      </c>
      <c r="G10" s="21">
        <v>6412.5</v>
      </c>
      <c r="H10" s="21">
        <v>6225</v>
      </c>
      <c r="I10" s="21">
        <v>7501</v>
      </c>
      <c r="J10" s="21">
        <v>7595</v>
      </c>
      <c r="K10" s="24">
        <f t="shared" si="3"/>
        <v>2024</v>
      </c>
      <c r="L10" s="22">
        <f t="shared" si="4"/>
        <v>0.36311601961576567</v>
      </c>
      <c r="M10" s="22">
        <f t="shared" si="5"/>
        <v>0.3393769667254069</v>
      </c>
      <c r="N10" s="22">
        <f t="shared" si="6"/>
        <v>0.4147207431795718</v>
      </c>
      <c r="O10" s="22">
        <f t="shared" si="7"/>
        <v>0.35397533971799966</v>
      </c>
      <c r="P10" s="22">
        <f t="shared" si="8"/>
        <v>0.38776389487289964</v>
      </c>
      <c r="Q10" s="22">
        <f t="shared" si="9"/>
        <v>0.5321360272719714</v>
      </c>
      <c r="R10" s="22">
        <f t="shared" si="10"/>
        <v>0.54816422086450067</v>
      </c>
      <c r="S10" s="22">
        <f t="shared" si="11"/>
        <v>0.45491564789781591</v>
      </c>
      <c r="T10" s="22">
        <f t="shared" si="12"/>
        <v>0.44928535548143733</v>
      </c>
    </row>
    <row r="11" spans="1:20">
      <c r="A11" s="18">
        <v>2025</v>
      </c>
      <c r="B11" s="21">
        <v>9221</v>
      </c>
      <c r="C11" s="21">
        <v>9257</v>
      </c>
      <c r="D11" s="21">
        <v>8160</v>
      </c>
      <c r="E11" s="21">
        <v>9600</v>
      </c>
      <c r="F11" s="21">
        <v>8550</v>
      </c>
      <c r="G11" s="21">
        <v>6350</v>
      </c>
      <c r="H11" s="21">
        <v>6200</v>
      </c>
      <c r="I11" s="21">
        <v>7493</v>
      </c>
      <c r="J11" s="21">
        <v>6960</v>
      </c>
      <c r="K11" s="24">
        <f t="shared" si="3"/>
        <v>2025</v>
      </c>
      <c r="L11" s="22">
        <f t="shared" si="4"/>
        <v>0.37005989316576476</v>
      </c>
      <c r="M11" s="22">
        <f t="shared" si="5"/>
        <v>0.36862074914999637</v>
      </c>
      <c r="N11" s="22">
        <f t="shared" si="6"/>
        <v>0.41817674937273491</v>
      </c>
      <c r="O11" s="22">
        <f t="shared" si="7"/>
        <v>0.35545023696682471</v>
      </c>
      <c r="P11" s="22">
        <f t="shared" si="8"/>
        <v>0.39910202045397852</v>
      </c>
      <c r="Q11" s="22">
        <f t="shared" si="9"/>
        <v>0.53737358659551449</v>
      </c>
      <c r="R11" s="22">
        <f t="shared" si="10"/>
        <v>0.55037456046476074</v>
      </c>
      <c r="S11" s="22">
        <f t="shared" si="11"/>
        <v>0.45540134457246989</v>
      </c>
      <c r="T11" s="22">
        <f t="shared" si="12"/>
        <v>0.49027618891975816</v>
      </c>
    </row>
    <row r="12" spans="1:20">
      <c r="A12" s="18">
        <v>2026</v>
      </c>
      <c r="B12" s="21">
        <v>9221</v>
      </c>
      <c r="C12" s="21">
        <v>9257</v>
      </c>
      <c r="D12" s="21">
        <v>8160</v>
      </c>
      <c r="E12" s="21">
        <v>9600</v>
      </c>
      <c r="F12" s="21">
        <v>8550</v>
      </c>
      <c r="G12" s="21">
        <v>6350</v>
      </c>
      <c r="H12" s="21">
        <v>6200</v>
      </c>
      <c r="I12" s="21">
        <v>7493</v>
      </c>
      <c r="J12" s="21">
        <v>6960</v>
      </c>
      <c r="K12" s="24">
        <f t="shared" si="3"/>
        <v>2026</v>
      </c>
      <c r="L12" s="22">
        <f t="shared" si="4"/>
        <v>0.37005989316576476</v>
      </c>
      <c r="M12" s="22">
        <f t="shared" si="5"/>
        <v>0.36862074914999637</v>
      </c>
      <c r="N12" s="22">
        <f t="shared" si="6"/>
        <v>0.41817674937273491</v>
      </c>
      <c r="O12" s="22">
        <f t="shared" si="7"/>
        <v>0.35545023696682471</v>
      </c>
      <c r="P12" s="22">
        <f t="shared" si="8"/>
        <v>0.39910202045397852</v>
      </c>
      <c r="Q12" s="22">
        <f t="shared" si="9"/>
        <v>0.53737358659551449</v>
      </c>
      <c r="R12" s="22">
        <f t="shared" si="10"/>
        <v>0.55037456046476074</v>
      </c>
      <c r="S12" s="22">
        <f t="shared" si="11"/>
        <v>0.45540134457246989</v>
      </c>
      <c r="T12" s="22">
        <f t="shared" si="12"/>
        <v>0.49027618891975816</v>
      </c>
    </row>
    <row r="13" spans="1:20">
      <c r="A13" s="18">
        <v>2027</v>
      </c>
      <c r="B13" s="21">
        <v>9221</v>
      </c>
      <c r="C13" s="21">
        <v>9257</v>
      </c>
      <c r="D13" s="21">
        <v>8160</v>
      </c>
      <c r="E13" s="21">
        <v>9600</v>
      </c>
      <c r="F13" s="21">
        <v>8550</v>
      </c>
      <c r="G13" s="21">
        <v>6350</v>
      </c>
      <c r="H13" s="21">
        <v>6200</v>
      </c>
      <c r="I13" s="21">
        <v>7493</v>
      </c>
      <c r="J13" s="21">
        <v>6960</v>
      </c>
      <c r="K13" s="24">
        <f t="shared" si="3"/>
        <v>2027</v>
      </c>
      <c r="L13" s="22">
        <f t="shared" si="4"/>
        <v>0.37005989316576476</v>
      </c>
      <c r="M13" s="22">
        <f t="shared" si="5"/>
        <v>0.36862074914999637</v>
      </c>
      <c r="N13" s="22">
        <f t="shared" si="6"/>
        <v>0.41817674937273491</v>
      </c>
      <c r="O13" s="22">
        <f t="shared" si="7"/>
        <v>0.35545023696682471</v>
      </c>
      <c r="P13" s="22">
        <f t="shared" si="8"/>
        <v>0.39910202045397852</v>
      </c>
      <c r="Q13" s="22">
        <f t="shared" si="9"/>
        <v>0.53737358659551449</v>
      </c>
      <c r="R13" s="22">
        <f t="shared" si="10"/>
        <v>0.55037456046476074</v>
      </c>
      <c r="S13" s="22">
        <f t="shared" si="11"/>
        <v>0.45540134457246989</v>
      </c>
      <c r="T13" s="22">
        <f t="shared" si="12"/>
        <v>0.49027618891975816</v>
      </c>
    </row>
    <row r="14" spans="1:20">
      <c r="A14" s="18">
        <v>2028</v>
      </c>
      <c r="B14" s="21">
        <v>9221</v>
      </c>
      <c r="C14" s="21">
        <v>9257</v>
      </c>
      <c r="D14" s="21">
        <v>8160</v>
      </c>
      <c r="E14" s="21">
        <v>9600</v>
      </c>
      <c r="F14" s="21">
        <v>8550</v>
      </c>
      <c r="G14" s="21">
        <v>6350</v>
      </c>
      <c r="H14" s="21">
        <v>6200</v>
      </c>
      <c r="I14" s="21">
        <v>7493</v>
      </c>
      <c r="J14" s="21">
        <v>6960</v>
      </c>
      <c r="K14" s="24">
        <f t="shared" si="3"/>
        <v>2028</v>
      </c>
      <c r="L14" s="22">
        <f t="shared" si="4"/>
        <v>0.37005989316576476</v>
      </c>
      <c r="M14" s="22">
        <f t="shared" si="5"/>
        <v>0.36862074914999637</v>
      </c>
      <c r="N14" s="22">
        <f t="shared" si="6"/>
        <v>0.41817674937273491</v>
      </c>
      <c r="O14" s="22">
        <f t="shared" si="7"/>
        <v>0.35545023696682471</v>
      </c>
      <c r="P14" s="22">
        <f t="shared" si="8"/>
        <v>0.39910202045397852</v>
      </c>
      <c r="Q14" s="22">
        <f t="shared" si="9"/>
        <v>0.53737358659551449</v>
      </c>
      <c r="R14" s="22">
        <f t="shared" si="10"/>
        <v>0.55037456046476074</v>
      </c>
      <c r="S14" s="22">
        <f t="shared" si="11"/>
        <v>0.45540134457246989</v>
      </c>
      <c r="T14" s="22">
        <f t="shared" si="12"/>
        <v>0.49027618891975816</v>
      </c>
    </row>
    <row r="15" spans="1:20">
      <c r="A15" s="18">
        <v>2029</v>
      </c>
      <c r="B15" s="21">
        <v>9221</v>
      </c>
      <c r="C15" s="21">
        <v>9257</v>
      </c>
      <c r="D15" s="21">
        <v>8160</v>
      </c>
      <c r="E15" s="21">
        <v>9600</v>
      </c>
      <c r="F15" s="21">
        <v>8550</v>
      </c>
      <c r="G15" s="21">
        <v>6350</v>
      </c>
      <c r="H15" s="21">
        <v>6200</v>
      </c>
      <c r="I15" s="21">
        <v>7493</v>
      </c>
      <c r="J15" s="21">
        <v>6960</v>
      </c>
      <c r="K15" s="24">
        <f t="shared" si="3"/>
        <v>2029</v>
      </c>
      <c r="L15" s="22">
        <f t="shared" si="4"/>
        <v>0.37005989316576476</v>
      </c>
      <c r="M15" s="22">
        <f t="shared" si="5"/>
        <v>0.36862074914999637</v>
      </c>
      <c r="N15" s="22">
        <f t="shared" si="6"/>
        <v>0.41817674937273491</v>
      </c>
      <c r="O15" s="22">
        <f t="shared" si="7"/>
        <v>0.35545023696682471</v>
      </c>
      <c r="P15" s="22">
        <f t="shared" si="8"/>
        <v>0.39910202045397852</v>
      </c>
      <c r="Q15" s="22">
        <f t="shared" si="9"/>
        <v>0.53737358659551449</v>
      </c>
      <c r="R15" s="22">
        <f t="shared" si="10"/>
        <v>0.55037456046476074</v>
      </c>
      <c r="S15" s="22">
        <f t="shared" si="11"/>
        <v>0.45540134457246989</v>
      </c>
      <c r="T15" s="22">
        <f t="shared" si="12"/>
        <v>0.49027618891975816</v>
      </c>
    </row>
    <row r="16" spans="1:20">
      <c r="A16" s="18">
        <v>2030</v>
      </c>
      <c r="B16" s="21">
        <v>9221</v>
      </c>
      <c r="C16" s="21">
        <v>9257</v>
      </c>
      <c r="D16" s="21">
        <v>8160</v>
      </c>
      <c r="E16" s="21">
        <v>9600</v>
      </c>
      <c r="F16" s="21">
        <v>8550</v>
      </c>
      <c r="G16" s="21">
        <v>6350</v>
      </c>
      <c r="H16" s="21">
        <v>6200</v>
      </c>
      <c r="I16" s="21">
        <v>7493</v>
      </c>
      <c r="J16" s="21">
        <v>6960</v>
      </c>
      <c r="K16" s="24">
        <f t="shared" si="3"/>
        <v>2030</v>
      </c>
      <c r="L16" s="22">
        <f t="shared" si="4"/>
        <v>0.37005989316576476</v>
      </c>
      <c r="M16" s="22">
        <f t="shared" si="5"/>
        <v>0.36862074914999637</v>
      </c>
      <c r="N16" s="22">
        <f t="shared" si="6"/>
        <v>0.41817674937273491</v>
      </c>
      <c r="O16" s="22">
        <f t="shared" si="7"/>
        <v>0.35545023696682471</v>
      </c>
      <c r="P16" s="22">
        <f t="shared" si="8"/>
        <v>0.39910202045397852</v>
      </c>
      <c r="Q16" s="22">
        <f t="shared" si="9"/>
        <v>0.53737358659551449</v>
      </c>
      <c r="R16" s="22">
        <f t="shared" si="10"/>
        <v>0.55037456046476074</v>
      </c>
      <c r="S16" s="22">
        <f t="shared" si="11"/>
        <v>0.45540134457246989</v>
      </c>
      <c r="T16" s="22">
        <f t="shared" si="12"/>
        <v>0.49027618891975816</v>
      </c>
    </row>
    <row r="17" spans="1:20">
      <c r="A17" s="18">
        <v>2031</v>
      </c>
      <c r="B17" s="21">
        <v>9221</v>
      </c>
      <c r="C17" s="21">
        <v>9257</v>
      </c>
      <c r="D17" s="21">
        <v>8160</v>
      </c>
      <c r="E17" s="21">
        <v>9600</v>
      </c>
      <c r="F17" s="21">
        <v>8550</v>
      </c>
      <c r="G17" s="21">
        <v>6350</v>
      </c>
      <c r="H17" s="21">
        <v>6200</v>
      </c>
      <c r="I17" s="21">
        <v>7493</v>
      </c>
      <c r="J17" s="21">
        <v>6960</v>
      </c>
      <c r="K17" s="24">
        <f t="shared" si="3"/>
        <v>2031</v>
      </c>
      <c r="L17" s="22">
        <f t="shared" si="4"/>
        <v>0.37005989316576476</v>
      </c>
      <c r="M17" s="22">
        <f t="shared" si="5"/>
        <v>0.36862074914999637</v>
      </c>
      <c r="N17" s="22">
        <f t="shared" si="6"/>
        <v>0.41817674937273491</v>
      </c>
      <c r="O17" s="22">
        <f t="shared" si="7"/>
        <v>0.35545023696682471</v>
      </c>
      <c r="P17" s="22">
        <f t="shared" si="8"/>
        <v>0.39910202045397852</v>
      </c>
      <c r="Q17" s="22">
        <f t="shared" si="9"/>
        <v>0.53737358659551449</v>
      </c>
      <c r="R17" s="22">
        <f t="shared" si="10"/>
        <v>0.55037456046476074</v>
      </c>
      <c r="S17" s="22">
        <f t="shared" si="11"/>
        <v>0.45540134457246989</v>
      </c>
      <c r="T17" s="22">
        <f t="shared" si="12"/>
        <v>0.49027618891975816</v>
      </c>
    </row>
    <row r="18" spans="1:20">
      <c r="A18" s="18">
        <v>2032</v>
      </c>
      <c r="B18" s="21">
        <v>9221</v>
      </c>
      <c r="C18" s="21">
        <v>9257</v>
      </c>
      <c r="D18" s="21">
        <v>8160</v>
      </c>
      <c r="E18" s="21">
        <v>9600</v>
      </c>
      <c r="F18" s="21">
        <v>8550</v>
      </c>
      <c r="G18" s="21">
        <v>6350</v>
      </c>
      <c r="H18" s="21">
        <v>6200</v>
      </c>
      <c r="I18" s="21">
        <v>7493</v>
      </c>
      <c r="J18" s="21">
        <v>6960</v>
      </c>
      <c r="K18" s="24">
        <f t="shared" si="3"/>
        <v>2032</v>
      </c>
      <c r="L18" s="22">
        <f t="shared" si="4"/>
        <v>0.37005989316576476</v>
      </c>
      <c r="M18" s="22">
        <f t="shared" si="5"/>
        <v>0.36862074914999637</v>
      </c>
      <c r="N18" s="22">
        <f t="shared" si="6"/>
        <v>0.41817674937273491</v>
      </c>
      <c r="O18" s="22">
        <f t="shared" si="7"/>
        <v>0.35545023696682471</v>
      </c>
      <c r="P18" s="22">
        <f t="shared" si="8"/>
        <v>0.39910202045397852</v>
      </c>
      <c r="Q18" s="22">
        <f t="shared" si="9"/>
        <v>0.53737358659551449</v>
      </c>
      <c r="R18" s="22">
        <f t="shared" si="10"/>
        <v>0.55037456046476074</v>
      </c>
      <c r="S18" s="22">
        <f t="shared" si="11"/>
        <v>0.45540134457246989</v>
      </c>
      <c r="T18" s="22">
        <f t="shared" si="12"/>
        <v>0.49027618891975816</v>
      </c>
    </row>
    <row r="19" spans="1:20">
      <c r="A19" s="18">
        <v>2033</v>
      </c>
      <c r="B19" s="21">
        <v>9221</v>
      </c>
      <c r="C19" s="21">
        <v>9257</v>
      </c>
      <c r="D19" s="21">
        <v>8160</v>
      </c>
      <c r="E19" s="21">
        <v>9600</v>
      </c>
      <c r="F19" s="21">
        <v>8550</v>
      </c>
      <c r="G19" s="21">
        <v>6350</v>
      </c>
      <c r="H19" s="21">
        <v>6200</v>
      </c>
      <c r="I19" s="21">
        <v>7493</v>
      </c>
      <c r="J19" s="21">
        <v>6960</v>
      </c>
      <c r="K19" s="24">
        <f t="shared" si="3"/>
        <v>2033</v>
      </c>
      <c r="L19" s="22">
        <f t="shared" si="4"/>
        <v>0.37005989316576476</v>
      </c>
      <c r="M19" s="22">
        <f t="shared" si="5"/>
        <v>0.36862074914999637</v>
      </c>
      <c r="N19" s="22">
        <f t="shared" si="6"/>
        <v>0.41817674937273491</v>
      </c>
      <c r="O19" s="22">
        <f t="shared" si="7"/>
        <v>0.35545023696682471</v>
      </c>
      <c r="P19" s="22">
        <f t="shared" si="8"/>
        <v>0.39910202045397852</v>
      </c>
      <c r="Q19" s="22">
        <f t="shared" si="9"/>
        <v>0.53737358659551449</v>
      </c>
      <c r="R19" s="22">
        <f t="shared" si="10"/>
        <v>0.55037456046476074</v>
      </c>
      <c r="S19" s="22">
        <f t="shared" si="11"/>
        <v>0.45540134457246989</v>
      </c>
      <c r="T19" s="22">
        <f t="shared" si="12"/>
        <v>0.49027618891975816</v>
      </c>
    </row>
    <row r="20" spans="1:20">
      <c r="A20" s="18">
        <v>2034</v>
      </c>
      <c r="B20" s="21">
        <v>9221</v>
      </c>
      <c r="C20" s="21">
        <v>9257</v>
      </c>
      <c r="D20" s="21">
        <v>8160</v>
      </c>
      <c r="E20" s="21">
        <v>9600</v>
      </c>
      <c r="F20" s="21">
        <v>8550</v>
      </c>
      <c r="G20" s="21">
        <v>6350</v>
      </c>
      <c r="H20" s="21">
        <v>6200</v>
      </c>
      <c r="I20" s="21">
        <v>7493</v>
      </c>
      <c r="J20" s="21">
        <v>6960</v>
      </c>
      <c r="K20" s="24">
        <f t="shared" si="3"/>
        <v>2034</v>
      </c>
      <c r="L20" s="22">
        <f t="shared" si="4"/>
        <v>0.37005989316576476</v>
      </c>
      <c r="M20" s="22">
        <f t="shared" si="5"/>
        <v>0.36862074914999637</v>
      </c>
      <c r="N20" s="22">
        <f t="shared" si="6"/>
        <v>0.41817674937273491</v>
      </c>
      <c r="O20" s="22">
        <f t="shared" si="7"/>
        <v>0.35545023696682471</v>
      </c>
      <c r="P20" s="22">
        <f t="shared" si="8"/>
        <v>0.39910202045397852</v>
      </c>
      <c r="Q20" s="22">
        <f t="shared" si="9"/>
        <v>0.53737358659551449</v>
      </c>
      <c r="R20" s="22">
        <f t="shared" si="10"/>
        <v>0.55037456046476074</v>
      </c>
      <c r="S20" s="22">
        <f t="shared" si="11"/>
        <v>0.45540134457246989</v>
      </c>
      <c r="T20" s="22">
        <f t="shared" si="12"/>
        <v>0.49027618891975816</v>
      </c>
    </row>
    <row r="21" spans="1:20">
      <c r="A21" s="18">
        <v>2035</v>
      </c>
      <c r="B21" s="21">
        <v>9221</v>
      </c>
      <c r="C21" s="21">
        <v>9257</v>
      </c>
      <c r="D21" s="21">
        <v>8160</v>
      </c>
      <c r="E21" s="21">
        <v>9600</v>
      </c>
      <c r="F21" s="21">
        <v>8550</v>
      </c>
      <c r="G21" s="21">
        <v>6350</v>
      </c>
      <c r="H21" s="21">
        <v>6200</v>
      </c>
      <c r="I21" s="21">
        <v>7493</v>
      </c>
      <c r="J21" s="21">
        <v>6960</v>
      </c>
      <c r="K21" s="24">
        <f t="shared" si="3"/>
        <v>2035</v>
      </c>
      <c r="L21" s="22">
        <f t="shared" si="4"/>
        <v>0.37005989316576476</v>
      </c>
      <c r="M21" s="22">
        <f t="shared" si="5"/>
        <v>0.36862074914999637</v>
      </c>
      <c r="N21" s="22">
        <f t="shared" si="6"/>
        <v>0.41817674937273491</v>
      </c>
      <c r="O21" s="22">
        <f t="shared" si="7"/>
        <v>0.35545023696682471</v>
      </c>
      <c r="P21" s="22">
        <f t="shared" si="8"/>
        <v>0.39910202045397852</v>
      </c>
      <c r="Q21" s="22">
        <f t="shared" si="9"/>
        <v>0.53737358659551449</v>
      </c>
      <c r="R21" s="22">
        <f t="shared" si="10"/>
        <v>0.55037456046476074</v>
      </c>
      <c r="S21" s="22">
        <f t="shared" si="11"/>
        <v>0.45540134457246989</v>
      </c>
      <c r="T21" s="22">
        <f t="shared" si="12"/>
        <v>0.49027618891975816</v>
      </c>
    </row>
    <row r="22" spans="1:20">
      <c r="A22" s="18">
        <v>2036</v>
      </c>
      <c r="B22" s="21">
        <v>9221</v>
      </c>
      <c r="C22" s="21">
        <v>9257</v>
      </c>
      <c r="D22" s="21">
        <v>8160</v>
      </c>
      <c r="E22" s="21">
        <v>9600</v>
      </c>
      <c r="F22" s="21">
        <v>8550</v>
      </c>
      <c r="G22" s="21">
        <v>6350</v>
      </c>
      <c r="H22" s="21">
        <v>6200</v>
      </c>
      <c r="I22" s="21">
        <v>7493</v>
      </c>
      <c r="J22" s="21">
        <v>6960</v>
      </c>
      <c r="K22" s="24">
        <f t="shared" si="3"/>
        <v>2036</v>
      </c>
      <c r="L22" s="22">
        <f t="shared" si="4"/>
        <v>0.37005989316576476</v>
      </c>
      <c r="M22" s="22">
        <f t="shared" si="5"/>
        <v>0.36862074914999637</v>
      </c>
      <c r="N22" s="22">
        <f t="shared" si="6"/>
        <v>0.41817674937273491</v>
      </c>
      <c r="O22" s="22">
        <f t="shared" si="7"/>
        <v>0.35545023696682471</v>
      </c>
      <c r="P22" s="22">
        <f t="shared" si="8"/>
        <v>0.39910202045397852</v>
      </c>
      <c r="Q22" s="22">
        <f t="shared" si="9"/>
        <v>0.53737358659551449</v>
      </c>
      <c r="R22" s="22">
        <f t="shared" si="10"/>
        <v>0.55037456046476074</v>
      </c>
      <c r="S22" s="22">
        <f t="shared" si="11"/>
        <v>0.45540134457246989</v>
      </c>
      <c r="T22" s="22">
        <f t="shared" si="12"/>
        <v>0.49027618891975816</v>
      </c>
    </row>
    <row r="23" spans="1:20">
      <c r="A23" s="18">
        <v>2037</v>
      </c>
      <c r="B23" s="21">
        <v>9221</v>
      </c>
      <c r="C23" s="21">
        <v>9257</v>
      </c>
      <c r="D23" s="21">
        <v>8160</v>
      </c>
      <c r="E23" s="21">
        <v>9600</v>
      </c>
      <c r="F23" s="21">
        <v>8550</v>
      </c>
      <c r="G23" s="21">
        <v>6350</v>
      </c>
      <c r="H23" s="21">
        <v>6200</v>
      </c>
      <c r="I23" s="21">
        <v>7493</v>
      </c>
      <c r="J23" s="21">
        <v>6960</v>
      </c>
      <c r="K23" s="24">
        <f t="shared" si="3"/>
        <v>2037</v>
      </c>
      <c r="L23" s="22">
        <f t="shared" si="4"/>
        <v>0.37005989316576476</v>
      </c>
      <c r="M23" s="22">
        <f t="shared" si="5"/>
        <v>0.36862074914999637</v>
      </c>
      <c r="N23" s="22">
        <f t="shared" si="6"/>
        <v>0.41817674937273491</v>
      </c>
      <c r="O23" s="22">
        <f t="shared" si="7"/>
        <v>0.35545023696682471</v>
      </c>
      <c r="P23" s="22">
        <f t="shared" si="8"/>
        <v>0.39910202045397852</v>
      </c>
      <c r="Q23" s="22">
        <f t="shared" si="9"/>
        <v>0.53737358659551449</v>
      </c>
      <c r="R23" s="22">
        <f t="shared" si="10"/>
        <v>0.55037456046476074</v>
      </c>
      <c r="S23" s="22">
        <f t="shared" si="11"/>
        <v>0.45540134457246989</v>
      </c>
      <c r="T23" s="22">
        <f t="shared" si="12"/>
        <v>0.49027618891975816</v>
      </c>
    </row>
    <row r="24" spans="1:20">
      <c r="A24" s="18">
        <v>2038</v>
      </c>
      <c r="B24" s="21">
        <v>9221</v>
      </c>
      <c r="C24" s="21">
        <v>9257</v>
      </c>
      <c r="D24" s="21">
        <v>8160</v>
      </c>
      <c r="E24" s="21">
        <v>9600</v>
      </c>
      <c r="F24" s="21">
        <v>8550</v>
      </c>
      <c r="G24" s="21">
        <v>6350</v>
      </c>
      <c r="H24" s="21">
        <v>6200</v>
      </c>
      <c r="I24" s="21">
        <v>7493</v>
      </c>
      <c r="J24" s="21">
        <v>6960</v>
      </c>
      <c r="K24" s="24">
        <f t="shared" si="3"/>
        <v>2038</v>
      </c>
      <c r="L24" s="22">
        <f t="shared" si="4"/>
        <v>0.37005989316576476</v>
      </c>
      <c r="M24" s="22">
        <f t="shared" si="5"/>
        <v>0.36862074914999637</v>
      </c>
      <c r="N24" s="22">
        <f t="shared" si="6"/>
        <v>0.41817674937273491</v>
      </c>
      <c r="O24" s="22">
        <f t="shared" si="7"/>
        <v>0.35545023696682471</v>
      </c>
      <c r="P24" s="22">
        <f t="shared" si="8"/>
        <v>0.39910202045397852</v>
      </c>
      <c r="Q24" s="22">
        <f t="shared" si="9"/>
        <v>0.53737358659551449</v>
      </c>
      <c r="R24" s="22">
        <f t="shared" si="10"/>
        <v>0.55037456046476074</v>
      </c>
      <c r="S24" s="22">
        <f t="shared" si="11"/>
        <v>0.45540134457246989</v>
      </c>
      <c r="T24" s="22">
        <f t="shared" si="12"/>
        <v>0.49027618891975816</v>
      </c>
    </row>
    <row r="25" spans="1:20">
      <c r="A25" s="18">
        <v>2039</v>
      </c>
      <c r="B25" s="21">
        <v>9221</v>
      </c>
      <c r="C25" s="21">
        <v>9257</v>
      </c>
      <c r="D25" s="21">
        <v>8160</v>
      </c>
      <c r="E25" s="21">
        <v>9600</v>
      </c>
      <c r="F25" s="21">
        <v>8550</v>
      </c>
      <c r="G25" s="21">
        <v>6350</v>
      </c>
      <c r="H25" s="21">
        <v>6200</v>
      </c>
      <c r="I25" s="21">
        <v>7493</v>
      </c>
      <c r="J25" s="21">
        <v>6960</v>
      </c>
      <c r="K25" s="24">
        <f t="shared" si="3"/>
        <v>2039</v>
      </c>
      <c r="L25" s="22">
        <f t="shared" si="4"/>
        <v>0.37005989316576476</v>
      </c>
      <c r="M25" s="22">
        <f t="shared" si="5"/>
        <v>0.36862074914999637</v>
      </c>
      <c r="N25" s="22">
        <f t="shared" si="6"/>
        <v>0.41817674937273491</v>
      </c>
      <c r="O25" s="22">
        <f t="shared" si="7"/>
        <v>0.35545023696682471</v>
      </c>
      <c r="P25" s="22">
        <f t="shared" si="8"/>
        <v>0.39910202045397852</v>
      </c>
      <c r="Q25" s="22">
        <f t="shared" si="9"/>
        <v>0.53737358659551449</v>
      </c>
      <c r="R25" s="22">
        <f t="shared" si="10"/>
        <v>0.55037456046476074</v>
      </c>
      <c r="S25" s="22">
        <f t="shared" si="11"/>
        <v>0.45540134457246989</v>
      </c>
      <c r="T25" s="22">
        <f t="shared" si="12"/>
        <v>0.49027618891975816</v>
      </c>
    </row>
    <row r="26" spans="1:20">
      <c r="A26" s="18">
        <v>2040</v>
      </c>
      <c r="B26" s="21">
        <v>9221</v>
      </c>
      <c r="C26" s="21">
        <v>9257</v>
      </c>
      <c r="D26" s="21">
        <v>8160</v>
      </c>
      <c r="E26" s="21">
        <v>9600</v>
      </c>
      <c r="F26" s="21">
        <v>8550</v>
      </c>
      <c r="G26" s="21">
        <v>6350</v>
      </c>
      <c r="H26" s="21">
        <v>6200</v>
      </c>
      <c r="I26" s="21">
        <v>7493</v>
      </c>
      <c r="J26" s="21">
        <v>6960</v>
      </c>
      <c r="K26" s="24">
        <f t="shared" si="3"/>
        <v>2040</v>
      </c>
      <c r="L26" s="22">
        <f t="shared" si="4"/>
        <v>0.37005989316576476</v>
      </c>
      <c r="M26" s="22">
        <f t="shared" si="5"/>
        <v>0.36862074914999637</v>
      </c>
      <c r="N26" s="22">
        <f t="shared" si="6"/>
        <v>0.41817674937273491</v>
      </c>
      <c r="O26" s="22">
        <f t="shared" si="7"/>
        <v>0.35545023696682471</v>
      </c>
      <c r="P26" s="22">
        <f t="shared" si="8"/>
        <v>0.39910202045397852</v>
      </c>
      <c r="Q26" s="22">
        <f t="shared" si="9"/>
        <v>0.53737358659551449</v>
      </c>
      <c r="R26" s="22">
        <f t="shared" si="10"/>
        <v>0.55037456046476074</v>
      </c>
      <c r="S26" s="22">
        <f t="shared" si="11"/>
        <v>0.45540134457246989</v>
      </c>
      <c r="T26" s="22">
        <f t="shared" si="12"/>
        <v>0.49027618891975816</v>
      </c>
    </row>
    <row r="27" spans="1:20">
      <c r="A27" s="18">
        <v>2041</v>
      </c>
      <c r="B27" s="21">
        <v>9221</v>
      </c>
      <c r="C27" s="21">
        <v>9257</v>
      </c>
      <c r="D27" s="21">
        <v>8160</v>
      </c>
      <c r="E27" s="21">
        <v>9600</v>
      </c>
      <c r="F27" s="21">
        <v>8550</v>
      </c>
      <c r="G27" s="21">
        <v>6350</v>
      </c>
      <c r="H27" s="21">
        <v>6200</v>
      </c>
      <c r="I27" s="21">
        <v>7493</v>
      </c>
      <c r="J27" s="21">
        <v>6960</v>
      </c>
      <c r="K27" s="24">
        <f t="shared" si="3"/>
        <v>2041</v>
      </c>
      <c r="L27" s="22">
        <f t="shared" si="4"/>
        <v>0.37005989316576476</v>
      </c>
      <c r="M27" s="22">
        <f t="shared" si="5"/>
        <v>0.36862074914999637</v>
      </c>
      <c r="N27" s="22">
        <f t="shared" si="6"/>
        <v>0.41817674937273491</v>
      </c>
      <c r="O27" s="22">
        <f t="shared" si="7"/>
        <v>0.35545023696682471</v>
      </c>
      <c r="P27" s="22">
        <f t="shared" si="8"/>
        <v>0.39910202045397852</v>
      </c>
      <c r="Q27" s="22">
        <f t="shared" si="9"/>
        <v>0.53737358659551449</v>
      </c>
      <c r="R27" s="22">
        <f t="shared" si="10"/>
        <v>0.55037456046476074</v>
      </c>
      <c r="S27" s="22">
        <f t="shared" si="11"/>
        <v>0.45540134457246989</v>
      </c>
      <c r="T27" s="22">
        <f t="shared" si="12"/>
        <v>0.49027618891975816</v>
      </c>
    </row>
    <row r="28" spans="1:20">
      <c r="A28" s="18">
        <v>2042</v>
      </c>
      <c r="B28" s="21">
        <v>9221</v>
      </c>
      <c r="C28" s="21">
        <v>9257</v>
      </c>
      <c r="D28" s="21">
        <v>8160</v>
      </c>
      <c r="E28" s="21">
        <v>9600</v>
      </c>
      <c r="F28" s="21">
        <v>8550</v>
      </c>
      <c r="G28" s="21">
        <v>6350</v>
      </c>
      <c r="H28" s="21">
        <v>6200</v>
      </c>
      <c r="I28" s="21">
        <v>7493</v>
      </c>
      <c r="J28" s="21">
        <v>6960</v>
      </c>
      <c r="K28" s="24">
        <f t="shared" si="3"/>
        <v>2042</v>
      </c>
      <c r="L28" s="22">
        <f t="shared" si="4"/>
        <v>0.37005989316576476</v>
      </c>
      <c r="M28" s="22">
        <f t="shared" si="5"/>
        <v>0.36862074914999637</v>
      </c>
      <c r="N28" s="22">
        <f t="shared" si="6"/>
        <v>0.41817674937273491</v>
      </c>
      <c r="O28" s="22">
        <f t="shared" si="7"/>
        <v>0.35545023696682471</v>
      </c>
      <c r="P28" s="22">
        <f t="shared" si="8"/>
        <v>0.39910202045397852</v>
      </c>
      <c r="Q28" s="22">
        <f t="shared" si="9"/>
        <v>0.53737358659551449</v>
      </c>
      <c r="R28" s="22">
        <f t="shared" si="10"/>
        <v>0.55037456046476074</v>
      </c>
      <c r="S28" s="22">
        <f t="shared" si="11"/>
        <v>0.45540134457246989</v>
      </c>
      <c r="T28" s="22">
        <f t="shared" si="12"/>
        <v>0.49027618891975816</v>
      </c>
    </row>
    <row r="29" spans="1:20">
      <c r="A29" s="18">
        <v>2043</v>
      </c>
      <c r="B29" s="21">
        <v>9221</v>
      </c>
      <c r="C29" s="21">
        <v>9257</v>
      </c>
      <c r="D29" s="21">
        <v>8160</v>
      </c>
      <c r="E29" s="21">
        <v>9600</v>
      </c>
      <c r="F29" s="21">
        <v>8550</v>
      </c>
      <c r="G29" s="21">
        <v>6350</v>
      </c>
      <c r="H29" s="21">
        <v>6200</v>
      </c>
      <c r="I29" s="21">
        <v>7493</v>
      </c>
      <c r="J29" s="21">
        <v>6960</v>
      </c>
      <c r="K29" s="24">
        <f t="shared" si="3"/>
        <v>2043</v>
      </c>
      <c r="L29" s="22">
        <f t="shared" si="4"/>
        <v>0.37005989316576476</v>
      </c>
      <c r="M29" s="22">
        <f t="shared" si="5"/>
        <v>0.36862074914999637</v>
      </c>
      <c r="N29" s="22">
        <f t="shared" si="6"/>
        <v>0.41817674937273491</v>
      </c>
      <c r="O29" s="22">
        <f t="shared" si="7"/>
        <v>0.35545023696682471</v>
      </c>
      <c r="P29" s="22">
        <f t="shared" si="8"/>
        <v>0.39910202045397852</v>
      </c>
      <c r="Q29" s="22">
        <f t="shared" si="9"/>
        <v>0.53737358659551449</v>
      </c>
      <c r="R29" s="22">
        <f t="shared" si="10"/>
        <v>0.55037456046476074</v>
      </c>
      <c r="S29" s="22">
        <f t="shared" si="11"/>
        <v>0.45540134457246989</v>
      </c>
      <c r="T29" s="22">
        <f t="shared" si="12"/>
        <v>0.49027618891975816</v>
      </c>
    </row>
    <row r="30" spans="1:20">
      <c r="A30" s="18">
        <v>2044</v>
      </c>
      <c r="B30" s="21">
        <v>9221</v>
      </c>
      <c r="C30" s="21">
        <v>9257</v>
      </c>
      <c r="D30" s="21">
        <v>8160</v>
      </c>
      <c r="E30" s="21">
        <v>9600</v>
      </c>
      <c r="F30" s="21">
        <v>8550</v>
      </c>
      <c r="G30" s="21">
        <v>6350</v>
      </c>
      <c r="H30" s="21">
        <v>6200</v>
      </c>
      <c r="I30" s="21">
        <v>7493</v>
      </c>
      <c r="J30" s="21">
        <v>6960</v>
      </c>
      <c r="K30" s="24">
        <f t="shared" si="3"/>
        <v>2044</v>
      </c>
      <c r="L30" s="22">
        <f t="shared" si="4"/>
        <v>0.37005989316576476</v>
      </c>
      <c r="M30" s="22">
        <f t="shared" si="5"/>
        <v>0.36862074914999637</v>
      </c>
      <c r="N30" s="22">
        <f t="shared" si="6"/>
        <v>0.41817674937273491</v>
      </c>
      <c r="O30" s="22">
        <f t="shared" si="7"/>
        <v>0.35545023696682471</v>
      </c>
      <c r="P30" s="22">
        <f t="shared" si="8"/>
        <v>0.39910202045397852</v>
      </c>
      <c r="Q30" s="22">
        <f t="shared" si="9"/>
        <v>0.53737358659551449</v>
      </c>
      <c r="R30" s="22">
        <f t="shared" si="10"/>
        <v>0.55037456046476074</v>
      </c>
      <c r="S30" s="22">
        <f t="shared" si="11"/>
        <v>0.45540134457246989</v>
      </c>
      <c r="T30" s="22">
        <f t="shared" si="12"/>
        <v>0.49027618891975816</v>
      </c>
    </row>
    <row r="31" spans="1:20">
      <c r="A31" s="18">
        <v>2045</v>
      </c>
      <c r="B31" s="21">
        <v>9221</v>
      </c>
      <c r="C31" s="21">
        <v>9257</v>
      </c>
      <c r="D31" s="21">
        <v>8160</v>
      </c>
      <c r="E31" s="21">
        <v>9600</v>
      </c>
      <c r="F31" s="21">
        <v>8550</v>
      </c>
      <c r="G31" s="21">
        <v>6350</v>
      </c>
      <c r="H31" s="21">
        <v>6200</v>
      </c>
      <c r="I31" s="21">
        <v>7493</v>
      </c>
      <c r="J31" s="21">
        <v>6960</v>
      </c>
      <c r="K31" s="24">
        <f t="shared" si="3"/>
        <v>2045</v>
      </c>
      <c r="L31" s="22">
        <f t="shared" si="4"/>
        <v>0.37005989316576476</v>
      </c>
      <c r="M31" s="22">
        <f t="shared" si="5"/>
        <v>0.36862074914999637</v>
      </c>
      <c r="N31" s="22">
        <f t="shared" si="6"/>
        <v>0.41817674937273491</v>
      </c>
      <c r="O31" s="22">
        <f t="shared" si="7"/>
        <v>0.35545023696682471</v>
      </c>
      <c r="P31" s="22">
        <f t="shared" si="8"/>
        <v>0.39910202045397852</v>
      </c>
      <c r="Q31" s="22">
        <f t="shared" si="9"/>
        <v>0.53737358659551449</v>
      </c>
      <c r="R31" s="22">
        <f t="shared" si="10"/>
        <v>0.55037456046476074</v>
      </c>
      <c r="S31" s="22">
        <f t="shared" si="11"/>
        <v>0.45540134457246989</v>
      </c>
      <c r="T31" s="22">
        <f t="shared" si="12"/>
        <v>0.49027618891975816</v>
      </c>
    </row>
    <row r="32" spans="1:20">
      <c r="A32" s="18">
        <v>2046</v>
      </c>
      <c r="B32" s="21">
        <v>9221</v>
      </c>
      <c r="C32" s="21">
        <v>9257</v>
      </c>
      <c r="D32" s="21">
        <v>8160</v>
      </c>
      <c r="E32" s="21">
        <v>9600</v>
      </c>
      <c r="F32" s="21">
        <v>8550</v>
      </c>
      <c r="G32" s="21">
        <v>6350</v>
      </c>
      <c r="H32" s="21">
        <v>6200</v>
      </c>
      <c r="I32" s="21">
        <v>7493</v>
      </c>
      <c r="J32" s="21">
        <v>6960</v>
      </c>
      <c r="K32" s="24">
        <f t="shared" si="3"/>
        <v>2046</v>
      </c>
      <c r="L32" s="22">
        <f t="shared" si="4"/>
        <v>0.37005989316576476</v>
      </c>
      <c r="M32" s="22">
        <f t="shared" si="5"/>
        <v>0.36862074914999637</v>
      </c>
      <c r="N32" s="22">
        <f t="shared" si="6"/>
        <v>0.41817674937273491</v>
      </c>
      <c r="O32" s="22">
        <f t="shared" si="7"/>
        <v>0.35545023696682471</v>
      </c>
      <c r="P32" s="22">
        <f t="shared" si="8"/>
        <v>0.39910202045397852</v>
      </c>
      <c r="Q32" s="22">
        <f t="shared" si="9"/>
        <v>0.53737358659551449</v>
      </c>
      <c r="R32" s="22">
        <f t="shared" si="10"/>
        <v>0.55037456046476074</v>
      </c>
      <c r="S32" s="22">
        <f t="shared" si="11"/>
        <v>0.45540134457246989</v>
      </c>
      <c r="T32" s="22">
        <f t="shared" si="12"/>
        <v>0.49027618891975816</v>
      </c>
    </row>
    <row r="33" spans="1:20">
      <c r="A33" s="18">
        <v>2047</v>
      </c>
      <c r="B33" s="21">
        <v>9221</v>
      </c>
      <c r="C33" s="21">
        <v>9257</v>
      </c>
      <c r="D33" s="21">
        <v>8160</v>
      </c>
      <c r="E33" s="21">
        <v>9600</v>
      </c>
      <c r="F33" s="21">
        <v>8550</v>
      </c>
      <c r="G33" s="21">
        <v>6350</v>
      </c>
      <c r="H33" s="21">
        <v>6200</v>
      </c>
      <c r="I33" s="21">
        <v>7493</v>
      </c>
      <c r="J33" s="21">
        <v>6960</v>
      </c>
      <c r="K33" s="24">
        <f t="shared" si="3"/>
        <v>2047</v>
      </c>
      <c r="L33" s="22">
        <f t="shared" si="4"/>
        <v>0.37005989316576476</v>
      </c>
      <c r="M33" s="22">
        <f t="shared" si="5"/>
        <v>0.36862074914999637</v>
      </c>
      <c r="N33" s="22">
        <f t="shared" si="6"/>
        <v>0.41817674937273491</v>
      </c>
      <c r="O33" s="22">
        <f t="shared" si="7"/>
        <v>0.35545023696682471</v>
      </c>
      <c r="P33" s="22">
        <f t="shared" si="8"/>
        <v>0.39910202045397852</v>
      </c>
      <c r="Q33" s="22">
        <f t="shared" si="9"/>
        <v>0.53737358659551449</v>
      </c>
      <c r="R33" s="22">
        <f t="shared" si="10"/>
        <v>0.55037456046476074</v>
      </c>
      <c r="S33" s="22">
        <f t="shared" si="11"/>
        <v>0.45540134457246989</v>
      </c>
      <c r="T33" s="22">
        <f t="shared" si="12"/>
        <v>0.49027618891975816</v>
      </c>
    </row>
    <row r="34" spans="1:20">
      <c r="A34" s="18">
        <v>2048</v>
      </c>
      <c r="B34" s="21">
        <v>9221</v>
      </c>
      <c r="C34" s="21">
        <v>9257</v>
      </c>
      <c r="D34" s="21">
        <v>8160</v>
      </c>
      <c r="E34" s="21">
        <v>9600</v>
      </c>
      <c r="F34" s="21">
        <v>8550</v>
      </c>
      <c r="G34" s="21">
        <v>6350</v>
      </c>
      <c r="H34" s="21">
        <v>6200</v>
      </c>
      <c r="I34" s="21">
        <v>7493</v>
      </c>
      <c r="J34" s="21">
        <v>6960</v>
      </c>
      <c r="K34" s="24">
        <f t="shared" si="3"/>
        <v>2048</v>
      </c>
      <c r="L34" s="22">
        <f t="shared" si="4"/>
        <v>0.37005989316576476</v>
      </c>
      <c r="M34" s="22">
        <f t="shared" si="5"/>
        <v>0.36862074914999637</v>
      </c>
      <c r="N34" s="22">
        <f t="shared" si="6"/>
        <v>0.41817674937273491</v>
      </c>
      <c r="O34" s="22">
        <f t="shared" si="7"/>
        <v>0.35545023696682471</v>
      </c>
      <c r="P34" s="22">
        <f t="shared" si="8"/>
        <v>0.39910202045397852</v>
      </c>
      <c r="Q34" s="22">
        <f t="shared" si="9"/>
        <v>0.53737358659551449</v>
      </c>
      <c r="R34" s="22">
        <f t="shared" si="10"/>
        <v>0.55037456046476074</v>
      </c>
      <c r="S34" s="22">
        <f t="shared" si="11"/>
        <v>0.45540134457246989</v>
      </c>
      <c r="T34" s="22">
        <f t="shared" si="12"/>
        <v>0.49027618891975816</v>
      </c>
    </row>
    <row r="35" spans="1:20">
      <c r="A35" s="18">
        <v>2049</v>
      </c>
      <c r="B35" s="21">
        <v>9221</v>
      </c>
      <c r="C35" s="21">
        <v>9257</v>
      </c>
      <c r="D35" s="21">
        <v>8160</v>
      </c>
      <c r="E35" s="21">
        <v>9600</v>
      </c>
      <c r="F35" s="21">
        <v>8550</v>
      </c>
      <c r="G35" s="21">
        <v>6350</v>
      </c>
      <c r="H35" s="21">
        <v>6200</v>
      </c>
      <c r="I35" s="21">
        <v>7493</v>
      </c>
      <c r="J35" s="21">
        <v>6960</v>
      </c>
      <c r="K35" s="24">
        <f t="shared" si="3"/>
        <v>2049</v>
      </c>
      <c r="L35" s="22">
        <f t="shared" si="4"/>
        <v>0.37005989316576476</v>
      </c>
      <c r="M35" s="22">
        <f t="shared" si="5"/>
        <v>0.36862074914999637</v>
      </c>
      <c r="N35" s="22">
        <f t="shared" si="6"/>
        <v>0.41817674937273491</v>
      </c>
      <c r="O35" s="22">
        <f t="shared" si="7"/>
        <v>0.35545023696682471</v>
      </c>
      <c r="P35" s="22">
        <f t="shared" si="8"/>
        <v>0.39910202045397852</v>
      </c>
      <c r="Q35" s="22">
        <f t="shared" si="9"/>
        <v>0.53737358659551449</v>
      </c>
      <c r="R35" s="22">
        <f t="shared" si="10"/>
        <v>0.55037456046476074</v>
      </c>
      <c r="S35" s="22">
        <f t="shared" si="11"/>
        <v>0.45540134457246989</v>
      </c>
      <c r="T35" s="22">
        <f t="shared" si="12"/>
        <v>0.49027618891975816</v>
      </c>
    </row>
    <row r="36" spans="1:20">
      <c r="A36" s="18">
        <v>2050</v>
      </c>
      <c r="B36" s="21">
        <v>9221</v>
      </c>
      <c r="C36" s="21">
        <v>9257</v>
      </c>
      <c r="D36" s="21">
        <v>8160</v>
      </c>
      <c r="E36" s="21">
        <v>9600</v>
      </c>
      <c r="F36" s="21">
        <v>8550</v>
      </c>
      <c r="G36" s="21">
        <v>6350</v>
      </c>
      <c r="H36" s="21">
        <v>6200</v>
      </c>
      <c r="I36" s="21">
        <v>7493</v>
      </c>
      <c r="J36" s="21">
        <v>6960</v>
      </c>
      <c r="K36" s="24">
        <f t="shared" si="3"/>
        <v>2050</v>
      </c>
      <c r="L36" s="22">
        <f t="shared" si="4"/>
        <v>0.37005989316576476</v>
      </c>
      <c r="M36" s="22">
        <f t="shared" si="5"/>
        <v>0.36862074914999637</v>
      </c>
      <c r="N36" s="22">
        <f t="shared" si="6"/>
        <v>0.41817674937273491</v>
      </c>
      <c r="O36" s="22">
        <f t="shared" si="7"/>
        <v>0.35545023696682471</v>
      </c>
      <c r="P36" s="22">
        <f t="shared" si="8"/>
        <v>0.39910202045397852</v>
      </c>
      <c r="Q36" s="22">
        <f t="shared" si="9"/>
        <v>0.53737358659551449</v>
      </c>
      <c r="R36" s="22">
        <f t="shared" si="10"/>
        <v>0.55037456046476074</v>
      </c>
      <c r="S36" s="22">
        <f t="shared" si="11"/>
        <v>0.45540134457246989</v>
      </c>
      <c r="T36" s="22">
        <f t="shared" si="12"/>
        <v>0.49027618891975816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R10"/>
  <sheetViews>
    <sheetView zoomScaleNormal="100" workbookViewId="0"/>
  </sheetViews>
  <sheetFormatPr defaultColWidth="8.88671875" defaultRowHeight="14.4"/>
  <cols>
    <col min="1" max="1" width="2.33203125" customWidth="1"/>
    <col min="2" max="2" width="12.109375" bestFit="1" customWidth="1"/>
    <col min="3" max="3" width="21.88671875" bestFit="1" customWidth="1"/>
    <col min="4" max="4" width="21.88671875" customWidth="1"/>
    <col min="5" max="5" width="7.88671875" bestFit="1" customWidth="1"/>
    <col min="6" max="6" width="9.44140625" bestFit="1" customWidth="1"/>
    <col min="7" max="7" width="6" bestFit="1" customWidth="1"/>
    <col min="8" max="8" width="2" bestFit="1" customWidth="1"/>
    <col min="9" max="9" width="4" bestFit="1" customWidth="1"/>
    <col min="10" max="10" width="10.44140625" customWidth="1"/>
    <col min="11" max="11" width="11.33203125" bestFit="1" customWidth="1"/>
    <col min="12" max="12" width="12.109375" bestFit="1" customWidth="1"/>
    <col min="13" max="13" width="31.44140625" bestFit="1" customWidth="1"/>
    <col min="14" max="14" width="5" bestFit="1" customWidth="1"/>
    <col min="15" max="15" width="4.44140625" bestFit="1" customWidth="1"/>
    <col min="16" max="16" width="5.109375" bestFit="1" customWidth="1"/>
    <col min="17" max="17" width="10.33203125" bestFit="1" customWidth="1"/>
    <col min="18" max="18" width="7.88671875" bestFit="1" customWidth="1"/>
  </cols>
  <sheetData>
    <row r="2" spans="1:18">
      <c r="G2" s="6"/>
      <c r="H2" s="2"/>
    </row>
    <row r="3" spans="1:18">
      <c r="A3" s="3"/>
      <c r="B3" s="3"/>
      <c r="D3" s="7" t="s">
        <v>64</v>
      </c>
      <c r="I3" s="2"/>
      <c r="J3" s="2"/>
      <c r="K3" s="9" t="s">
        <v>4</v>
      </c>
      <c r="L3" s="9"/>
      <c r="M3" s="9"/>
      <c r="N3" s="9"/>
      <c r="O3" s="9"/>
      <c r="P3" s="9"/>
      <c r="Q3" s="9"/>
    </row>
    <row r="4" spans="1:18">
      <c r="A4" s="4"/>
      <c r="B4" s="7" t="s">
        <v>0</v>
      </c>
      <c r="C4" s="7" t="s">
        <v>1</v>
      </c>
      <c r="D4" s="7" t="s">
        <v>2</v>
      </c>
      <c r="E4" t="s">
        <v>18</v>
      </c>
      <c r="F4" t="s">
        <v>63</v>
      </c>
      <c r="G4">
        <v>2020</v>
      </c>
      <c r="H4">
        <v>0</v>
      </c>
      <c r="I4" t="s">
        <v>70</v>
      </c>
      <c r="J4" s="3"/>
      <c r="K4" s="9" t="s">
        <v>5</v>
      </c>
      <c r="L4" s="9" t="s">
        <v>0</v>
      </c>
      <c r="M4" s="9" t="s">
        <v>6</v>
      </c>
      <c r="N4" s="9" t="s">
        <v>7</v>
      </c>
      <c r="O4" s="9" t="s">
        <v>8</v>
      </c>
      <c r="P4" s="9" t="s">
        <v>9</v>
      </c>
      <c r="Q4" s="9" t="s">
        <v>10</v>
      </c>
      <c r="R4" s="9" t="s">
        <v>11</v>
      </c>
    </row>
    <row r="5" spans="1:18">
      <c r="B5" s="13" t="str">
        <f>L5</f>
        <v>StoCO2-DOF</v>
      </c>
      <c r="C5" s="12" t="s">
        <v>68</v>
      </c>
      <c r="D5" s="12"/>
      <c r="E5" s="14">
        <f>20/1000</f>
        <v>0.02</v>
      </c>
      <c r="F5" s="15">
        <v>999999</v>
      </c>
      <c r="G5" s="15">
        <v>99999</v>
      </c>
      <c r="H5" s="15">
        <v>3</v>
      </c>
      <c r="I5" s="10"/>
      <c r="K5" s="9" t="s">
        <v>53</v>
      </c>
      <c r="L5" s="9" t="s">
        <v>57</v>
      </c>
      <c r="M5" s="9" t="s">
        <v>52</v>
      </c>
      <c r="N5" s="9"/>
      <c r="O5" s="9" t="s">
        <v>61</v>
      </c>
      <c r="P5" s="9" t="s">
        <v>62</v>
      </c>
      <c r="Q5" s="9"/>
      <c r="R5" s="9"/>
    </row>
    <row r="6" spans="1:18">
      <c r="B6" s="13" t="str">
        <f>L6</f>
        <v>StoCO2-DGF</v>
      </c>
      <c r="C6" s="12" t="s">
        <v>68</v>
      </c>
      <c r="D6" s="12"/>
      <c r="E6" s="14">
        <f>20/1000</f>
        <v>0.02</v>
      </c>
      <c r="F6" s="15">
        <v>999999</v>
      </c>
      <c r="G6" s="15">
        <v>99999</v>
      </c>
      <c r="H6" s="15">
        <v>3</v>
      </c>
      <c r="I6" s="10"/>
      <c r="K6" s="9"/>
      <c r="L6" s="9" t="s">
        <v>58</v>
      </c>
      <c r="M6" s="9" t="s">
        <v>54</v>
      </c>
      <c r="N6" s="9"/>
      <c r="O6" s="9" t="s">
        <v>61</v>
      </c>
      <c r="P6" s="9" t="s">
        <v>62</v>
      </c>
      <c r="Q6" s="9"/>
      <c r="R6" s="9"/>
    </row>
    <row r="7" spans="1:18">
      <c r="B7" s="13" t="str">
        <f>L7</f>
        <v>StoCO2-CBM</v>
      </c>
      <c r="C7" s="12" t="s">
        <v>68</v>
      </c>
      <c r="D7" s="12"/>
      <c r="E7" s="14">
        <f>20/1000</f>
        <v>0.02</v>
      </c>
      <c r="F7" s="15">
        <v>999999</v>
      </c>
      <c r="G7" s="15">
        <v>99999</v>
      </c>
      <c r="H7" s="15">
        <v>3</v>
      </c>
      <c r="I7" s="10"/>
      <c r="K7" s="9"/>
      <c r="L7" s="9" t="s">
        <v>59</v>
      </c>
      <c r="M7" s="9" t="s">
        <v>55</v>
      </c>
      <c r="N7" s="9"/>
      <c r="O7" s="9" t="s">
        <v>61</v>
      </c>
      <c r="P7" s="9" t="s">
        <v>62</v>
      </c>
      <c r="Q7" s="9"/>
      <c r="R7" s="9"/>
    </row>
    <row r="8" spans="1:18">
      <c r="B8" s="13" t="str">
        <f>L8</f>
        <v>StoCO2-AQF</v>
      </c>
      <c r="C8" s="12" t="s">
        <v>68</v>
      </c>
      <c r="D8" s="12"/>
      <c r="E8" s="14">
        <f>20/1000</f>
        <v>0.02</v>
      </c>
      <c r="F8" s="15">
        <v>999999</v>
      </c>
      <c r="G8" s="15">
        <v>99999</v>
      </c>
      <c r="H8" s="15">
        <v>3</v>
      </c>
      <c r="I8" s="10"/>
      <c r="K8" s="9"/>
      <c r="L8" s="9" t="s">
        <v>60</v>
      </c>
      <c r="M8" s="9" t="s">
        <v>56</v>
      </c>
      <c r="N8" s="9"/>
      <c r="O8" s="9" t="s">
        <v>61</v>
      </c>
      <c r="P8" s="9" t="s">
        <v>62</v>
      </c>
      <c r="Q8" s="9"/>
      <c r="R8" s="9"/>
    </row>
    <row r="9" spans="1:18">
      <c r="B9" t="s">
        <v>65</v>
      </c>
      <c r="K9" t="s">
        <v>65</v>
      </c>
    </row>
    <row r="10" spans="1:18">
      <c r="B10" s="13" t="str">
        <f>L10</f>
        <v>Pipeline-CO2</v>
      </c>
      <c r="C10" t="s">
        <v>69</v>
      </c>
      <c r="D10" t="str">
        <f>C8</f>
        <v>CO2ForStorage</v>
      </c>
      <c r="E10">
        <v>0.01</v>
      </c>
      <c r="I10">
        <v>1</v>
      </c>
      <c r="K10" t="s">
        <v>53</v>
      </c>
      <c r="L10" s="9" t="s">
        <v>66</v>
      </c>
      <c r="M10" s="9" t="s">
        <v>67</v>
      </c>
      <c r="O10" s="9" t="s">
        <v>61</v>
      </c>
      <c r="P10" s="9" t="s">
        <v>62</v>
      </c>
    </row>
  </sheetData>
  <pageMargins left="0.7" right="0.7" top="0.75" bottom="0.75" header="0.3" footer="0.3"/>
  <pageSetup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R26"/>
  <sheetViews>
    <sheetView workbookViewId="0">
      <selection activeCell="B14" sqref="B14:R16"/>
    </sheetView>
  </sheetViews>
  <sheetFormatPr defaultColWidth="8.88671875" defaultRowHeight="14.4"/>
  <cols>
    <col min="2" max="2" width="14" bestFit="1" customWidth="1"/>
    <col min="3" max="3" width="17.5546875" bestFit="1" customWidth="1"/>
    <col min="4" max="4" width="43.6640625" bestFit="1" customWidth="1"/>
    <col min="5" max="5" width="11.109375" bestFit="1" customWidth="1"/>
    <col min="6" max="6" width="13.33203125" bestFit="1" customWidth="1"/>
    <col min="7" max="7" width="12.109375" bestFit="1" customWidth="1"/>
    <col min="8" max="8" width="10.33203125" bestFit="1" customWidth="1"/>
    <col min="9" max="9" width="8.109375" bestFit="1" customWidth="1"/>
    <col min="10" max="10" width="19.33203125" bestFit="1" customWidth="1"/>
    <col min="11" max="11" width="8.88671875" bestFit="1" customWidth="1"/>
    <col min="12" max="12" width="14.33203125" bestFit="1" customWidth="1"/>
    <col min="13" max="13" width="4.44140625" bestFit="1" customWidth="1"/>
    <col min="14" max="14" width="12.88671875" bestFit="1" customWidth="1"/>
    <col min="15" max="15" width="6.88671875" bestFit="1" customWidth="1"/>
    <col min="16" max="16" width="18.5546875" bestFit="1" customWidth="1"/>
  </cols>
  <sheetData>
    <row r="2" spans="2:18">
      <c r="B2" t="s">
        <v>4</v>
      </c>
    </row>
    <row r="3" spans="2:18">
      <c r="B3" s="9" t="s">
        <v>5</v>
      </c>
      <c r="C3" s="9" t="s">
        <v>0</v>
      </c>
      <c r="D3" s="9" t="s">
        <v>6</v>
      </c>
      <c r="E3" s="9" t="s">
        <v>8</v>
      </c>
      <c r="F3" s="9" t="s">
        <v>9</v>
      </c>
      <c r="G3" s="9" t="s">
        <v>7</v>
      </c>
      <c r="H3" s="9" t="s">
        <v>10</v>
      </c>
    </row>
    <row r="4" spans="2:18">
      <c r="B4" s="9" t="s">
        <v>71</v>
      </c>
      <c r="C4" s="9" t="s">
        <v>140</v>
      </c>
      <c r="D4" s="9" t="s">
        <v>141</v>
      </c>
      <c r="E4" s="9" t="s">
        <v>48</v>
      </c>
      <c r="F4" s="9" t="s">
        <v>14</v>
      </c>
      <c r="G4" s="9" t="s">
        <v>13</v>
      </c>
      <c r="H4" s="9"/>
    </row>
    <row r="5" spans="2:18">
      <c r="B5" s="9" t="s">
        <v>12</v>
      </c>
      <c r="C5" s="9" t="s">
        <v>93</v>
      </c>
      <c r="D5" s="9" t="s">
        <v>94</v>
      </c>
      <c r="E5" s="9" t="s">
        <v>48</v>
      </c>
      <c r="F5" s="9" t="s">
        <v>14</v>
      </c>
      <c r="G5" s="9" t="s">
        <v>13</v>
      </c>
      <c r="H5" s="9"/>
    </row>
    <row r="6" spans="2:18">
      <c r="B6" s="13" t="s">
        <v>71</v>
      </c>
      <c r="C6" s="13" t="s">
        <v>157</v>
      </c>
      <c r="D6" s="13" t="s">
        <v>158</v>
      </c>
      <c r="E6" s="13" t="s">
        <v>48</v>
      </c>
      <c r="F6" s="13" t="s">
        <v>14</v>
      </c>
      <c r="G6" s="13" t="s">
        <v>13</v>
      </c>
      <c r="H6" s="13"/>
    </row>
    <row r="8" spans="2:18" s="12" customFormat="1">
      <c r="D8" s="36"/>
      <c r="G8" s="12" t="s">
        <v>72</v>
      </c>
    </row>
    <row r="9" spans="2:18">
      <c r="B9" t="s">
        <v>0</v>
      </c>
      <c r="C9" t="s">
        <v>1</v>
      </c>
      <c r="D9" s="36" t="s">
        <v>153</v>
      </c>
      <c r="E9" t="s">
        <v>2</v>
      </c>
      <c r="F9" t="s">
        <v>73</v>
      </c>
      <c r="G9" t="s">
        <v>74</v>
      </c>
      <c r="H9" t="s">
        <v>75</v>
      </c>
      <c r="I9" t="s">
        <v>76</v>
      </c>
      <c r="J9" t="s">
        <v>77</v>
      </c>
      <c r="K9" t="s">
        <v>78</v>
      </c>
      <c r="L9" t="s">
        <v>139</v>
      </c>
      <c r="M9" t="s">
        <v>17</v>
      </c>
      <c r="N9" t="s">
        <v>131</v>
      </c>
      <c r="O9" t="s">
        <v>23</v>
      </c>
      <c r="P9" s="36" t="s">
        <v>154</v>
      </c>
      <c r="Q9" s="36" t="s">
        <v>155</v>
      </c>
    </row>
    <row r="10" spans="2:18">
      <c r="B10" t="s">
        <v>140</v>
      </c>
      <c r="C10" t="s">
        <v>35</v>
      </c>
      <c r="D10" s="36"/>
      <c r="E10" t="s">
        <v>35</v>
      </c>
      <c r="G10" t="s">
        <v>142</v>
      </c>
      <c r="H10">
        <v>0.85</v>
      </c>
      <c r="I10" s="34">
        <v>29.891943130000001</v>
      </c>
      <c r="J10">
        <v>1</v>
      </c>
      <c r="K10">
        <v>1391</v>
      </c>
      <c r="M10">
        <v>100</v>
      </c>
      <c r="N10" s="36"/>
      <c r="O10">
        <v>24.8</v>
      </c>
    </row>
    <row r="11" spans="2:18">
      <c r="D11" s="13"/>
      <c r="F11" t="s">
        <v>151</v>
      </c>
      <c r="G11" t="str">
        <f>F11</f>
        <v>AuxStoOUT</v>
      </c>
      <c r="I11" s="34"/>
      <c r="L11" s="34">
        <f>1/H10</f>
        <v>1.1764705882352942</v>
      </c>
      <c r="N11" s="36"/>
    </row>
    <row r="12" spans="2:18" s="36" customFormat="1">
      <c r="D12" s="13"/>
      <c r="F12" s="13" t="str">
        <f>C25</f>
        <v>AuxStoIN</v>
      </c>
      <c r="G12" s="36" t="s">
        <v>35</v>
      </c>
      <c r="I12" s="34"/>
      <c r="P12" s="36">
        <v>1</v>
      </c>
    </row>
    <row r="13" spans="2:18" s="12" customFormat="1">
      <c r="B13" t="s">
        <v>93</v>
      </c>
      <c r="D13" s="36"/>
      <c r="E13" s="12" t="s">
        <v>95</v>
      </c>
      <c r="I13" s="34">
        <v>29.891943130000001</v>
      </c>
      <c r="M13" s="12">
        <v>1</v>
      </c>
      <c r="N13" s="36">
        <v>0</v>
      </c>
      <c r="Q13" s="12">
        <v>3</v>
      </c>
    </row>
    <row r="14" spans="2:18" s="12" customFormat="1">
      <c r="B14" s="13" t="str">
        <f>C6</f>
        <v>EN_STG_PHS</v>
      </c>
      <c r="C14" s="36" t="s">
        <v>35</v>
      </c>
      <c r="D14" s="36"/>
      <c r="E14" s="36" t="s">
        <v>35</v>
      </c>
      <c r="F14" s="36"/>
      <c r="G14" s="36" t="s">
        <v>142</v>
      </c>
      <c r="H14" s="36">
        <v>0.8</v>
      </c>
      <c r="I14" s="34">
        <v>29.891943130000001</v>
      </c>
      <c r="J14" s="36">
        <v>1</v>
      </c>
      <c r="K14" s="36">
        <v>1200</v>
      </c>
      <c r="L14" s="36"/>
      <c r="M14" s="36">
        <v>50</v>
      </c>
      <c r="N14" s="36"/>
      <c r="O14" s="36">
        <v>17</v>
      </c>
      <c r="P14" s="36"/>
      <c r="Q14" s="36"/>
      <c r="R14" s="36"/>
    </row>
    <row r="15" spans="2:18">
      <c r="B15" s="36"/>
      <c r="C15" s="36"/>
      <c r="D15" s="13"/>
      <c r="E15" s="36"/>
      <c r="F15" s="36" t="s">
        <v>151</v>
      </c>
      <c r="G15" s="36" t="str">
        <f>F15</f>
        <v>AuxStoOUT</v>
      </c>
      <c r="H15" s="36"/>
      <c r="I15" s="34"/>
      <c r="J15" s="36"/>
      <c r="K15" s="36"/>
      <c r="L15" s="34">
        <f>1/H14</f>
        <v>1.25</v>
      </c>
      <c r="M15" s="36"/>
      <c r="N15" s="36"/>
      <c r="O15" s="36"/>
      <c r="P15" s="36"/>
      <c r="Q15" s="36"/>
      <c r="R15" s="36"/>
    </row>
    <row r="16" spans="2:18">
      <c r="B16" s="36"/>
      <c r="C16" s="36"/>
      <c r="D16" s="13"/>
      <c r="E16" s="36"/>
      <c r="F16" s="13" t="str">
        <f>C25</f>
        <v>AuxStoIN</v>
      </c>
      <c r="G16" s="36" t="s">
        <v>35</v>
      </c>
      <c r="H16" s="36"/>
      <c r="I16" s="34"/>
      <c r="J16" s="36"/>
      <c r="K16" s="36"/>
      <c r="L16" s="36"/>
      <c r="M16" s="36"/>
      <c r="N16" s="36"/>
      <c r="O16" s="36"/>
      <c r="P16" s="36">
        <v>1</v>
      </c>
      <c r="Q16" s="36"/>
      <c r="R16" s="36"/>
    </row>
    <row r="23" spans="2:9">
      <c r="B23" s="9" t="s">
        <v>79</v>
      </c>
      <c r="C23" s="9"/>
      <c r="D23" s="9"/>
      <c r="E23" s="9"/>
      <c r="F23" s="9"/>
      <c r="G23" s="9"/>
      <c r="H23" s="9"/>
      <c r="I23" s="9"/>
    </row>
    <row r="24" spans="2:9">
      <c r="B24" s="9" t="s">
        <v>80</v>
      </c>
      <c r="C24" s="9" t="s">
        <v>81</v>
      </c>
      <c r="D24" s="9" t="s">
        <v>82</v>
      </c>
      <c r="E24" s="9" t="s">
        <v>83</v>
      </c>
      <c r="F24" s="9" t="s">
        <v>84</v>
      </c>
      <c r="G24" s="9" t="s">
        <v>85</v>
      </c>
      <c r="H24" s="9" t="s">
        <v>86</v>
      </c>
      <c r="I24" s="9" t="s">
        <v>87</v>
      </c>
    </row>
    <row r="25" spans="2:9">
      <c r="B25" s="9" t="s">
        <v>88</v>
      </c>
      <c r="C25" s="9" t="s">
        <v>149</v>
      </c>
      <c r="D25" s="9" t="s">
        <v>150</v>
      </c>
      <c r="E25" s="9" t="s">
        <v>48</v>
      </c>
      <c r="F25" s="9"/>
      <c r="G25" s="9"/>
      <c r="H25" s="9"/>
      <c r="I25" s="9"/>
    </row>
    <row r="26" spans="2:9">
      <c r="C26" s="13" t="s">
        <v>151</v>
      </c>
      <c r="D26" s="13" t="s">
        <v>152</v>
      </c>
      <c r="E26" s="13" t="s">
        <v>48</v>
      </c>
      <c r="F26" s="13"/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06C72-0B72-4A5E-8916-3E1F703BEA1A}">
  <dimension ref="A1:AG51"/>
  <sheetViews>
    <sheetView workbookViewId="0">
      <selection activeCell="E32" sqref="E32"/>
    </sheetView>
  </sheetViews>
  <sheetFormatPr defaultRowHeight="14.4"/>
  <cols>
    <col min="1" max="1" width="90" bestFit="1" customWidth="1"/>
    <col min="2" max="4" width="12" bestFit="1" customWidth="1"/>
    <col min="5" max="5" width="28.21875" bestFit="1" customWidth="1"/>
    <col min="6" max="6" width="15.77734375" bestFit="1" customWidth="1"/>
  </cols>
  <sheetData>
    <row r="1" spans="1:7" ht="21">
      <c r="A1" s="46" t="s">
        <v>173</v>
      </c>
      <c r="B1" t="s">
        <v>196</v>
      </c>
    </row>
    <row r="3" spans="1:7">
      <c r="A3" s="49" t="s">
        <v>161</v>
      </c>
      <c r="B3" s="47"/>
      <c r="C3" s="47"/>
      <c r="D3" s="47"/>
    </row>
    <row r="4" spans="1:7">
      <c r="A4" s="47"/>
      <c r="B4" s="47" t="s">
        <v>162</v>
      </c>
      <c r="C4" s="47" t="s">
        <v>163</v>
      </c>
      <c r="D4" s="47" t="s">
        <v>164</v>
      </c>
    </row>
    <row r="5" spans="1:7">
      <c r="A5" s="49" t="s">
        <v>165</v>
      </c>
      <c r="B5" s="47"/>
      <c r="C5" s="49"/>
      <c r="D5" s="49"/>
      <c r="G5" t="s">
        <v>197</v>
      </c>
    </row>
    <row r="6" spans="1:7">
      <c r="A6" s="51" t="s">
        <v>166</v>
      </c>
      <c r="B6" s="50">
        <v>677.9</v>
      </c>
      <c r="C6" s="50">
        <v>620.5</v>
      </c>
      <c r="D6" s="50">
        <v>563.5</v>
      </c>
      <c r="G6" s="52">
        <v>1.1169</v>
      </c>
    </row>
    <row r="7" spans="1:7">
      <c r="A7" s="51" t="s">
        <v>167</v>
      </c>
      <c r="B7" s="50">
        <v>830.3</v>
      </c>
      <c r="C7" s="50">
        <v>760</v>
      </c>
      <c r="D7" s="50">
        <v>690.3</v>
      </c>
    </row>
    <row r="8" spans="1:7">
      <c r="A8" s="51" t="s">
        <v>168</v>
      </c>
      <c r="B8" s="50">
        <v>15841986</v>
      </c>
      <c r="C8" s="50">
        <v>18316097</v>
      </c>
      <c r="D8" s="50">
        <v>19651293</v>
      </c>
    </row>
    <row r="9" spans="1:7">
      <c r="A9" s="51" t="s">
        <v>169</v>
      </c>
      <c r="B9" s="50">
        <v>6287038</v>
      </c>
      <c r="C9" s="50">
        <v>7482061</v>
      </c>
      <c r="D9" s="50">
        <v>8126976</v>
      </c>
    </row>
    <row r="10" spans="1:7">
      <c r="A10" s="51"/>
      <c r="B10" s="50"/>
      <c r="C10" s="50"/>
      <c r="D10" s="50"/>
    </row>
    <row r="11" spans="1:7">
      <c r="A11" s="49" t="s">
        <v>170</v>
      </c>
      <c r="B11" s="50"/>
      <c r="C11" s="50"/>
      <c r="D11" s="50"/>
    </row>
    <row r="12" spans="1:7">
      <c r="A12" s="51" t="s">
        <v>166</v>
      </c>
      <c r="B12" s="50">
        <v>935.6</v>
      </c>
      <c r="C12" s="50">
        <v>833.8</v>
      </c>
      <c r="D12" s="50">
        <v>746.9</v>
      </c>
    </row>
    <row r="13" spans="1:7">
      <c r="A13" s="51" t="s">
        <v>167</v>
      </c>
      <c r="B13" s="50">
        <v>1126.9000000000001</v>
      </c>
      <c r="C13" s="50">
        <v>1004.6</v>
      </c>
      <c r="D13" s="50">
        <v>899.9</v>
      </c>
    </row>
    <row r="14" spans="1:7">
      <c r="A14" s="47"/>
      <c r="B14" s="50"/>
      <c r="C14" s="50"/>
      <c r="D14" s="50"/>
    </row>
    <row r="15" spans="1:7">
      <c r="A15" s="49" t="s">
        <v>171</v>
      </c>
      <c r="B15" s="50"/>
      <c r="C15" s="50"/>
      <c r="D15" s="50"/>
    </row>
    <row r="16" spans="1:7">
      <c r="A16" s="51" t="s">
        <v>166</v>
      </c>
      <c r="B16" s="50">
        <v>1004.7</v>
      </c>
      <c r="C16" s="50">
        <v>895.6</v>
      </c>
      <c r="D16" s="50">
        <v>802.1</v>
      </c>
    </row>
    <row r="17" spans="1:13">
      <c r="A17" s="51" t="s">
        <v>167</v>
      </c>
      <c r="B17" s="50">
        <v>1210.0999999999999</v>
      </c>
      <c r="C17" s="50">
        <v>1079</v>
      </c>
      <c r="D17" s="50">
        <v>966.4</v>
      </c>
    </row>
    <row r="18" spans="1:13">
      <c r="A18" s="51" t="s">
        <v>168</v>
      </c>
      <c r="B18" s="50">
        <v>30616639</v>
      </c>
      <c r="C18" s="50">
        <v>35290868</v>
      </c>
      <c r="D18" s="50">
        <v>37919284</v>
      </c>
    </row>
    <row r="19" spans="1:13">
      <c r="A19" s="51" t="s">
        <v>169</v>
      </c>
      <c r="B19" s="50">
        <v>10575361</v>
      </c>
      <c r="C19" s="50">
        <v>12403497</v>
      </c>
      <c r="D19" s="50">
        <v>13431497</v>
      </c>
    </row>
    <row r="24" spans="1:13">
      <c r="A24" s="48" t="s">
        <v>172</v>
      </c>
      <c r="B24" s="47"/>
      <c r="C24" s="47"/>
      <c r="D24" s="47"/>
    </row>
    <row r="27" spans="1:13" ht="21">
      <c r="A27" s="46" t="s">
        <v>193</v>
      </c>
    </row>
    <row r="29" spans="1:13">
      <c r="A29" s="56" t="s">
        <v>174</v>
      </c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</row>
    <row r="30" spans="1:13">
      <c r="A30" s="53"/>
      <c r="B30" s="60" t="s">
        <v>175</v>
      </c>
      <c r="C30" s="60"/>
      <c r="D30" s="60"/>
      <c r="E30" s="60"/>
      <c r="F30" s="60"/>
      <c r="G30" s="60"/>
      <c r="H30" s="53"/>
      <c r="I30" s="53"/>
      <c r="J30" s="60" t="s">
        <v>176</v>
      </c>
      <c r="K30" s="60"/>
      <c r="L30" s="60"/>
      <c r="M30" s="60"/>
    </row>
    <row r="31" spans="1:13">
      <c r="A31" s="56" t="s">
        <v>177</v>
      </c>
      <c r="B31" s="56" t="s">
        <v>178</v>
      </c>
      <c r="C31" s="56" t="s">
        <v>179</v>
      </c>
      <c r="D31" s="56" t="s">
        <v>180</v>
      </c>
      <c r="E31" s="56" t="s">
        <v>181</v>
      </c>
      <c r="F31" s="56" t="s">
        <v>169</v>
      </c>
      <c r="G31" s="56" t="s">
        <v>182</v>
      </c>
      <c r="H31" s="56"/>
      <c r="I31" s="56"/>
      <c r="J31" s="56" t="s">
        <v>183</v>
      </c>
      <c r="K31" s="56" t="s">
        <v>184</v>
      </c>
      <c r="L31" s="56" t="s">
        <v>185</v>
      </c>
      <c r="M31" s="56"/>
    </row>
    <row r="33" spans="1:13">
      <c r="A33" s="56" t="s">
        <v>171</v>
      </c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</row>
    <row r="34" spans="1:13">
      <c r="A34" s="53" t="s">
        <v>186</v>
      </c>
      <c r="B34" s="55">
        <v>1743</v>
      </c>
      <c r="C34" s="55">
        <v>2111</v>
      </c>
      <c r="D34" s="55">
        <v>60227770</v>
      </c>
      <c r="E34" s="54">
        <v>141.63</v>
      </c>
      <c r="F34" s="55">
        <v>16732405</v>
      </c>
      <c r="G34" s="54">
        <v>5.28</v>
      </c>
      <c r="H34" s="53"/>
      <c r="I34" s="53"/>
      <c r="J34" s="53">
        <v>425</v>
      </c>
      <c r="K34" s="57">
        <v>11301</v>
      </c>
      <c r="L34" s="53">
        <v>85</v>
      </c>
      <c r="M34" s="53"/>
    </row>
    <row r="35" spans="1:13">
      <c r="A35" s="53"/>
      <c r="B35" s="55"/>
      <c r="C35" s="55"/>
      <c r="D35" s="55"/>
      <c r="E35" s="54"/>
      <c r="F35" s="55"/>
      <c r="G35" s="54"/>
      <c r="H35" s="53"/>
      <c r="I35" s="53"/>
      <c r="J35" s="53"/>
      <c r="K35" s="57"/>
      <c r="L35" s="53"/>
      <c r="M35" s="53"/>
    </row>
    <row r="36" spans="1:13">
      <c r="A36" s="56" t="s">
        <v>187</v>
      </c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</row>
    <row r="37" spans="1:13">
      <c r="A37" s="53" t="s">
        <v>188</v>
      </c>
      <c r="B37" s="55">
        <v>1960</v>
      </c>
      <c r="C37" s="55">
        <v>2429</v>
      </c>
      <c r="D37" s="53"/>
      <c r="E37" s="53"/>
      <c r="F37" s="53"/>
      <c r="G37" s="53"/>
      <c r="H37" s="53"/>
      <c r="I37" s="53"/>
      <c r="J37" s="53"/>
      <c r="K37" s="53"/>
      <c r="L37" s="53"/>
      <c r="M37" s="53"/>
    </row>
    <row r="38" spans="1:13">
      <c r="A38" s="56" t="s">
        <v>189</v>
      </c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</row>
    <row r="39" spans="1:13">
      <c r="A39" s="53" t="s">
        <v>190</v>
      </c>
      <c r="B39" s="55">
        <v>3467</v>
      </c>
      <c r="C39" s="55">
        <v>4267</v>
      </c>
      <c r="D39" s="53"/>
      <c r="E39" s="53"/>
      <c r="F39" s="53"/>
      <c r="G39" s="53"/>
      <c r="H39" s="53"/>
      <c r="I39" s="53"/>
      <c r="J39" s="53"/>
      <c r="K39" s="53"/>
      <c r="L39" s="53"/>
      <c r="M39" s="53"/>
    </row>
    <row r="43" spans="1:13">
      <c r="A43" s="53" t="s">
        <v>191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</row>
    <row r="44" spans="1:13">
      <c r="A44" s="53" t="s">
        <v>192</v>
      </c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</row>
    <row r="47" spans="1:13">
      <c r="A47" t="s">
        <v>194</v>
      </c>
    </row>
    <row r="49" spans="1:33">
      <c r="A49" t="s">
        <v>195</v>
      </c>
      <c r="B49">
        <f>'ELC_Gen-tjh'!C22</f>
        <v>2019</v>
      </c>
      <c r="C49" s="53">
        <f>'ELC_Gen-tjh'!D22</f>
        <v>2020</v>
      </c>
      <c r="D49" s="53">
        <f>'ELC_Gen-tjh'!E22</f>
        <v>2021</v>
      </c>
      <c r="E49" s="53">
        <f>'ELC_Gen-tjh'!F22</f>
        <v>2022</v>
      </c>
      <c r="F49" s="53">
        <f>'ELC_Gen-tjh'!G22</f>
        <v>2023</v>
      </c>
      <c r="G49" s="53">
        <f>'ELC_Gen-tjh'!H22</f>
        <v>2024</v>
      </c>
      <c r="H49" s="53">
        <f>'ELC_Gen-tjh'!I22</f>
        <v>2025</v>
      </c>
      <c r="I49" s="53">
        <f>'ELC_Gen-tjh'!J22</f>
        <v>2026</v>
      </c>
      <c r="J49" s="53">
        <f>'ELC_Gen-tjh'!K22</f>
        <v>2027</v>
      </c>
      <c r="K49" s="53">
        <f>'ELC_Gen-tjh'!L22</f>
        <v>2028</v>
      </c>
      <c r="L49" s="53">
        <f>'ELC_Gen-tjh'!M22</f>
        <v>2029</v>
      </c>
      <c r="M49" s="53">
        <f>'ELC_Gen-tjh'!N22</f>
        <v>2030</v>
      </c>
      <c r="N49" s="53">
        <f>'ELC_Gen-tjh'!O22</f>
        <v>2031</v>
      </c>
      <c r="O49" s="53">
        <f>'ELC_Gen-tjh'!P22</f>
        <v>2032</v>
      </c>
      <c r="P49" s="53">
        <f>'ELC_Gen-tjh'!Q22</f>
        <v>2033</v>
      </c>
      <c r="Q49" s="53">
        <f>'ELC_Gen-tjh'!R22</f>
        <v>2034</v>
      </c>
      <c r="R49" s="53">
        <f>'ELC_Gen-tjh'!S22</f>
        <v>2035</v>
      </c>
      <c r="S49" s="53">
        <f>'ELC_Gen-tjh'!T22</f>
        <v>2036</v>
      </c>
      <c r="T49" s="53">
        <f>'ELC_Gen-tjh'!U22</f>
        <v>2037</v>
      </c>
      <c r="U49" s="53">
        <f>'ELC_Gen-tjh'!V22</f>
        <v>2038</v>
      </c>
      <c r="V49" s="53">
        <f>'ELC_Gen-tjh'!W22</f>
        <v>2039</v>
      </c>
      <c r="W49" s="53">
        <f>'ELC_Gen-tjh'!X22</f>
        <v>2040</v>
      </c>
      <c r="X49" s="53">
        <f>'ELC_Gen-tjh'!Y22</f>
        <v>2041</v>
      </c>
      <c r="Y49" s="53">
        <f>'ELC_Gen-tjh'!Z22</f>
        <v>2042</v>
      </c>
      <c r="Z49" s="53">
        <f>'ELC_Gen-tjh'!AA22</f>
        <v>2043</v>
      </c>
      <c r="AA49" s="53">
        <f>'ELC_Gen-tjh'!AB22</f>
        <v>2044</v>
      </c>
      <c r="AB49" s="53">
        <f>'ELC_Gen-tjh'!AC22</f>
        <v>2045</v>
      </c>
      <c r="AC49" s="53">
        <f>'ELC_Gen-tjh'!AD22</f>
        <v>2046</v>
      </c>
      <c r="AD49" s="53">
        <f>'ELC_Gen-tjh'!AE22</f>
        <v>2047</v>
      </c>
      <c r="AE49" s="53">
        <f>'ELC_Gen-tjh'!AF22</f>
        <v>2048</v>
      </c>
      <c r="AF49" s="53">
        <f>'ELC_Gen-tjh'!AG22</f>
        <v>2049</v>
      </c>
      <c r="AG49" s="53">
        <f>'ELC_Gen-tjh'!AH22</f>
        <v>2050</v>
      </c>
    </row>
    <row r="50" spans="1:33">
      <c r="A50" t="s">
        <v>159</v>
      </c>
      <c r="B50">
        <f>'ELC_Gen-tjh'!C24/'ELC_Gen-tjh'!$C$24</f>
        <v>1</v>
      </c>
      <c r="C50" s="53">
        <f>'ELC_Gen-tjh'!D24/'ELC_Gen-tjh'!$C$24</f>
        <v>0.98711980342671068</v>
      </c>
      <c r="D50" s="53">
        <f>'ELC_Gen-tjh'!E24/'ELC_Gen-tjh'!$C$24</f>
        <v>0.96134485225245403</v>
      </c>
      <c r="E50" s="53">
        <f>'ELC_Gen-tjh'!F24/'ELC_Gen-tjh'!$C$24</f>
        <v>0.9447441071431868</v>
      </c>
      <c r="F50" s="53">
        <f>'ELC_Gen-tjh'!G24/'ELC_Gen-tjh'!$C$24</f>
        <v>0.91789542250814193</v>
      </c>
      <c r="G50" s="53">
        <f>'ELC_Gen-tjh'!H24/'ELC_Gen-tjh'!$C$24</f>
        <v>0.90335212209671734</v>
      </c>
      <c r="H50" s="53">
        <f>'ELC_Gen-tjh'!I24/'ELC_Gen-tjh'!$C$24</f>
        <v>0.89010434497028945</v>
      </c>
      <c r="I50" s="53">
        <f>'ELC_Gen-tjh'!J24/'ELC_Gen-tjh'!$C$24</f>
        <v>0.87522573728181741</v>
      </c>
      <c r="J50" s="53">
        <f>'ELC_Gen-tjh'!K24/'ELC_Gen-tjh'!$C$24</f>
        <v>0.85912958540763207</v>
      </c>
      <c r="K50" s="53">
        <f>'ELC_Gen-tjh'!L24/'ELC_Gen-tjh'!$C$24</f>
        <v>0.84413167984718784</v>
      </c>
      <c r="L50" s="53">
        <f>'ELC_Gen-tjh'!M24/'ELC_Gen-tjh'!$C$24</f>
        <v>0.82893012763032603</v>
      </c>
      <c r="M50" s="53">
        <f>'ELC_Gen-tjh'!N24/'ELC_Gen-tjh'!$C$24</f>
        <v>0.81630843601308856</v>
      </c>
      <c r="N50" s="53">
        <f>'ELC_Gen-tjh'!O24/'ELC_Gen-tjh'!$C$24</f>
        <v>0.80404506593114544</v>
      </c>
      <c r="O50" s="53">
        <f>'ELC_Gen-tjh'!P24/'ELC_Gen-tjh'!$C$24</f>
        <v>0.79117257629107252</v>
      </c>
      <c r="P50" s="53">
        <f>'ELC_Gen-tjh'!Q24/'ELC_Gen-tjh'!$C$24</f>
        <v>0.77938794934320399</v>
      </c>
      <c r="Q50" s="53">
        <f>'ELC_Gen-tjh'!R24/'ELC_Gen-tjh'!$C$24</f>
        <v>0.76733480912408669</v>
      </c>
      <c r="R50" s="53">
        <f>'ELC_Gen-tjh'!S24/'ELC_Gen-tjh'!$C$24</f>
        <v>0.75537859439776089</v>
      </c>
      <c r="S50" s="53">
        <f>'ELC_Gen-tjh'!T24/'ELC_Gen-tjh'!$C$24</f>
        <v>0.7436230291384418</v>
      </c>
      <c r="T50" s="53">
        <f>'ELC_Gen-tjh'!U24/'ELC_Gen-tjh'!$C$24</f>
        <v>0.73271576800878313</v>
      </c>
      <c r="U50" s="53">
        <f>'ELC_Gen-tjh'!V24/'ELC_Gen-tjh'!$C$24</f>
        <v>0.7227806577163538</v>
      </c>
      <c r="V50" s="53">
        <f>'ELC_Gen-tjh'!W24/'ELC_Gen-tjh'!$C$24</f>
        <v>0.71278458732718164</v>
      </c>
      <c r="W50" s="53">
        <f>'ELC_Gen-tjh'!X24/'ELC_Gen-tjh'!$C$24</f>
        <v>0.70310921313589891</v>
      </c>
      <c r="X50" s="53">
        <f>'ELC_Gen-tjh'!Y24/'ELC_Gen-tjh'!$C$24</f>
        <v>0.69365782317096059</v>
      </c>
      <c r="Y50" s="53">
        <f>'ELC_Gen-tjh'!Z24/'ELC_Gen-tjh'!$C$24</f>
        <v>0.68371912686153424</v>
      </c>
      <c r="Z50" s="53">
        <f>'ELC_Gen-tjh'!AA24/'ELC_Gen-tjh'!$C$24</f>
        <v>0.67483949944381594</v>
      </c>
      <c r="AA50" s="53">
        <f>'ELC_Gen-tjh'!AB24/'ELC_Gen-tjh'!$C$24</f>
        <v>0.66512628595543966</v>
      </c>
      <c r="AB50" s="53">
        <f>'ELC_Gen-tjh'!AC24/'ELC_Gen-tjh'!$C$24</f>
        <v>0.65630686889866952</v>
      </c>
      <c r="AC50" s="53">
        <f>'ELC_Gen-tjh'!AD24/'ELC_Gen-tjh'!$C$24</f>
        <v>0.64681945960931864</v>
      </c>
      <c r="AD50" s="53">
        <f>'ELC_Gen-tjh'!AE24/'ELC_Gen-tjh'!$C$24</f>
        <v>0.63795492511850005</v>
      </c>
      <c r="AE50" s="53">
        <f>'ELC_Gen-tjh'!AF24/'ELC_Gen-tjh'!$C$24</f>
        <v>0.62910564358590582</v>
      </c>
      <c r="AF50" s="53">
        <f>'ELC_Gen-tjh'!AG24/'ELC_Gen-tjh'!$C$24</f>
        <v>0.62028392558559731</v>
      </c>
      <c r="AG50" s="53">
        <f>'ELC_Gen-tjh'!AH24/'ELC_Gen-tjh'!$C$24</f>
        <v>0.61154650244136977</v>
      </c>
    </row>
    <row r="51" spans="1:33">
      <c r="A51" t="s">
        <v>160</v>
      </c>
      <c r="B51">
        <f>'ELC_Gen-tjh'!C23/'ELC_Gen-tjh'!$C$23</f>
        <v>1</v>
      </c>
      <c r="C51" s="53">
        <f>'ELC_Gen-tjh'!D23/'ELC_Gen-tjh'!$C$23</f>
        <v>0.98878517142961408</v>
      </c>
      <c r="D51" s="53">
        <f>'ELC_Gen-tjh'!E23/'ELC_Gen-tjh'!$C$23</f>
        <v>0.96460878936113603</v>
      </c>
      <c r="E51" s="53">
        <f>'ELC_Gen-tjh'!F23/'ELC_Gen-tjh'!$C$23</f>
        <v>0.94958516257729786</v>
      </c>
      <c r="F51" s="53">
        <f>'ELC_Gen-tjh'!G23/'ELC_Gen-tjh'!$C$23</f>
        <v>0.93895727315857147</v>
      </c>
      <c r="G51" s="53">
        <f>'ELC_Gen-tjh'!H23/'ELC_Gen-tjh'!$C$23</f>
        <v>0.93039563276078929</v>
      </c>
      <c r="H51" s="53">
        <f>'ELC_Gen-tjh'!I23/'ELC_Gen-tjh'!$C$23</f>
        <v>0.92342413060583417</v>
      </c>
      <c r="I51" s="53">
        <f>'ELC_Gen-tjh'!J23/'ELC_Gen-tjh'!$C$23</f>
        <v>0.91423536045137299</v>
      </c>
      <c r="J51" s="53">
        <f>'ELC_Gen-tjh'!K23/'ELC_Gen-tjh'!$C$23</f>
        <v>0.9032436678980329</v>
      </c>
      <c r="K51" s="53">
        <f>'ELC_Gen-tjh'!L23/'ELC_Gen-tjh'!$C$23</f>
        <v>0.89097205300066795</v>
      </c>
      <c r="L51" s="53">
        <f>'ELC_Gen-tjh'!M23/'ELC_Gen-tjh'!$C$23</f>
        <v>0.87838143602150576</v>
      </c>
      <c r="M51" s="53">
        <f>'ELC_Gen-tjh'!N23/'ELC_Gen-tjh'!$C$23</f>
        <v>0.86728865800165711</v>
      </c>
      <c r="N51" s="53">
        <f>'ELC_Gen-tjh'!O23/'ELC_Gen-tjh'!$C$23</f>
        <v>0.8562524254012206</v>
      </c>
      <c r="O51" s="53">
        <f>'ELC_Gen-tjh'!P23/'ELC_Gen-tjh'!$C$23</f>
        <v>0.8452506418144462</v>
      </c>
      <c r="P51" s="53">
        <f>'ELC_Gen-tjh'!Q23/'ELC_Gen-tjh'!$C$23</f>
        <v>0.83474375927969857</v>
      </c>
      <c r="Q51" s="53">
        <f>'ELC_Gen-tjh'!R23/'ELC_Gen-tjh'!$C$23</f>
        <v>0.82437171532864217</v>
      </c>
      <c r="R51" s="53">
        <f>'ELC_Gen-tjh'!S23/'ELC_Gen-tjh'!$C$23</f>
        <v>0.81349085132700516</v>
      </c>
      <c r="S51" s="53">
        <f>'ELC_Gen-tjh'!T23/'ELC_Gen-tjh'!$C$23</f>
        <v>0.80313368309854094</v>
      </c>
      <c r="T51" s="53">
        <f>'ELC_Gen-tjh'!U23/'ELC_Gen-tjh'!$C$23</f>
        <v>0.7929466724271097</v>
      </c>
      <c r="U51" s="53">
        <f>'ELC_Gen-tjh'!V23/'ELC_Gen-tjh'!$C$23</f>
        <v>0.78311607067841682</v>
      </c>
      <c r="V51" s="53">
        <f>'ELC_Gen-tjh'!W23/'ELC_Gen-tjh'!$C$23</f>
        <v>0.77320473959328451</v>
      </c>
      <c r="W51" s="53">
        <f>'ELC_Gen-tjh'!X23/'ELC_Gen-tjh'!$C$23</f>
        <v>0.76362711224934154</v>
      </c>
      <c r="X51" s="53">
        <f>'ELC_Gen-tjh'!Y23/'ELC_Gen-tjh'!$C$23</f>
        <v>0.75427888452524161</v>
      </c>
      <c r="Y51" s="53">
        <f>'ELC_Gen-tjh'!Z23/'ELC_Gen-tjh'!$C$23</f>
        <v>0.74438634389217972</v>
      </c>
      <c r="Z51" s="53">
        <f>'ELC_Gen-tjh'!AA23/'ELC_Gen-tjh'!$C$23</f>
        <v>0.73563262377297567</v>
      </c>
      <c r="AA51" s="53">
        <f>'ELC_Gen-tjh'!AB23/'ELC_Gen-tjh'!$C$23</f>
        <v>0.72595643389904374</v>
      </c>
      <c r="AB51" s="53">
        <f>'ELC_Gen-tjh'!AC23/'ELC_Gen-tjh'!$C$23</f>
        <v>0.71724186036197923</v>
      </c>
      <c r="AC51" s="53">
        <f>'ELC_Gen-tjh'!AD23/'ELC_Gen-tjh'!$C$23</f>
        <v>0.7077829779712157</v>
      </c>
      <c r="AD51" s="53">
        <f>'ELC_Gen-tjh'!AE23/'ELC_Gen-tjh'!$C$23</f>
        <v>0.69899141612031135</v>
      </c>
      <c r="AE51" s="53">
        <f>'ELC_Gen-tjh'!AF23/'ELC_Gen-tjh'!$C$23</f>
        <v>0.69020285538978476</v>
      </c>
      <c r="AF51" s="53">
        <f>'ELC_Gen-tjh'!AG23/'ELC_Gen-tjh'!$C$23</f>
        <v>0.68143060582423021</v>
      </c>
      <c r="AG51" s="53">
        <f>'ELC_Gen-tjh'!AH23/'ELC_Gen-tjh'!$C$23</f>
        <v>0.67273686713557568</v>
      </c>
    </row>
  </sheetData>
  <mergeCells count="2">
    <mergeCell ref="B30:G30"/>
    <mergeCell ref="J30:M30"/>
  </mergeCells>
  <hyperlinks>
    <hyperlink ref="A24" r:id="rId1" xr:uid="{D5576FB6-7012-4D35-A622-DFA34CEC79FA}"/>
  </hyperlinks>
  <pageMargins left="0.7" right="0.7" top="0.75" bottom="0.75" header="0.3" footer="0.3"/>
  <pageSetup orientation="portrait"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notes</vt:lpstr>
      <vt:lpstr>ELC_Gen-sdj</vt:lpstr>
      <vt:lpstr>ELC_Gen-tjh</vt:lpstr>
      <vt:lpstr>ELC_Accounting</vt:lpstr>
      <vt:lpstr>ovrcst</vt:lpstr>
      <vt:lpstr>heatrate</vt:lpstr>
      <vt:lpstr>ELC_CO2 Transport and Storage</vt:lpstr>
      <vt:lpstr>ELC_Storage</vt:lpstr>
      <vt:lpstr>Retrofit costs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Mahmoud Mobir</cp:lastModifiedBy>
  <cp:lastPrinted>2008-07-01T10:28:28Z</cp:lastPrinted>
  <dcterms:created xsi:type="dcterms:W3CDTF">2008-03-25T10:08:51Z</dcterms:created>
  <dcterms:modified xsi:type="dcterms:W3CDTF">2021-12-23T21:11:04Z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905498683452606</vt:r8>
  </property>
</Properties>
</file>