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akn\VEDA_Models\IEMM_V44_10-1\SuppXLS\"/>
    </mc:Choice>
  </mc:AlternateContent>
  <bookViews>
    <workbookView xWindow="120" yWindow="465" windowWidth="28560" windowHeight="14640" activeTab="1"/>
  </bookViews>
  <sheets>
    <sheet name="README" sheetId="16" r:id="rId1"/>
    <sheet name="INS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2" l="1"/>
  <c r="J6" i="2" l="1"/>
</calcChain>
</file>

<file path=xl/comments1.xml><?xml version="1.0" encoding="utf-8"?>
<comments xmlns="http://schemas.openxmlformats.org/spreadsheetml/2006/main">
  <authors>
    <author>Maurizio Gargiulo</author>
    <author>Gary Goldstein</author>
    <author>Bowman, Michelle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K2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P2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J5" authorId="2" shapeId="0">
      <text>
        <r>
          <rPr>
            <b/>
            <sz val="9"/>
            <color indexed="81"/>
            <rFont val="Tahoma"/>
            <family val="2"/>
          </rPr>
          <t>Bowman, Michelle:</t>
        </r>
        <r>
          <rPr>
            <sz val="9"/>
            <color indexed="81"/>
            <rFont val="Tahoma"/>
            <family val="2"/>
          </rPr>
          <t xml:space="preserve">
this is USD10 million/kt (converted from Canadian 2019 $)
</t>
        </r>
      </text>
    </comment>
  </commentList>
</comments>
</file>

<file path=xl/sharedStrings.xml><?xml version="1.0" encoding="utf-8"?>
<sst xmlns="http://schemas.openxmlformats.org/spreadsheetml/2006/main" count="43" uniqueCount="34">
  <si>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</si>
  <si>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</si>
  <si>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</si>
  <si>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</si>
  <si>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</si>
  <si>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</si>
  <si>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</si>
  <si>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</si>
  <si>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</si>
  <si>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</si>
  <si>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</si>
  <si>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</si>
  <si>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</si>
  <si>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</si>
  <si>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</si>
  <si>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</si>
  <si>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</si>
  <si>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CAN</t>
  </si>
  <si>
    <t>COM_TAXNET</t>
  </si>
  <si>
    <t>ELCCO2NET</t>
  </si>
  <si>
    <t>CURR</t>
  </si>
  <si>
    <t>USD10</t>
  </si>
  <si>
    <t>date</t>
  </si>
  <si>
    <t>note</t>
  </si>
  <si>
    <t>Adding CO2 tax for Canada.  From this article (https://platform.mi.spglobal.com/InteractiveX/article.aspx?CDID=A-50914160-10046&amp;KPLT=4)</t>
  </si>
  <si>
    <t>The tax is set to increase by C$10/tonne annually through 2022 when it will reach $50/tonne.</t>
  </si>
  <si>
    <t>On 4/1/19, Canada imposed C$20 per tonne levy on 4 provinces that do not have so-called carbon taxes or that have fees it considers too low (Ontario, Saskatchewan, Manitoba, and New Brunswick).</t>
  </si>
  <si>
    <t xml:space="preserve">The values in column J (the CAN column) are derived by starting with CAN19 -&gt; USD19 -&gt; USD10 $10million/kton </t>
  </si>
  <si>
    <t>Workbook purpose:</t>
  </si>
  <si>
    <t>Data source:</t>
  </si>
  <si>
    <t>User-modifiable?</t>
  </si>
  <si>
    <t>Creates CAN CO2 tax</t>
  </si>
  <si>
    <t>Analyst created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</si>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</sst>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9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9" fillId="0" borderId="2" xfId="0" applyFont="1" applyBorder="1"/>
    <xf numFmtId="0" fontId="0" fillId="0" borderId="2" xfId="0" applyBorder="1"/>
    <xf numFmtId="14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Fill="1" applyBorder="1"/>
    <xf numFmtId="0" fontId="4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3" fillId="0" borderId="0" xfId="0" applyFont="1" applyFill="1" applyBorder="1"/>
  </cellXfs>
  <cellStyles count="3">
    <cellStyle name="Normal" xfId="0" builtinId="0"/>
    <cellStyle name="Normal 10" xfId="1"/>
    <cellStyle name="Normale_Scen_UC_IND-StrucConst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16" sqref="A16"/>
    </sheetView>
  </sheetViews>
  <sheetFormatPr defaultColWidth="8.85546875" defaultRowHeight="15" x14ac:dyDescent="0.25"/>
  <cols>
    <col min="1" max="1" width="9.7109375" bestFit="1" customWidth="1"/>
    <col min="2" max="2" width="101.28515625" customWidth="1"/>
  </cols>
  <sheetData>
    <row r="1" spans="1:2" s="8" customFormat="1" x14ac:dyDescent="0.25">
      <c r="A1" s="7" t="s">
        <v>22</v>
      </c>
      <c r="B1" s="7" t="s">
        <v>23</v>
      </c>
    </row>
    <row r="2" spans="1:2" x14ac:dyDescent="0.25">
      <c r="A2" s="9">
        <v>43579</v>
      </c>
      <c r="B2" t="s">
        <v>24</v>
      </c>
    </row>
    <row r="3" spans="1:2" x14ac:dyDescent="0.25">
      <c r="B3" t="s">
        <v>26</v>
      </c>
    </row>
    <row r="4" spans="1:2" x14ac:dyDescent="0.25">
      <c r="B4" s="10" t="s">
        <v>25</v>
      </c>
    </row>
    <row r="5" spans="1:2" x14ac:dyDescent="0.25">
      <c r="B5" t="s">
        <v>27</v>
      </c>
    </row>
    <row r="8" spans="1:2" x14ac:dyDescent="0.25">
      <c r="A8" s="11" t="s">
        <v>28</v>
      </c>
    </row>
    <row r="9" spans="1:2" x14ac:dyDescent="0.25">
      <c r="A9" s="12" t="s">
        <v>31</v>
      </c>
    </row>
    <row r="10" spans="1:2" x14ac:dyDescent="0.25">
      <c r="A10" s="12"/>
    </row>
    <row r="11" spans="1:2" x14ac:dyDescent="0.25">
      <c r="A11" s="11" t="s">
        <v>29</v>
      </c>
    </row>
    <row r="12" spans="1:2" x14ac:dyDescent="0.25">
      <c r="A12" s="12" t="s">
        <v>32</v>
      </c>
    </row>
    <row r="13" spans="1:2" x14ac:dyDescent="0.25">
      <c r="A13" s="12"/>
    </row>
    <row r="14" spans="1:2" x14ac:dyDescent="0.25">
      <c r="A14" s="11" t="s">
        <v>30</v>
      </c>
    </row>
    <row r="15" spans="1:2" x14ac:dyDescent="0.25">
      <c r="A15" s="12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7"/>
  <sheetViews>
    <sheetView tabSelected="1" workbookViewId="0">
      <selection activeCell="L15" sqref="L15"/>
    </sheetView>
  </sheetViews>
  <sheetFormatPr defaultColWidth="8.85546875" defaultRowHeight="15" x14ac:dyDescent="0.25"/>
  <cols>
    <col min="2" max="2" width="10.140625" bestFit="1" customWidth="1"/>
    <col min="3" max="3" width="8.85546875" bestFit="1" customWidth="1"/>
    <col min="4" max="4" width="13.28515625" bestFit="1" customWidth="1"/>
    <col min="5" max="5" width="5.140625" bestFit="1" customWidth="1"/>
    <col min="6" max="6" width="11.42578125" bestFit="1" customWidth="1"/>
    <col min="7" max="7" width="9.7109375" bestFit="1" customWidth="1"/>
    <col min="8" max="8" width="9.7109375" customWidth="1"/>
    <col min="9" max="9" width="10.7109375" bestFit="1" customWidth="1"/>
    <col min="10" max="10" width="10.7109375" customWidth="1"/>
    <col min="11" max="11" width="8.7109375" bestFit="1" customWidth="1"/>
    <col min="12" max="13" width="8.42578125" bestFit="1" customWidth="1"/>
    <col min="14" max="14" width="7.42578125" bestFit="1" customWidth="1"/>
    <col min="15" max="15" width="8.42578125" bestFit="1" customWidth="1"/>
    <col min="16" max="16" width="8.7109375" bestFit="1" customWidth="1"/>
    <col min="17" max="18" width="8.42578125" bestFit="1" customWidth="1"/>
  </cols>
  <sheetData>
    <row r="1" spans="1:18" x14ac:dyDescent="0.25">
      <c r="A1" t="s">
        <v>16</v>
      </c>
    </row>
    <row r="2" spans="1:18" x14ac:dyDescent="0.25">
      <c r="B2" s="1" t="s">
        <v>8</v>
      </c>
      <c r="K2" s="2"/>
      <c r="L2" s="3"/>
      <c r="M2" s="3"/>
      <c r="N2" s="3"/>
      <c r="O2" s="3"/>
      <c r="P2" s="3"/>
      <c r="Q2" s="3"/>
      <c r="R2" s="3"/>
    </row>
    <row r="3" spans="1:18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4" t="s">
        <v>20</v>
      </c>
      <c r="I3" s="5" t="s">
        <v>10</v>
      </c>
      <c r="J3" s="5" t="s">
        <v>17</v>
      </c>
      <c r="K3" s="6" t="s">
        <v>3</v>
      </c>
      <c r="L3" s="6" t="s">
        <v>2</v>
      </c>
      <c r="M3" s="6" t="s">
        <v>11</v>
      </c>
      <c r="N3" s="6" t="s">
        <v>0</v>
      </c>
      <c r="O3" s="6" t="s">
        <v>5</v>
      </c>
      <c r="P3" s="6" t="s">
        <v>12</v>
      </c>
      <c r="Q3" s="6" t="s">
        <v>4</v>
      </c>
      <c r="R3" s="6" t="s">
        <v>13</v>
      </c>
    </row>
    <row r="4" spans="1:18" x14ac:dyDescent="0.25">
      <c r="D4" t="s">
        <v>18</v>
      </c>
      <c r="E4">
        <v>2018</v>
      </c>
      <c r="H4" t="s">
        <v>21</v>
      </c>
      <c r="J4">
        <v>0</v>
      </c>
      <c r="Q4" t="s">
        <v>19</v>
      </c>
    </row>
    <row r="5" spans="1:18" x14ac:dyDescent="0.25">
      <c r="D5" t="s">
        <v>18</v>
      </c>
      <c r="E5">
        <v>2019</v>
      </c>
      <c r="H5" t="s">
        <v>21</v>
      </c>
      <c r="J5">
        <f>0.02*1.1658*1.35</f>
        <v>3.14766E-2</v>
      </c>
      <c r="Q5" t="s">
        <v>19</v>
      </c>
    </row>
    <row r="6" spans="1:18" ht="16.5" customHeight="1" x14ac:dyDescent="0.25">
      <c r="D6" t="s">
        <v>18</v>
      </c>
      <c r="E6">
        <v>2022</v>
      </c>
      <c r="H6" t="s">
        <v>21</v>
      </c>
      <c r="J6">
        <f>0.05*1.1658*1.35</f>
        <v>7.8691500000000011E-2</v>
      </c>
      <c r="Q6" t="s">
        <v>19</v>
      </c>
    </row>
    <row r="7" spans="1:18" x14ac:dyDescent="0.25">
      <c r="D7" t="s">
        <v>18</v>
      </c>
      <c r="E7">
        <v>0</v>
      </c>
      <c r="H7" t="s">
        <v>21</v>
      </c>
      <c r="J7">
        <v>5</v>
      </c>
      <c r="Q7" t="s">
        <v>19</v>
      </c>
    </row>
    <row r="10" spans="1:18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x14ac:dyDescent="0.25">
      <c r="B12" s="14"/>
      <c r="C12" s="13"/>
      <c r="D12" s="13"/>
      <c r="E12" s="13"/>
      <c r="F12" s="13"/>
      <c r="G12" s="13"/>
      <c r="H12" s="13"/>
      <c r="I12" s="13"/>
      <c r="J12" s="13"/>
      <c r="K12" s="15"/>
      <c r="L12" s="16"/>
      <c r="M12" s="16"/>
      <c r="N12" s="16"/>
      <c r="O12" s="16"/>
      <c r="P12" s="16"/>
      <c r="Q12" s="16"/>
      <c r="R12" s="16"/>
    </row>
    <row r="13" spans="1:18" x14ac:dyDescent="0.25">
      <c r="B13" s="17"/>
      <c r="C13" s="17"/>
      <c r="D13" s="17"/>
      <c r="E13" s="17"/>
      <c r="F13" s="17"/>
      <c r="G13" s="17"/>
      <c r="H13" s="17"/>
      <c r="I13" s="17"/>
      <c r="J13" s="17"/>
      <c r="K13" s="18"/>
      <c r="L13" s="18"/>
      <c r="M13" s="18"/>
      <c r="N13" s="18"/>
      <c r="O13" s="18"/>
      <c r="P13" s="18"/>
      <c r="Q13" s="18"/>
      <c r="R13" s="18"/>
    </row>
    <row r="14" spans="1:18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x14ac:dyDescent="0.25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2:18" x14ac:dyDescent="0.2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INS</vt:lpstr>
    </vt:vector>
  </TitlesOfParts>
  <Company>KanORS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Kwon, Augustine</cp:lastModifiedBy>
  <dcterms:created xsi:type="dcterms:W3CDTF">2009-05-27T15:40:55Z</dcterms:created>
  <dcterms:modified xsi:type="dcterms:W3CDTF">2020-04-08T14:01:59Z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