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IEMM_v60_10-1\SuppXLS\"/>
    </mc:Choice>
  </mc:AlternateContent>
  <xr:revisionPtr revIDLastSave="0" documentId="13_ncr:1_{158B214E-C1A7-4C9E-AC58-7F88A4F48971}" xr6:coauthVersionLast="47" xr6:coauthVersionMax="47" xr10:uidLastSave="{00000000-0000-0000-0000-000000000000}"/>
  <bookViews>
    <workbookView xWindow="1920" yWindow="1920" windowWidth="23040" windowHeight="12072" xr2:uid="{00000000-000D-0000-FFFF-FFFF00000000}"/>
  </bookViews>
  <sheets>
    <sheet name="readme" sheetId="5" r:id="rId1"/>
    <sheet name="utilzation_limits" sheetId="2" r:id="rId2"/>
    <sheet name="CHP_elecEFF" sheetId="7" r:id="rId3"/>
    <sheet name="CHP_CHPR" sheetId="8" r:id="rId4"/>
    <sheet name="CHP_shares" sheetId="10" r:id="rId5"/>
  </sheets>
  <definedNames>
    <definedName name="_xlnm._FilterDatabase" localSheetId="1" hidden="1">utilzation_limits!$D$4:$N$971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5" i="8" l="1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36" i="8"/>
  <c r="AA137" i="8"/>
  <c r="AA138" i="8"/>
  <c r="AA139" i="8"/>
  <c r="AA140" i="8"/>
  <c r="AA141" i="8"/>
  <c r="AA142" i="8"/>
  <c r="AA143" i="8"/>
  <c r="AA144" i="8"/>
  <c r="AA145" i="8"/>
  <c r="AA146" i="8"/>
  <c r="AA147" i="8"/>
  <c r="AA148" i="8"/>
  <c r="AA149" i="8"/>
  <c r="AA150" i="8"/>
  <c r="AA151" i="8"/>
  <c r="AA152" i="8"/>
  <c r="AA153" i="8"/>
  <c r="AA154" i="8"/>
  <c r="AA155" i="8"/>
  <c r="AA156" i="8"/>
  <c r="AA157" i="8"/>
  <c r="AA158" i="8"/>
  <c r="AA159" i="8"/>
  <c r="AA160" i="8"/>
  <c r="AA161" i="8"/>
  <c r="AA162" i="8"/>
  <c r="AA163" i="8"/>
  <c r="AA164" i="8"/>
  <c r="AA165" i="8"/>
  <c r="AA166" i="8"/>
  <c r="AA167" i="8"/>
  <c r="AA168" i="8"/>
  <c r="AA169" i="8"/>
  <c r="AA170" i="8"/>
  <c r="AA171" i="8"/>
  <c r="AA172" i="8"/>
  <c r="AA173" i="8"/>
  <c r="AA174" i="8"/>
  <c r="AA175" i="8"/>
  <c r="AA176" i="8"/>
  <c r="AA177" i="8"/>
  <c r="AA178" i="8"/>
  <c r="AA179" i="8"/>
  <c r="AA180" i="8"/>
  <c r="AA181" i="8"/>
  <c r="AA182" i="8"/>
  <c r="AA183" i="8"/>
  <c r="AA184" i="8"/>
  <c r="AA185" i="8"/>
  <c r="AA186" i="8"/>
  <c r="AA187" i="8"/>
  <c r="AA188" i="8"/>
  <c r="AA189" i="8"/>
  <c r="AA190" i="8"/>
  <c r="AA191" i="8"/>
  <c r="AA192" i="8"/>
  <c r="AA193" i="8"/>
  <c r="AA194" i="8"/>
  <c r="AA195" i="8"/>
  <c r="AA196" i="8"/>
  <c r="AA197" i="8"/>
  <c r="AA198" i="8"/>
  <c r="AA199" i="8"/>
  <c r="AA200" i="8"/>
  <c r="AA201" i="8"/>
  <c r="AA202" i="8"/>
  <c r="AA203" i="8"/>
  <c r="AA204" i="8"/>
  <c r="AA205" i="8"/>
  <c r="AA206" i="8"/>
  <c r="AA207" i="8"/>
  <c r="AA208" i="8"/>
  <c r="AA209" i="8"/>
  <c r="AA210" i="8"/>
  <c r="AA211" i="8"/>
  <c r="AA212" i="8"/>
  <c r="AA213" i="8"/>
  <c r="AA214" i="8"/>
  <c r="AA215" i="8"/>
  <c r="AA216" i="8"/>
  <c r="AA217" i="8"/>
  <c r="AA218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32" i="8"/>
  <c r="AA233" i="8"/>
  <c r="AA234" i="8"/>
  <c r="AA235" i="8"/>
  <c r="AA236" i="8"/>
  <c r="AA237" i="8"/>
  <c r="AA238" i="8"/>
  <c r="AA239" i="8"/>
  <c r="AA240" i="8"/>
  <c r="AA241" i="8"/>
  <c r="AA242" i="8"/>
  <c r="AA243" i="8"/>
  <c r="AA244" i="8"/>
  <c r="AA245" i="8"/>
  <c r="AA246" i="8"/>
  <c r="AA247" i="8"/>
  <c r="AA248" i="8"/>
  <c r="AA249" i="8"/>
  <c r="AA250" i="8"/>
  <c r="AA251" i="8"/>
  <c r="AA252" i="8"/>
  <c r="AA253" i="8"/>
  <c r="AA254" i="8"/>
  <c r="AA255" i="8"/>
  <c r="AA256" i="8"/>
  <c r="AA257" i="8"/>
  <c r="AA258" i="8"/>
  <c r="AA259" i="8"/>
  <c r="AA260" i="8"/>
  <c r="AA261" i="8"/>
  <c r="AA262" i="8"/>
  <c r="AA263" i="8"/>
  <c r="AA264" i="8"/>
  <c r="AA265" i="8"/>
  <c r="AA266" i="8"/>
  <c r="AA267" i="8"/>
  <c r="AA268" i="8"/>
  <c r="AA269" i="8"/>
  <c r="AA270" i="8"/>
  <c r="AA271" i="8"/>
  <c r="AA272" i="8"/>
  <c r="AA273" i="8"/>
  <c r="AA274" i="8"/>
  <c r="AA275" i="8"/>
  <c r="AA276" i="8"/>
  <c r="AA277" i="8"/>
  <c r="AA278" i="8"/>
  <c r="AA279" i="8"/>
  <c r="AA280" i="8"/>
  <c r="AA281" i="8"/>
  <c r="AA282" i="8"/>
  <c r="AA283" i="8"/>
  <c r="AA4" i="8"/>
  <c r="AC55" i="8" l="1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84" i="8"/>
  <c r="Y85" i="8"/>
  <c r="Y86" i="8"/>
  <c r="Y87" i="8"/>
  <c r="Y88" i="8"/>
  <c r="Y89" i="8"/>
  <c r="Y90" i="8"/>
  <c r="Y91" i="8"/>
  <c r="Y92" i="8"/>
  <c r="Y93" i="8"/>
  <c r="Y94" i="8"/>
  <c r="Y95" i="8"/>
  <c r="Y96" i="8"/>
  <c r="Y97" i="8"/>
  <c r="Y98" i="8"/>
  <c r="Y99" i="8"/>
  <c r="Y100" i="8"/>
  <c r="Y101" i="8"/>
  <c r="Y102" i="8"/>
  <c r="Y103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Y131" i="8"/>
  <c r="Y132" i="8"/>
  <c r="Y133" i="8"/>
  <c r="Y134" i="8"/>
  <c r="Y135" i="8"/>
  <c r="Y136" i="8"/>
  <c r="Y137" i="8"/>
  <c r="Y138" i="8"/>
  <c r="Y139" i="8"/>
  <c r="Y140" i="8"/>
  <c r="Y141" i="8"/>
  <c r="Y142" i="8"/>
  <c r="Y143" i="8"/>
  <c r="Y144" i="8"/>
  <c r="Y145" i="8"/>
  <c r="Y146" i="8"/>
  <c r="Y147" i="8"/>
  <c r="Y148" i="8"/>
  <c r="Y149" i="8"/>
  <c r="Y150" i="8"/>
  <c r="Y151" i="8"/>
  <c r="Y152" i="8"/>
  <c r="Y153" i="8"/>
  <c r="Y154" i="8"/>
  <c r="Y155" i="8"/>
  <c r="Y156" i="8"/>
  <c r="Y157" i="8"/>
  <c r="Y158" i="8"/>
  <c r="Y159" i="8"/>
  <c r="Y160" i="8"/>
  <c r="Y161" i="8"/>
  <c r="Y162" i="8"/>
  <c r="Y163" i="8"/>
  <c r="Y164" i="8"/>
  <c r="Y165" i="8"/>
  <c r="Y166" i="8"/>
  <c r="Y167" i="8"/>
  <c r="Y168" i="8"/>
  <c r="Y169" i="8"/>
  <c r="Y170" i="8"/>
  <c r="Y171" i="8"/>
  <c r="Y172" i="8"/>
  <c r="Y173" i="8"/>
  <c r="Y174" i="8"/>
  <c r="Y175" i="8"/>
  <c r="Y176" i="8"/>
  <c r="Y177" i="8"/>
  <c r="Y178" i="8"/>
  <c r="Y179" i="8"/>
  <c r="Y180" i="8"/>
  <c r="Y181" i="8"/>
  <c r="Y182" i="8"/>
  <c r="Y183" i="8"/>
  <c r="Y184" i="8"/>
  <c r="Y185" i="8"/>
  <c r="Y186" i="8"/>
  <c r="Y187" i="8"/>
  <c r="Y188" i="8"/>
  <c r="Y189" i="8"/>
  <c r="Y190" i="8"/>
  <c r="Y191" i="8"/>
  <c r="Y192" i="8"/>
  <c r="Y193" i="8"/>
  <c r="Y194" i="8"/>
  <c r="Y195" i="8"/>
  <c r="Y196" i="8"/>
  <c r="Y197" i="8"/>
  <c r="Y198" i="8"/>
  <c r="Y199" i="8"/>
  <c r="Y200" i="8"/>
  <c r="Y201" i="8"/>
  <c r="Y202" i="8"/>
  <c r="Y203" i="8"/>
  <c r="Y204" i="8"/>
  <c r="Y205" i="8"/>
  <c r="Y206" i="8"/>
  <c r="Y207" i="8"/>
  <c r="Y208" i="8"/>
  <c r="Y209" i="8"/>
  <c r="Y210" i="8"/>
  <c r="Y211" i="8"/>
  <c r="Y212" i="8"/>
  <c r="Y213" i="8"/>
  <c r="Y214" i="8"/>
  <c r="Y215" i="8"/>
  <c r="Y216" i="8"/>
  <c r="Y217" i="8"/>
  <c r="Y218" i="8"/>
  <c r="Y219" i="8"/>
  <c r="Y220" i="8"/>
  <c r="Y221" i="8"/>
  <c r="Y222" i="8"/>
  <c r="Y223" i="8"/>
  <c r="Y224" i="8"/>
  <c r="Y225" i="8"/>
  <c r="Y226" i="8"/>
  <c r="Y227" i="8"/>
  <c r="Y228" i="8"/>
  <c r="Y229" i="8"/>
  <c r="Y230" i="8"/>
  <c r="Y231" i="8"/>
  <c r="Y232" i="8"/>
  <c r="Y233" i="8"/>
  <c r="Y234" i="8"/>
  <c r="Y235" i="8"/>
  <c r="Y236" i="8"/>
  <c r="Y237" i="8"/>
  <c r="Y238" i="8"/>
  <c r="Y239" i="8"/>
  <c r="Y240" i="8"/>
  <c r="Y241" i="8"/>
  <c r="Y242" i="8"/>
  <c r="Y243" i="8"/>
  <c r="Y244" i="8"/>
  <c r="Y245" i="8"/>
  <c r="Y246" i="8"/>
  <c r="Y247" i="8"/>
  <c r="Y248" i="8"/>
  <c r="Y249" i="8"/>
  <c r="Y250" i="8"/>
  <c r="Y251" i="8"/>
  <c r="Y252" i="8"/>
  <c r="Y253" i="8"/>
  <c r="Y254" i="8"/>
  <c r="Y255" i="8"/>
  <c r="Y256" i="8"/>
  <c r="Y257" i="8"/>
  <c r="Y258" i="8"/>
  <c r="Y259" i="8"/>
  <c r="Y260" i="8"/>
  <c r="Y261" i="8"/>
  <c r="Y262" i="8"/>
  <c r="Y263" i="8"/>
  <c r="Y264" i="8"/>
  <c r="Y265" i="8"/>
  <c r="Y266" i="8"/>
  <c r="Y267" i="8"/>
  <c r="Y268" i="8"/>
  <c r="Y269" i="8"/>
  <c r="Y270" i="8"/>
  <c r="Y271" i="8"/>
  <c r="Y272" i="8"/>
  <c r="Y273" i="8"/>
  <c r="Y274" i="8"/>
  <c r="Y275" i="8"/>
  <c r="Y276" i="8"/>
  <c r="Y277" i="8"/>
  <c r="Y278" i="8"/>
  <c r="Y279" i="8"/>
  <c r="Y280" i="8"/>
  <c r="Y281" i="8"/>
  <c r="Y282" i="8"/>
  <c r="Y283" i="8"/>
  <c r="AC4" i="8"/>
  <c r="Z4" i="8"/>
  <c r="Y4" i="8"/>
  <c r="AA3" i="8"/>
  <c r="AA261" i="7" l="1"/>
  <c r="AA249" i="7"/>
  <c r="AA237" i="7"/>
  <c r="AA225" i="7"/>
  <c r="AA213" i="7"/>
  <c r="AA201" i="7"/>
  <c r="AA189" i="7"/>
  <c r="AA177" i="7"/>
  <c r="AA165" i="7"/>
  <c r="AA153" i="7"/>
  <c r="AA141" i="7"/>
  <c r="AA129" i="7"/>
  <c r="AA117" i="7"/>
  <c r="AA105" i="7"/>
  <c r="AA93" i="7"/>
  <c r="AA81" i="7"/>
  <c r="AA69" i="7"/>
  <c r="AA57" i="7"/>
  <c r="AA45" i="7"/>
  <c r="AA33" i="7"/>
  <c r="AA21" i="7"/>
  <c r="AA9" i="7"/>
  <c r="AA269" i="7"/>
  <c r="AA185" i="7"/>
  <c r="AA137" i="7"/>
  <c r="AA89" i="7"/>
  <c r="AA41" i="7"/>
  <c r="AA256" i="7"/>
  <c r="AA220" i="7"/>
  <c r="AA172" i="7"/>
  <c r="AA124" i="7"/>
  <c r="AA76" i="7"/>
  <c r="AA28" i="7"/>
  <c r="AA267" i="7"/>
  <c r="AA219" i="7"/>
  <c r="AA171" i="7"/>
  <c r="AA123" i="7"/>
  <c r="AA75" i="7"/>
  <c r="AA27" i="7"/>
  <c r="AA230" i="7"/>
  <c r="AA182" i="7"/>
  <c r="AA122" i="7"/>
  <c r="AA74" i="7"/>
  <c r="AA26" i="7"/>
  <c r="AA241" i="7"/>
  <c r="AA193" i="7"/>
  <c r="AA133" i="7"/>
  <c r="AA73" i="7"/>
  <c r="AA13" i="7"/>
  <c r="AA228" i="7"/>
  <c r="AA180" i="7"/>
  <c r="AA120" i="7"/>
  <c r="AA36" i="7"/>
  <c r="AA239" i="7"/>
  <c r="AA191" i="7"/>
  <c r="AA143" i="7"/>
  <c r="AA83" i="7"/>
  <c r="AA11" i="7"/>
  <c r="AA238" i="7"/>
  <c r="AA202" i="7"/>
  <c r="AA130" i="7"/>
  <c r="AA82" i="7"/>
  <c r="AA22" i="7"/>
  <c r="AA260" i="7"/>
  <c r="AA248" i="7"/>
  <c r="AA236" i="7"/>
  <c r="AA224" i="7"/>
  <c r="AA212" i="7"/>
  <c r="AA200" i="7"/>
  <c r="AA188" i="7"/>
  <c r="AA176" i="7"/>
  <c r="AA164" i="7"/>
  <c r="AA152" i="7"/>
  <c r="AA140" i="7"/>
  <c r="AA128" i="7"/>
  <c r="AA116" i="7"/>
  <c r="AA104" i="7"/>
  <c r="AA92" i="7"/>
  <c r="AA80" i="7"/>
  <c r="AA68" i="7"/>
  <c r="AA56" i="7"/>
  <c r="AA44" i="7"/>
  <c r="AA32" i="7"/>
  <c r="AA20" i="7"/>
  <c r="AA8" i="7"/>
  <c r="AA245" i="7"/>
  <c r="AA209" i="7"/>
  <c r="AA161" i="7"/>
  <c r="AA113" i="7"/>
  <c r="AA77" i="7"/>
  <c r="AA17" i="7"/>
  <c r="AA268" i="7"/>
  <c r="AA208" i="7"/>
  <c r="AA160" i="7"/>
  <c r="AA112" i="7"/>
  <c r="AA52" i="7"/>
  <c r="AA255" i="7"/>
  <c r="AA207" i="7"/>
  <c r="AA159" i="7"/>
  <c r="AA111" i="7"/>
  <c r="AA63" i="7"/>
  <c r="AA15" i="7"/>
  <c r="AA242" i="7"/>
  <c r="AA194" i="7"/>
  <c r="AA146" i="7"/>
  <c r="AA98" i="7"/>
  <c r="AA50" i="7"/>
  <c r="AA253" i="7"/>
  <c r="AA205" i="7"/>
  <c r="AA157" i="7"/>
  <c r="AA109" i="7"/>
  <c r="AA49" i="7"/>
  <c r="AA216" i="7"/>
  <c r="AA168" i="7"/>
  <c r="AA108" i="7"/>
  <c r="AA48" i="7"/>
  <c r="AA251" i="7"/>
  <c r="AA203" i="7"/>
  <c r="AA155" i="7"/>
  <c r="AA95" i="7"/>
  <c r="AA35" i="7"/>
  <c r="AA250" i="7"/>
  <c r="AA178" i="7"/>
  <c r="AA94" i="7"/>
  <c r="AA10" i="7"/>
  <c r="AA259" i="7"/>
  <c r="AA247" i="7"/>
  <c r="AA235" i="7"/>
  <c r="AA223" i="7"/>
  <c r="AA211" i="7"/>
  <c r="AA199" i="7"/>
  <c r="AA187" i="7"/>
  <c r="AA175" i="7"/>
  <c r="AA163" i="7"/>
  <c r="AA151" i="7"/>
  <c r="AA139" i="7"/>
  <c r="AA127" i="7"/>
  <c r="AA115" i="7"/>
  <c r="AA103" i="7"/>
  <c r="AA91" i="7"/>
  <c r="AA79" i="7"/>
  <c r="AA67" i="7"/>
  <c r="AA55" i="7"/>
  <c r="AA43" i="7"/>
  <c r="AA31" i="7"/>
  <c r="AA19" i="7"/>
  <c r="AA7" i="7"/>
  <c r="AA233" i="7"/>
  <c r="AA197" i="7"/>
  <c r="AA149" i="7"/>
  <c r="AA101" i="7"/>
  <c r="AA53" i="7"/>
  <c r="AA232" i="7"/>
  <c r="AA184" i="7"/>
  <c r="AA136" i="7"/>
  <c r="AA88" i="7"/>
  <c r="AA40" i="7"/>
  <c r="AA4" i="7"/>
  <c r="AA231" i="7"/>
  <c r="AA183" i="7"/>
  <c r="AA135" i="7"/>
  <c r="AA87" i="7"/>
  <c r="AA39" i="7"/>
  <c r="AA266" i="7"/>
  <c r="AA218" i="7"/>
  <c r="AA158" i="7"/>
  <c r="AA110" i="7"/>
  <c r="AA62" i="7"/>
  <c r="AA14" i="7"/>
  <c r="AA265" i="7"/>
  <c r="AA217" i="7"/>
  <c r="AA145" i="7"/>
  <c r="AA85" i="7"/>
  <c r="AA25" i="7"/>
  <c r="AA264" i="7"/>
  <c r="AA192" i="7"/>
  <c r="AA132" i="7"/>
  <c r="AA72" i="7"/>
  <c r="AA12" i="7"/>
  <c r="AA263" i="7"/>
  <c r="AA215" i="7"/>
  <c r="AA167" i="7"/>
  <c r="AA119" i="7"/>
  <c r="AA47" i="7"/>
  <c r="AA262" i="7"/>
  <c r="AA214" i="7"/>
  <c r="AA142" i="7"/>
  <c r="AA58" i="7"/>
  <c r="AA258" i="7"/>
  <c r="AA246" i="7"/>
  <c r="AA234" i="7"/>
  <c r="AA222" i="7"/>
  <c r="AA210" i="7"/>
  <c r="AA198" i="7"/>
  <c r="AA186" i="7"/>
  <c r="AA174" i="7"/>
  <c r="AA162" i="7"/>
  <c r="AA150" i="7"/>
  <c r="AA138" i="7"/>
  <c r="AA126" i="7"/>
  <c r="AA114" i="7"/>
  <c r="AA102" i="7"/>
  <c r="AA90" i="7"/>
  <c r="AA78" i="7"/>
  <c r="AA66" i="7"/>
  <c r="AA54" i="7"/>
  <c r="AA42" i="7"/>
  <c r="AA30" i="7"/>
  <c r="AA18" i="7"/>
  <c r="AA6" i="7"/>
  <c r="AA257" i="7"/>
  <c r="AA221" i="7"/>
  <c r="AA173" i="7"/>
  <c r="AA125" i="7"/>
  <c r="AA65" i="7"/>
  <c r="AA29" i="7"/>
  <c r="AA244" i="7"/>
  <c r="AA196" i="7"/>
  <c r="AA148" i="7"/>
  <c r="AA100" i="7"/>
  <c r="AA64" i="7"/>
  <c r="AA16" i="7"/>
  <c r="AA243" i="7"/>
  <c r="AA195" i="7"/>
  <c r="AA147" i="7"/>
  <c r="AA99" i="7"/>
  <c r="AA51" i="7"/>
  <c r="AA254" i="7"/>
  <c r="AA206" i="7"/>
  <c r="AA134" i="7"/>
  <c r="AA86" i="7"/>
  <c r="AA38" i="7"/>
  <c r="AA229" i="7"/>
  <c r="AA181" i="7"/>
  <c r="AA121" i="7"/>
  <c r="AA61" i="7"/>
  <c r="AA252" i="7"/>
  <c r="AA204" i="7"/>
  <c r="AA156" i="7"/>
  <c r="AA96" i="7"/>
  <c r="AA24" i="7"/>
  <c r="AA227" i="7"/>
  <c r="AA179" i="7"/>
  <c r="AA131" i="7"/>
  <c r="AA59" i="7"/>
  <c r="AA226" i="7"/>
  <c r="AA166" i="7"/>
  <c r="AA106" i="7"/>
  <c r="AA46" i="7"/>
  <c r="AA5" i="7"/>
  <c r="AA170" i="7"/>
  <c r="AA97" i="7"/>
  <c r="AA60" i="7"/>
  <c r="AA107" i="7"/>
  <c r="AA70" i="7"/>
  <c r="AA37" i="7"/>
  <c r="AA144" i="7"/>
  <c r="AA23" i="7"/>
  <c r="AA190" i="7"/>
  <c r="AA34" i="7"/>
  <c r="AA169" i="7"/>
  <c r="AA240" i="7"/>
  <c r="AA84" i="7"/>
  <c r="AA71" i="7"/>
  <c r="AA118" i="7"/>
  <c r="AA15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Mahmoud Mobir</author>
  </authors>
  <commentList>
    <comment ref="N4" authorId="0" shapeId="0" xr:uid="{E0FB3C87-AC9E-471C-86F7-396C417BEDC2}">
      <text>
        <r>
          <rPr>
            <b/>
            <sz val="9"/>
            <color indexed="81"/>
            <rFont val="Tahoma"/>
            <charset val="1"/>
          </rPr>
          <t>Mahmoud Mobir:</t>
        </r>
        <r>
          <rPr>
            <sz val="9"/>
            <color indexed="81"/>
            <rFont val="Tahoma"/>
            <charset val="1"/>
          </rPr>
          <t xml:space="preserve">
12-19-2021
Changed all "interpolation and forward extrapolation rules" to "interpolation and no extrapolation". 
Some of these Ucs induced to dummy imports in the region USA. </t>
        </r>
      </text>
    </comment>
  </commentList>
</comments>
</file>

<file path=xl/sharedStrings.xml><?xml version="1.0" encoding="utf-8"?>
<sst xmlns="http://schemas.openxmlformats.org/spreadsheetml/2006/main" count="8257" uniqueCount="142">
  <si>
    <t>~UC_SETS: R_E: AllRegions</t>
  </si>
  <si>
    <t>date</t>
  </si>
  <si>
    <t>initials</t>
  </si>
  <si>
    <t>description</t>
  </si>
  <si>
    <t>mas</t>
  </si>
  <si>
    <t>revised UtilizationLim-LO_Oil to stimulate oil generation in AFR and MID</t>
  </si>
  <si>
    <t>revised UtilizationLim-UP_Oil and utilization history to stimulate oil generation in MID</t>
  </si>
  <si>
    <t>revised utilization history in AFR</t>
  </si>
  <si>
    <t>Workbook purpose:</t>
  </si>
  <si>
    <t>Data source:</t>
  </si>
  <si>
    <t>User-modifiable?</t>
  </si>
  <si>
    <t>~UC_T: UC_CAP</t>
  </si>
  <si>
    <t>Region</t>
  </si>
  <si>
    <t>PSET_PN</t>
  </si>
  <si>
    <t>~TFM_INS-TS</t>
  </si>
  <si>
    <t>Attribute</t>
  </si>
  <si>
    <t>LimType</t>
  </si>
  <si>
    <t>FX</t>
  </si>
  <si>
    <t>Performs historical calibration for 2015 and 2016 and sets utilization limits on fossil, solar,and CHP techs, as well as EFF and (for now) heat ratio for CHP techs</t>
  </si>
  <si>
    <t>Historical capacity, generation, and heat production data from the restart file is read by the MIG and shared to the country level based on Platts capacity</t>
  </si>
  <si>
    <t>then written here as utilization limits and CHP parameters</t>
  </si>
  <si>
    <t>No, user overrides should be made in a user scenario</t>
  </si>
  <si>
    <t>UC_N</t>
  </si>
  <si>
    <t>PSET_SET</t>
  </si>
  <si>
    <t>PSET_CO</t>
  </si>
  <si>
    <t>RestartCHPChar_CHPR</t>
  </si>
  <si>
    <t>RestartCHPChar_EFF</t>
  </si>
  <si>
    <t>Max CHP eff</t>
  </si>
  <si>
    <t>~TFM_DINS-TS</t>
  </si>
  <si>
    <t>ts_filter</t>
  </si>
  <si>
    <t>AK</t>
  </si>
  <si>
    <t>override CHP EFF where effective EFF more than a user-specified limit (80% default); sheet CHP_elecEFF</t>
  </si>
  <si>
    <t>if zero</t>
  </si>
  <si>
    <t>AFR_N</t>
  </si>
  <si>
    <t>EP_Bio-CHP</t>
  </si>
  <si>
    <t>EP_Coa-CHP</t>
  </si>
  <si>
    <t>EP_Gas-CHP</t>
  </si>
  <si>
    <t>EP_Oil-CHP</t>
  </si>
  <si>
    <t>EP_Oil_CRD-CHP</t>
  </si>
  <si>
    <t>EP_Oil_DST-CHP</t>
  </si>
  <si>
    <t>EP_Was-CHP</t>
  </si>
  <si>
    <t>AFR_S</t>
  </si>
  <si>
    <t>ANZ</t>
  </si>
  <si>
    <t>EP_Geo-CHP</t>
  </si>
  <si>
    <t>BRZ</t>
  </si>
  <si>
    <t>CAN</t>
  </si>
  <si>
    <t>CHI</t>
  </si>
  <si>
    <t>EP_CoaG-CHP</t>
  </si>
  <si>
    <t>EP_Nuc-CHP</t>
  </si>
  <si>
    <t>CSA</t>
  </si>
  <si>
    <t>EUR</t>
  </si>
  <si>
    <t>IND</t>
  </si>
  <si>
    <t>EP_Sol-CHP</t>
  </si>
  <si>
    <t>JPN</t>
  </si>
  <si>
    <t>MID</t>
  </si>
  <si>
    <t>MXC</t>
  </si>
  <si>
    <t>OAS</t>
  </si>
  <si>
    <t>RUS</t>
  </si>
  <si>
    <t>SKO</t>
  </si>
  <si>
    <t>URA</t>
  </si>
  <si>
    <t>USA</t>
  </si>
  <si>
    <t>Techname</t>
  </si>
  <si>
    <t>EFF_WtdAvg</t>
  </si>
  <si>
    <t>EFF</t>
  </si>
  <si>
    <t>attribute</t>
  </si>
  <si>
    <t>Other_indexes</t>
  </si>
  <si>
    <t>PSET_CI</t>
  </si>
  <si>
    <t>CSET_CN</t>
  </si>
  <si>
    <t>limtype</t>
  </si>
  <si>
    <t>PRC_MARK</t>
  </si>
  <si>
    <t>shugnbm-3</t>
  </si>
  <si>
    <t>ELCBIO,ELCWAS</t>
  </si>
  <si>
    <t>HET</t>
  </si>
  <si>
    <t>LO</t>
  </si>
  <si>
    <t>shugncl-3</t>
  </si>
  <si>
    <t>ELCCOA*</t>
  </si>
  <si>
    <t>shugnds-3</t>
  </si>
  <si>
    <t>ELCOIL_DST</t>
  </si>
  <si>
    <t>shugnng-3</t>
  </si>
  <si>
    <t>ELCGAS</t>
  </si>
  <si>
    <t>shugnrs-3</t>
  </si>
  <si>
    <t>ELCOIL</t>
  </si>
  <si>
    <t>\I:</t>
  </si>
  <si>
    <t>Year</t>
  </si>
  <si>
    <t>UC_ACT</t>
  </si>
  <si>
    <t>UC_CAP</t>
  </si>
  <si>
    <t>UC_RHSRT</t>
  </si>
  <si>
    <t>UC_RHSRT~0</t>
  </si>
  <si>
    <t>UC_Calib_CFs_shucpbmCHPlo</t>
  </si>
  <si>
    <t>-*ReTargDum*</t>
  </si>
  <si>
    <t>CHP</t>
  </si>
  <si>
    <t>ELCBIO</t>
  </si>
  <si>
    <t>UC_Calib_CFs_shucpbmCHPup</t>
  </si>
  <si>
    <t>UP</t>
  </si>
  <si>
    <t>UC_Calib_CFs_shucpbmELElo</t>
  </si>
  <si>
    <t>ELE</t>
  </si>
  <si>
    <t>UC_Calib_CFs_shucpbmELEup</t>
  </si>
  <si>
    <t>UC_Calib_CFs_shucpcdCHPlo</t>
  </si>
  <si>
    <t>ELCOIL_CRD</t>
  </si>
  <si>
    <t>UC_Calib_CFs_shucpcdCHPup</t>
  </si>
  <si>
    <t>UC_Calib_CFs_shucpcdELElo</t>
  </si>
  <si>
    <t>UC_Calib_CFs_shucpcdELEup</t>
  </si>
  <si>
    <t>UC_Calib_CFs_shucpclCHPlo</t>
  </si>
  <si>
    <t>ELCCOA</t>
  </si>
  <si>
    <t>2030, 2021</t>
  </si>
  <si>
    <t>UC_Calib_CFs_shucpclCHPup</t>
  </si>
  <si>
    <t>UC_Calib_CFs_shucpclELElo</t>
  </si>
  <si>
    <t>UC_Calib_CFs_shucpclELEup</t>
  </si>
  <si>
    <t>UC_Calib_CFs_shucpdsCHPlo</t>
  </si>
  <si>
    <t>UC_Calib_CFs_shucpdsCHPup</t>
  </si>
  <si>
    <t>UC_Calib_CFs_shucpdsELElo</t>
  </si>
  <si>
    <t>UC_Calib_CFs_shucpdsELEup</t>
  </si>
  <si>
    <t>UC_Calib_CFs_shucpgtCHPlo</t>
  </si>
  <si>
    <t>ELCGEO</t>
  </si>
  <si>
    <t>UC_Calib_CFs_shucpgtCHPup</t>
  </si>
  <si>
    <t>UC_Calib_CFs_shucpgtELElo</t>
  </si>
  <si>
    <t>UC_Calib_CFs_shucpgtELEup</t>
  </si>
  <si>
    <t>UC_Calib_CFs_shucpheELEup</t>
  </si>
  <si>
    <t>ELCHYD</t>
  </si>
  <si>
    <t>UC_Calib_CFs_shucpngCHPlo</t>
  </si>
  <si>
    <t>UC_Calib_CFs_shucpngCHPup</t>
  </si>
  <si>
    <t>UC_Calib_CFs_shucpngELElo</t>
  </si>
  <si>
    <t>UC_Calib_CFs_shucpngELEup</t>
  </si>
  <si>
    <t>UC_Calib_CFs_shucprsCHPlo</t>
  </si>
  <si>
    <t>UC_Calib_CFs_shucprsCHPup</t>
  </si>
  <si>
    <t>UC_Calib_CFs_shucprsELElo</t>
  </si>
  <si>
    <t>UC_Calib_CFs_shucprsELEup</t>
  </si>
  <si>
    <t>UC_Calib_CFs_shucpslELEup</t>
  </si>
  <si>
    <t>ELCSOL</t>
  </si>
  <si>
    <t>UC_Calib_CFs_shucpwnELEup</t>
  </si>
  <si>
    <t>ELCWIN</t>
  </si>
  <si>
    <t>UC_Calib_CFs_shucpwsCHPlo</t>
  </si>
  <si>
    <t>ELCWAS</t>
  </si>
  <si>
    <t>UC_Calib_CFs_shucpwsCHPup</t>
  </si>
  <si>
    <t>UC_Calib_CFs_shucpwsELElo</t>
  </si>
  <si>
    <t>UC_Calib_CFs_shucpwsELEup</t>
  </si>
  <si>
    <t>MahmoudMobir</t>
  </si>
  <si>
    <t>Deactivated~TFM_INS-TS</t>
  </si>
  <si>
    <t>NCAP_CHPR</t>
  </si>
  <si>
    <t xml:space="preserve">Changed all "interpolation and forward extrapolation" rules to "interpolation and no extrapolation" in the utiliszation_limlits UCs. Some of these UCs induced to dummy imports in the region USA. </t>
  </si>
  <si>
    <t>MahmoudMObir</t>
  </si>
  <si>
    <t>Changed the heat to power rate equations from FX to UP. Having FX equations leads to negative heat prices in the model. This is just a workaround. Will troubleshoot this issue when mitigation techs will have been added to the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</si>
</sst>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1" applyNumberFormat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2" borderId="0" xfId="1"/>
    <xf numFmtId="0" fontId="4" fillId="3" borderId="1" xfId="2"/>
  </cellXfs>
  <cellStyles count="3"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A19" sqref="A19"/>
    </sheetView>
  </sheetViews>
  <sheetFormatPr defaultColWidth="8.88671875" defaultRowHeight="14.4" x14ac:dyDescent="0.3"/>
  <cols>
    <col min="1" max="1" width="10.44140625" bestFit="1" customWidth="1"/>
  </cols>
  <sheetData>
    <row r="1" spans="1:3" x14ac:dyDescent="0.3">
      <c r="A1" s="2" t="s">
        <v>8</v>
      </c>
    </row>
    <row r="2" spans="1:3" x14ac:dyDescent="0.3">
      <c r="A2" s="3" t="s">
        <v>18</v>
      </c>
    </row>
    <row r="3" spans="1:3" x14ac:dyDescent="0.3">
      <c r="A3" s="3"/>
    </row>
    <row r="4" spans="1:3" x14ac:dyDescent="0.3">
      <c r="A4" s="2" t="s">
        <v>9</v>
      </c>
    </row>
    <row r="5" spans="1:3" x14ac:dyDescent="0.3">
      <c r="A5" s="3" t="s">
        <v>19</v>
      </c>
    </row>
    <row r="6" spans="1:3" x14ac:dyDescent="0.3">
      <c r="A6" s="3" t="s">
        <v>20</v>
      </c>
    </row>
    <row r="7" spans="1:3" x14ac:dyDescent="0.3">
      <c r="A7" s="2"/>
    </row>
    <row r="8" spans="1:3" x14ac:dyDescent="0.3">
      <c r="A8" s="2" t="s">
        <v>10</v>
      </c>
    </row>
    <row r="9" spans="1:3" x14ac:dyDescent="0.3">
      <c r="A9" t="s">
        <v>21</v>
      </c>
    </row>
    <row r="12" spans="1:3" x14ac:dyDescent="0.3">
      <c r="A12" s="1" t="s">
        <v>1</v>
      </c>
      <c r="B12" t="s">
        <v>2</v>
      </c>
      <c r="C12" t="s">
        <v>3</v>
      </c>
    </row>
    <row r="13" spans="1:3" x14ac:dyDescent="0.3">
      <c r="A13" s="1">
        <v>43588</v>
      </c>
      <c r="B13" t="s">
        <v>4</v>
      </c>
      <c r="C13" t="s">
        <v>5</v>
      </c>
    </row>
    <row r="14" spans="1:3" x14ac:dyDescent="0.3">
      <c r="A14" s="1">
        <v>43591</v>
      </c>
      <c r="B14" t="s">
        <v>4</v>
      </c>
      <c r="C14" t="s">
        <v>6</v>
      </c>
    </row>
    <row r="15" spans="1:3" x14ac:dyDescent="0.3">
      <c r="A15" s="1">
        <v>43591</v>
      </c>
      <c r="B15" t="s">
        <v>4</v>
      </c>
      <c r="C15" t="s">
        <v>7</v>
      </c>
    </row>
    <row r="16" spans="1:3" x14ac:dyDescent="0.3">
      <c r="A16" s="1">
        <v>44154</v>
      </c>
      <c r="B16" t="s">
        <v>30</v>
      </c>
      <c r="C16" t="s">
        <v>31</v>
      </c>
    </row>
    <row r="17" spans="1:3" x14ac:dyDescent="0.3">
      <c r="A17" s="1">
        <v>44549</v>
      </c>
      <c r="B17" t="s">
        <v>136</v>
      </c>
      <c r="C17" t="s">
        <v>139</v>
      </c>
    </row>
    <row r="18" spans="1:3" x14ac:dyDescent="0.3">
      <c r="A18" s="1">
        <v>44552</v>
      </c>
      <c r="B18" t="s">
        <v>140</v>
      </c>
      <c r="C18" t="s"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1:N971"/>
  <sheetViews>
    <sheetView zoomScale="85" zoomScaleNormal="85" workbookViewId="0">
      <selection activeCell="R18" sqref="R18"/>
    </sheetView>
  </sheetViews>
  <sheetFormatPr defaultColWidth="8.88671875" defaultRowHeight="14.4" x14ac:dyDescent="0.3"/>
  <cols>
    <col min="3" max="3" width="2" bestFit="1" customWidth="1"/>
    <col min="4" max="4" width="28.88671875" bestFit="1" customWidth="1"/>
    <col min="5" max="5" width="10.33203125" bestFit="1" customWidth="1"/>
    <col min="6" max="6" width="9.33203125" bestFit="1" customWidth="1"/>
    <col min="7" max="7" width="11.44140625" bestFit="1" customWidth="1"/>
    <col min="8" max="8" width="14.5546875" bestFit="1" customWidth="1"/>
    <col min="9" max="9" width="7.88671875" bestFit="1" customWidth="1"/>
    <col min="10" max="12" width="12.88671875" bestFit="1" customWidth="1"/>
    <col min="13" max="13" width="9" bestFit="1" customWidth="1"/>
    <col min="14" max="14" width="11" bestFit="1" customWidth="1"/>
    <col min="15" max="25" width="6.33203125" customWidth="1"/>
    <col min="26" max="26" width="10" bestFit="1" customWidth="1"/>
    <col min="29" max="29" width="6.33203125" bestFit="1" customWidth="1"/>
    <col min="30" max="30" width="5" bestFit="1" customWidth="1"/>
    <col min="31" max="31" width="6.44140625" bestFit="1" customWidth="1"/>
    <col min="32" max="32" width="5.44140625" bestFit="1" customWidth="1"/>
    <col min="33" max="33" width="6.44140625" customWidth="1"/>
    <col min="34" max="35" width="5.44140625" bestFit="1" customWidth="1"/>
    <col min="36" max="39" width="5" bestFit="1" customWidth="1"/>
    <col min="40" max="42" width="5.44140625" bestFit="1" customWidth="1"/>
    <col min="43" max="43" width="6.44140625" bestFit="1" customWidth="1"/>
    <col min="44" max="46" width="5.44140625" bestFit="1" customWidth="1"/>
    <col min="47" max="47" width="5" bestFit="1" customWidth="1"/>
    <col min="285" max="285" width="6.33203125" bestFit="1" customWidth="1"/>
    <col min="286" max="286" width="5" bestFit="1" customWidth="1"/>
    <col min="287" max="287" width="6.44140625" bestFit="1" customWidth="1"/>
    <col min="288" max="288" width="5.44140625" bestFit="1" customWidth="1"/>
    <col min="289" max="289" width="6.44140625" customWidth="1"/>
    <col min="290" max="291" width="5.44140625" bestFit="1" customWidth="1"/>
    <col min="292" max="295" width="5" bestFit="1" customWidth="1"/>
    <col min="296" max="298" width="5.44140625" bestFit="1" customWidth="1"/>
    <col min="299" max="299" width="6.44140625" bestFit="1" customWidth="1"/>
    <col min="300" max="302" width="5.44140625" bestFit="1" customWidth="1"/>
    <col min="303" max="303" width="5" bestFit="1" customWidth="1"/>
    <col min="541" max="541" width="6.33203125" bestFit="1" customWidth="1"/>
    <col min="542" max="542" width="5" bestFit="1" customWidth="1"/>
    <col min="543" max="543" width="6.44140625" bestFit="1" customWidth="1"/>
    <col min="544" max="544" width="5.44140625" bestFit="1" customWidth="1"/>
    <col min="545" max="545" width="6.44140625" customWidth="1"/>
    <col min="546" max="547" width="5.44140625" bestFit="1" customWidth="1"/>
    <col min="548" max="551" width="5" bestFit="1" customWidth="1"/>
    <col min="552" max="554" width="5.44140625" bestFit="1" customWidth="1"/>
    <col min="555" max="555" width="6.44140625" bestFit="1" customWidth="1"/>
    <col min="556" max="558" width="5.44140625" bestFit="1" customWidth="1"/>
    <col min="559" max="559" width="5" bestFit="1" customWidth="1"/>
    <col min="797" max="797" width="6.33203125" bestFit="1" customWidth="1"/>
    <col min="798" max="798" width="5" bestFit="1" customWidth="1"/>
    <col min="799" max="799" width="6.44140625" bestFit="1" customWidth="1"/>
    <col min="800" max="800" width="5.44140625" bestFit="1" customWidth="1"/>
    <col min="801" max="801" width="6.44140625" customWidth="1"/>
    <col min="802" max="803" width="5.44140625" bestFit="1" customWidth="1"/>
    <col min="804" max="807" width="5" bestFit="1" customWidth="1"/>
    <col min="808" max="810" width="5.44140625" bestFit="1" customWidth="1"/>
    <col min="811" max="811" width="6.44140625" bestFit="1" customWidth="1"/>
    <col min="812" max="814" width="5.44140625" bestFit="1" customWidth="1"/>
    <col min="815" max="815" width="5" bestFit="1" customWidth="1"/>
    <col min="1053" max="1053" width="6.33203125" bestFit="1" customWidth="1"/>
    <col min="1054" max="1054" width="5" bestFit="1" customWidth="1"/>
    <col min="1055" max="1055" width="6.44140625" bestFit="1" customWidth="1"/>
    <col min="1056" max="1056" width="5.44140625" bestFit="1" customWidth="1"/>
    <col min="1057" max="1057" width="6.44140625" customWidth="1"/>
    <col min="1058" max="1059" width="5.44140625" bestFit="1" customWidth="1"/>
    <col min="1060" max="1063" width="5" bestFit="1" customWidth="1"/>
    <col min="1064" max="1066" width="5.44140625" bestFit="1" customWidth="1"/>
    <col min="1067" max="1067" width="6.44140625" bestFit="1" customWidth="1"/>
    <col min="1068" max="1070" width="5.44140625" bestFit="1" customWidth="1"/>
    <col min="1071" max="1071" width="5" bestFit="1" customWidth="1"/>
    <col min="1309" max="1309" width="6.33203125" bestFit="1" customWidth="1"/>
    <col min="1310" max="1310" width="5" bestFit="1" customWidth="1"/>
    <col min="1311" max="1311" width="6.44140625" bestFit="1" customWidth="1"/>
    <col min="1312" max="1312" width="5.44140625" bestFit="1" customWidth="1"/>
    <col min="1313" max="1313" width="6.44140625" customWidth="1"/>
    <col min="1314" max="1315" width="5.44140625" bestFit="1" customWidth="1"/>
    <col min="1316" max="1319" width="5" bestFit="1" customWidth="1"/>
    <col min="1320" max="1322" width="5.44140625" bestFit="1" customWidth="1"/>
    <col min="1323" max="1323" width="6.44140625" bestFit="1" customWidth="1"/>
    <col min="1324" max="1326" width="5.44140625" bestFit="1" customWidth="1"/>
    <col min="1327" max="1327" width="5" bestFit="1" customWidth="1"/>
    <col min="1565" max="1565" width="6.33203125" bestFit="1" customWidth="1"/>
    <col min="1566" max="1566" width="5" bestFit="1" customWidth="1"/>
    <col min="1567" max="1567" width="6.44140625" bestFit="1" customWidth="1"/>
    <col min="1568" max="1568" width="5.44140625" bestFit="1" customWidth="1"/>
    <col min="1569" max="1569" width="6.44140625" customWidth="1"/>
    <col min="1570" max="1571" width="5.44140625" bestFit="1" customWidth="1"/>
    <col min="1572" max="1575" width="5" bestFit="1" customWidth="1"/>
    <col min="1576" max="1578" width="5.44140625" bestFit="1" customWidth="1"/>
    <col min="1579" max="1579" width="6.44140625" bestFit="1" customWidth="1"/>
    <col min="1580" max="1582" width="5.44140625" bestFit="1" customWidth="1"/>
    <col min="1583" max="1583" width="5" bestFit="1" customWidth="1"/>
    <col min="1821" max="1821" width="6.33203125" bestFit="1" customWidth="1"/>
    <col min="1822" max="1822" width="5" bestFit="1" customWidth="1"/>
    <col min="1823" max="1823" width="6.44140625" bestFit="1" customWidth="1"/>
    <col min="1824" max="1824" width="5.44140625" bestFit="1" customWidth="1"/>
    <col min="1825" max="1825" width="6.44140625" customWidth="1"/>
    <col min="1826" max="1827" width="5.44140625" bestFit="1" customWidth="1"/>
    <col min="1828" max="1831" width="5" bestFit="1" customWidth="1"/>
    <col min="1832" max="1834" width="5.44140625" bestFit="1" customWidth="1"/>
    <col min="1835" max="1835" width="6.44140625" bestFit="1" customWidth="1"/>
    <col min="1836" max="1838" width="5.44140625" bestFit="1" customWidth="1"/>
    <col min="1839" max="1839" width="5" bestFit="1" customWidth="1"/>
    <col min="2077" max="2077" width="6.33203125" bestFit="1" customWidth="1"/>
    <col min="2078" max="2078" width="5" bestFit="1" customWidth="1"/>
    <col min="2079" max="2079" width="6.44140625" bestFit="1" customWidth="1"/>
    <col min="2080" max="2080" width="5.44140625" bestFit="1" customWidth="1"/>
    <col min="2081" max="2081" width="6.44140625" customWidth="1"/>
    <col min="2082" max="2083" width="5.44140625" bestFit="1" customWidth="1"/>
    <col min="2084" max="2087" width="5" bestFit="1" customWidth="1"/>
    <col min="2088" max="2090" width="5.44140625" bestFit="1" customWidth="1"/>
    <col min="2091" max="2091" width="6.44140625" bestFit="1" customWidth="1"/>
    <col min="2092" max="2094" width="5.44140625" bestFit="1" customWidth="1"/>
    <col min="2095" max="2095" width="5" bestFit="1" customWidth="1"/>
    <col min="2333" max="2333" width="6.33203125" bestFit="1" customWidth="1"/>
    <col min="2334" max="2334" width="5" bestFit="1" customWidth="1"/>
    <col min="2335" max="2335" width="6.44140625" bestFit="1" customWidth="1"/>
    <col min="2336" max="2336" width="5.44140625" bestFit="1" customWidth="1"/>
    <col min="2337" max="2337" width="6.44140625" customWidth="1"/>
    <col min="2338" max="2339" width="5.44140625" bestFit="1" customWidth="1"/>
    <col min="2340" max="2343" width="5" bestFit="1" customWidth="1"/>
    <col min="2344" max="2346" width="5.44140625" bestFit="1" customWidth="1"/>
    <col min="2347" max="2347" width="6.44140625" bestFit="1" customWidth="1"/>
    <col min="2348" max="2350" width="5.44140625" bestFit="1" customWidth="1"/>
    <col min="2351" max="2351" width="5" bestFit="1" customWidth="1"/>
    <col min="2589" max="2589" width="6.33203125" bestFit="1" customWidth="1"/>
    <col min="2590" max="2590" width="5" bestFit="1" customWidth="1"/>
    <col min="2591" max="2591" width="6.44140625" bestFit="1" customWidth="1"/>
    <col min="2592" max="2592" width="5.44140625" bestFit="1" customWidth="1"/>
    <col min="2593" max="2593" width="6.44140625" customWidth="1"/>
    <col min="2594" max="2595" width="5.44140625" bestFit="1" customWidth="1"/>
    <col min="2596" max="2599" width="5" bestFit="1" customWidth="1"/>
    <col min="2600" max="2602" width="5.44140625" bestFit="1" customWidth="1"/>
    <col min="2603" max="2603" width="6.44140625" bestFit="1" customWidth="1"/>
    <col min="2604" max="2606" width="5.44140625" bestFit="1" customWidth="1"/>
    <col min="2607" max="2607" width="5" bestFit="1" customWidth="1"/>
    <col min="2845" max="2845" width="6.33203125" bestFit="1" customWidth="1"/>
    <col min="2846" max="2846" width="5" bestFit="1" customWidth="1"/>
    <col min="2847" max="2847" width="6.44140625" bestFit="1" customWidth="1"/>
    <col min="2848" max="2848" width="5.44140625" bestFit="1" customWidth="1"/>
    <col min="2849" max="2849" width="6.44140625" customWidth="1"/>
    <col min="2850" max="2851" width="5.44140625" bestFit="1" customWidth="1"/>
    <col min="2852" max="2855" width="5" bestFit="1" customWidth="1"/>
    <col min="2856" max="2858" width="5.44140625" bestFit="1" customWidth="1"/>
    <col min="2859" max="2859" width="6.44140625" bestFit="1" customWidth="1"/>
    <col min="2860" max="2862" width="5.44140625" bestFit="1" customWidth="1"/>
    <col min="2863" max="2863" width="5" bestFit="1" customWidth="1"/>
    <col min="3101" max="3101" width="6.33203125" bestFit="1" customWidth="1"/>
    <col min="3102" max="3102" width="5" bestFit="1" customWidth="1"/>
    <col min="3103" max="3103" width="6.44140625" bestFit="1" customWidth="1"/>
    <col min="3104" max="3104" width="5.44140625" bestFit="1" customWidth="1"/>
    <col min="3105" max="3105" width="6.44140625" customWidth="1"/>
    <col min="3106" max="3107" width="5.44140625" bestFit="1" customWidth="1"/>
    <col min="3108" max="3111" width="5" bestFit="1" customWidth="1"/>
    <col min="3112" max="3114" width="5.44140625" bestFit="1" customWidth="1"/>
    <col min="3115" max="3115" width="6.44140625" bestFit="1" customWidth="1"/>
    <col min="3116" max="3118" width="5.44140625" bestFit="1" customWidth="1"/>
    <col min="3119" max="3119" width="5" bestFit="1" customWidth="1"/>
    <col min="3357" max="3357" width="6.33203125" bestFit="1" customWidth="1"/>
    <col min="3358" max="3358" width="5" bestFit="1" customWidth="1"/>
    <col min="3359" max="3359" width="6.44140625" bestFit="1" customWidth="1"/>
    <col min="3360" max="3360" width="5.44140625" bestFit="1" customWidth="1"/>
    <col min="3361" max="3361" width="6.44140625" customWidth="1"/>
    <col min="3362" max="3363" width="5.44140625" bestFit="1" customWidth="1"/>
    <col min="3364" max="3367" width="5" bestFit="1" customWidth="1"/>
    <col min="3368" max="3370" width="5.44140625" bestFit="1" customWidth="1"/>
    <col min="3371" max="3371" width="6.44140625" bestFit="1" customWidth="1"/>
    <col min="3372" max="3374" width="5.44140625" bestFit="1" customWidth="1"/>
    <col min="3375" max="3375" width="5" bestFit="1" customWidth="1"/>
    <col min="3613" max="3613" width="6.33203125" bestFit="1" customWidth="1"/>
    <col min="3614" max="3614" width="5" bestFit="1" customWidth="1"/>
    <col min="3615" max="3615" width="6.44140625" bestFit="1" customWidth="1"/>
    <col min="3616" max="3616" width="5.44140625" bestFit="1" customWidth="1"/>
    <col min="3617" max="3617" width="6.44140625" customWidth="1"/>
    <col min="3618" max="3619" width="5.44140625" bestFit="1" customWidth="1"/>
    <col min="3620" max="3623" width="5" bestFit="1" customWidth="1"/>
    <col min="3624" max="3626" width="5.44140625" bestFit="1" customWidth="1"/>
    <col min="3627" max="3627" width="6.44140625" bestFit="1" customWidth="1"/>
    <col min="3628" max="3630" width="5.44140625" bestFit="1" customWidth="1"/>
    <col min="3631" max="3631" width="5" bestFit="1" customWidth="1"/>
    <col min="3869" max="3869" width="6.33203125" bestFit="1" customWidth="1"/>
    <col min="3870" max="3870" width="5" bestFit="1" customWidth="1"/>
    <col min="3871" max="3871" width="6.44140625" bestFit="1" customWidth="1"/>
    <col min="3872" max="3872" width="5.44140625" bestFit="1" customWidth="1"/>
    <col min="3873" max="3873" width="6.44140625" customWidth="1"/>
    <col min="3874" max="3875" width="5.44140625" bestFit="1" customWidth="1"/>
    <col min="3876" max="3879" width="5" bestFit="1" customWidth="1"/>
    <col min="3880" max="3882" width="5.44140625" bestFit="1" customWidth="1"/>
    <col min="3883" max="3883" width="6.44140625" bestFit="1" customWidth="1"/>
    <col min="3884" max="3886" width="5.44140625" bestFit="1" customWidth="1"/>
    <col min="3887" max="3887" width="5" bestFit="1" customWidth="1"/>
    <col min="4125" max="4125" width="6.33203125" bestFit="1" customWidth="1"/>
    <col min="4126" max="4126" width="5" bestFit="1" customWidth="1"/>
    <col min="4127" max="4127" width="6.44140625" bestFit="1" customWidth="1"/>
    <col min="4128" max="4128" width="5.44140625" bestFit="1" customWidth="1"/>
    <col min="4129" max="4129" width="6.44140625" customWidth="1"/>
    <col min="4130" max="4131" width="5.44140625" bestFit="1" customWidth="1"/>
    <col min="4132" max="4135" width="5" bestFit="1" customWidth="1"/>
    <col min="4136" max="4138" width="5.44140625" bestFit="1" customWidth="1"/>
    <col min="4139" max="4139" width="6.44140625" bestFit="1" customWidth="1"/>
    <col min="4140" max="4142" width="5.44140625" bestFit="1" customWidth="1"/>
    <col min="4143" max="4143" width="5" bestFit="1" customWidth="1"/>
    <col min="4381" max="4381" width="6.33203125" bestFit="1" customWidth="1"/>
    <col min="4382" max="4382" width="5" bestFit="1" customWidth="1"/>
    <col min="4383" max="4383" width="6.44140625" bestFit="1" customWidth="1"/>
    <col min="4384" max="4384" width="5.44140625" bestFit="1" customWidth="1"/>
    <col min="4385" max="4385" width="6.44140625" customWidth="1"/>
    <col min="4386" max="4387" width="5.44140625" bestFit="1" customWidth="1"/>
    <col min="4388" max="4391" width="5" bestFit="1" customWidth="1"/>
    <col min="4392" max="4394" width="5.44140625" bestFit="1" customWidth="1"/>
    <col min="4395" max="4395" width="6.44140625" bestFit="1" customWidth="1"/>
    <col min="4396" max="4398" width="5.44140625" bestFit="1" customWidth="1"/>
    <col min="4399" max="4399" width="5" bestFit="1" customWidth="1"/>
    <col min="4637" max="4637" width="6.33203125" bestFit="1" customWidth="1"/>
    <col min="4638" max="4638" width="5" bestFit="1" customWidth="1"/>
    <col min="4639" max="4639" width="6.44140625" bestFit="1" customWidth="1"/>
    <col min="4640" max="4640" width="5.44140625" bestFit="1" customWidth="1"/>
    <col min="4641" max="4641" width="6.44140625" customWidth="1"/>
    <col min="4642" max="4643" width="5.44140625" bestFit="1" customWidth="1"/>
    <col min="4644" max="4647" width="5" bestFit="1" customWidth="1"/>
    <col min="4648" max="4650" width="5.44140625" bestFit="1" customWidth="1"/>
    <col min="4651" max="4651" width="6.44140625" bestFit="1" customWidth="1"/>
    <col min="4652" max="4654" width="5.44140625" bestFit="1" customWidth="1"/>
    <col min="4655" max="4655" width="5" bestFit="1" customWidth="1"/>
    <col min="4893" max="4893" width="6.33203125" bestFit="1" customWidth="1"/>
    <col min="4894" max="4894" width="5" bestFit="1" customWidth="1"/>
    <col min="4895" max="4895" width="6.44140625" bestFit="1" customWidth="1"/>
    <col min="4896" max="4896" width="5.44140625" bestFit="1" customWidth="1"/>
    <col min="4897" max="4897" width="6.44140625" customWidth="1"/>
    <col min="4898" max="4899" width="5.44140625" bestFit="1" customWidth="1"/>
    <col min="4900" max="4903" width="5" bestFit="1" customWidth="1"/>
    <col min="4904" max="4906" width="5.44140625" bestFit="1" customWidth="1"/>
    <col min="4907" max="4907" width="6.44140625" bestFit="1" customWidth="1"/>
    <col min="4908" max="4910" width="5.44140625" bestFit="1" customWidth="1"/>
    <col min="4911" max="4911" width="5" bestFit="1" customWidth="1"/>
    <col min="5149" max="5149" width="6.33203125" bestFit="1" customWidth="1"/>
    <col min="5150" max="5150" width="5" bestFit="1" customWidth="1"/>
    <col min="5151" max="5151" width="6.44140625" bestFit="1" customWidth="1"/>
    <col min="5152" max="5152" width="5.44140625" bestFit="1" customWidth="1"/>
    <col min="5153" max="5153" width="6.44140625" customWidth="1"/>
    <col min="5154" max="5155" width="5.44140625" bestFit="1" customWidth="1"/>
    <col min="5156" max="5159" width="5" bestFit="1" customWidth="1"/>
    <col min="5160" max="5162" width="5.44140625" bestFit="1" customWidth="1"/>
    <col min="5163" max="5163" width="6.44140625" bestFit="1" customWidth="1"/>
    <col min="5164" max="5166" width="5.44140625" bestFit="1" customWidth="1"/>
    <col min="5167" max="5167" width="5" bestFit="1" customWidth="1"/>
    <col min="5405" max="5405" width="6.33203125" bestFit="1" customWidth="1"/>
    <col min="5406" max="5406" width="5" bestFit="1" customWidth="1"/>
    <col min="5407" max="5407" width="6.44140625" bestFit="1" customWidth="1"/>
    <col min="5408" max="5408" width="5.44140625" bestFit="1" customWidth="1"/>
    <col min="5409" max="5409" width="6.44140625" customWidth="1"/>
    <col min="5410" max="5411" width="5.44140625" bestFit="1" customWidth="1"/>
    <col min="5412" max="5415" width="5" bestFit="1" customWidth="1"/>
    <col min="5416" max="5418" width="5.44140625" bestFit="1" customWidth="1"/>
    <col min="5419" max="5419" width="6.44140625" bestFit="1" customWidth="1"/>
    <col min="5420" max="5422" width="5.44140625" bestFit="1" customWidth="1"/>
    <col min="5423" max="5423" width="5" bestFit="1" customWidth="1"/>
    <col min="5661" max="5661" width="6.33203125" bestFit="1" customWidth="1"/>
    <col min="5662" max="5662" width="5" bestFit="1" customWidth="1"/>
    <col min="5663" max="5663" width="6.44140625" bestFit="1" customWidth="1"/>
    <col min="5664" max="5664" width="5.44140625" bestFit="1" customWidth="1"/>
    <col min="5665" max="5665" width="6.44140625" customWidth="1"/>
    <col min="5666" max="5667" width="5.44140625" bestFit="1" customWidth="1"/>
    <col min="5668" max="5671" width="5" bestFit="1" customWidth="1"/>
    <col min="5672" max="5674" width="5.44140625" bestFit="1" customWidth="1"/>
    <col min="5675" max="5675" width="6.44140625" bestFit="1" customWidth="1"/>
    <col min="5676" max="5678" width="5.44140625" bestFit="1" customWidth="1"/>
    <col min="5679" max="5679" width="5" bestFit="1" customWidth="1"/>
    <col min="5917" max="5917" width="6.33203125" bestFit="1" customWidth="1"/>
    <col min="5918" max="5918" width="5" bestFit="1" customWidth="1"/>
    <col min="5919" max="5919" width="6.44140625" bestFit="1" customWidth="1"/>
    <col min="5920" max="5920" width="5.44140625" bestFit="1" customWidth="1"/>
    <col min="5921" max="5921" width="6.44140625" customWidth="1"/>
    <col min="5922" max="5923" width="5.44140625" bestFit="1" customWidth="1"/>
    <col min="5924" max="5927" width="5" bestFit="1" customWidth="1"/>
    <col min="5928" max="5930" width="5.44140625" bestFit="1" customWidth="1"/>
    <col min="5931" max="5931" width="6.44140625" bestFit="1" customWidth="1"/>
    <col min="5932" max="5934" width="5.44140625" bestFit="1" customWidth="1"/>
    <col min="5935" max="5935" width="5" bestFit="1" customWidth="1"/>
    <col min="6173" max="6173" width="6.33203125" bestFit="1" customWidth="1"/>
    <col min="6174" max="6174" width="5" bestFit="1" customWidth="1"/>
    <col min="6175" max="6175" width="6.44140625" bestFit="1" customWidth="1"/>
    <col min="6176" max="6176" width="5.44140625" bestFit="1" customWidth="1"/>
    <col min="6177" max="6177" width="6.44140625" customWidth="1"/>
    <col min="6178" max="6179" width="5.44140625" bestFit="1" customWidth="1"/>
    <col min="6180" max="6183" width="5" bestFit="1" customWidth="1"/>
    <col min="6184" max="6186" width="5.44140625" bestFit="1" customWidth="1"/>
    <col min="6187" max="6187" width="6.44140625" bestFit="1" customWidth="1"/>
    <col min="6188" max="6190" width="5.44140625" bestFit="1" customWidth="1"/>
    <col min="6191" max="6191" width="5" bestFit="1" customWidth="1"/>
    <col min="6429" max="6429" width="6.33203125" bestFit="1" customWidth="1"/>
    <col min="6430" max="6430" width="5" bestFit="1" customWidth="1"/>
    <col min="6431" max="6431" width="6.44140625" bestFit="1" customWidth="1"/>
    <col min="6432" max="6432" width="5.44140625" bestFit="1" customWidth="1"/>
    <col min="6433" max="6433" width="6.44140625" customWidth="1"/>
    <col min="6434" max="6435" width="5.44140625" bestFit="1" customWidth="1"/>
    <col min="6436" max="6439" width="5" bestFit="1" customWidth="1"/>
    <col min="6440" max="6442" width="5.44140625" bestFit="1" customWidth="1"/>
    <col min="6443" max="6443" width="6.44140625" bestFit="1" customWidth="1"/>
    <col min="6444" max="6446" width="5.44140625" bestFit="1" customWidth="1"/>
    <col min="6447" max="6447" width="5" bestFit="1" customWidth="1"/>
    <col min="6685" max="6685" width="6.33203125" bestFit="1" customWidth="1"/>
    <col min="6686" max="6686" width="5" bestFit="1" customWidth="1"/>
    <col min="6687" max="6687" width="6.44140625" bestFit="1" customWidth="1"/>
    <col min="6688" max="6688" width="5.44140625" bestFit="1" customWidth="1"/>
    <col min="6689" max="6689" width="6.44140625" customWidth="1"/>
    <col min="6690" max="6691" width="5.44140625" bestFit="1" customWidth="1"/>
    <col min="6692" max="6695" width="5" bestFit="1" customWidth="1"/>
    <col min="6696" max="6698" width="5.44140625" bestFit="1" customWidth="1"/>
    <col min="6699" max="6699" width="6.44140625" bestFit="1" customWidth="1"/>
    <col min="6700" max="6702" width="5.44140625" bestFit="1" customWidth="1"/>
    <col min="6703" max="6703" width="5" bestFit="1" customWidth="1"/>
    <col min="6941" max="6941" width="6.33203125" bestFit="1" customWidth="1"/>
    <col min="6942" max="6942" width="5" bestFit="1" customWidth="1"/>
    <col min="6943" max="6943" width="6.44140625" bestFit="1" customWidth="1"/>
    <col min="6944" max="6944" width="5.44140625" bestFit="1" customWidth="1"/>
    <col min="6945" max="6945" width="6.44140625" customWidth="1"/>
    <col min="6946" max="6947" width="5.44140625" bestFit="1" customWidth="1"/>
    <col min="6948" max="6951" width="5" bestFit="1" customWidth="1"/>
    <col min="6952" max="6954" width="5.44140625" bestFit="1" customWidth="1"/>
    <col min="6955" max="6955" width="6.44140625" bestFit="1" customWidth="1"/>
    <col min="6956" max="6958" width="5.44140625" bestFit="1" customWidth="1"/>
    <col min="6959" max="6959" width="5" bestFit="1" customWidth="1"/>
    <col min="7197" max="7197" width="6.33203125" bestFit="1" customWidth="1"/>
    <col min="7198" max="7198" width="5" bestFit="1" customWidth="1"/>
    <col min="7199" max="7199" width="6.44140625" bestFit="1" customWidth="1"/>
    <col min="7200" max="7200" width="5.44140625" bestFit="1" customWidth="1"/>
    <col min="7201" max="7201" width="6.44140625" customWidth="1"/>
    <col min="7202" max="7203" width="5.44140625" bestFit="1" customWidth="1"/>
    <col min="7204" max="7207" width="5" bestFit="1" customWidth="1"/>
    <col min="7208" max="7210" width="5.44140625" bestFit="1" customWidth="1"/>
    <col min="7211" max="7211" width="6.44140625" bestFit="1" customWidth="1"/>
    <col min="7212" max="7214" width="5.44140625" bestFit="1" customWidth="1"/>
    <col min="7215" max="7215" width="5" bestFit="1" customWidth="1"/>
    <col min="7453" max="7453" width="6.33203125" bestFit="1" customWidth="1"/>
    <col min="7454" max="7454" width="5" bestFit="1" customWidth="1"/>
    <col min="7455" max="7455" width="6.44140625" bestFit="1" customWidth="1"/>
    <col min="7456" max="7456" width="5.44140625" bestFit="1" customWidth="1"/>
    <col min="7457" max="7457" width="6.44140625" customWidth="1"/>
    <col min="7458" max="7459" width="5.44140625" bestFit="1" customWidth="1"/>
    <col min="7460" max="7463" width="5" bestFit="1" customWidth="1"/>
    <col min="7464" max="7466" width="5.44140625" bestFit="1" customWidth="1"/>
    <col min="7467" max="7467" width="6.44140625" bestFit="1" customWidth="1"/>
    <col min="7468" max="7470" width="5.44140625" bestFit="1" customWidth="1"/>
    <col min="7471" max="7471" width="5" bestFit="1" customWidth="1"/>
    <col min="7709" max="7709" width="6.33203125" bestFit="1" customWidth="1"/>
    <col min="7710" max="7710" width="5" bestFit="1" customWidth="1"/>
    <col min="7711" max="7711" width="6.44140625" bestFit="1" customWidth="1"/>
    <col min="7712" max="7712" width="5.44140625" bestFit="1" customWidth="1"/>
    <col min="7713" max="7713" width="6.44140625" customWidth="1"/>
    <col min="7714" max="7715" width="5.44140625" bestFit="1" customWidth="1"/>
    <col min="7716" max="7719" width="5" bestFit="1" customWidth="1"/>
    <col min="7720" max="7722" width="5.44140625" bestFit="1" customWidth="1"/>
    <col min="7723" max="7723" width="6.44140625" bestFit="1" customWidth="1"/>
    <col min="7724" max="7726" width="5.44140625" bestFit="1" customWidth="1"/>
    <col min="7727" max="7727" width="5" bestFit="1" customWidth="1"/>
    <col min="7965" max="7965" width="6.33203125" bestFit="1" customWidth="1"/>
    <col min="7966" max="7966" width="5" bestFit="1" customWidth="1"/>
    <col min="7967" max="7967" width="6.44140625" bestFit="1" customWidth="1"/>
    <col min="7968" max="7968" width="5.44140625" bestFit="1" customWidth="1"/>
    <col min="7969" max="7969" width="6.44140625" customWidth="1"/>
    <col min="7970" max="7971" width="5.44140625" bestFit="1" customWidth="1"/>
    <col min="7972" max="7975" width="5" bestFit="1" customWidth="1"/>
    <col min="7976" max="7978" width="5.44140625" bestFit="1" customWidth="1"/>
    <col min="7979" max="7979" width="6.44140625" bestFit="1" customWidth="1"/>
    <col min="7980" max="7982" width="5.44140625" bestFit="1" customWidth="1"/>
    <col min="7983" max="7983" width="5" bestFit="1" customWidth="1"/>
    <col min="8221" max="8221" width="6.33203125" bestFit="1" customWidth="1"/>
    <col min="8222" max="8222" width="5" bestFit="1" customWidth="1"/>
    <col min="8223" max="8223" width="6.44140625" bestFit="1" customWidth="1"/>
    <col min="8224" max="8224" width="5.44140625" bestFit="1" customWidth="1"/>
    <col min="8225" max="8225" width="6.44140625" customWidth="1"/>
    <col min="8226" max="8227" width="5.44140625" bestFit="1" customWidth="1"/>
    <col min="8228" max="8231" width="5" bestFit="1" customWidth="1"/>
    <col min="8232" max="8234" width="5.44140625" bestFit="1" customWidth="1"/>
    <col min="8235" max="8235" width="6.44140625" bestFit="1" customWidth="1"/>
    <col min="8236" max="8238" width="5.44140625" bestFit="1" customWidth="1"/>
    <col min="8239" max="8239" width="5" bestFit="1" customWidth="1"/>
    <col min="8477" max="8477" width="6.33203125" bestFit="1" customWidth="1"/>
    <col min="8478" max="8478" width="5" bestFit="1" customWidth="1"/>
    <col min="8479" max="8479" width="6.44140625" bestFit="1" customWidth="1"/>
    <col min="8480" max="8480" width="5.44140625" bestFit="1" customWidth="1"/>
    <col min="8481" max="8481" width="6.44140625" customWidth="1"/>
    <col min="8482" max="8483" width="5.44140625" bestFit="1" customWidth="1"/>
    <col min="8484" max="8487" width="5" bestFit="1" customWidth="1"/>
    <col min="8488" max="8490" width="5.44140625" bestFit="1" customWidth="1"/>
    <col min="8491" max="8491" width="6.44140625" bestFit="1" customWidth="1"/>
    <col min="8492" max="8494" width="5.44140625" bestFit="1" customWidth="1"/>
    <col min="8495" max="8495" width="5" bestFit="1" customWidth="1"/>
    <col min="8733" max="8733" width="6.33203125" bestFit="1" customWidth="1"/>
    <col min="8734" max="8734" width="5" bestFit="1" customWidth="1"/>
    <col min="8735" max="8735" width="6.44140625" bestFit="1" customWidth="1"/>
    <col min="8736" max="8736" width="5.44140625" bestFit="1" customWidth="1"/>
    <col min="8737" max="8737" width="6.44140625" customWidth="1"/>
    <col min="8738" max="8739" width="5.44140625" bestFit="1" customWidth="1"/>
    <col min="8740" max="8743" width="5" bestFit="1" customWidth="1"/>
    <col min="8744" max="8746" width="5.44140625" bestFit="1" customWidth="1"/>
    <col min="8747" max="8747" width="6.44140625" bestFit="1" customWidth="1"/>
    <col min="8748" max="8750" width="5.44140625" bestFit="1" customWidth="1"/>
    <col min="8751" max="8751" width="5" bestFit="1" customWidth="1"/>
    <col min="8989" max="8989" width="6.33203125" bestFit="1" customWidth="1"/>
    <col min="8990" max="8990" width="5" bestFit="1" customWidth="1"/>
    <col min="8991" max="8991" width="6.44140625" bestFit="1" customWidth="1"/>
    <col min="8992" max="8992" width="5.44140625" bestFit="1" customWidth="1"/>
    <col min="8993" max="8993" width="6.44140625" customWidth="1"/>
    <col min="8994" max="8995" width="5.44140625" bestFit="1" customWidth="1"/>
    <col min="8996" max="8999" width="5" bestFit="1" customWidth="1"/>
    <col min="9000" max="9002" width="5.44140625" bestFit="1" customWidth="1"/>
    <col min="9003" max="9003" width="6.44140625" bestFit="1" customWidth="1"/>
    <col min="9004" max="9006" width="5.44140625" bestFit="1" customWidth="1"/>
    <col min="9007" max="9007" width="5" bestFit="1" customWidth="1"/>
    <col min="9245" max="9245" width="6.33203125" bestFit="1" customWidth="1"/>
    <col min="9246" max="9246" width="5" bestFit="1" customWidth="1"/>
    <col min="9247" max="9247" width="6.44140625" bestFit="1" customWidth="1"/>
    <col min="9248" max="9248" width="5.44140625" bestFit="1" customWidth="1"/>
    <col min="9249" max="9249" width="6.44140625" customWidth="1"/>
    <col min="9250" max="9251" width="5.44140625" bestFit="1" customWidth="1"/>
    <col min="9252" max="9255" width="5" bestFit="1" customWidth="1"/>
    <col min="9256" max="9258" width="5.44140625" bestFit="1" customWidth="1"/>
    <col min="9259" max="9259" width="6.44140625" bestFit="1" customWidth="1"/>
    <col min="9260" max="9262" width="5.44140625" bestFit="1" customWidth="1"/>
    <col min="9263" max="9263" width="5" bestFit="1" customWidth="1"/>
    <col min="9501" max="9501" width="6.33203125" bestFit="1" customWidth="1"/>
    <col min="9502" max="9502" width="5" bestFit="1" customWidth="1"/>
    <col min="9503" max="9503" width="6.44140625" bestFit="1" customWidth="1"/>
    <col min="9504" max="9504" width="5.44140625" bestFit="1" customWidth="1"/>
    <col min="9505" max="9505" width="6.44140625" customWidth="1"/>
    <col min="9506" max="9507" width="5.44140625" bestFit="1" customWidth="1"/>
    <col min="9508" max="9511" width="5" bestFit="1" customWidth="1"/>
    <col min="9512" max="9514" width="5.44140625" bestFit="1" customWidth="1"/>
    <col min="9515" max="9515" width="6.44140625" bestFit="1" customWidth="1"/>
    <col min="9516" max="9518" width="5.44140625" bestFit="1" customWidth="1"/>
    <col min="9519" max="9519" width="5" bestFit="1" customWidth="1"/>
    <col min="9757" max="9757" width="6.33203125" bestFit="1" customWidth="1"/>
    <col min="9758" max="9758" width="5" bestFit="1" customWidth="1"/>
    <col min="9759" max="9759" width="6.44140625" bestFit="1" customWidth="1"/>
    <col min="9760" max="9760" width="5.44140625" bestFit="1" customWidth="1"/>
    <col min="9761" max="9761" width="6.44140625" customWidth="1"/>
    <col min="9762" max="9763" width="5.44140625" bestFit="1" customWidth="1"/>
    <col min="9764" max="9767" width="5" bestFit="1" customWidth="1"/>
    <col min="9768" max="9770" width="5.44140625" bestFit="1" customWidth="1"/>
    <col min="9771" max="9771" width="6.44140625" bestFit="1" customWidth="1"/>
    <col min="9772" max="9774" width="5.44140625" bestFit="1" customWidth="1"/>
    <col min="9775" max="9775" width="5" bestFit="1" customWidth="1"/>
    <col min="10013" max="10013" width="6.33203125" bestFit="1" customWidth="1"/>
    <col min="10014" max="10014" width="5" bestFit="1" customWidth="1"/>
    <col min="10015" max="10015" width="6.44140625" bestFit="1" customWidth="1"/>
    <col min="10016" max="10016" width="5.44140625" bestFit="1" customWidth="1"/>
    <col min="10017" max="10017" width="6.44140625" customWidth="1"/>
    <col min="10018" max="10019" width="5.44140625" bestFit="1" customWidth="1"/>
    <col min="10020" max="10023" width="5" bestFit="1" customWidth="1"/>
    <col min="10024" max="10026" width="5.44140625" bestFit="1" customWidth="1"/>
    <col min="10027" max="10027" width="6.44140625" bestFit="1" customWidth="1"/>
    <col min="10028" max="10030" width="5.44140625" bestFit="1" customWidth="1"/>
    <col min="10031" max="10031" width="5" bestFit="1" customWidth="1"/>
    <col min="10269" max="10269" width="6.33203125" bestFit="1" customWidth="1"/>
    <col min="10270" max="10270" width="5" bestFit="1" customWidth="1"/>
    <col min="10271" max="10271" width="6.44140625" bestFit="1" customWidth="1"/>
    <col min="10272" max="10272" width="5.44140625" bestFit="1" customWidth="1"/>
    <col min="10273" max="10273" width="6.44140625" customWidth="1"/>
    <col min="10274" max="10275" width="5.44140625" bestFit="1" customWidth="1"/>
    <col min="10276" max="10279" width="5" bestFit="1" customWidth="1"/>
    <col min="10280" max="10282" width="5.44140625" bestFit="1" customWidth="1"/>
    <col min="10283" max="10283" width="6.44140625" bestFit="1" customWidth="1"/>
    <col min="10284" max="10286" width="5.44140625" bestFit="1" customWidth="1"/>
    <col min="10287" max="10287" width="5" bestFit="1" customWidth="1"/>
    <col min="10525" max="10525" width="6.33203125" bestFit="1" customWidth="1"/>
    <col min="10526" max="10526" width="5" bestFit="1" customWidth="1"/>
    <col min="10527" max="10527" width="6.44140625" bestFit="1" customWidth="1"/>
    <col min="10528" max="10528" width="5.44140625" bestFit="1" customWidth="1"/>
    <col min="10529" max="10529" width="6.44140625" customWidth="1"/>
    <col min="10530" max="10531" width="5.44140625" bestFit="1" customWidth="1"/>
    <col min="10532" max="10535" width="5" bestFit="1" customWidth="1"/>
    <col min="10536" max="10538" width="5.44140625" bestFit="1" customWidth="1"/>
    <col min="10539" max="10539" width="6.44140625" bestFit="1" customWidth="1"/>
    <col min="10540" max="10542" width="5.44140625" bestFit="1" customWidth="1"/>
    <col min="10543" max="10543" width="5" bestFit="1" customWidth="1"/>
    <col min="10781" max="10781" width="6.33203125" bestFit="1" customWidth="1"/>
    <col min="10782" max="10782" width="5" bestFit="1" customWidth="1"/>
    <col min="10783" max="10783" width="6.44140625" bestFit="1" customWidth="1"/>
    <col min="10784" max="10784" width="5.44140625" bestFit="1" customWidth="1"/>
    <col min="10785" max="10785" width="6.44140625" customWidth="1"/>
    <col min="10786" max="10787" width="5.44140625" bestFit="1" customWidth="1"/>
    <col min="10788" max="10791" width="5" bestFit="1" customWidth="1"/>
    <col min="10792" max="10794" width="5.44140625" bestFit="1" customWidth="1"/>
    <col min="10795" max="10795" width="6.44140625" bestFit="1" customWidth="1"/>
    <col min="10796" max="10798" width="5.44140625" bestFit="1" customWidth="1"/>
    <col min="10799" max="10799" width="5" bestFit="1" customWidth="1"/>
    <col min="11037" max="11037" width="6.33203125" bestFit="1" customWidth="1"/>
    <col min="11038" max="11038" width="5" bestFit="1" customWidth="1"/>
    <col min="11039" max="11039" width="6.44140625" bestFit="1" customWidth="1"/>
    <col min="11040" max="11040" width="5.44140625" bestFit="1" customWidth="1"/>
    <col min="11041" max="11041" width="6.44140625" customWidth="1"/>
    <col min="11042" max="11043" width="5.44140625" bestFit="1" customWidth="1"/>
    <col min="11044" max="11047" width="5" bestFit="1" customWidth="1"/>
    <col min="11048" max="11050" width="5.44140625" bestFit="1" customWidth="1"/>
    <col min="11051" max="11051" width="6.44140625" bestFit="1" customWidth="1"/>
    <col min="11052" max="11054" width="5.44140625" bestFit="1" customWidth="1"/>
    <col min="11055" max="11055" width="5" bestFit="1" customWidth="1"/>
    <col min="11293" max="11293" width="6.33203125" bestFit="1" customWidth="1"/>
    <col min="11294" max="11294" width="5" bestFit="1" customWidth="1"/>
    <col min="11295" max="11295" width="6.44140625" bestFit="1" customWidth="1"/>
    <col min="11296" max="11296" width="5.44140625" bestFit="1" customWidth="1"/>
    <col min="11297" max="11297" width="6.44140625" customWidth="1"/>
    <col min="11298" max="11299" width="5.44140625" bestFit="1" customWidth="1"/>
    <col min="11300" max="11303" width="5" bestFit="1" customWidth="1"/>
    <col min="11304" max="11306" width="5.44140625" bestFit="1" customWidth="1"/>
    <col min="11307" max="11307" width="6.44140625" bestFit="1" customWidth="1"/>
    <col min="11308" max="11310" width="5.44140625" bestFit="1" customWidth="1"/>
    <col min="11311" max="11311" width="5" bestFit="1" customWidth="1"/>
    <col min="11549" max="11549" width="6.33203125" bestFit="1" customWidth="1"/>
    <col min="11550" max="11550" width="5" bestFit="1" customWidth="1"/>
    <col min="11551" max="11551" width="6.44140625" bestFit="1" customWidth="1"/>
    <col min="11552" max="11552" width="5.44140625" bestFit="1" customWidth="1"/>
    <col min="11553" max="11553" width="6.44140625" customWidth="1"/>
    <col min="11554" max="11555" width="5.44140625" bestFit="1" customWidth="1"/>
    <col min="11556" max="11559" width="5" bestFit="1" customWidth="1"/>
    <col min="11560" max="11562" width="5.44140625" bestFit="1" customWidth="1"/>
    <col min="11563" max="11563" width="6.44140625" bestFit="1" customWidth="1"/>
    <col min="11564" max="11566" width="5.44140625" bestFit="1" customWidth="1"/>
    <col min="11567" max="11567" width="5" bestFit="1" customWidth="1"/>
    <col min="11805" max="11805" width="6.33203125" bestFit="1" customWidth="1"/>
    <col min="11806" max="11806" width="5" bestFit="1" customWidth="1"/>
    <col min="11807" max="11807" width="6.44140625" bestFit="1" customWidth="1"/>
    <col min="11808" max="11808" width="5.44140625" bestFit="1" customWidth="1"/>
    <col min="11809" max="11809" width="6.44140625" customWidth="1"/>
    <col min="11810" max="11811" width="5.44140625" bestFit="1" customWidth="1"/>
    <col min="11812" max="11815" width="5" bestFit="1" customWidth="1"/>
    <col min="11816" max="11818" width="5.44140625" bestFit="1" customWidth="1"/>
    <col min="11819" max="11819" width="6.44140625" bestFit="1" customWidth="1"/>
    <col min="11820" max="11822" width="5.44140625" bestFit="1" customWidth="1"/>
    <col min="11823" max="11823" width="5" bestFit="1" customWidth="1"/>
    <col min="12061" max="12061" width="6.33203125" bestFit="1" customWidth="1"/>
    <col min="12062" max="12062" width="5" bestFit="1" customWidth="1"/>
    <col min="12063" max="12063" width="6.44140625" bestFit="1" customWidth="1"/>
    <col min="12064" max="12064" width="5.44140625" bestFit="1" customWidth="1"/>
    <col min="12065" max="12065" width="6.44140625" customWidth="1"/>
    <col min="12066" max="12067" width="5.44140625" bestFit="1" customWidth="1"/>
    <col min="12068" max="12071" width="5" bestFit="1" customWidth="1"/>
    <col min="12072" max="12074" width="5.44140625" bestFit="1" customWidth="1"/>
    <col min="12075" max="12075" width="6.44140625" bestFit="1" customWidth="1"/>
    <col min="12076" max="12078" width="5.44140625" bestFit="1" customWidth="1"/>
    <col min="12079" max="12079" width="5" bestFit="1" customWidth="1"/>
    <col min="12317" max="12317" width="6.33203125" bestFit="1" customWidth="1"/>
    <col min="12318" max="12318" width="5" bestFit="1" customWidth="1"/>
    <col min="12319" max="12319" width="6.44140625" bestFit="1" customWidth="1"/>
    <col min="12320" max="12320" width="5.44140625" bestFit="1" customWidth="1"/>
    <col min="12321" max="12321" width="6.44140625" customWidth="1"/>
    <col min="12322" max="12323" width="5.44140625" bestFit="1" customWidth="1"/>
    <col min="12324" max="12327" width="5" bestFit="1" customWidth="1"/>
    <col min="12328" max="12330" width="5.44140625" bestFit="1" customWidth="1"/>
    <col min="12331" max="12331" width="6.44140625" bestFit="1" customWidth="1"/>
    <col min="12332" max="12334" width="5.44140625" bestFit="1" customWidth="1"/>
    <col min="12335" max="12335" width="5" bestFit="1" customWidth="1"/>
    <col min="12573" max="12573" width="6.33203125" bestFit="1" customWidth="1"/>
    <col min="12574" max="12574" width="5" bestFit="1" customWidth="1"/>
    <col min="12575" max="12575" width="6.44140625" bestFit="1" customWidth="1"/>
    <col min="12576" max="12576" width="5.44140625" bestFit="1" customWidth="1"/>
    <col min="12577" max="12577" width="6.44140625" customWidth="1"/>
    <col min="12578" max="12579" width="5.44140625" bestFit="1" customWidth="1"/>
    <col min="12580" max="12583" width="5" bestFit="1" customWidth="1"/>
    <col min="12584" max="12586" width="5.44140625" bestFit="1" customWidth="1"/>
    <col min="12587" max="12587" width="6.44140625" bestFit="1" customWidth="1"/>
    <col min="12588" max="12590" width="5.44140625" bestFit="1" customWidth="1"/>
    <col min="12591" max="12591" width="5" bestFit="1" customWidth="1"/>
    <col min="12829" max="12829" width="6.33203125" bestFit="1" customWidth="1"/>
    <col min="12830" max="12830" width="5" bestFit="1" customWidth="1"/>
    <col min="12831" max="12831" width="6.44140625" bestFit="1" customWidth="1"/>
    <col min="12832" max="12832" width="5.44140625" bestFit="1" customWidth="1"/>
    <col min="12833" max="12833" width="6.44140625" customWidth="1"/>
    <col min="12834" max="12835" width="5.44140625" bestFit="1" customWidth="1"/>
    <col min="12836" max="12839" width="5" bestFit="1" customWidth="1"/>
    <col min="12840" max="12842" width="5.44140625" bestFit="1" customWidth="1"/>
    <col min="12843" max="12843" width="6.44140625" bestFit="1" customWidth="1"/>
    <col min="12844" max="12846" width="5.44140625" bestFit="1" customWidth="1"/>
    <col min="12847" max="12847" width="5" bestFit="1" customWidth="1"/>
    <col min="13085" max="13085" width="6.33203125" bestFit="1" customWidth="1"/>
    <col min="13086" max="13086" width="5" bestFit="1" customWidth="1"/>
    <col min="13087" max="13087" width="6.44140625" bestFit="1" customWidth="1"/>
    <col min="13088" max="13088" width="5.44140625" bestFit="1" customWidth="1"/>
    <col min="13089" max="13089" width="6.44140625" customWidth="1"/>
    <col min="13090" max="13091" width="5.44140625" bestFit="1" customWidth="1"/>
    <col min="13092" max="13095" width="5" bestFit="1" customWidth="1"/>
    <col min="13096" max="13098" width="5.44140625" bestFit="1" customWidth="1"/>
    <col min="13099" max="13099" width="6.44140625" bestFit="1" customWidth="1"/>
    <col min="13100" max="13102" width="5.44140625" bestFit="1" customWidth="1"/>
    <col min="13103" max="13103" width="5" bestFit="1" customWidth="1"/>
    <col min="13341" max="13341" width="6.33203125" bestFit="1" customWidth="1"/>
    <col min="13342" max="13342" width="5" bestFit="1" customWidth="1"/>
    <col min="13343" max="13343" width="6.44140625" bestFit="1" customWidth="1"/>
    <col min="13344" max="13344" width="5.44140625" bestFit="1" customWidth="1"/>
    <col min="13345" max="13345" width="6.44140625" customWidth="1"/>
    <col min="13346" max="13347" width="5.44140625" bestFit="1" customWidth="1"/>
    <col min="13348" max="13351" width="5" bestFit="1" customWidth="1"/>
    <col min="13352" max="13354" width="5.44140625" bestFit="1" customWidth="1"/>
    <col min="13355" max="13355" width="6.44140625" bestFit="1" customWidth="1"/>
    <col min="13356" max="13358" width="5.44140625" bestFit="1" customWidth="1"/>
    <col min="13359" max="13359" width="5" bestFit="1" customWidth="1"/>
    <col min="13597" max="13597" width="6.33203125" bestFit="1" customWidth="1"/>
    <col min="13598" max="13598" width="5" bestFit="1" customWidth="1"/>
    <col min="13599" max="13599" width="6.44140625" bestFit="1" customWidth="1"/>
    <col min="13600" max="13600" width="5.44140625" bestFit="1" customWidth="1"/>
    <col min="13601" max="13601" width="6.44140625" customWidth="1"/>
    <col min="13602" max="13603" width="5.44140625" bestFit="1" customWidth="1"/>
    <col min="13604" max="13607" width="5" bestFit="1" customWidth="1"/>
    <col min="13608" max="13610" width="5.44140625" bestFit="1" customWidth="1"/>
    <col min="13611" max="13611" width="6.44140625" bestFit="1" customWidth="1"/>
    <col min="13612" max="13614" width="5.44140625" bestFit="1" customWidth="1"/>
    <col min="13615" max="13615" width="5" bestFit="1" customWidth="1"/>
    <col min="13853" max="13853" width="6.33203125" bestFit="1" customWidth="1"/>
    <col min="13854" max="13854" width="5" bestFit="1" customWidth="1"/>
    <col min="13855" max="13855" width="6.44140625" bestFit="1" customWidth="1"/>
    <col min="13856" max="13856" width="5.44140625" bestFit="1" customWidth="1"/>
    <col min="13857" max="13857" width="6.44140625" customWidth="1"/>
    <col min="13858" max="13859" width="5.44140625" bestFit="1" customWidth="1"/>
    <col min="13860" max="13863" width="5" bestFit="1" customWidth="1"/>
    <col min="13864" max="13866" width="5.44140625" bestFit="1" customWidth="1"/>
    <col min="13867" max="13867" width="6.44140625" bestFit="1" customWidth="1"/>
    <col min="13868" max="13870" width="5.44140625" bestFit="1" customWidth="1"/>
    <col min="13871" max="13871" width="5" bestFit="1" customWidth="1"/>
    <col min="14109" max="14109" width="6.33203125" bestFit="1" customWidth="1"/>
    <col min="14110" max="14110" width="5" bestFit="1" customWidth="1"/>
    <col min="14111" max="14111" width="6.44140625" bestFit="1" customWidth="1"/>
    <col min="14112" max="14112" width="5.44140625" bestFit="1" customWidth="1"/>
    <col min="14113" max="14113" width="6.44140625" customWidth="1"/>
    <col min="14114" max="14115" width="5.44140625" bestFit="1" customWidth="1"/>
    <col min="14116" max="14119" width="5" bestFit="1" customWidth="1"/>
    <col min="14120" max="14122" width="5.44140625" bestFit="1" customWidth="1"/>
    <col min="14123" max="14123" width="6.44140625" bestFit="1" customWidth="1"/>
    <col min="14124" max="14126" width="5.44140625" bestFit="1" customWidth="1"/>
    <col min="14127" max="14127" width="5" bestFit="1" customWidth="1"/>
    <col min="14365" max="14365" width="6.33203125" bestFit="1" customWidth="1"/>
    <col min="14366" max="14366" width="5" bestFit="1" customWidth="1"/>
    <col min="14367" max="14367" width="6.44140625" bestFit="1" customWidth="1"/>
    <col min="14368" max="14368" width="5.44140625" bestFit="1" customWidth="1"/>
    <col min="14369" max="14369" width="6.44140625" customWidth="1"/>
    <col min="14370" max="14371" width="5.44140625" bestFit="1" customWidth="1"/>
    <col min="14372" max="14375" width="5" bestFit="1" customWidth="1"/>
    <col min="14376" max="14378" width="5.44140625" bestFit="1" customWidth="1"/>
    <col min="14379" max="14379" width="6.44140625" bestFit="1" customWidth="1"/>
    <col min="14380" max="14382" width="5.44140625" bestFit="1" customWidth="1"/>
    <col min="14383" max="14383" width="5" bestFit="1" customWidth="1"/>
    <col min="14621" max="14621" width="6.33203125" bestFit="1" customWidth="1"/>
    <col min="14622" max="14622" width="5" bestFit="1" customWidth="1"/>
    <col min="14623" max="14623" width="6.44140625" bestFit="1" customWidth="1"/>
    <col min="14624" max="14624" width="5.44140625" bestFit="1" customWidth="1"/>
    <col min="14625" max="14625" width="6.44140625" customWidth="1"/>
    <col min="14626" max="14627" width="5.44140625" bestFit="1" customWidth="1"/>
    <col min="14628" max="14631" width="5" bestFit="1" customWidth="1"/>
    <col min="14632" max="14634" width="5.44140625" bestFit="1" customWidth="1"/>
    <col min="14635" max="14635" width="6.44140625" bestFit="1" customWidth="1"/>
    <col min="14636" max="14638" width="5.44140625" bestFit="1" customWidth="1"/>
    <col min="14639" max="14639" width="5" bestFit="1" customWidth="1"/>
    <col min="14877" max="14877" width="6.33203125" bestFit="1" customWidth="1"/>
    <col min="14878" max="14878" width="5" bestFit="1" customWidth="1"/>
    <col min="14879" max="14879" width="6.44140625" bestFit="1" customWidth="1"/>
    <col min="14880" max="14880" width="5.44140625" bestFit="1" customWidth="1"/>
    <col min="14881" max="14881" width="6.44140625" customWidth="1"/>
    <col min="14882" max="14883" width="5.44140625" bestFit="1" customWidth="1"/>
    <col min="14884" max="14887" width="5" bestFit="1" customWidth="1"/>
    <col min="14888" max="14890" width="5.44140625" bestFit="1" customWidth="1"/>
    <col min="14891" max="14891" width="6.44140625" bestFit="1" customWidth="1"/>
    <col min="14892" max="14894" width="5.44140625" bestFit="1" customWidth="1"/>
    <col min="14895" max="14895" width="5" bestFit="1" customWidth="1"/>
    <col min="15133" max="15133" width="6.33203125" bestFit="1" customWidth="1"/>
    <col min="15134" max="15134" width="5" bestFit="1" customWidth="1"/>
    <col min="15135" max="15135" width="6.44140625" bestFit="1" customWidth="1"/>
    <col min="15136" max="15136" width="5.44140625" bestFit="1" customWidth="1"/>
    <col min="15137" max="15137" width="6.44140625" customWidth="1"/>
    <col min="15138" max="15139" width="5.44140625" bestFit="1" customWidth="1"/>
    <col min="15140" max="15143" width="5" bestFit="1" customWidth="1"/>
    <col min="15144" max="15146" width="5.44140625" bestFit="1" customWidth="1"/>
    <col min="15147" max="15147" width="6.44140625" bestFit="1" customWidth="1"/>
    <col min="15148" max="15150" width="5.44140625" bestFit="1" customWidth="1"/>
    <col min="15151" max="15151" width="5" bestFit="1" customWidth="1"/>
    <col min="15389" max="15389" width="6.33203125" bestFit="1" customWidth="1"/>
    <col min="15390" max="15390" width="5" bestFit="1" customWidth="1"/>
    <col min="15391" max="15391" width="6.44140625" bestFit="1" customWidth="1"/>
    <col min="15392" max="15392" width="5.44140625" bestFit="1" customWidth="1"/>
    <col min="15393" max="15393" width="6.44140625" customWidth="1"/>
    <col min="15394" max="15395" width="5.44140625" bestFit="1" customWidth="1"/>
    <col min="15396" max="15399" width="5" bestFit="1" customWidth="1"/>
    <col min="15400" max="15402" width="5.44140625" bestFit="1" customWidth="1"/>
    <col min="15403" max="15403" width="6.44140625" bestFit="1" customWidth="1"/>
    <col min="15404" max="15406" width="5.44140625" bestFit="1" customWidth="1"/>
    <col min="15407" max="15407" width="5" bestFit="1" customWidth="1"/>
    <col min="15645" max="15645" width="6.33203125" bestFit="1" customWidth="1"/>
    <col min="15646" max="15646" width="5" bestFit="1" customWidth="1"/>
    <col min="15647" max="15647" width="6.44140625" bestFit="1" customWidth="1"/>
    <col min="15648" max="15648" width="5.44140625" bestFit="1" customWidth="1"/>
    <col min="15649" max="15649" width="6.44140625" customWidth="1"/>
    <col min="15650" max="15651" width="5.44140625" bestFit="1" customWidth="1"/>
    <col min="15652" max="15655" width="5" bestFit="1" customWidth="1"/>
    <col min="15656" max="15658" width="5.44140625" bestFit="1" customWidth="1"/>
    <col min="15659" max="15659" width="6.44140625" bestFit="1" customWidth="1"/>
    <col min="15660" max="15662" width="5.44140625" bestFit="1" customWidth="1"/>
    <col min="15663" max="15663" width="5" bestFit="1" customWidth="1"/>
    <col min="15901" max="15901" width="6.33203125" bestFit="1" customWidth="1"/>
    <col min="15902" max="15902" width="5" bestFit="1" customWidth="1"/>
    <col min="15903" max="15903" width="6.44140625" bestFit="1" customWidth="1"/>
    <col min="15904" max="15904" width="5.44140625" bestFit="1" customWidth="1"/>
    <col min="15905" max="15905" width="6.44140625" customWidth="1"/>
    <col min="15906" max="15907" width="5.44140625" bestFit="1" customWidth="1"/>
    <col min="15908" max="15911" width="5" bestFit="1" customWidth="1"/>
    <col min="15912" max="15914" width="5.44140625" bestFit="1" customWidth="1"/>
    <col min="15915" max="15915" width="6.44140625" bestFit="1" customWidth="1"/>
    <col min="15916" max="15918" width="5.44140625" bestFit="1" customWidth="1"/>
    <col min="15919" max="15919" width="5" bestFit="1" customWidth="1"/>
    <col min="16157" max="16157" width="6.33203125" bestFit="1" customWidth="1"/>
    <col min="16158" max="16158" width="5" bestFit="1" customWidth="1"/>
    <col min="16159" max="16159" width="6.44140625" bestFit="1" customWidth="1"/>
    <col min="16160" max="16160" width="5.44140625" bestFit="1" customWidth="1"/>
    <col min="16161" max="16161" width="6.44140625" customWidth="1"/>
    <col min="16162" max="16163" width="5.44140625" bestFit="1" customWidth="1"/>
    <col min="16164" max="16167" width="5" bestFit="1" customWidth="1"/>
    <col min="16168" max="16170" width="5.44140625" bestFit="1" customWidth="1"/>
    <col min="16171" max="16171" width="6.44140625" bestFit="1" customWidth="1"/>
    <col min="16172" max="16174" width="5.44140625" bestFit="1" customWidth="1"/>
    <col min="16175" max="16175" width="5" bestFit="1" customWidth="1"/>
  </cols>
  <sheetData>
    <row r="1" spans="4:14" x14ac:dyDescent="0.3">
      <c r="D1" t="s">
        <v>0</v>
      </c>
    </row>
    <row r="3" spans="4:14" x14ac:dyDescent="0.3">
      <c r="H3" t="s">
        <v>11</v>
      </c>
    </row>
    <row r="4" spans="4:14" x14ac:dyDescent="0.3">
      <c r="D4" t="s">
        <v>22</v>
      </c>
      <c r="E4" t="s">
        <v>12</v>
      </c>
      <c r="F4" t="s">
        <v>13</v>
      </c>
      <c r="G4" t="s">
        <v>83</v>
      </c>
      <c r="H4" t="s">
        <v>23</v>
      </c>
      <c r="I4" t="s">
        <v>66</v>
      </c>
      <c r="J4" t="s">
        <v>16</v>
      </c>
      <c r="K4" t="s">
        <v>84</v>
      </c>
      <c r="L4" t="s">
        <v>85</v>
      </c>
      <c r="M4" t="s">
        <v>86</v>
      </c>
      <c r="N4" t="s">
        <v>87</v>
      </c>
    </row>
    <row r="5" spans="4:14" x14ac:dyDescent="0.3">
      <c r="D5" t="s">
        <v>88</v>
      </c>
      <c r="E5" t="s">
        <v>33</v>
      </c>
      <c r="F5" t="s">
        <v>89</v>
      </c>
      <c r="G5">
        <v>2017</v>
      </c>
      <c r="H5" t="s">
        <v>90</v>
      </c>
      <c r="I5" t="s">
        <v>91</v>
      </c>
      <c r="J5" t="s">
        <v>73</v>
      </c>
      <c r="K5">
        <v>1</v>
      </c>
      <c r="L5">
        <v>-9.4504597181107517</v>
      </c>
      <c r="M5">
        <v>0</v>
      </c>
      <c r="N5">
        <v>1</v>
      </c>
    </row>
    <row r="6" spans="4:14" x14ac:dyDescent="0.3">
      <c r="D6" t="s">
        <v>88</v>
      </c>
      <c r="E6" t="s">
        <v>33</v>
      </c>
      <c r="F6" t="s">
        <v>89</v>
      </c>
      <c r="G6">
        <v>2018</v>
      </c>
      <c r="H6" t="s">
        <v>90</v>
      </c>
      <c r="I6" t="s">
        <v>91</v>
      </c>
      <c r="J6" t="s">
        <v>73</v>
      </c>
      <c r="K6">
        <v>1</v>
      </c>
      <c r="L6">
        <v>-8.875086093077913</v>
      </c>
      <c r="M6">
        <v>0</v>
      </c>
      <c r="N6">
        <v>1</v>
      </c>
    </row>
    <row r="7" spans="4:14" x14ac:dyDescent="0.3">
      <c r="D7" t="s">
        <v>88</v>
      </c>
      <c r="E7" t="s">
        <v>41</v>
      </c>
      <c r="F7" t="s">
        <v>89</v>
      </c>
      <c r="G7">
        <v>2017</v>
      </c>
      <c r="H7" t="s">
        <v>90</v>
      </c>
      <c r="I7" t="s">
        <v>91</v>
      </c>
      <c r="J7" t="s">
        <v>73</v>
      </c>
      <c r="K7">
        <v>1</v>
      </c>
      <c r="L7">
        <v>-9.4504597181107481</v>
      </c>
      <c r="M7">
        <v>0</v>
      </c>
      <c r="N7">
        <v>1</v>
      </c>
    </row>
    <row r="8" spans="4:14" x14ac:dyDescent="0.3">
      <c r="D8" t="s">
        <v>88</v>
      </c>
      <c r="E8" t="s">
        <v>41</v>
      </c>
      <c r="F8" t="s">
        <v>89</v>
      </c>
      <c r="G8">
        <v>2018</v>
      </c>
      <c r="H8" t="s">
        <v>90</v>
      </c>
      <c r="I8" t="s">
        <v>91</v>
      </c>
      <c r="J8" t="s">
        <v>73</v>
      </c>
      <c r="K8">
        <v>1</v>
      </c>
      <c r="L8">
        <v>-8.8750860930779147</v>
      </c>
      <c r="M8">
        <v>0</v>
      </c>
      <c r="N8">
        <v>1</v>
      </c>
    </row>
    <row r="9" spans="4:14" x14ac:dyDescent="0.3">
      <c r="D9" t="s">
        <v>88</v>
      </c>
      <c r="E9" t="s">
        <v>42</v>
      </c>
      <c r="F9" t="s">
        <v>89</v>
      </c>
      <c r="G9">
        <v>2017</v>
      </c>
      <c r="H9" t="s">
        <v>90</v>
      </c>
      <c r="I9" t="s">
        <v>91</v>
      </c>
      <c r="J9" t="s">
        <v>73</v>
      </c>
      <c r="K9">
        <v>1</v>
      </c>
      <c r="L9">
        <v>-14.332822764420026</v>
      </c>
      <c r="M9">
        <v>0</v>
      </c>
      <c r="N9">
        <v>1</v>
      </c>
    </row>
    <row r="10" spans="4:14" x14ac:dyDescent="0.3">
      <c r="D10" t="s">
        <v>88</v>
      </c>
      <c r="E10" t="s">
        <v>42</v>
      </c>
      <c r="F10" t="s">
        <v>89</v>
      </c>
      <c r="G10">
        <v>2018</v>
      </c>
      <c r="H10" t="s">
        <v>90</v>
      </c>
      <c r="I10" t="s">
        <v>91</v>
      </c>
      <c r="J10" t="s">
        <v>73</v>
      </c>
      <c r="K10">
        <v>1</v>
      </c>
      <c r="L10">
        <v>-13.86635266790889</v>
      </c>
      <c r="M10">
        <v>0</v>
      </c>
      <c r="N10">
        <v>1</v>
      </c>
    </row>
    <row r="11" spans="4:14" x14ac:dyDescent="0.3">
      <c r="D11" t="s">
        <v>88</v>
      </c>
      <c r="E11" t="s">
        <v>44</v>
      </c>
      <c r="F11" t="s">
        <v>89</v>
      </c>
      <c r="G11">
        <v>2017</v>
      </c>
      <c r="H11" t="s">
        <v>90</v>
      </c>
      <c r="I11" t="s">
        <v>91</v>
      </c>
      <c r="J11" t="s">
        <v>73</v>
      </c>
      <c r="K11">
        <v>1</v>
      </c>
      <c r="L11">
        <v>-13.481717183539052</v>
      </c>
      <c r="M11">
        <v>0</v>
      </c>
      <c r="N11">
        <v>1</v>
      </c>
    </row>
    <row r="12" spans="4:14" x14ac:dyDescent="0.3">
      <c r="D12" t="s">
        <v>88</v>
      </c>
      <c r="E12" t="s">
        <v>44</v>
      </c>
      <c r="F12" t="s">
        <v>89</v>
      </c>
      <c r="G12">
        <v>2018</v>
      </c>
      <c r="H12" t="s">
        <v>90</v>
      </c>
      <c r="I12" t="s">
        <v>91</v>
      </c>
      <c r="J12" t="s">
        <v>73</v>
      </c>
      <c r="K12">
        <v>1</v>
      </c>
      <c r="L12">
        <v>-13.646267889333021</v>
      </c>
      <c r="M12">
        <v>0</v>
      </c>
      <c r="N12">
        <v>1</v>
      </c>
    </row>
    <row r="13" spans="4:14" x14ac:dyDescent="0.3">
      <c r="D13" t="s">
        <v>88</v>
      </c>
      <c r="E13" t="s">
        <v>49</v>
      </c>
      <c r="F13" t="s">
        <v>89</v>
      </c>
      <c r="G13">
        <v>2017</v>
      </c>
      <c r="H13" t="s">
        <v>90</v>
      </c>
      <c r="I13" t="s">
        <v>91</v>
      </c>
      <c r="J13" t="s">
        <v>73</v>
      </c>
      <c r="K13">
        <v>1</v>
      </c>
      <c r="L13">
        <v>-11.455260572483736</v>
      </c>
      <c r="M13">
        <v>0</v>
      </c>
      <c r="N13">
        <v>1</v>
      </c>
    </row>
    <row r="14" spans="4:14" x14ac:dyDescent="0.3">
      <c r="D14" t="s">
        <v>88</v>
      </c>
      <c r="E14" t="s">
        <v>49</v>
      </c>
      <c r="F14" t="s">
        <v>89</v>
      </c>
      <c r="G14">
        <v>2018</v>
      </c>
      <c r="H14" t="s">
        <v>90</v>
      </c>
      <c r="I14" t="s">
        <v>91</v>
      </c>
      <c r="J14" t="s">
        <v>73</v>
      </c>
      <c r="K14">
        <v>1</v>
      </c>
      <c r="L14">
        <v>-10.989441675428484</v>
      </c>
      <c r="M14">
        <v>0</v>
      </c>
      <c r="N14">
        <v>1</v>
      </c>
    </row>
    <row r="15" spans="4:14" x14ac:dyDescent="0.3">
      <c r="D15" t="s">
        <v>88</v>
      </c>
      <c r="E15" t="s">
        <v>50</v>
      </c>
      <c r="F15" t="s">
        <v>89</v>
      </c>
      <c r="G15">
        <v>2017</v>
      </c>
      <c r="H15" t="s">
        <v>90</v>
      </c>
      <c r="I15" t="s">
        <v>91</v>
      </c>
      <c r="J15" t="s">
        <v>73</v>
      </c>
      <c r="K15">
        <v>1</v>
      </c>
      <c r="L15">
        <v>-17.068022261245382</v>
      </c>
      <c r="M15">
        <v>0</v>
      </c>
      <c r="N15">
        <v>1</v>
      </c>
    </row>
    <row r="16" spans="4:14" x14ac:dyDescent="0.3">
      <c r="D16" t="s">
        <v>88</v>
      </c>
      <c r="E16" t="s">
        <v>50</v>
      </c>
      <c r="F16" t="s">
        <v>89</v>
      </c>
      <c r="G16">
        <v>2018</v>
      </c>
      <c r="H16" t="s">
        <v>90</v>
      </c>
      <c r="I16" t="s">
        <v>91</v>
      </c>
      <c r="J16" t="s">
        <v>73</v>
      </c>
      <c r="K16">
        <v>1</v>
      </c>
      <c r="L16">
        <v>-16.18517690326054</v>
      </c>
      <c r="M16">
        <v>0</v>
      </c>
      <c r="N16">
        <v>1</v>
      </c>
    </row>
    <row r="17" spans="4:14" x14ac:dyDescent="0.3">
      <c r="D17" t="s">
        <v>88</v>
      </c>
      <c r="E17" t="s">
        <v>55</v>
      </c>
      <c r="F17" t="s">
        <v>89</v>
      </c>
      <c r="G17">
        <v>2017</v>
      </c>
      <c r="H17" t="s">
        <v>90</v>
      </c>
      <c r="I17" t="s">
        <v>91</v>
      </c>
      <c r="J17" t="s">
        <v>73</v>
      </c>
      <c r="K17">
        <v>1</v>
      </c>
      <c r="L17">
        <v>-24.5</v>
      </c>
      <c r="M17">
        <v>0</v>
      </c>
      <c r="N17">
        <v>1</v>
      </c>
    </row>
    <row r="18" spans="4:14" x14ac:dyDescent="0.3">
      <c r="D18" t="s">
        <v>88</v>
      </c>
      <c r="E18" t="s">
        <v>55</v>
      </c>
      <c r="F18" t="s">
        <v>89</v>
      </c>
      <c r="G18">
        <v>2018</v>
      </c>
      <c r="H18" t="s">
        <v>90</v>
      </c>
      <c r="I18" t="s">
        <v>91</v>
      </c>
      <c r="J18" t="s">
        <v>73</v>
      </c>
      <c r="K18">
        <v>1</v>
      </c>
      <c r="L18">
        <v>-21.979763315288409</v>
      </c>
      <c r="M18">
        <v>0</v>
      </c>
      <c r="N18">
        <v>1</v>
      </c>
    </row>
    <row r="19" spans="4:14" x14ac:dyDescent="0.3">
      <c r="D19" t="s">
        <v>88</v>
      </c>
      <c r="E19" t="s">
        <v>56</v>
      </c>
      <c r="F19" t="s">
        <v>89</v>
      </c>
      <c r="G19">
        <v>2017</v>
      </c>
      <c r="H19" t="s">
        <v>90</v>
      </c>
      <c r="I19" t="s">
        <v>91</v>
      </c>
      <c r="J19" t="s">
        <v>73</v>
      </c>
      <c r="K19">
        <v>1</v>
      </c>
      <c r="L19">
        <v>-16.558073629018814</v>
      </c>
      <c r="M19">
        <v>0</v>
      </c>
      <c r="N19">
        <v>1</v>
      </c>
    </row>
    <row r="20" spans="4:14" x14ac:dyDescent="0.3">
      <c r="D20" t="s">
        <v>88</v>
      </c>
      <c r="E20" t="s">
        <v>56</v>
      </c>
      <c r="F20" t="s">
        <v>89</v>
      </c>
      <c r="G20">
        <v>2018</v>
      </c>
      <c r="H20" t="s">
        <v>90</v>
      </c>
      <c r="I20" t="s">
        <v>91</v>
      </c>
      <c r="J20" t="s">
        <v>73</v>
      </c>
      <c r="K20">
        <v>1</v>
      </c>
      <c r="L20">
        <v>-24.5</v>
      </c>
      <c r="M20">
        <v>0</v>
      </c>
      <c r="N20">
        <v>1</v>
      </c>
    </row>
    <row r="21" spans="4:14" x14ac:dyDescent="0.3">
      <c r="D21" t="s">
        <v>88</v>
      </c>
      <c r="E21" t="s">
        <v>57</v>
      </c>
      <c r="F21" t="s">
        <v>89</v>
      </c>
      <c r="G21">
        <v>2017</v>
      </c>
      <c r="H21" t="s">
        <v>90</v>
      </c>
      <c r="I21" t="s">
        <v>91</v>
      </c>
      <c r="J21" t="s">
        <v>73</v>
      </c>
      <c r="K21">
        <v>1</v>
      </c>
      <c r="L21">
        <v>-7.4746238871610542</v>
      </c>
      <c r="M21">
        <v>0</v>
      </c>
      <c r="N21">
        <v>1</v>
      </c>
    </row>
    <row r="22" spans="4:14" x14ac:dyDescent="0.3">
      <c r="D22" t="s">
        <v>88</v>
      </c>
      <c r="E22" t="s">
        <v>57</v>
      </c>
      <c r="F22" t="s">
        <v>89</v>
      </c>
      <c r="G22">
        <v>2018</v>
      </c>
      <c r="H22" t="s">
        <v>90</v>
      </c>
      <c r="I22" t="s">
        <v>91</v>
      </c>
      <c r="J22" t="s">
        <v>73</v>
      </c>
      <c r="K22">
        <v>1</v>
      </c>
      <c r="L22">
        <v>-6.4552640634785909</v>
      </c>
      <c r="M22">
        <v>0</v>
      </c>
      <c r="N22">
        <v>1</v>
      </c>
    </row>
    <row r="23" spans="4:14" x14ac:dyDescent="0.3">
      <c r="D23" t="s">
        <v>88</v>
      </c>
      <c r="E23" t="s">
        <v>58</v>
      </c>
      <c r="F23" t="s">
        <v>89</v>
      </c>
      <c r="G23">
        <v>2017</v>
      </c>
      <c r="H23" t="s">
        <v>90</v>
      </c>
      <c r="I23" t="s">
        <v>91</v>
      </c>
      <c r="J23" t="s">
        <v>73</v>
      </c>
      <c r="K23">
        <v>1</v>
      </c>
      <c r="L23">
        <v>-24.5</v>
      </c>
      <c r="M23">
        <v>0</v>
      </c>
      <c r="N23">
        <v>1</v>
      </c>
    </row>
    <row r="24" spans="4:14" x14ac:dyDescent="0.3">
      <c r="D24" t="s">
        <v>88</v>
      </c>
      <c r="E24" t="s">
        <v>58</v>
      </c>
      <c r="F24" t="s">
        <v>89</v>
      </c>
      <c r="G24">
        <v>2018</v>
      </c>
      <c r="H24" t="s">
        <v>90</v>
      </c>
      <c r="I24" t="s">
        <v>91</v>
      </c>
      <c r="J24" t="s">
        <v>73</v>
      </c>
      <c r="K24">
        <v>1</v>
      </c>
      <c r="L24">
        <v>-24.5</v>
      </c>
      <c r="M24">
        <v>0</v>
      </c>
      <c r="N24">
        <v>1</v>
      </c>
    </row>
    <row r="25" spans="4:14" x14ac:dyDescent="0.3">
      <c r="D25" t="s">
        <v>88</v>
      </c>
      <c r="E25" t="s">
        <v>59</v>
      </c>
      <c r="F25" t="s">
        <v>89</v>
      </c>
      <c r="G25">
        <v>2017</v>
      </c>
      <c r="H25" t="s">
        <v>90</v>
      </c>
      <c r="I25" t="s">
        <v>91</v>
      </c>
      <c r="J25" t="s">
        <v>73</v>
      </c>
      <c r="K25">
        <v>1</v>
      </c>
      <c r="L25">
        <v>-24.5</v>
      </c>
      <c r="M25">
        <v>0</v>
      </c>
      <c r="N25">
        <v>1</v>
      </c>
    </row>
    <row r="26" spans="4:14" x14ac:dyDescent="0.3">
      <c r="D26" t="s">
        <v>88</v>
      </c>
      <c r="E26" t="s">
        <v>59</v>
      </c>
      <c r="F26" t="s">
        <v>89</v>
      </c>
      <c r="G26">
        <v>2018</v>
      </c>
      <c r="H26" t="s">
        <v>90</v>
      </c>
      <c r="I26" t="s">
        <v>91</v>
      </c>
      <c r="J26" t="s">
        <v>73</v>
      </c>
      <c r="K26">
        <v>1</v>
      </c>
      <c r="L26">
        <v>-24.5</v>
      </c>
      <c r="M26">
        <v>0</v>
      </c>
      <c r="N26">
        <v>1</v>
      </c>
    </row>
    <row r="27" spans="4:14" x14ac:dyDescent="0.3">
      <c r="D27" t="s">
        <v>88</v>
      </c>
      <c r="E27" t="s">
        <v>60</v>
      </c>
      <c r="F27" t="s">
        <v>89</v>
      </c>
      <c r="G27">
        <v>2017</v>
      </c>
      <c r="H27" t="s">
        <v>90</v>
      </c>
      <c r="I27" t="s">
        <v>91</v>
      </c>
      <c r="J27" t="s">
        <v>73</v>
      </c>
      <c r="K27">
        <v>1</v>
      </c>
      <c r="L27">
        <v>-24.5</v>
      </c>
      <c r="M27">
        <v>0</v>
      </c>
      <c r="N27">
        <v>1</v>
      </c>
    </row>
    <row r="28" spans="4:14" x14ac:dyDescent="0.3">
      <c r="D28" t="s">
        <v>88</v>
      </c>
      <c r="E28" t="s">
        <v>60</v>
      </c>
      <c r="F28" t="s">
        <v>89</v>
      </c>
      <c r="G28">
        <v>2018</v>
      </c>
      <c r="H28" t="s">
        <v>90</v>
      </c>
      <c r="I28" t="s">
        <v>91</v>
      </c>
      <c r="J28" t="s">
        <v>73</v>
      </c>
      <c r="K28">
        <v>1</v>
      </c>
      <c r="L28">
        <v>-24.5</v>
      </c>
      <c r="M28">
        <v>0</v>
      </c>
      <c r="N28">
        <v>1</v>
      </c>
    </row>
    <row r="29" spans="4:14" x14ac:dyDescent="0.3">
      <c r="D29" t="s">
        <v>92</v>
      </c>
      <c r="E29" t="s">
        <v>33</v>
      </c>
      <c r="F29" t="s">
        <v>89</v>
      </c>
      <c r="G29">
        <v>2017</v>
      </c>
      <c r="H29" t="s">
        <v>90</v>
      </c>
      <c r="I29" t="s">
        <v>91</v>
      </c>
      <c r="J29" t="s">
        <v>93</v>
      </c>
      <c r="K29">
        <v>1</v>
      </c>
      <c r="L29">
        <v>-10.125492555118662</v>
      </c>
      <c r="M29">
        <v>0</v>
      </c>
      <c r="N29">
        <v>1</v>
      </c>
    </row>
    <row r="30" spans="4:14" x14ac:dyDescent="0.3">
      <c r="D30" t="s">
        <v>92</v>
      </c>
      <c r="E30" t="s">
        <v>33</v>
      </c>
      <c r="F30" t="s">
        <v>89</v>
      </c>
      <c r="G30">
        <v>2018</v>
      </c>
      <c r="H30" t="s">
        <v>90</v>
      </c>
      <c r="I30" t="s">
        <v>91</v>
      </c>
      <c r="J30" t="s">
        <v>93</v>
      </c>
      <c r="K30">
        <v>1</v>
      </c>
      <c r="L30">
        <v>-9.5090208140120502</v>
      </c>
      <c r="M30">
        <v>0</v>
      </c>
      <c r="N30">
        <v>1</v>
      </c>
    </row>
    <row r="31" spans="4:14" x14ac:dyDescent="0.3">
      <c r="D31" t="s">
        <v>92</v>
      </c>
      <c r="E31" t="s">
        <v>41</v>
      </c>
      <c r="F31" t="s">
        <v>89</v>
      </c>
      <c r="G31">
        <v>2017</v>
      </c>
      <c r="H31" t="s">
        <v>90</v>
      </c>
      <c r="I31" t="s">
        <v>91</v>
      </c>
      <c r="J31" t="s">
        <v>93</v>
      </c>
      <c r="K31">
        <v>1</v>
      </c>
      <c r="L31">
        <v>-10.125492555118658</v>
      </c>
      <c r="M31">
        <v>0</v>
      </c>
      <c r="N31">
        <v>1</v>
      </c>
    </row>
    <row r="32" spans="4:14" x14ac:dyDescent="0.3">
      <c r="D32" t="s">
        <v>92</v>
      </c>
      <c r="E32" t="s">
        <v>41</v>
      </c>
      <c r="F32" t="s">
        <v>89</v>
      </c>
      <c r="G32">
        <v>2018</v>
      </c>
      <c r="H32" t="s">
        <v>90</v>
      </c>
      <c r="I32" t="s">
        <v>91</v>
      </c>
      <c r="J32" t="s">
        <v>93</v>
      </c>
      <c r="K32">
        <v>1</v>
      </c>
      <c r="L32">
        <v>-9.509020814012052</v>
      </c>
      <c r="M32">
        <v>0</v>
      </c>
      <c r="N32">
        <v>1</v>
      </c>
    </row>
    <row r="33" spans="4:14" x14ac:dyDescent="0.3">
      <c r="D33" t="s">
        <v>92</v>
      </c>
      <c r="E33" t="s">
        <v>42</v>
      </c>
      <c r="F33" t="s">
        <v>89</v>
      </c>
      <c r="G33">
        <v>2017</v>
      </c>
      <c r="H33" t="s">
        <v>90</v>
      </c>
      <c r="I33" t="s">
        <v>91</v>
      </c>
      <c r="J33" t="s">
        <v>93</v>
      </c>
      <c r="K33">
        <v>1</v>
      </c>
      <c r="L33">
        <v>-15.356595819021457</v>
      </c>
      <c r="M33">
        <v>0</v>
      </c>
      <c r="N33">
        <v>1</v>
      </c>
    </row>
    <row r="34" spans="4:14" x14ac:dyDescent="0.3">
      <c r="D34" t="s">
        <v>92</v>
      </c>
      <c r="E34" t="s">
        <v>42</v>
      </c>
      <c r="F34" t="s">
        <v>89</v>
      </c>
      <c r="G34">
        <v>2018</v>
      </c>
      <c r="H34" t="s">
        <v>90</v>
      </c>
      <c r="I34" t="s">
        <v>91</v>
      </c>
      <c r="J34" t="s">
        <v>93</v>
      </c>
      <c r="K34">
        <v>1</v>
      </c>
      <c r="L34">
        <v>-14.856806429902383</v>
      </c>
      <c r="M34">
        <v>0</v>
      </c>
      <c r="N34">
        <v>1</v>
      </c>
    </row>
    <row r="35" spans="4:14" x14ac:dyDescent="0.3">
      <c r="D35" t="s">
        <v>92</v>
      </c>
      <c r="E35" t="s">
        <v>44</v>
      </c>
      <c r="F35" t="s">
        <v>89</v>
      </c>
      <c r="G35">
        <v>2017</v>
      </c>
      <c r="H35" t="s">
        <v>90</v>
      </c>
      <c r="I35" t="s">
        <v>91</v>
      </c>
      <c r="J35" t="s">
        <v>93</v>
      </c>
      <c r="K35">
        <v>1</v>
      </c>
      <c r="L35">
        <v>-14.444696982363272</v>
      </c>
      <c r="M35">
        <v>0</v>
      </c>
      <c r="N35">
        <v>1</v>
      </c>
    </row>
    <row r="36" spans="4:14" x14ac:dyDescent="0.3">
      <c r="D36" t="s">
        <v>92</v>
      </c>
      <c r="E36" t="s">
        <v>44</v>
      </c>
      <c r="F36" t="s">
        <v>89</v>
      </c>
      <c r="G36">
        <v>2018</v>
      </c>
      <c r="H36" t="s">
        <v>90</v>
      </c>
      <c r="I36" t="s">
        <v>91</v>
      </c>
      <c r="J36" t="s">
        <v>93</v>
      </c>
      <c r="K36">
        <v>1</v>
      </c>
      <c r="L36">
        <v>-14.621001309999667</v>
      </c>
      <c r="M36">
        <v>0</v>
      </c>
      <c r="N36">
        <v>1</v>
      </c>
    </row>
    <row r="37" spans="4:14" x14ac:dyDescent="0.3">
      <c r="D37" t="s">
        <v>92</v>
      </c>
      <c r="E37" t="s">
        <v>49</v>
      </c>
      <c r="F37" t="s">
        <v>89</v>
      </c>
      <c r="G37">
        <v>2017</v>
      </c>
      <c r="H37" t="s">
        <v>90</v>
      </c>
      <c r="I37" t="s">
        <v>91</v>
      </c>
      <c r="J37" t="s">
        <v>93</v>
      </c>
      <c r="K37">
        <v>1</v>
      </c>
      <c r="L37">
        <v>-12.273493470518288</v>
      </c>
      <c r="M37">
        <v>0</v>
      </c>
      <c r="N37">
        <v>1</v>
      </c>
    </row>
    <row r="38" spans="4:14" x14ac:dyDescent="0.3">
      <c r="D38" t="s">
        <v>92</v>
      </c>
      <c r="E38" t="s">
        <v>49</v>
      </c>
      <c r="F38" t="s">
        <v>89</v>
      </c>
      <c r="G38">
        <v>2018</v>
      </c>
      <c r="H38" t="s">
        <v>90</v>
      </c>
      <c r="I38" t="s">
        <v>91</v>
      </c>
      <c r="J38" t="s">
        <v>93</v>
      </c>
      <c r="K38">
        <v>1</v>
      </c>
      <c r="L38">
        <v>-11.774401795101948</v>
      </c>
      <c r="M38">
        <v>0</v>
      </c>
      <c r="N38">
        <v>1</v>
      </c>
    </row>
    <row r="39" spans="4:14" x14ac:dyDescent="0.3">
      <c r="D39" t="s">
        <v>92</v>
      </c>
      <c r="E39" t="s">
        <v>50</v>
      </c>
      <c r="F39" t="s">
        <v>89</v>
      </c>
      <c r="G39">
        <v>2017</v>
      </c>
      <c r="H39" t="s">
        <v>90</v>
      </c>
      <c r="I39" t="s">
        <v>91</v>
      </c>
      <c r="J39" t="s">
        <v>93</v>
      </c>
      <c r="K39">
        <v>1</v>
      </c>
      <c r="L39">
        <v>-18.287166708477194</v>
      </c>
      <c r="M39">
        <v>0</v>
      </c>
      <c r="N39">
        <v>1</v>
      </c>
    </row>
    <row r="40" spans="4:14" x14ac:dyDescent="0.3">
      <c r="D40" t="s">
        <v>92</v>
      </c>
      <c r="E40" t="s">
        <v>50</v>
      </c>
      <c r="F40" t="s">
        <v>89</v>
      </c>
      <c r="G40">
        <v>2018</v>
      </c>
      <c r="H40" t="s">
        <v>90</v>
      </c>
      <c r="I40" t="s">
        <v>91</v>
      </c>
      <c r="J40" t="s">
        <v>93</v>
      </c>
      <c r="K40">
        <v>1</v>
      </c>
      <c r="L40">
        <v>-17.341260967779149</v>
      </c>
      <c r="M40">
        <v>0</v>
      </c>
      <c r="N40">
        <v>1</v>
      </c>
    </row>
    <row r="41" spans="4:14" x14ac:dyDescent="0.3">
      <c r="D41" t="s">
        <v>92</v>
      </c>
      <c r="E41" t="s">
        <v>55</v>
      </c>
      <c r="F41" t="s">
        <v>89</v>
      </c>
      <c r="G41">
        <v>2017</v>
      </c>
      <c r="H41" t="s">
        <v>90</v>
      </c>
      <c r="I41" t="s">
        <v>91</v>
      </c>
      <c r="J41" t="s">
        <v>93</v>
      </c>
      <c r="K41">
        <v>1</v>
      </c>
      <c r="L41">
        <v>-24.5</v>
      </c>
      <c r="M41">
        <v>0</v>
      </c>
      <c r="N41">
        <v>1</v>
      </c>
    </row>
    <row r="42" spans="4:14" x14ac:dyDescent="0.3">
      <c r="D42" t="s">
        <v>92</v>
      </c>
      <c r="E42" t="s">
        <v>55</v>
      </c>
      <c r="F42" t="s">
        <v>89</v>
      </c>
      <c r="G42">
        <v>2018</v>
      </c>
      <c r="H42" t="s">
        <v>90</v>
      </c>
      <c r="I42" t="s">
        <v>91</v>
      </c>
      <c r="J42" t="s">
        <v>93</v>
      </c>
      <c r="K42">
        <v>1</v>
      </c>
      <c r="L42">
        <v>-23.549746409237581</v>
      </c>
      <c r="M42">
        <v>0</v>
      </c>
      <c r="N42">
        <v>1</v>
      </c>
    </row>
    <row r="43" spans="4:14" x14ac:dyDescent="0.3">
      <c r="D43" t="s">
        <v>92</v>
      </c>
      <c r="E43" t="s">
        <v>56</v>
      </c>
      <c r="F43" t="s">
        <v>89</v>
      </c>
      <c r="G43">
        <v>2017</v>
      </c>
      <c r="H43" t="s">
        <v>90</v>
      </c>
      <c r="I43" t="s">
        <v>91</v>
      </c>
      <c r="J43" t="s">
        <v>93</v>
      </c>
      <c r="K43">
        <v>1</v>
      </c>
      <c r="L43">
        <v>-17.740793173948731</v>
      </c>
      <c r="M43">
        <v>0</v>
      </c>
      <c r="N43">
        <v>1</v>
      </c>
    </row>
    <row r="44" spans="4:14" x14ac:dyDescent="0.3">
      <c r="D44" t="s">
        <v>92</v>
      </c>
      <c r="E44" t="s">
        <v>56</v>
      </c>
      <c r="F44" t="s">
        <v>89</v>
      </c>
      <c r="G44">
        <v>2018</v>
      </c>
      <c r="H44" t="s">
        <v>90</v>
      </c>
      <c r="I44" t="s">
        <v>91</v>
      </c>
      <c r="J44" t="s">
        <v>93</v>
      </c>
      <c r="K44">
        <v>1</v>
      </c>
      <c r="L44">
        <v>-24.5</v>
      </c>
      <c r="M44">
        <v>0</v>
      </c>
      <c r="N44">
        <v>1</v>
      </c>
    </row>
    <row r="45" spans="4:14" x14ac:dyDescent="0.3">
      <c r="D45" t="s">
        <v>92</v>
      </c>
      <c r="E45" t="s">
        <v>57</v>
      </c>
      <c r="F45" t="s">
        <v>89</v>
      </c>
      <c r="G45">
        <v>2017</v>
      </c>
      <c r="H45" t="s">
        <v>90</v>
      </c>
      <c r="I45" t="s">
        <v>91</v>
      </c>
      <c r="J45" t="s">
        <v>93</v>
      </c>
      <c r="K45">
        <v>1</v>
      </c>
      <c r="L45">
        <v>-8.0085255933868442</v>
      </c>
      <c r="M45">
        <v>0</v>
      </c>
      <c r="N45">
        <v>1</v>
      </c>
    </row>
    <row r="46" spans="4:14" x14ac:dyDescent="0.3">
      <c r="D46" t="s">
        <v>92</v>
      </c>
      <c r="E46" t="s">
        <v>57</v>
      </c>
      <c r="F46" t="s">
        <v>89</v>
      </c>
      <c r="G46">
        <v>2018</v>
      </c>
      <c r="H46" t="s">
        <v>90</v>
      </c>
      <c r="I46" t="s">
        <v>91</v>
      </c>
      <c r="J46" t="s">
        <v>93</v>
      </c>
      <c r="K46">
        <v>1</v>
      </c>
      <c r="L46">
        <v>-6.916354353727062</v>
      </c>
      <c r="M46">
        <v>0</v>
      </c>
      <c r="N46">
        <v>1</v>
      </c>
    </row>
    <row r="47" spans="4:14" x14ac:dyDescent="0.3">
      <c r="D47" t="s">
        <v>92</v>
      </c>
      <c r="E47" t="s">
        <v>58</v>
      </c>
      <c r="F47" t="s">
        <v>89</v>
      </c>
      <c r="G47">
        <v>2017</v>
      </c>
      <c r="H47" t="s">
        <v>90</v>
      </c>
      <c r="I47" t="s">
        <v>91</v>
      </c>
      <c r="J47" t="s">
        <v>93</v>
      </c>
      <c r="K47">
        <v>1</v>
      </c>
      <c r="L47">
        <v>-24.5</v>
      </c>
      <c r="M47">
        <v>0</v>
      </c>
      <c r="N47">
        <v>1</v>
      </c>
    </row>
    <row r="48" spans="4:14" x14ac:dyDescent="0.3">
      <c r="D48" t="s">
        <v>92</v>
      </c>
      <c r="E48" t="s">
        <v>58</v>
      </c>
      <c r="F48" t="s">
        <v>89</v>
      </c>
      <c r="G48">
        <v>2018</v>
      </c>
      <c r="H48" t="s">
        <v>90</v>
      </c>
      <c r="I48" t="s">
        <v>91</v>
      </c>
      <c r="J48" t="s">
        <v>93</v>
      </c>
      <c r="K48">
        <v>1</v>
      </c>
      <c r="L48">
        <v>-24.5</v>
      </c>
      <c r="M48">
        <v>0</v>
      </c>
      <c r="N48">
        <v>1</v>
      </c>
    </row>
    <row r="49" spans="4:14" x14ac:dyDescent="0.3">
      <c r="D49" t="s">
        <v>92</v>
      </c>
      <c r="E49" t="s">
        <v>59</v>
      </c>
      <c r="F49" t="s">
        <v>89</v>
      </c>
      <c r="G49">
        <v>2017</v>
      </c>
      <c r="H49" t="s">
        <v>90</v>
      </c>
      <c r="I49" t="s">
        <v>91</v>
      </c>
      <c r="J49" t="s">
        <v>93</v>
      </c>
      <c r="K49">
        <v>1</v>
      </c>
      <c r="L49">
        <v>-24.5</v>
      </c>
      <c r="M49">
        <v>0</v>
      </c>
      <c r="N49">
        <v>1</v>
      </c>
    </row>
    <row r="50" spans="4:14" x14ac:dyDescent="0.3">
      <c r="D50" t="s">
        <v>92</v>
      </c>
      <c r="E50" t="s">
        <v>59</v>
      </c>
      <c r="F50" t="s">
        <v>89</v>
      </c>
      <c r="G50">
        <v>2018</v>
      </c>
      <c r="H50" t="s">
        <v>90</v>
      </c>
      <c r="I50" t="s">
        <v>91</v>
      </c>
      <c r="J50" t="s">
        <v>93</v>
      </c>
      <c r="K50">
        <v>1</v>
      </c>
      <c r="L50">
        <v>-24.5</v>
      </c>
      <c r="M50">
        <v>0</v>
      </c>
      <c r="N50">
        <v>1</v>
      </c>
    </row>
    <row r="51" spans="4:14" x14ac:dyDescent="0.3">
      <c r="D51" t="s">
        <v>92</v>
      </c>
      <c r="E51" t="s">
        <v>60</v>
      </c>
      <c r="F51" t="s">
        <v>89</v>
      </c>
      <c r="G51">
        <v>2017</v>
      </c>
      <c r="H51" t="s">
        <v>90</v>
      </c>
      <c r="I51" t="s">
        <v>91</v>
      </c>
      <c r="J51" t="s">
        <v>93</v>
      </c>
      <c r="K51">
        <v>1</v>
      </c>
      <c r="L51">
        <v>-24.5</v>
      </c>
      <c r="M51">
        <v>0</v>
      </c>
      <c r="N51">
        <v>1</v>
      </c>
    </row>
    <row r="52" spans="4:14" x14ac:dyDescent="0.3">
      <c r="D52" t="s">
        <v>92</v>
      </c>
      <c r="E52" t="s">
        <v>60</v>
      </c>
      <c r="F52" t="s">
        <v>89</v>
      </c>
      <c r="G52">
        <v>2018</v>
      </c>
      <c r="H52" t="s">
        <v>90</v>
      </c>
      <c r="I52" t="s">
        <v>91</v>
      </c>
      <c r="J52" t="s">
        <v>93</v>
      </c>
      <c r="K52">
        <v>1</v>
      </c>
      <c r="L52">
        <v>-24.5</v>
      </c>
      <c r="M52">
        <v>0</v>
      </c>
      <c r="N52">
        <v>1</v>
      </c>
    </row>
    <row r="53" spans="4:14" x14ac:dyDescent="0.3">
      <c r="D53" t="s">
        <v>94</v>
      </c>
      <c r="E53" t="s">
        <v>33</v>
      </c>
      <c r="F53" t="s">
        <v>89</v>
      </c>
      <c r="G53">
        <v>2017</v>
      </c>
      <c r="H53" t="s">
        <v>95</v>
      </c>
      <c r="I53" t="s">
        <v>91</v>
      </c>
      <c r="J53" t="s">
        <v>73</v>
      </c>
      <c r="K53">
        <v>1</v>
      </c>
      <c r="L53">
        <v>-9.4504597181107517</v>
      </c>
      <c r="M53">
        <v>0</v>
      </c>
      <c r="N53">
        <v>1</v>
      </c>
    </row>
    <row r="54" spans="4:14" x14ac:dyDescent="0.3">
      <c r="D54" t="s">
        <v>94</v>
      </c>
      <c r="E54" t="s">
        <v>33</v>
      </c>
      <c r="F54" t="s">
        <v>89</v>
      </c>
      <c r="G54">
        <v>2018</v>
      </c>
      <c r="H54" t="s">
        <v>95</v>
      </c>
      <c r="I54" t="s">
        <v>91</v>
      </c>
      <c r="J54" t="s">
        <v>73</v>
      </c>
      <c r="K54">
        <v>1</v>
      </c>
      <c r="L54">
        <v>-8.875086093077913</v>
      </c>
      <c r="M54">
        <v>0</v>
      </c>
      <c r="N54">
        <v>1</v>
      </c>
    </row>
    <row r="55" spans="4:14" x14ac:dyDescent="0.3">
      <c r="D55" t="s">
        <v>94</v>
      </c>
      <c r="E55" t="s">
        <v>41</v>
      </c>
      <c r="F55" t="s">
        <v>89</v>
      </c>
      <c r="G55">
        <v>2017</v>
      </c>
      <c r="H55" t="s">
        <v>95</v>
      </c>
      <c r="I55" t="s">
        <v>91</v>
      </c>
      <c r="J55" t="s">
        <v>73</v>
      </c>
      <c r="K55">
        <v>1</v>
      </c>
      <c r="L55">
        <v>-9.450459718110757</v>
      </c>
      <c r="M55">
        <v>0</v>
      </c>
      <c r="N55">
        <v>1</v>
      </c>
    </row>
    <row r="56" spans="4:14" x14ac:dyDescent="0.3">
      <c r="D56" t="s">
        <v>94</v>
      </c>
      <c r="E56" t="s">
        <v>41</v>
      </c>
      <c r="F56" t="s">
        <v>89</v>
      </c>
      <c r="G56">
        <v>2018</v>
      </c>
      <c r="H56" t="s">
        <v>95</v>
      </c>
      <c r="I56" t="s">
        <v>91</v>
      </c>
      <c r="J56" t="s">
        <v>73</v>
      </c>
      <c r="K56">
        <v>1</v>
      </c>
      <c r="L56">
        <v>-8.8750860930779076</v>
      </c>
      <c r="M56">
        <v>0</v>
      </c>
      <c r="N56">
        <v>1</v>
      </c>
    </row>
    <row r="57" spans="4:14" x14ac:dyDescent="0.3">
      <c r="D57" t="s">
        <v>94</v>
      </c>
      <c r="E57" t="s">
        <v>42</v>
      </c>
      <c r="F57" t="s">
        <v>89</v>
      </c>
      <c r="G57">
        <v>2017</v>
      </c>
      <c r="H57" t="s">
        <v>95</v>
      </c>
      <c r="I57" t="s">
        <v>91</v>
      </c>
      <c r="J57" t="s">
        <v>73</v>
      </c>
      <c r="K57">
        <v>1</v>
      </c>
      <c r="L57">
        <v>-14.332822764420026</v>
      </c>
      <c r="M57">
        <v>0</v>
      </c>
      <c r="N57">
        <v>1</v>
      </c>
    </row>
    <row r="58" spans="4:14" x14ac:dyDescent="0.3">
      <c r="D58" t="s">
        <v>94</v>
      </c>
      <c r="E58" t="s">
        <v>42</v>
      </c>
      <c r="F58" t="s">
        <v>89</v>
      </c>
      <c r="G58">
        <v>2018</v>
      </c>
      <c r="H58" t="s">
        <v>95</v>
      </c>
      <c r="I58" t="s">
        <v>91</v>
      </c>
      <c r="J58" t="s">
        <v>73</v>
      </c>
      <c r="K58">
        <v>1</v>
      </c>
      <c r="L58">
        <v>-13.866352667908886</v>
      </c>
      <c r="M58">
        <v>0</v>
      </c>
      <c r="N58">
        <v>1</v>
      </c>
    </row>
    <row r="59" spans="4:14" x14ac:dyDescent="0.3">
      <c r="D59" t="s">
        <v>94</v>
      </c>
      <c r="E59" t="s">
        <v>44</v>
      </c>
      <c r="F59" t="s">
        <v>89</v>
      </c>
      <c r="G59">
        <v>2017</v>
      </c>
      <c r="H59" t="s">
        <v>95</v>
      </c>
      <c r="I59" t="s">
        <v>91</v>
      </c>
      <c r="J59" t="s">
        <v>73</v>
      </c>
      <c r="K59">
        <v>1</v>
      </c>
      <c r="L59">
        <v>-13.481717183539052</v>
      </c>
      <c r="M59">
        <v>0</v>
      </c>
      <c r="N59">
        <v>1</v>
      </c>
    </row>
    <row r="60" spans="4:14" x14ac:dyDescent="0.3">
      <c r="D60" t="s">
        <v>94</v>
      </c>
      <c r="E60" t="s">
        <v>44</v>
      </c>
      <c r="F60" t="s">
        <v>89</v>
      </c>
      <c r="G60">
        <v>2018</v>
      </c>
      <c r="H60" t="s">
        <v>95</v>
      </c>
      <c r="I60" t="s">
        <v>91</v>
      </c>
      <c r="J60" t="s">
        <v>73</v>
      </c>
      <c r="K60">
        <v>1</v>
      </c>
      <c r="L60">
        <v>-13.646267889333021</v>
      </c>
      <c r="M60">
        <v>0</v>
      </c>
      <c r="N60">
        <v>1</v>
      </c>
    </row>
    <row r="61" spans="4:14" x14ac:dyDescent="0.3">
      <c r="D61" t="s">
        <v>94</v>
      </c>
      <c r="E61" t="s">
        <v>45</v>
      </c>
      <c r="F61" t="s">
        <v>89</v>
      </c>
      <c r="G61">
        <v>2017</v>
      </c>
      <c r="H61" t="s">
        <v>95</v>
      </c>
      <c r="I61" t="s">
        <v>91</v>
      </c>
      <c r="J61" t="s">
        <v>73</v>
      </c>
      <c r="K61">
        <v>1</v>
      </c>
      <c r="L61">
        <v>-22.918964002319246</v>
      </c>
      <c r="M61">
        <v>0</v>
      </c>
      <c r="N61">
        <v>1</v>
      </c>
    </row>
    <row r="62" spans="4:14" x14ac:dyDescent="0.3">
      <c r="D62" t="s">
        <v>94</v>
      </c>
      <c r="E62" t="s">
        <v>45</v>
      </c>
      <c r="F62" t="s">
        <v>89</v>
      </c>
      <c r="G62">
        <v>2018</v>
      </c>
      <c r="H62" t="s">
        <v>95</v>
      </c>
      <c r="I62" t="s">
        <v>91</v>
      </c>
      <c r="J62" t="s">
        <v>73</v>
      </c>
      <c r="K62">
        <v>1</v>
      </c>
      <c r="L62">
        <v>-20.897020276956582</v>
      </c>
      <c r="M62">
        <v>0</v>
      </c>
      <c r="N62">
        <v>1</v>
      </c>
    </row>
    <row r="63" spans="4:14" x14ac:dyDescent="0.3">
      <c r="D63" t="s">
        <v>94</v>
      </c>
      <c r="E63" t="s">
        <v>46</v>
      </c>
      <c r="F63" t="s">
        <v>89</v>
      </c>
      <c r="G63">
        <v>2017</v>
      </c>
      <c r="H63" t="s">
        <v>95</v>
      </c>
      <c r="I63" t="s">
        <v>91</v>
      </c>
      <c r="J63" t="s">
        <v>73</v>
      </c>
      <c r="K63">
        <v>1</v>
      </c>
      <c r="L63">
        <v>-24.5</v>
      </c>
      <c r="M63">
        <v>0</v>
      </c>
      <c r="N63">
        <v>1</v>
      </c>
    </row>
    <row r="64" spans="4:14" x14ac:dyDescent="0.3">
      <c r="D64" t="s">
        <v>94</v>
      </c>
      <c r="E64" t="s">
        <v>46</v>
      </c>
      <c r="F64" t="s">
        <v>89</v>
      </c>
      <c r="G64">
        <v>2018</v>
      </c>
      <c r="H64" t="s">
        <v>95</v>
      </c>
      <c r="I64" t="s">
        <v>91</v>
      </c>
      <c r="J64" t="s">
        <v>73</v>
      </c>
      <c r="K64">
        <v>1</v>
      </c>
      <c r="L64">
        <v>-24.5</v>
      </c>
      <c r="M64">
        <v>0</v>
      </c>
      <c r="N64">
        <v>1</v>
      </c>
    </row>
    <row r="65" spans="4:14" x14ac:dyDescent="0.3">
      <c r="D65" t="s">
        <v>94</v>
      </c>
      <c r="E65" t="s">
        <v>49</v>
      </c>
      <c r="F65" t="s">
        <v>89</v>
      </c>
      <c r="G65">
        <v>2017</v>
      </c>
      <c r="H65" t="s">
        <v>95</v>
      </c>
      <c r="I65" t="s">
        <v>91</v>
      </c>
      <c r="J65" t="s">
        <v>73</v>
      </c>
      <c r="K65">
        <v>1</v>
      </c>
      <c r="L65">
        <v>-11.455260572483732</v>
      </c>
      <c r="M65">
        <v>0</v>
      </c>
      <c r="N65">
        <v>1</v>
      </c>
    </row>
    <row r="66" spans="4:14" x14ac:dyDescent="0.3">
      <c r="D66" t="s">
        <v>94</v>
      </c>
      <c r="E66" t="s">
        <v>49</v>
      </c>
      <c r="F66" t="s">
        <v>89</v>
      </c>
      <c r="G66">
        <v>2018</v>
      </c>
      <c r="H66" t="s">
        <v>95</v>
      </c>
      <c r="I66" t="s">
        <v>91</v>
      </c>
      <c r="J66" t="s">
        <v>73</v>
      </c>
      <c r="K66">
        <v>1</v>
      </c>
      <c r="L66">
        <v>-10.98944167542848</v>
      </c>
      <c r="M66">
        <v>0</v>
      </c>
      <c r="N66">
        <v>1</v>
      </c>
    </row>
    <row r="67" spans="4:14" x14ac:dyDescent="0.3">
      <c r="D67" t="s">
        <v>94</v>
      </c>
      <c r="E67" t="s">
        <v>50</v>
      </c>
      <c r="F67" t="s">
        <v>89</v>
      </c>
      <c r="G67">
        <v>2017</v>
      </c>
      <c r="H67" t="s">
        <v>95</v>
      </c>
      <c r="I67" t="s">
        <v>91</v>
      </c>
      <c r="J67" t="s">
        <v>73</v>
      </c>
      <c r="K67">
        <v>1</v>
      </c>
      <c r="L67">
        <v>-17.068022261245382</v>
      </c>
      <c r="M67">
        <v>0</v>
      </c>
      <c r="N67">
        <v>1</v>
      </c>
    </row>
    <row r="68" spans="4:14" x14ac:dyDescent="0.3">
      <c r="D68" t="s">
        <v>94</v>
      </c>
      <c r="E68" t="s">
        <v>50</v>
      </c>
      <c r="F68" t="s">
        <v>89</v>
      </c>
      <c r="G68">
        <v>2018</v>
      </c>
      <c r="H68" t="s">
        <v>95</v>
      </c>
      <c r="I68" t="s">
        <v>91</v>
      </c>
      <c r="J68" t="s">
        <v>73</v>
      </c>
      <c r="K68">
        <v>1</v>
      </c>
      <c r="L68">
        <v>-16.18517690326054</v>
      </c>
      <c r="M68">
        <v>0</v>
      </c>
      <c r="N68">
        <v>1</v>
      </c>
    </row>
    <row r="69" spans="4:14" x14ac:dyDescent="0.3">
      <c r="D69" t="s">
        <v>94</v>
      </c>
      <c r="E69" t="s">
        <v>51</v>
      </c>
      <c r="F69" t="s">
        <v>89</v>
      </c>
      <c r="G69">
        <v>2017</v>
      </c>
      <c r="H69" t="s">
        <v>95</v>
      </c>
      <c r="I69" t="s">
        <v>91</v>
      </c>
      <c r="J69" t="s">
        <v>73</v>
      </c>
      <c r="K69">
        <v>1</v>
      </c>
      <c r="L69">
        <v>-21.148994615875903</v>
      </c>
      <c r="M69">
        <v>0</v>
      </c>
      <c r="N69">
        <v>1</v>
      </c>
    </row>
    <row r="70" spans="4:14" x14ac:dyDescent="0.3">
      <c r="D70" t="s">
        <v>94</v>
      </c>
      <c r="E70" t="s">
        <v>51</v>
      </c>
      <c r="F70" t="s">
        <v>89</v>
      </c>
      <c r="G70">
        <v>2018</v>
      </c>
      <c r="H70" t="s">
        <v>95</v>
      </c>
      <c r="I70" t="s">
        <v>91</v>
      </c>
      <c r="J70" t="s">
        <v>73</v>
      </c>
      <c r="K70">
        <v>1</v>
      </c>
      <c r="L70">
        <v>-20.669755467546508</v>
      </c>
      <c r="M70">
        <v>0</v>
      </c>
      <c r="N70">
        <v>1</v>
      </c>
    </row>
    <row r="71" spans="4:14" x14ac:dyDescent="0.3">
      <c r="D71" t="s">
        <v>94</v>
      </c>
      <c r="E71" t="s">
        <v>53</v>
      </c>
      <c r="F71" t="s">
        <v>89</v>
      </c>
      <c r="G71">
        <v>2017</v>
      </c>
      <c r="H71" t="s">
        <v>95</v>
      </c>
      <c r="I71" t="s">
        <v>91</v>
      </c>
      <c r="J71" t="s">
        <v>73</v>
      </c>
      <c r="K71">
        <v>1</v>
      </c>
      <c r="L71">
        <v>-24.5</v>
      </c>
      <c r="M71">
        <v>0</v>
      </c>
      <c r="N71">
        <v>1</v>
      </c>
    </row>
    <row r="72" spans="4:14" x14ac:dyDescent="0.3">
      <c r="D72" t="s">
        <v>94</v>
      </c>
      <c r="E72" t="s">
        <v>53</v>
      </c>
      <c r="F72" t="s">
        <v>89</v>
      </c>
      <c r="G72">
        <v>2018</v>
      </c>
      <c r="H72" t="s">
        <v>95</v>
      </c>
      <c r="I72" t="s">
        <v>91</v>
      </c>
      <c r="J72" t="s">
        <v>73</v>
      </c>
      <c r="K72">
        <v>1</v>
      </c>
      <c r="L72">
        <v>-24.5</v>
      </c>
      <c r="M72">
        <v>0</v>
      </c>
      <c r="N72">
        <v>1</v>
      </c>
    </row>
    <row r="73" spans="4:14" x14ac:dyDescent="0.3">
      <c r="D73" t="s">
        <v>94</v>
      </c>
      <c r="E73" t="s">
        <v>54</v>
      </c>
      <c r="F73" t="s">
        <v>89</v>
      </c>
      <c r="G73">
        <v>2017</v>
      </c>
      <c r="H73" t="s">
        <v>95</v>
      </c>
      <c r="I73" t="s">
        <v>91</v>
      </c>
      <c r="J73" t="s">
        <v>73</v>
      </c>
      <c r="K73">
        <v>1</v>
      </c>
      <c r="L73">
        <v>0</v>
      </c>
      <c r="M73">
        <v>0</v>
      </c>
      <c r="N73">
        <v>1</v>
      </c>
    </row>
    <row r="74" spans="4:14" x14ac:dyDescent="0.3">
      <c r="D74" t="s">
        <v>94</v>
      </c>
      <c r="E74" t="s">
        <v>54</v>
      </c>
      <c r="F74" t="s">
        <v>89</v>
      </c>
      <c r="G74">
        <v>2018</v>
      </c>
      <c r="H74" t="s">
        <v>95</v>
      </c>
      <c r="I74" t="s">
        <v>91</v>
      </c>
      <c r="J74" t="s">
        <v>73</v>
      </c>
      <c r="K74">
        <v>1</v>
      </c>
      <c r="L74">
        <v>0</v>
      </c>
      <c r="M74">
        <v>0</v>
      </c>
      <c r="N74">
        <v>1</v>
      </c>
    </row>
    <row r="75" spans="4:14" x14ac:dyDescent="0.3">
      <c r="D75" t="s">
        <v>94</v>
      </c>
      <c r="E75" t="s">
        <v>55</v>
      </c>
      <c r="F75" t="s">
        <v>89</v>
      </c>
      <c r="G75">
        <v>2017</v>
      </c>
      <c r="H75" t="s">
        <v>95</v>
      </c>
      <c r="I75" t="s">
        <v>91</v>
      </c>
      <c r="J75" t="s">
        <v>73</v>
      </c>
      <c r="K75">
        <v>1</v>
      </c>
      <c r="L75">
        <v>-24.5</v>
      </c>
      <c r="M75">
        <v>0</v>
      </c>
      <c r="N75">
        <v>1</v>
      </c>
    </row>
    <row r="76" spans="4:14" x14ac:dyDescent="0.3">
      <c r="D76" t="s">
        <v>94</v>
      </c>
      <c r="E76" t="s">
        <v>55</v>
      </c>
      <c r="F76" t="s">
        <v>89</v>
      </c>
      <c r="G76">
        <v>2018</v>
      </c>
      <c r="H76" t="s">
        <v>95</v>
      </c>
      <c r="I76" t="s">
        <v>91</v>
      </c>
      <c r="J76" t="s">
        <v>73</v>
      </c>
      <c r="K76">
        <v>1</v>
      </c>
      <c r="L76">
        <v>-21.979763315288412</v>
      </c>
      <c r="M76">
        <v>0</v>
      </c>
      <c r="N76">
        <v>1</v>
      </c>
    </row>
    <row r="77" spans="4:14" x14ac:dyDescent="0.3">
      <c r="D77" t="s">
        <v>94</v>
      </c>
      <c r="E77" t="s">
        <v>56</v>
      </c>
      <c r="F77" t="s">
        <v>89</v>
      </c>
      <c r="G77">
        <v>2017</v>
      </c>
      <c r="H77" t="s">
        <v>95</v>
      </c>
      <c r="I77" t="s">
        <v>91</v>
      </c>
      <c r="J77" t="s">
        <v>73</v>
      </c>
      <c r="K77">
        <v>1</v>
      </c>
      <c r="L77">
        <v>-16.558073629018807</v>
      </c>
      <c r="M77">
        <v>0</v>
      </c>
      <c r="N77">
        <v>1</v>
      </c>
    </row>
    <row r="78" spans="4:14" x14ac:dyDescent="0.3">
      <c r="D78" t="s">
        <v>94</v>
      </c>
      <c r="E78" t="s">
        <v>56</v>
      </c>
      <c r="F78" t="s">
        <v>89</v>
      </c>
      <c r="G78">
        <v>2018</v>
      </c>
      <c r="H78" t="s">
        <v>95</v>
      </c>
      <c r="I78" t="s">
        <v>91</v>
      </c>
      <c r="J78" t="s">
        <v>73</v>
      </c>
      <c r="K78">
        <v>1</v>
      </c>
      <c r="L78">
        <v>-24.5</v>
      </c>
      <c r="M78">
        <v>0</v>
      </c>
      <c r="N78">
        <v>1</v>
      </c>
    </row>
    <row r="79" spans="4:14" x14ac:dyDescent="0.3">
      <c r="D79" t="s">
        <v>94</v>
      </c>
      <c r="E79" t="s">
        <v>58</v>
      </c>
      <c r="F79" t="s">
        <v>89</v>
      </c>
      <c r="G79">
        <v>2017</v>
      </c>
      <c r="H79" t="s">
        <v>95</v>
      </c>
      <c r="I79" t="s">
        <v>91</v>
      </c>
      <c r="J79" t="s">
        <v>73</v>
      </c>
      <c r="K79">
        <v>1</v>
      </c>
      <c r="L79">
        <v>-24.5</v>
      </c>
      <c r="M79">
        <v>0</v>
      </c>
      <c r="N79">
        <v>1</v>
      </c>
    </row>
    <row r="80" spans="4:14" x14ac:dyDescent="0.3">
      <c r="D80" t="s">
        <v>94</v>
      </c>
      <c r="E80" t="s">
        <v>58</v>
      </c>
      <c r="F80" t="s">
        <v>89</v>
      </c>
      <c r="G80">
        <v>2018</v>
      </c>
      <c r="H80" t="s">
        <v>95</v>
      </c>
      <c r="I80" t="s">
        <v>91</v>
      </c>
      <c r="J80" t="s">
        <v>73</v>
      </c>
      <c r="K80">
        <v>1</v>
      </c>
      <c r="L80">
        <v>-24.5</v>
      </c>
      <c r="M80">
        <v>0</v>
      </c>
      <c r="N80">
        <v>1</v>
      </c>
    </row>
    <row r="81" spans="4:14" x14ac:dyDescent="0.3">
      <c r="D81" t="s">
        <v>94</v>
      </c>
      <c r="E81" t="s">
        <v>59</v>
      </c>
      <c r="F81" t="s">
        <v>89</v>
      </c>
      <c r="G81">
        <v>2017</v>
      </c>
      <c r="H81" t="s">
        <v>95</v>
      </c>
      <c r="I81" t="s">
        <v>91</v>
      </c>
      <c r="J81" t="s">
        <v>73</v>
      </c>
      <c r="K81">
        <v>1</v>
      </c>
      <c r="L81">
        <v>-24.5</v>
      </c>
      <c r="M81">
        <v>0</v>
      </c>
      <c r="N81">
        <v>1</v>
      </c>
    </row>
    <row r="82" spans="4:14" x14ac:dyDescent="0.3">
      <c r="D82" t="s">
        <v>94</v>
      </c>
      <c r="E82" t="s">
        <v>59</v>
      </c>
      <c r="F82" t="s">
        <v>89</v>
      </c>
      <c r="G82">
        <v>2018</v>
      </c>
      <c r="H82" t="s">
        <v>95</v>
      </c>
      <c r="I82" t="s">
        <v>91</v>
      </c>
      <c r="J82" t="s">
        <v>73</v>
      </c>
      <c r="K82">
        <v>1</v>
      </c>
      <c r="L82">
        <v>-24.5</v>
      </c>
      <c r="M82">
        <v>0</v>
      </c>
      <c r="N82">
        <v>1</v>
      </c>
    </row>
    <row r="83" spans="4:14" x14ac:dyDescent="0.3">
      <c r="D83" t="s">
        <v>94</v>
      </c>
      <c r="E83" t="s">
        <v>60</v>
      </c>
      <c r="F83" t="s">
        <v>89</v>
      </c>
      <c r="G83">
        <v>2017</v>
      </c>
      <c r="H83" t="s">
        <v>95</v>
      </c>
      <c r="I83" t="s">
        <v>91</v>
      </c>
      <c r="J83" t="s">
        <v>73</v>
      </c>
      <c r="K83">
        <v>1</v>
      </c>
      <c r="L83">
        <v>-16.523902544988513</v>
      </c>
      <c r="M83">
        <v>0</v>
      </c>
      <c r="N83">
        <v>1</v>
      </c>
    </row>
    <row r="84" spans="4:14" x14ac:dyDescent="0.3">
      <c r="D84" t="s">
        <v>94</v>
      </c>
      <c r="E84" t="s">
        <v>60</v>
      </c>
      <c r="F84" t="s">
        <v>89</v>
      </c>
      <c r="G84">
        <v>2018</v>
      </c>
      <c r="H84" t="s">
        <v>95</v>
      </c>
      <c r="I84" t="s">
        <v>91</v>
      </c>
      <c r="J84" t="s">
        <v>73</v>
      </c>
      <c r="K84">
        <v>1</v>
      </c>
      <c r="L84">
        <v>-16.527607725618285</v>
      </c>
      <c r="M84">
        <v>0</v>
      </c>
      <c r="N84">
        <v>1</v>
      </c>
    </row>
    <row r="85" spans="4:14" x14ac:dyDescent="0.3">
      <c r="D85" t="s">
        <v>96</v>
      </c>
      <c r="E85" t="s">
        <v>33</v>
      </c>
      <c r="F85" t="s">
        <v>89</v>
      </c>
      <c r="G85">
        <v>2017</v>
      </c>
      <c r="H85" t="s">
        <v>95</v>
      </c>
      <c r="I85" t="s">
        <v>91</v>
      </c>
      <c r="J85" t="s">
        <v>93</v>
      </c>
      <c r="K85">
        <v>1</v>
      </c>
      <c r="L85">
        <v>-10.125492555118662</v>
      </c>
      <c r="M85">
        <v>0</v>
      </c>
      <c r="N85">
        <v>1</v>
      </c>
    </row>
    <row r="86" spans="4:14" x14ac:dyDescent="0.3">
      <c r="D86" t="s">
        <v>96</v>
      </c>
      <c r="E86" t="s">
        <v>33</v>
      </c>
      <c r="F86" t="s">
        <v>89</v>
      </c>
      <c r="G86">
        <v>2018</v>
      </c>
      <c r="H86" t="s">
        <v>95</v>
      </c>
      <c r="I86" t="s">
        <v>91</v>
      </c>
      <c r="J86" t="s">
        <v>93</v>
      </c>
      <c r="K86">
        <v>1</v>
      </c>
      <c r="L86">
        <v>-9.5090208140120502</v>
      </c>
      <c r="M86">
        <v>0</v>
      </c>
      <c r="N86">
        <v>1</v>
      </c>
    </row>
    <row r="87" spans="4:14" x14ac:dyDescent="0.3">
      <c r="D87" t="s">
        <v>96</v>
      </c>
      <c r="E87" t="s">
        <v>41</v>
      </c>
      <c r="F87" t="s">
        <v>89</v>
      </c>
      <c r="G87">
        <v>2017</v>
      </c>
      <c r="H87" t="s">
        <v>95</v>
      </c>
      <c r="I87" t="s">
        <v>91</v>
      </c>
      <c r="J87" t="s">
        <v>93</v>
      </c>
      <c r="K87">
        <v>1</v>
      </c>
      <c r="L87">
        <v>-10.125492555118669</v>
      </c>
      <c r="M87">
        <v>0</v>
      </c>
      <c r="N87">
        <v>1</v>
      </c>
    </row>
    <row r="88" spans="4:14" x14ac:dyDescent="0.3">
      <c r="D88" t="s">
        <v>96</v>
      </c>
      <c r="E88" t="s">
        <v>41</v>
      </c>
      <c r="F88" t="s">
        <v>89</v>
      </c>
      <c r="G88">
        <v>2018</v>
      </c>
      <c r="H88" t="s">
        <v>95</v>
      </c>
      <c r="I88" t="s">
        <v>91</v>
      </c>
      <c r="J88" t="s">
        <v>93</v>
      </c>
      <c r="K88">
        <v>1</v>
      </c>
      <c r="L88">
        <v>-9.5090208140120449</v>
      </c>
      <c r="M88">
        <v>0</v>
      </c>
      <c r="N88">
        <v>1</v>
      </c>
    </row>
    <row r="89" spans="4:14" x14ac:dyDescent="0.3">
      <c r="D89" t="s">
        <v>96</v>
      </c>
      <c r="E89" t="s">
        <v>42</v>
      </c>
      <c r="F89" t="s">
        <v>89</v>
      </c>
      <c r="G89">
        <v>2017</v>
      </c>
      <c r="H89" t="s">
        <v>95</v>
      </c>
      <c r="I89" t="s">
        <v>91</v>
      </c>
      <c r="J89" t="s">
        <v>93</v>
      </c>
      <c r="K89">
        <v>1</v>
      </c>
      <c r="L89">
        <v>-15.356595819021457</v>
      </c>
      <c r="M89">
        <v>0</v>
      </c>
      <c r="N89">
        <v>1</v>
      </c>
    </row>
    <row r="90" spans="4:14" x14ac:dyDescent="0.3">
      <c r="D90" t="s">
        <v>96</v>
      </c>
      <c r="E90" t="s">
        <v>42</v>
      </c>
      <c r="F90" t="s">
        <v>89</v>
      </c>
      <c r="G90">
        <v>2018</v>
      </c>
      <c r="H90" t="s">
        <v>95</v>
      </c>
      <c r="I90" t="s">
        <v>91</v>
      </c>
      <c r="J90" t="s">
        <v>93</v>
      </c>
      <c r="K90">
        <v>1</v>
      </c>
      <c r="L90">
        <v>-14.856806429902379</v>
      </c>
      <c r="M90">
        <v>0</v>
      </c>
      <c r="N90">
        <v>1</v>
      </c>
    </row>
    <row r="91" spans="4:14" x14ac:dyDescent="0.3">
      <c r="D91" t="s">
        <v>96</v>
      </c>
      <c r="E91" t="s">
        <v>44</v>
      </c>
      <c r="F91" t="s">
        <v>89</v>
      </c>
      <c r="G91">
        <v>2017</v>
      </c>
      <c r="H91" t="s">
        <v>95</v>
      </c>
      <c r="I91" t="s">
        <v>91</v>
      </c>
      <c r="J91" t="s">
        <v>93</v>
      </c>
      <c r="K91">
        <v>1</v>
      </c>
      <c r="L91">
        <v>-14.444696982363272</v>
      </c>
      <c r="M91">
        <v>0</v>
      </c>
      <c r="N91">
        <v>1</v>
      </c>
    </row>
    <row r="92" spans="4:14" x14ac:dyDescent="0.3">
      <c r="D92" t="s">
        <v>96</v>
      </c>
      <c r="E92" t="s">
        <v>44</v>
      </c>
      <c r="F92" t="s">
        <v>89</v>
      </c>
      <c r="G92">
        <v>2018</v>
      </c>
      <c r="H92" t="s">
        <v>95</v>
      </c>
      <c r="I92" t="s">
        <v>91</v>
      </c>
      <c r="J92" t="s">
        <v>93</v>
      </c>
      <c r="K92">
        <v>1</v>
      </c>
      <c r="L92">
        <v>-14.621001309999667</v>
      </c>
      <c r="M92">
        <v>0</v>
      </c>
      <c r="N92">
        <v>1</v>
      </c>
    </row>
    <row r="93" spans="4:14" x14ac:dyDescent="0.3">
      <c r="D93" t="s">
        <v>96</v>
      </c>
      <c r="E93" t="s">
        <v>45</v>
      </c>
      <c r="F93" t="s">
        <v>89</v>
      </c>
      <c r="G93">
        <v>2017</v>
      </c>
      <c r="H93" t="s">
        <v>95</v>
      </c>
      <c r="I93" t="s">
        <v>91</v>
      </c>
      <c r="J93" t="s">
        <v>93</v>
      </c>
      <c r="K93">
        <v>1</v>
      </c>
      <c r="L93">
        <v>-24.5</v>
      </c>
      <c r="M93">
        <v>0</v>
      </c>
      <c r="N93">
        <v>1</v>
      </c>
    </row>
    <row r="94" spans="4:14" x14ac:dyDescent="0.3">
      <c r="D94" t="s">
        <v>96</v>
      </c>
      <c r="E94" t="s">
        <v>45</v>
      </c>
      <c r="F94" t="s">
        <v>89</v>
      </c>
      <c r="G94">
        <v>2018</v>
      </c>
      <c r="H94" t="s">
        <v>95</v>
      </c>
      <c r="I94" t="s">
        <v>91</v>
      </c>
      <c r="J94" t="s">
        <v>93</v>
      </c>
      <c r="K94">
        <v>1</v>
      </c>
      <c r="L94">
        <v>-22.389664582453484</v>
      </c>
      <c r="M94">
        <v>0</v>
      </c>
      <c r="N94">
        <v>1</v>
      </c>
    </row>
    <row r="95" spans="4:14" x14ac:dyDescent="0.3">
      <c r="D95" t="s">
        <v>96</v>
      </c>
      <c r="E95" t="s">
        <v>46</v>
      </c>
      <c r="F95" t="s">
        <v>89</v>
      </c>
      <c r="G95">
        <v>2017</v>
      </c>
      <c r="H95" t="s">
        <v>95</v>
      </c>
      <c r="I95" t="s">
        <v>91</v>
      </c>
      <c r="J95" t="s">
        <v>93</v>
      </c>
      <c r="K95">
        <v>1</v>
      </c>
      <c r="L95">
        <v>-24.5</v>
      </c>
      <c r="M95">
        <v>0</v>
      </c>
      <c r="N95">
        <v>1</v>
      </c>
    </row>
    <row r="96" spans="4:14" x14ac:dyDescent="0.3">
      <c r="D96" t="s">
        <v>96</v>
      </c>
      <c r="E96" t="s">
        <v>46</v>
      </c>
      <c r="F96" t="s">
        <v>89</v>
      </c>
      <c r="G96">
        <v>2018</v>
      </c>
      <c r="H96" t="s">
        <v>95</v>
      </c>
      <c r="I96" t="s">
        <v>91</v>
      </c>
      <c r="J96" t="s">
        <v>93</v>
      </c>
      <c r="K96">
        <v>1</v>
      </c>
      <c r="L96">
        <v>-24.5</v>
      </c>
      <c r="M96">
        <v>0</v>
      </c>
      <c r="N96">
        <v>1</v>
      </c>
    </row>
    <row r="97" spans="4:14" x14ac:dyDescent="0.3">
      <c r="D97" t="s">
        <v>96</v>
      </c>
      <c r="E97" t="s">
        <v>49</v>
      </c>
      <c r="F97" t="s">
        <v>89</v>
      </c>
      <c r="G97">
        <v>2017</v>
      </c>
      <c r="H97" t="s">
        <v>95</v>
      </c>
      <c r="I97" t="s">
        <v>91</v>
      </c>
      <c r="J97" t="s">
        <v>93</v>
      </c>
      <c r="K97">
        <v>1</v>
      </c>
      <c r="L97">
        <v>-12.273493470518284</v>
      </c>
      <c r="M97">
        <v>0</v>
      </c>
      <c r="N97">
        <v>1</v>
      </c>
    </row>
    <row r="98" spans="4:14" x14ac:dyDescent="0.3">
      <c r="D98" t="s">
        <v>96</v>
      </c>
      <c r="E98" t="s">
        <v>49</v>
      </c>
      <c r="F98" t="s">
        <v>89</v>
      </c>
      <c r="G98">
        <v>2018</v>
      </c>
      <c r="H98" t="s">
        <v>95</v>
      </c>
      <c r="I98" t="s">
        <v>91</v>
      </c>
      <c r="J98" t="s">
        <v>93</v>
      </c>
      <c r="K98">
        <v>1</v>
      </c>
      <c r="L98">
        <v>-11.774401795101943</v>
      </c>
      <c r="M98">
        <v>0</v>
      </c>
      <c r="N98">
        <v>1</v>
      </c>
    </row>
    <row r="99" spans="4:14" x14ac:dyDescent="0.3">
      <c r="D99" t="s">
        <v>96</v>
      </c>
      <c r="E99" t="s">
        <v>50</v>
      </c>
      <c r="F99" t="s">
        <v>89</v>
      </c>
      <c r="G99">
        <v>2017</v>
      </c>
      <c r="H99" t="s">
        <v>95</v>
      </c>
      <c r="I99" t="s">
        <v>91</v>
      </c>
      <c r="J99" t="s">
        <v>93</v>
      </c>
      <c r="K99">
        <v>1</v>
      </c>
      <c r="L99">
        <v>-18.287166708477194</v>
      </c>
      <c r="M99">
        <v>0</v>
      </c>
      <c r="N99">
        <v>1</v>
      </c>
    </row>
    <row r="100" spans="4:14" x14ac:dyDescent="0.3">
      <c r="D100" t="s">
        <v>96</v>
      </c>
      <c r="E100" t="s">
        <v>50</v>
      </c>
      <c r="F100" t="s">
        <v>89</v>
      </c>
      <c r="G100">
        <v>2018</v>
      </c>
      <c r="H100" t="s">
        <v>95</v>
      </c>
      <c r="I100" t="s">
        <v>91</v>
      </c>
      <c r="J100" t="s">
        <v>93</v>
      </c>
      <c r="K100">
        <v>1</v>
      </c>
      <c r="L100">
        <v>-17.341260967779149</v>
      </c>
      <c r="M100">
        <v>0</v>
      </c>
      <c r="N100">
        <v>1</v>
      </c>
    </row>
    <row r="101" spans="4:14" x14ac:dyDescent="0.3">
      <c r="D101" t="s">
        <v>96</v>
      </c>
      <c r="E101" t="s">
        <v>51</v>
      </c>
      <c r="F101" t="s">
        <v>89</v>
      </c>
      <c r="G101">
        <v>2017</v>
      </c>
      <c r="H101" t="s">
        <v>95</v>
      </c>
      <c r="I101" t="s">
        <v>91</v>
      </c>
      <c r="J101" t="s">
        <v>93</v>
      </c>
      <c r="K101">
        <v>1</v>
      </c>
      <c r="L101">
        <v>-22.659637088438469</v>
      </c>
      <c r="M101">
        <v>0</v>
      </c>
      <c r="N101">
        <v>1</v>
      </c>
    </row>
    <row r="102" spans="4:14" x14ac:dyDescent="0.3">
      <c r="D102" t="s">
        <v>96</v>
      </c>
      <c r="E102" t="s">
        <v>51</v>
      </c>
      <c r="F102" t="s">
        <v>89</v>
      </c>
      <c r="G102">
        <v>2018</v>
      </c>
      <c r="H102" t="s">
        <v>95</v>
      </c>
      <c r="I102" t="s">
        <v>91</v>
      </c>
      <c r="J102" t="s">
        <v>93</v>
      </c>
      <c r="K102">
        <v>1</v>
      </c>
      <c r="L102">
        <v>-22.146166572371261</v>
      </c>
      <c r="M102">
        <v>0</v>
      </c>
      <c r="N102">
        <v>1</v>
      </c>
    </row>
    <row r="103" spans="4:14" x14ac:dyDescent="0.3">
      <c r="D103" t="s">
        <v>96</v>
      </c>
      <c r="E103" t="s">
        <v>53</v>
      </c>
      <c r="F103" t="s">
        <v>89</v>
      </c>
      <c r="G103">
        <v>2017</v>
      </c>
      <c r="H103" t="s">
        <v>95</v>
      </c>
      <c r="I103" t="s">
        <v>91</v>
      </c>
      <c r="J103" t="s">
        <v>93</v>
      </c>
      <c r="K103">
        <v>1</v>
      </c>
      <c r="L103">
        <v>-24.5</v>
      </c>
      <c r="M103">
        <v>0</v>
      </c>
      <c r="N103">
        <v>1</v>
      </c>
    </row>
    <row r="104" spans="4:14" x14ac:dyDescent="0.3">
      <c r="D104" t="s">
        <v>96</v>
      </c>
      <c r="E104" t="s">
        <v>53</v>
      </c>
      <c r="F104" t="s">
        <v>89</v>
      </c>
      <c r="G104">
        <v>2018</v>
      </c>
      <c r="H104" t="s">
        <v>95</v>
      </c>
      <c r="I104" t="s">
        <v>91</v>
      </c>
      <c r="J104" t="s">
        <v>93</v>
      </c>
      <c r="K104">
        <v>1</v>
      </c>
      <c r="L104">
        <v>-24.5</v>
      </c>
      <c r="M104">
        <v>0</v>
      </c>
      <c r="N104">
        <v>1</v>
      </c>
    </row>
    <row r="105" spans="4:14" x14ac:dyDescent="0.3">
      <c r="D105" t="s">
        <v>96</v>
      </c>
      <c r="E105" t="s">
        <v>54</v>
      </c>
      <c r="F105" t="s">
        <v>89</v>
      </c>
      <c r="G105">
        <v>2017</v>
      </c>
      <c r="H105" t="s">
        <v>95</v>
      </c>
      <c r="I105" t="s">
        <v>91</v>
      </c>
      <c r="J105" t="s">
        <v>93</v>
      </c>
      <c r="K105">
        <v>1</v>
      </c>
      <c r="L105">
        <v>0</v>
      </c>
      <c r="M105">
        <v>0</v>
      </c>
      <c r="N105">
        <v>1</v>
      </c>
    </row>
    <row r="106" spans="4:14" x14ac:dyDescent="0.3">
      <c r="D106" t="s">
        <v>96</v>
      </c>
      <c r="E106" t="s">
        <v>54</v>
      </c>
      <c r="F106" t="s">
        <v>89</v>
      </c>
      <c r="G106">
        <v>2018</v>
      </c>
      <c r="H106" t="s">
        <v>95</v>
      </c>
      <c r="I106" t="s">
        <v>91</v>
      </c>
      <c r="J106" t="s">
        <v>93</v>
      </c>
      <c r="K106">
        <v>1</v>
      </c>
      <c r="L106">
        <v>0</v>
      </c>
      <c r="M106">
        <v>0</v>
      </c>
      <c r="N106">
        <v>1</v>
      </c>
    </row>
    <row r="107" spans="4:14" x14ac:dyDescent="0.3">
      <c r="D107" t="s">
        <v>96</v>
      </c>
      <c r="E107" t="s">
        <v>55</v>
      </c>
      <c r="F107" t="s">
        <v>89</v>
      </c>
      <c r="G107">
        <v>2017</v>
      </c>
      <c r="H107" t="s">
        <v>95</v>
      </c>
      <c r="I107" t="s">
        <v>91</v>
      </c>
      <c r="J107" t="s">
        <v>93</v>
      </c>
      <c r="K107">
        <v>1</v>
      </c>
      <c r="L107">
        <v>-24.5</v>
      </c>
      <c r="M107">
        <v>0</v>
      </c>
      <c r="N107">
        <v>1</v>
      </c>
    </row>
    <row r="108" spans="4:14" x14ac:dyDescent="0.3">
      <c r="D108" t="s">
        <v>96</v>
      </c>
      <c r="E108" t="s">
        <v>55</v>
      </c>
      <c r="F108" t="s">
        <v>89</v>
      </c>
      <c r="G108">
        <v>2018</v>
      </c>
      <c r="H108" t="s">
        <v>95</v>
      </c>
      <c r="I108" t="s">
        <v>91</v>
      </c>
      <c r="J108" t="s">
        <v>93</v>
      </c>
      <c r="K108">
        <v>1</v>
      </c>
      <c r="L108">
        <v>-23.549746409237585</v>
      </c>
      <c r="M108">
        <v>0</v>
      </c>
      <c r="N108">
        <v>1</v>
      </c>
    </row>
    <row r="109" spans="4:14" x14ac:dyDescent="0.3">
      <c r="D109" t="s">
        <v>96</v>
      </c>
      <c r="E109" t="s">
        <v>56</v>
      </c>
      <c r="F109" t="s">
        <v>89</v>
      </c>
      <c r="G109">
        <v>2017</v>
      </c>
      <c r="H109" t="s">
        <v>95</v>
      </c>
      <c r="I109" t="s">
        <v>91</v>
      </c>
      <c r="J109" t="s">
        <v>93</v>
      </c>
      <c r="K109">
        <v>1</v>
      </c>
      <c r="L109">
        <v>-17.740793173948724</v>
      </c>
      <c r="M109">
        <v>0</v>
      </c>
      <c r="N109">
        <v>1</v>
      </c>
    </row>
    <row r="110" spans="4:14" x14ac:dyDescent="0.3">
      <c r="D110" t="s">
        <v>96</v>
      </c>
      <c r="E110" t="s">
        <v>56</v>
      </c>
      <c r="F110" t="s">
        <v>89</v>
      </c>
      <c r="G110">
        <v>2018</v>
      </c>
      <c r="H110" t="s">
        <v>95</v>
      </c>
      <c r="I110" t="s">
        <v>91</v>
      </c>
      <c r="J110" t="s">
        <v>93</v>
      </c>
      <c r="K110">
        <v>1</v>
      </c>
      <c r="L110">
        <v>-24.5</v>
      </c>
      <c r="M110">
        <v>0</v>
      </c>
      <c r="N110">
        <v>1</v>
      </c>
    </row>
    <row r="111" spans="4:14" x14ac:dyDescent="0.3">
      <c r="D111" t="s">
        <v>96</v>
      </c>
      <c r="E111" t="s">
        <v>58</v>
      </c>
      <c r="F111" t="s">
        <v>89</v>
      </c>
      <c r="G111">
        <v>2017</v>
      </c>
      <c r="H111" t="s">
        <v>95</v>
      </c>
      <c r="I111" t="s">
        <v>91</v>
      </c>
      <c r="J111" t="s">
        <v>93</v>
      </c>
      <c r="K111">
        <v>1</v>
      </c>
      <c r="L111">
        <v>-24.5</v>
      </c>
      <c r="M111">
        <v>0</v>
      </c>
      <c r="N111">
        <v>1</v>
      </c>
    </row>
    <row r="112" spans="4:14" x14ac:dyDescent="0.3">
      <c r="D112" t="s">
        <v>96</v>
      </c>
      <c r="E112" t="s">
        <v>58</v>
      </c>
      <c r="F112" t="s">
        <v>89</v>
      </c>
      <c r="G112">
        <v>2018</v>
      </c>
      <c r="H112" t="s">
        <v>95</v>
      </c>
      <c r="I112" t="s">
        <v>91</v>
      </c>
      <c r="J112" t="s">
        <v>93</v>
      </c>
      <c r="K112">
        <v>1</v>
      </c>
      <c r="L112">
        <v>-24.5</v>
      </c>
      <c r="M112">
        <v>0</v>
      </c>
      <c r="N112">
        <v>1</v>
      </c>
    </row>
    <row r="113" spans="4:14" x14ac:dyDescent="0.3">
      <c r="D113" t="s">
        <v>96</v>
      </c>
      <c r="E113" t="s">
        <v>59</v>
      </c>
      <c r="F113" t="s">
        <v>89</v>
      </c>
      <c r="G113">
        <v>2017</v>
      </c>
      <c r="H113" t="s">
        <v>95</v>
      </c>
      <c r="I113" t="s">
        <v>91</v>
      </c>
      <c r="J113" t="s">
        <v>93</v>
      </c>
      <c r="K113">
        <v>1</v>
      </c>
      <c r="L113">
        <v>-24.5</v>
      </c>
      <c r="M113">
        <v>0</v>
      </c>
      <c r="N113">
        <v>1</v>
      </c>
    </row>
    <row r="114" spans="4:14" x14ac:dyDescent="0.3">
      <c r="D114" t="s">
        <v>96</v>
      </c>
      <c r="E114" t="s">
        <v>59</v>
      </c>
      <c r="F114" t="s">
        <v>89</v>
      </c>
      <c r="G114">
        <v>2018</v>
      </c>
      <c r="H114" t="s">
        <v>95</v>
      </c>
      <c r="I114" t="s">
        <v>91</v>
      </c>
      <c r="J114" t="s">
        <v>93</v>
      </c>
      <c r="K114">
        <v>1</v>
      </c>
      <c r="L114">
        <v>-24.5</v>
      </c>
      <c r="M114">
        <v>0</v>
      </c>
      <c r="N114">
        <v>1</v>
      </c>
    </row>
    <row r="115" spans="4:14" x14ac:dyDescent="0.3">
      <c r="D115" t="s">
        <v>96</v>
      </c>
      <c r="E115" t="s">
        <v>60</v>
      </c>
      <c r="F115" t="s">
        <v>89</v>
      </c>
      <c r="G115">
        <v>2017</v>
      </c>
      <c r="H115" t="s">
        <v>95</v>
      </c>
      <c r="I115" t="s">
        <v>91</v>
      </c>
      <c r="J115" t="s">
        <v>93</v>
      </c>
      <c r="K115">
        <v>1</v>
      </c>
      <c r="L115">
        <v>-17.704181298201981</v>
      </c>
      <c r="M115">
        <v>0</v>
      </c>
      <c r="N115">
        <v>1</v>
      </c>
    </row>
    <row r="116" spans="4:14" x14ac:dyDescent="0.3">
      <c r="D116" t="s">
        <v>96</v>
      </c>
      <c r="E116" t="s">
        <v>60</v>
      </c>
      <c r="F116" t="s">
        <v>89</v>
      </c>
      <c r="G116">
        <v>2018</v>
      </c>
      <c r="H116" t="s">
        <v>95</v>
      </c>
      <c r="I116" t="s">
        <v>91</v>
      </c>
      <c r="J116" t="s">
        <v>93</v>
      </c>
      <c r="K116">
        <v>1</v>
      </c>
      <c r="L116">
        <v>-17.70815113459102</v>
      </c>
      <c r="M116">
        <v>0</v>
      </c>
      <c r="N116">
        <v>1</v>
      </c>
    </row>
    <row r="117" spans="4:14" x14ac:dyDescent="0.3">
      <c r="D117" t="s">
        <v>97</v>
      </c>
      <c r="E117" t="s">
        <v>50</v>
      </c>
      <c r="F117" t="s">
        <v>89</v>
      </c>
      <c r="G117">
        <v>2017</v>
      </c>
      <c r="H117" t="s">
        <v>90</v>
      </c>
      <c r="I117" t="s">
        <v>98</v>
      </c>
      <c r="J117" t="s">
        <v>73</v>
      </c>
      <c r="K117">
        <v>1</v>
      </c>
      <c r="L117">
        <v>-5.9696755219359385</v>
      </c>
      <c r="M117">
        <v>0</v>
      </c>
      <c r="N117">
        <v>1</v>
      </c>
    </row>
    <row r="118" spans="4:14" x14ac:dyDescent="0.3">
      <c r="D118" t="s">
        <v>97</v>
      </c>
      <c r="E118" t="s">
        <v>50</v>
      </c>
      <c r="F118" t="s">
        <v>89</v>
      </c>
      <c r="G118">
        <v>2018</v>
      </c>
      <c r="H118" t="s">
        <v>90</v>
      </c>
      <c r="I118" t="s">
        <v>98</v>
      </c>
      <c r="J118" t="s">
        <v>73</v>
      </c>
      <c r="K118">
        <v>1</v>
      </c>
      <c r="L118">
        <v>-5.4330585187202187</v>
      </c>
      <c r="M118">
        <v>0</v>
      </c>
      <c r="N118">
        <v>1</v>
      </c>
    </row>
    <row r="119" spans="4:14" x14ac:dyDescent="0.3">
      <c r="D119" t="s">
        <v>97</v>
      </c>
      <c r="E119" t="s">
        <v>57</v>
      </c>
      <c r="F119" t="s">
        <v>89</v>
      </c>
      <c r="G119">
        <v>2017</v>
      </c>
      <c r="H119" t="s">
        <v>90</v>
      </c>
      <c r="I119" t="s">
        <v>98</v>
      </c>
      <c r="J119" t="s">
        <v>73</v>
      </c>
      <c r="K119">
        <v>1</v>
      </c>
      <c r="L119">
        <v>-7.0326348156696277</v>
      </c>
      <c r="M119">
        <v>0</v>
      </c>
      <c r="N119">
        <v>1</v>
      </c>
    </row>
    <row r="120" spans="4:14" x14ac:dyDescent="0.3">
      <c r="D120" t="s">
        <v>97</v>
      </c>
      <c r="E120" t="s">
        <v>57</v>
      </c>
      <c r="F120" t="s">
        <v>89</v>
      </c>
      <c r="G120">
        <v>2018</v>
      </c>
      <c r="H120" t="s">
        <v>90</v>
      </c>
      <c r="I120" t="s">
        <v>98</v>
      </c>
      <c r="J120" t="s">
        <v>73</v>
      </c>
      <c r="K120">
        <v>1</v>
      </c>
      <c r="L120">
        <v>-8.0625432645377142</v>
      </c>
      <c r="M120">
        <v>0</v>
      </c>
      <c r="N120">
        <v>1</v>
      </c>
    </row>
    <row r="121" spans="4:14" x14ac:dyDescent="0.3">
      <c r="D121" t="s">
        <v>99</v>
      </c>
      <c r="E121" t="s">
        <v>50</v>
      </c>
      <c r="F121" t="s">
        <v>89</v>
      </c>
      <c r="G121">
        <v>2017</v>
      </c>
      <c r="H121" t="s">
        <v>90</v>
      </c>
      <c r="I121" t="s">
        <v>98</v>
      </c>
      <c r="J121" t="s">
        <v>93</v>
      </c>
      <c r="K121">
        <v>1</v>
      </c>
      <c r="L121">
        <v>-6.3960809163599341</v>
      </c>
      <c r="M121">
        <v>0</v>
      </c>
      <c r="N121">
        <v>1</v>
      </c>
    </row>
    <row r="122" spans="4:14" x14ac:dyDescent="0.3">
      <c r="D122" t="s">
        <v>99</v>
      </c>
      <c r="E122" t="s">
        <v>50</v>
      </c>
      <c r="F122" t="s">
        <v>89</v>
      </c>
      <c r="G122">
        <v>2018</v>
      </c>
      <c r="H122" t="s">
        <v>90</v>
      </c>
      <c r="I122" t="s">
        <v>98</v>
      </c>
      <c r="J122" t="s">
        <v>93</v>
      </c>
      <c r="K122">
        <v>1</v>
      </c>
      <c r="L122">
        <v>-5.8211341272002342</v>
      </c>
      <c r="M122">
        <v>0</v>
      </c>
      <c r="N122">
        <v>1</v>
      </c>
    </row>
    <row r="123" spans="4:14" x14ac:dyDescent="0.3">
      <c r="D123" t="s">
        <v>99</v>
      </c>
      <c r="E123" t="s">
        <v>50</v>
      </c>
      <c r="F123" t="s">
        <v>89</v>
      </c>
      <c r="G123">
        <v>2030</v>
      </c>
      <c r="H123" t="s">
        <v>90</v>
      </c>
      <c r="I123" t="s">
        <v>98</v>
      </c>
      <c r="J123" t="s">
        <v>93</v>
      </c>
      <c r="K123">
        <v>1</v>
      </c>
      <c r="L123">
        <v>-6.3960809163599341</v>
      </c>
      <c r="M123">
        <v>0</v>
      </c>
      <c r="N123">
        <v>1</v>
      </c>
    </row>
    <row r="124" spans="4:14" x14ac:dyDescent="0.3">
      <c r="D124" t="s">
        <v>99</v>
      </c>
      <c r="E124" t="s">
        <v>57</v>
      </c>
      <c r="F124" t="s">
        <v>89</v>
      </c>
      <c r="G124">
        <v>2017</v>
      </c>
      <c r="H124" t="s">
        <v>90</v>
      </c>
      <c r="I124" t="s">
        <v>98</v>
      </c>
      <c r="J124" t="s">
        <v>93</v>
      </c>
      <c r="K124">
        <v>1</v>
      </c>
      <c r="L124">
        <v>-7.5349658739317444</v>
      </c>
      <c r="M124">
        <v>0</v>
      </c>
      <c r="N124">
        <v>1</v>
      </c>
    </row>
    <row r="125" spans="4:14" x14ac:dyDescent="0.3">
      <c r="D125" t="s">
        <v>99</v>
      </c>
      <c r="E125" t="s">
        <v>57</v>
      </c>
      <c r="F125" t="s">
        <v>89</v>
      </c>
      <c r="G125">
        <v>2018</v>
      </c>
      <c r="H125" t="s">
        <v>90</v>
      </c>
      <c r="I125" t="s">
        <v>98</v>
      </c>
      <c r="J125" t="s">
        <v>93</v>
      </c>
      <c r="K125">
        <v>1</v>
      </c>
      <c r="L125">
        <v>-8.6384392120046929</v>
      </c>
      <c r="M125">
        <v>0</v>
      </c>
      <c r="N125">
        <v>1</v>
      </c>
    </row>
    <row r="126" spans="4:14" x14ac:dyDescent="0.3">
      <c r="D126" t="s">
        <v>99</v>
      </c>
      <c r="E126" t="s">
        <v>57</v>
      </c>
      <c r="F126" t="s">
        <v>89</v>
      </c>
      <c r="G126">
        <v>2030</v>
      </c>
      <c r="H126" t="s">
        <v>90</v>
      </c>
      <c r="I126" t="s">
        <v>98</v>
      </c>
      <c r="J126" t="s">
        <v>93</v>
      </c>
      <c r="K126">
        <v>1</v>
      </c>
      <c r="L126">
        <v>-8.6384392120046929</v>
      </c>
      <c r="M126">
        <v>0</v>
      </c>
      <c r="N126">
        <v>1</v>
      </c>
    </row>
    <row r="127" spans="4:14" x14ac:dyDescent="0.3">
      <c r="D127" t="s">
        <v>100</v>
      </c>
      <c r="E127" t="s">
        <v>33</v>
      </c>
      <c r="F127" t="s">
        <v>89</v>
      </c>
      <c r="G127">
        <v>2017</v>
      </c>
      <c r="H127" t="s">
        <v>95</v>
      </c>
      <c r="I127" t="s">
        <v>98</v>
      </c>
      <c r="J127" t="s">
        <v>73</v>
      </c>
      <c r="K127">
        <v>1</v>
      </c>
      <c r="L127">
        <v>-10.869164803410902</v>
      </c>
      <c r="M127">
        <v>0</v>
      </c>
      <c r="N127">
        <v>1</v>
      </c>
    </row>
    <row r="128" spans="4:14" x14ac:dyDescent="0.3">
      <c r="D128" t="s">
        <v>100</v>
      </c>
      <c r="E128" t="s">
        <v>33</v>
      </c>
      <c r="F128" t="s">
        <v>89</v>
      </c>
      <c r="G128">
        <v>2018</v>
      </c>
      <c r="H128" t="s">
        <v>95</v>
      </c>
      <c r="I128" t="s">
        <v>98</v>
      </c>
      <c r="J128" t="s">
        <v>73</v>
      </c>
      <c r="K128">
        <v>1</v>
      </c>
      <c r="L128">
        <v>-10.539200629752328</v>
      </c>
      <c r="M128">
        <v>0</v>
      </c>
      <c r="N128">
        <v>1</v>
      </c>
    </row>
    <row r="129" spans="4:14" x14ac:dyDescent="0.3">
      <c r="D129" t="s">
        <v>100</v>
      </c>
      <c r="E129" t="s">
        <v>41</v>
      </c>
      <c r="F129" t="s">
        <v>89</v>
      </c>
      <c r="G129">
        <v>2017</v>
      </c>
      <c r="H129" t="s">
        <v>95</v>
      </c>
      <c r="I129" t="s">
        <v>98</v>
      </c>
      <c r="J129" t="s">
        <v>73</v>
      </c>
      <c r="K129">
        <v>1</v>
      </c>
      <c r="L129">
        <v>-10.869164803410934</v>
      </c>
      <c r="M129">
        <v>0</v>
      </c>
      <c r="N129">
        <v>1</v>
      </c>
    </row>
    <row r="130" spans="4:14" x14ac:dyDescent="0.3">
      <c r="D130" t="s">
        <v>100</v>
      </c>
      <c r="E130" t="s">
        <v>41</v>
      </c>
      <c r="F130" t="s">
        <v>89</v>
      </c>
      <c r="G130">
        <v>2018</v>
      </c>
      <c r="H130" t="s">
        <v>95</v>
      </c>
      <c r="I130" t="s">
        <v>98</v>
      </c>
      <c r="J130" t="s">
        <v>73</v>
      </c>
      <c r="K130">
        <v>1</v>
      </c>
      <c r="L130">
        <v>-10.539200629752351</v>
      </c>
      <c r="M130">
        <v>0</v>
      </c>
      <c r="N130">
        <v>1</v>
      </c>
    </row>
    <row r="131" spans="4:14" x14ac:dyDescent="0.3">
      <c r="D131" t="s">
        <v>100</v>
      </c>
      <c r="E131" t="s">
        <v>49</v>
      </c>
      <c r="F131" t="s">
        <v>89</v>
      </c>
      <c r="G131">
        <v>2017</v>
      </c>
      <c r="H131" t="s">
        <v>95</v>
      </c>
      <c r="I131" t="s">
        <v>98</v>
      </c>
      <c r="J131" t="s">
        <v>73</v>
      </c>
      <c r="K131">
        <v>1</v>
      </c>
      <c r="L131">
        <v>-10.969812276280466</v>
      </c>
      <c r="M131">
        <v>0</v>
      </c>
      <c r="N131">
        <v>1</v>
      </c>
    </row>
    <row r="132" spans="4:14" x14ac:dyDescent="0.3">
      <c r="D132" t="s">
        <v>100</v>
      </c>
      <c r="E132" t="s">
        <v>49</v>
      </c>
      <c r="F132" t="s">
        <v>89</v>
      </c>
      <c r="G132">
        <v>2018</v>
      </c>
      <c r="H132" t="s">
        <v>95</v>
      </c>
      <c r="I132" t="s">
        <v>98</v>
      </c>
      <c r="J132" t="s">
        <v>73</v>
      </c>
      <c r="K132">
        <v>1</v>
      </c>
      <c r="L132">
        <v>-10.3608548903947</v>
      </c>
      <c r="M132">
        <v>0</v>
      </c>
      <c r="N132">
        <v>1</v>
      </c>
    </row>
    <row r="133" spans="4:14" x14ac:dyDescent="0.3">
      <c r="D133" t="s">
        <v>100</v>
      </c>
      <c r="E133" t="s">
        <v>50</v>
      </c>
      <c r="F133" t="s">
        <v>89</v>
      </c>
      <c r="G133">
        <v>2017</v>
      </c>
      <c r="H133" t="s">
        <v>95</v>
      </c>
      <c r="I133" t="s">
        <v>98</v>
      </c>
      <c r="J133" t="s">
        <v>73</v>
      </c>
      <c r="K133">
        <v>1</v>
      </c>
      <c r="L133">
        <v>-5.9696755219359456</v>
      </c>
      <c r="M133">
        <v>0</v>
      </c>
      <c r="N133">
        <v>1</v>
      </c>
    </row>
    <row r="134" spans="4:14" x14ac:dyDescent="0.3">
      <c r="D134" t="s">
        <v>100</v>
      </c>
      <c r="E134" t="s">
        <v>50</v>
      </c>
      <c r="F134" t="s">
        <v>89</v>
      </c>
      <c r="G134">
        <v>2018</v>
      </c>
      <c r="H134" t="s">
        <v>95</v>
      </c>
      <c r="I134" t="s">
        <v>98</v>
      </c>
      <c r="J134" t="s">
        <v>73</v>
      </c>
      <c r="K134">
        <v>1</v>
      </c>
      <c r="L134">
        <v>-5.4330585187202294</v>
      </c>
      <c r="M134">
        <v>0</v>
      </c>
      <c r="N134">
        <v>1</v>
      </c>
    </row>
    <row r="135" spans="4:14" x14ac:dyDescent="0.3">
      <c r="D135" t="s">
        <v>100</v>
      </c>
      <c r="E135" t="s">
        <v>53</v>
      </c>
      <c r="F135" t="s">
        <v>89</v>
      </c>
      <c r="G135">
        <v>2017</v>
      </c>
      <c r="H135" t="s">
        <v>95</v>
      </c>
      <c r="I135" t="s">
        <v>98</v>
      </c>
      <c r="J135" t="s">
        <v>73</v>
      </c>
      <c r="K135">
        <v>1</v>
      </c>
      <c r="L135">
        <v>-5.7705566304396889</v>
      </c>
      <c r="M135">
        <v>0</v>
      </c>
      <c r="N135">
        <v>1</v>
      </c>
    </row>
    <row r="136" spans="4:14" x14ac:dyDescent="0.3">
      <c r="D136" t="s">
        <v>100</v>
      </c>
      <c r="E136" t="s">
        <v>53</v>
      </c>
      <c r="F136" t="s">
        <v>89</v>
      </c>
      <c r="G136">
        <v>2018</v>
      </c>
      <c r="H136" t="s">
        <v>95</v>
      </c>
      <c r="I136" t="s">
        <v>98</v>
      </c>
      <c r="J136" t="s">
        <v>73</v>
      </c>
      <c r="K136">
        <v>1</v>
      </c>
      <c r="L136">
        <v>-4.4067073140106396</v>
      </c>
      <c r="M136">
        <v>0</v>
      </c>
      <c r="N136">
        <v>1</v>
      </c>
    </row>
    <row r="137" spans="4:14" x14ac:dyDescent="0.3">
      <c r="D137" t="s">
        <v>100</v>
      </c>
      <c r="E137" t="s">
        <v>54</v>
      </c>
      <c r="F137" t="s">
        <v>89</v>
      </c>
      <c r="G137">
        <v>2017</v>
      </c>
      <c r="H137" t="s">
        <v>95</v>
      </c>
      <c r="I137" t="s">
        <v>98</v>
      </c>
      <c r="J137" t="s">
        <v>73</v>
      </c>
      <c r="K137">
        <v>1</v>
      </c>
      <c r="L137">
        <v>-19.247910098445338</v>
      </c>
      <c r="M137">
        <v>0</v>
      </c>
      <c r="N137">
        <v>1</v>
      </c>
    </row>
    <row r="138" spans="4:14" x14ac:dyDescent="0.3">
      <c r="D138" t="s">
        <v>100</v>
      </c>
      <c r="E138" t="s">
        <v>54</v>
      </c>
      <c r="F138" t="s">
        <v>89</v>
      </c>
      <c r="G138">
        <v>2018</v>
      </c>
      <c r="H138" t="s">
        <v>95</v>
      </c>
      <c r="I138" t="s">
        <v>98</v>
      </c>
      <c r="J138" t="s">
        <v>73</v>
      </c>
      <c r="K138">
        <v>1</v>
      </c>
      <c r="L138">
        <v>-16.55098128297778</v>
      </c>
      <c r="M138">
        <v>0</v>
      </c>
      <c r="N138">
        <v>1</v>
      </c>
    </row>
    <row r="139" spans="4:14" x14ac:dyDescent="0.3">
      <c r="D139" t="s">
        <v>101</v>
      </c>
      <c r="E139" t="s">
        <v>33</v>
      </c>
      <c r="F139" t="s">
        <v>89</v>
      </c>
      <c r="G139">
        <v>2017</v>
      </c>
      <c r="H139" t="s">
        <v>95</v>
      </c>
      <c r="I139" t="s">
        <v>98</v>
      </c>
      <c r="J139" t="s">
        <v>93</v>
      </c>
      <c r="K139">
        <v>1</v>
      </c>
      <c r="L139">
        <v>-11.645533717940252</v>
      </c>
      <c r="M139">
        <v>0</v>
      </c>
      <c r="N139">
        <v>1</v>
      </c>
    </row>
    <row r="140" spans="4:14" x14ac:dyDescent="0.3">
      <c r="D140" t="s">
        <v>101</v>
      </c>
      <c r="E140" t="s">
        <v>33</v>
      </c>
      <c r="F140" t="s">
        <v>89</v>
      </c>
      <c r="G140">
        <v>2018</v>
      </c>
      <c r="H140" t="s">
        <v>95</v>
      </c>
      <c r="I140" t="s">
        <v>98</v>
      </c>
      <c r="J140" t="s">
        <v>93</v>
      </c>
      <c r="K140">
        <v>1</v>
      </c>
      <c r="L140">
        <v>-11.292000674734638</v>
      </c>
      <c r="M140">
        <v>0</v>
      </c>
      <c r="N140">
        <v>1</v>
      </c>
    </row>
    <row r="141" spans="4:14" x14ac:dyDescent="0.3">
      <c r="D141" t="s">
        <v>101</v>
      </c>
      <c r="E141" t="s">
        <v>33</v>
      </c>
      <c r="F141" t="s">
        <v>89</v>
      </c>
      <c r="G141">
        <v>2030</v>
      </c>
      <c r="H141" t="s">
        <v>95</v>
      </c>
      <c r="I141" t="s">
        <v>98</v>
      </c>
      <c r="J141" t="s">
        <v>93</v>
      </c>
      <c r="K141">
        <v>1</v>
      </c>
      <c r="L141">
        <v>-11.645533717940252</v>
      </c>
      <c r="M141">
        <v>0</v>
      </c>
      <c r="N141">
        <v>1</v>
      </c>
    </row>
    <row r="142" spans="4:14" x14ac:dyDescent="0.3">
      <c r="D142" t="s">
        <v>101</v>
      </c>
      <c r="E142" t="s">
        <v>41</v>
      </c>
      <c r="F142" t="s">
        <v>89</v>
      </c>
      <c r="G142">
        <v>2017</v>
      </c>
      <c r="H142" t="s">
        <v>95</v>
      </c>
      <c r="I142" t="s">
        <v>98</v>
      </c>
      <c r="J142" t="s">
        <v>93</v>
      </c>
      <c r="K142">
        <v>1</v>
      </c>
      <c r="L142">
        <v>-11.645533717940287</v>
      </c>
      <c r="M142">
        <v>0</v>
      </c>
      <c r="N142">
        <v>1</v>
      </c>
    </row>
    <row r="143" spans="4:14" x14ac:dyDescent="0.3">
      <c r="D143" t="s">
        <v>101</v>
      </c>
      <c r="E143" t="s">
        <v>41</v>
      </c>
      <c r="F143" t="s">
        <v>89</v>
      </c>
      <c r="G143">
        <v>2018</v>
      </c>
      <c r="H143" t="s">
        <v>95</v>
      </c>
      <c r="I143" t="s">
        <v>98</v>
      </c>
      <c r="J143" t="s">
        <v>93</v>
      </c>
      <c r="K143">
        <v>1</v>
      </c>
      <c r="L143">
        <v>-11.292000674734661</v>
      </c>
      <c r="M143">
        <v>0</v>
      </c>
      <c r="N143">
        <v>1</v>
      </c>
    </row>
    <row r="144" spans="4:14" x14ac:dyDescent="0.3">
      <c r="D144" t="s">
        <v>101</v>
      </c>
      <c r="E144" t="s">
        <v>41</v>
      </c>
      <c r="F144" t="s">
        <v>89</v>
      </c>
      <c r="G144">
        <v>2030</v>
      </c>
      <c r="H144" t="s">
        <v>95</v>
      </c>
      <c r="I144" t="s">
        <v>98</v>
      </c>
      <c r="J144" t="s">
        <v>93</v>
      </c>
      <c r="K144">
        <v>1</v>
      </c>
      <c r="L144">
        <v>-11.645533717940287</v>
      </c>
      <c r="M144">
        <v>0</v>
      </c>
      <c r="N144">
        <v>1</v>
      </c>
    </row>
    <row r="145" spans="4:14" x14ac:dyDescent="0.3">
      <c r="D145" t="s">
        <v>101</v>
      </c>
      <c r="E145" t="s">
        <v>49</v>
      </c>
      <c r="F145" t="s">
        <v>89</v>
      </c>
      <c r="G145">
        <v>2017</v>
      </c>
      <c r="H145" t="s">
        <v>95</v>
      </c>
      <c r="I145" t="s">
        <v>98</v>
      </c>
      <c r="J145" t="s">
        <v>93</v>
      </c>
      <c r="K145">
        <v>1</v>
      </c>
      <c r="L145">
        <v>-11.753370296014786</v>
      </c>
      <c r="M145">
        <v>0</v>
      </c>
      <c r="N145">
        <v>1</v>
      </c>
    </row>
    <row r="146" spans="4:14" x14ac:dyDescent="0.3">
      <c r="D146" t="s">
        <v>101</v>
      </c>
      <c r="E146" t="s">
        <v>49</v>
      </c>
      <c r="F146" t="s">
        <v>89</v>
      </c>
      <c r="G146">
        <v>2018</v>
      </c>
      <c r="H146" t="s">
        <v>95</v>
      </c>
      <c r="I146" t="s">
        <v>98</v>
      </c>
      <c r="J146" t="s">
        <v>93</v>
      </c>
      <c r="K146">
        <v>1</v>
      </c>
      <c r="L146">
        <v>-11.100915953994322</v>
      </c>
      <c r="M146">
        <v>0</v>
      </c>
      <c r="N146">
        <v>1</v>
      </c>
    </row>
    <row r="147" spans="4:14" x14ac:dyDescent="0.3">
      <c r="D147" t="s">
        <v>101</v>
      </c>
      <c r="E147" t="s">
        <v>49</v>
      </c>
      <c r="F147" t="s">
        <v>89</v>
      </c>
      <c r="G147">
        <v>2030</v>
      </c>
      <c r="H147" t="s">
        <v>95</v>
      </c>
      <c r="I147" t="s">
        <v>98</v>
      </c>
      <c r="J147" t="s">
        <v>93</v>
      </c>
      <c r="K147">
        <v>1</v>
      </c>
      <c r="L147">
        <v>-11.753370296014786</v>
      </c>
      <c r="M147">
        <v>0</v>
      </c>
      <c r="N147">
        <v>1</v>
      </c>
    </row>
    <row r="148" spans="4:14" x14ac:dyDescent="0.3">
      <c r="D148" t="s">
        <v>101</v>
      </c>
      <c r="E148" t="s">
        <v>50</v>
      </c>
      <c r="F148" t="s">
        <v>89</v>
      </c>
      <c r="G148">
        <v>2017</v>
      </c>
      <c r="H148" t="s">
        <v>95</v>
      </c>
      <c r="I148" t="s">
        <v>98</v>
      </c>
      <c r="J148" t="s">
        <v>93</v>
      </c>
      <c r="K148">
        <v>1</v>
      </c>
      <c r="L148">
        <v>-6.3960809163599421</v>
      </c>
      <c r="M148">
        <v>0</v>
      </c>
      <c r="N148">
        <v>1</v>
      </c>
    </row>
    <row r="149" spans="4:14" x14ac:dyDescent="0.3">
      <c r="D149" t="s">
        <v>101</v>
      </c>
      <c r="E149" t="s">
        <v>50</v>
      </c>
      <c r="F149" t="s">
        <v>89</v>
      </c>
      <c r="G149">
        <v>2018</v>
      </c>
      <c r="H149" t="s">
        <v>95</v>
      </c>
      <c r="I149" t="s">
        <v>98</v>
      </c>
      <c r="J149" t="s">
        <v>93</v>
      </c>
      <c r="K149">
        <v>1</v>
      </c>
      <c r="L149">
        <v>-5.8211341272002457</v>
      </c>
      <c r="M149">
        <v>0</v>
      </c>
      <c r="N149">
        <v>1</v>
      </c>
    </row>
    <row r="150" spans="4:14" x14ac:dyDescent="0.3">
      <c r="D150" t="s">
        <v>101</v>
      </c>
      <c r="E150" t="s">
        <v>50</v>
      </c>
      <c r="F150" t="s">
        <v>89</v>
      </c>
      <c r="G150">
        <v>2030</v>
      </c>
      <c r="H150" t="s">
        <v>95</v>
      </c>
      <c r="I150" t="s">
        <v>98</v>
      </c>
      <c r="J150" t="s">
        <v>93</v>
      </c>
      <c r="K150">
        <v>1</v>
      </c>
      <c r="L150">
        <v>-6.3960809163599421</v>
      </c>
      <c r="M150">
        <v>0</v>
      </c>
      <c r="N150">
        <v>1</v>
      </c>
    </row>
    <row r="151" spans="4:14" x14ac:dyDescent="0.3">
      <c r="D151" t="s">
        <v>101</v>
      </c>
      <c r="E151" t="s">
        <v>53</v>
      </c>
      <c r="F151" t="s">
        <v>89</v>
      </c>
      <c r="G151">
        <v>2017</v>
      </c>
      <c r="H151" t="s">
        <v>95</v>
      </c>
      <c r="I151" t="s">
        <v>98</v>
      </c>
      <c r="J151" t="s">
        <v>93</v>
      </c>
      <c r="K151">
        <v>1</v>
      </c>
      <c r="L151">
        <v>-6.1827392468996667</v>
      </c>
      <c r="M151">
        <v>0</v>
      </c>
      <c r="N151">
        <v>1</v>
      </c>
    </row>
    <row r="152" spans="4:14" x14ac:dyDescent="0.3">
      <c r="D152" t="s">
        <v>101</v>
      </c>
      <c r="E152" t="s">
        <v>53</v>
      </c>
      <c r="F152" t="s">
        <v>89</v>
      </c>
      <c r="G152">
        <v>2018</v>
      </c>
      <c r="H152" t="s">
        <v>95</v>
      </c>
      <c r="I152" t="s">
        <v>98</v>
      </c>
      <c r="J152" t="s">
        <v>93</v>
      </c>
      <c r="K152">
        <v>1</v>
      </c>
      <c r="L152">
        <v>-4.7214721221542568</v>
      </c>
      <c r="M152">
        <v>0</v>
      </c>
      <c r="N152">
        <v>1</v>
      </c>
    </row>
    <row r="153" spans="4:14" x14ac:dyDescent="0.3">
      <c r="D153" t="s">
        <v>101</v>
      </c>
      <c r="E153" t="s">
        <v>53</v>
      </c>
      <c r="F153" t="s">
        <v>89</v>
      </c>
      <c r="G153">
        <v>2030</v>
      </c>
      <c r="H153" t="s">
        <v>95</v>
      </c>
      <c r="I153" t="s">
        <v>98</v>
      </c>
      <c r="J153" t="s">
        <v>93</v>
      </c>
      <c r="K153">
        <v>1</v>
      </c>
      <c r="L153">
        <v>-6.1827392468996667</v>
      </c>
      <c r="M153">
        <v>0</v>
      </c>
      <c r="N153">
        <v>1</v>
      </c>
    </row>
    <row r="154" spans="4:14" x14ac:dyDescent="0.3">
      <c r="D154" t="s">
        <v>101</v>
      </c>
      <c r="E154" t="s">
        <v>54</v>
      </c>
      <c r="F154" t="s">
        <v>89</v>
      </c>
      <c r="G154">
        <v>2017</v>
      </c>
      <c r="H154" t="s">
        <v>95</v>
      </c>
      <c r="I154" t="s">
        <v>98</v>
      </c>
      <c r="J154" t="s">
        <v>93</v>
      </c>
      <c r="K154">
        <v>1</v>
      </c>
      <c r="L154">
        <v>-20.622760819762863</v>
      </c>
      <c r="M154">
        <v>0</v>
      </c>
      <c r="N154">
        <v>1</v>
      </c>
    </row>
    <row r="155" spans="4:14" x14ac:dyDescent="0.3">
      <c r="D155" t="s">
        <v>101</v>
      </c>
      <c r="E155" t="s">
        <v>54</v>
      </c>
      <c r="F155" t="s">
        <v>89</v>
      </c>
      <c r="G155">
        <v>2018</v>
      </c>
      <c r="H155" t="s">
        <v>95</v>
      </c>
      <c r="I155" t="s">
        <v>98</v>
      </c>
      <c r="J155" t="s">
        <v>93</v>
      </c>
      <c r="K155">
        <v>1</v>
      </c>
      <c r="L155">
        <v>-17.73319423176191</v>
      </c>
      <c r="M155">
        <v>0</v>
      </c>
      <c r="N155">
        <v>1</v>
      </c>
    </row>
    <row r="156" spans="4:14" x14ac:dyDescent="0.3">
      <c r="D156" t="s">
        <v>101</v>
      </c>
      <c r="E156" t="s">
        <v>54</v>
      </c>
      <c r="F156" t="s">
        <v>89</v>
      </c>
      <c r="G156">
        <v>2030</v>
      </c>
      <c r="H156" t="s">
        <v>95</v>
      </c>
      <c r="I156" t="s">
        <v>98</v>
      </c>
      <c r="J156" t="s">
        <v>93</v>
      </c>
      <c r="K156">
        <v>1</v>
      </c>
      <c r="L156">
        <v>-20.622760819762863</v>
      </c>
      <c r="M156">
        <v>0</v>
      </c>
      <c r="N156">
        <v>1</v>
      </c>
    </row>
    <row r="157" spans="4:14" x14ac:dyDescent="0.3">
      <c r="D157" t="s">
        <v>102</v>
      </c>
      <c r="E157" t="s">
        <v>42</v>
      </c>
      <c r="F157" t="s">
        <v>89</v>
      </c>
      <c r="G157">
        <v>2017</v>
      </c>
      <c r="H157" t="s">
        <v>90</v>
      </c>
      <c r="I157" t="s">
        <v>103</v>
      </c>
      <c r="J157" t="s">
        <v>73</v>
      </c>
      <c r="K157">
        <v>1</v>
      </c>
      <c r="L157">
        <v>-20.745232306897538</v>
      </c>
      <c r="M157">
        <v>0</v>
      </c>
      <c r="N157">
        <v>1</v>
      </c>
    </row>
    <row r="158" spans="4:14" x14ac:dyDescent="0.3">
      <c r="D158" t="s">
        <v>102</v>
      </c>
      <c r="E158" t="s">
        <v>42</v>
      </c>
      <c r="F158" t="s">
        <v>89</v>
      </c>
      <c r="G158">
        <v>2018</v>
      </c>
      <c r="H158" t="s">
        <v>90</v>
      </c>
      <c r="I158" t="s">
        <v>103</v>
      </c>
      <c r="J158" t="s">
        <v>73</v>
      </c>
      <c r="K158">
        <v>1</v>
      </c>
      <c r="L158">
        <v>-20.241669851575693</v>
      </c>
      <c r="M158">
        <v>0</v>
      </c>
      <c r="N158">
        <v>1</v>
      </c>
    </row>
    <row r="159" spans="4:14" x14ac:dyDescent="0.3">
      <c r="D159" t="s">
        <v>102</v>
      </c>
      <c r="E159" t="s">
        <v>42</v>
      </c>
      <c r="F159" t="s">
        <v>89</v>
      </c>
      <c r="G159">
        <v>2020</v>
      </c>
      <c r="H159" t="s">
        <v>90</v>
      </c>
      <c r="I159" t="s">
        <v>103</v>
      </c>
      <c r="J159" t="s">
        <v>73</v>
      </c>
      <c r="K159">
        <v>1</v>
      </c>
      <c r="L159">
        <v>0</v>
      </c>
      <c r="M159">
        <v>0</v>
      </c>
      <c r="N159">
        <v>1</v>
      </c>
    </row>
    <row r="160" spans="4:14" x14ac:dyDescent="0.3">
      <c r="D160" t="s">
        <v>102</v>
      </c>
      <c r="E160" t="s">
        <v>42</v>
      </c>
      <c r="F160" t="s">
        <v>89</v>
      </c>
      <c r="G160" t="s">
        <v>104</v>
      </c>
      <c r="H160" t="s">
        <v>90</v>
      </c>
      <c r="I160" t="s">
        <v>103</v>
      </c>
      <c r="J160" t="s">
        <v>73</v>
      </c>
      <c r="K160">
        <v>1</v>
      </c>
      <c r="L160">
        <v>-10.372616153448769</v>
      </c>
      <c r="M160">
        <v>0</v>
      </c>
      <c r="N160">
        <v>1</v>
      </c>
    </row>
    <row r="161" spans="4:14" x14ac:dyDescent="0.3">
      <c r="D161" t="s">
        <v>102</v>
      </c>
      <c r="E161" t="s">
        <v>44</v>
      </c>
      <c r="F161" t="s">
        <v>89</v>
      </c>
      <c r="G161">
        <v>2017</v>
      </c>
      <c r="H161" t="s">
        <v>90</v>
      </c>
      <c r="I161" t="s">
        <v>103</v>
      </c>
      <c r="J161" t="s">
        <v>73</v>
      </c>
      <c r="K161">
        <v>1</v>
      </c>
      <c r="L161">
        <v>-20.398946169301784</v>
      </c>
      <c r="M161">
        <v>0</v>
      </c>
      <c r="N161">
        <v>1</v>
      </c>
    </row>
    <row r="162" spans="4:14" x14ac:dyDescent="0.3">
      <c r="D162" t="s">
        <v>102</v>
      </c>
      <c r="E162" t="s">
        <v>44</v>
      </c>
      <c r="F162" t="s">
        <v>89</v>
      </c>
      <c r="G162">
        <v>2018</v>
      </c>
      <c r="H162" t="s">
        <v>90</v>
      </c>
      <c r="I162" t="s">
        <v>103</v>
      </c>
      <c r="J162" t="s">
        <v>73</v>
      </c>
      <c r="K162">
        <v>1</v>
      </c>
      <c r="L162">
        <v>-19.69887513466373</v>
      </c>
      <c r="M162">
        <v>0</v>
      </c>
      <c r="N162">
        <v>1</v>
      </c>
    </row>
    <row r="163" spans="4:14" x14ac:dyDescent="0.3">
      <c r="D163" t="s">
        <v>102</v>
      </c>
      <c r="E163" t="s">
        <v>44</v>
      </c>
      <c r="F163" t="s">
        <v>89</v>
      </c>
      <c r="G163">
        <v>2020</v>
      </c>
      <c r="H163" t="s">
        <v>90</v>
      </c>
      <c r="I163" t="s">
        <v>103</v>
      </c>
      <c r="J163" t="s">
        <v>73</v>
      </c>
      <c r="K163">
        <v>1</v>
      </c>
      <c r="L163">
        <v>0</v>
      </c>
      <c r="M163">
        <v>0</v>
      </c>
      <c r="N163">
        <v>1</v>
      </c>
    </row>
    <row r="164" spans="4:14" x14ac:dyDescent="0.3">
      <c r="D164" t="s">
        <v>102</v>
      </c>
      <c r="E164" t="s">
        <v>44</v>
      </c>
      <c r="F164" t="s">
        <v>89</v>
      </c>
      <c r="G164" t="s">
        <v>104</v>
      </c>
      <c r="H164" t="s">
        <v>90</v>
      </c>
      <c r="I164" t="s">
        <v>103</v>
      </c>
      <c r="J164" t="s">
        <v>73</v>
      </c>
      <c r="K164">
        <v>1</v>
      </c>
      <c r="L164">
        <v>-10.199473084650892</v>
      </c>
      <c r="M164">
        <v>0</v>
      </c>
      <c r="N164">
        <v>1</v>
      </c>
    </row>
    <row r="165" spans="4:14" x14ac:dyDescent="0.3">
      <c r="D165" t="s">
        <v>102</v>
      </c>
      <c r="E165" t="s">
        <v>46</v>
      </c>
      <c r="F165" t="s">
        <v>89</v>
      </c>
      <c r="G165">
        <v>2017</v>
      </c>
      <c r="H165" t="s">
        <v>90</v>
      </c>
      <c r="I165" t="s">
        <v>103</v>
      </c>
      <c r="J165" t="s">
        <v>73</v>
      </c>
      <c r="K165">
        <v>1</v>
      </c>
      <c r="L165">
        <v>-13.692440738504244</v>
      </c>
      <c r="M165">
        <v>0</v>
      </c>
      <c r="N165">
        <v>1</v>
      </c>
    </row>
    <row r="166" spans="4:14" x14ac:dyDescent="0.3">
      <c r="D166" t="s">
        <v>102</v>
      </c>
      <c r="E166" t="s">
        <v>46</v>
      </c>
      <c r="F166" t="s">
        <v>89</v>
      </c>
      <c r="G166">
        <v>2018</v>
      </c>
      <c r="H166" t="s">
        <v>90</v>
      </c>
      <c r="I166" t="s">
        <v>103</v>
      </c>
      <c r="J166" t="s">
        <v>73</v>
      </c>
      <c r="K166">
        <v>1</v>
      </c>
      <c r="L166">
        <v>-14.207166811692591</v>
      </c>
      <c r="M166">
        <v>0</v>
      </c>
      <c r="N166">
        <v>1</v>
      </c>
    </row>
    <row r="167" spans="4:14" x14ac:dyDescent="0.3">
      <c r="D167" t="s">
        <v>102</v>
      </c>
      <c r="E167" t="s">
        <v>46</v>
      </c>
      <c r="F167" t="s">
        <v>89</v>
      </c>
      <c r="G167">
        <v>2020</v>
      </c>
      <c r="H167" t="s">
        <v>90</v>
      </c>
      <c r="I167" t="s">
        <v>103</v>
      </c>
      <c r="J167" t="s">
        <v>73</v>
      </c>
      <c r="K167">
        <v>1</v>
      </c>
      <c r="L167">
        <v>0</v>
      </c>
      <c r="M167">
        <v>0</v>
      </c>
      <c r="N167">
        <v>1</v>
      </c>
    </row>
    <row r="168" spans="4:14" x14ac:dyDescent="0.3">
      <c r="D168" t="s">
        <v>102</v>
      </c>
      <c r="E168" t="s">
        <v>46</v>
      </c>
      <c r="F168" t="s">
        <v>89</v>
      </c>
      <c r="G168" t="s">
        <v>104</v>
      </c>
      <c r="H168" t="s">
        <v>90</v>
      </c>
      <c r="I168" t="s">
        <v>103</v>
      </c>
      <c r="J168" t="s">
        <v>73</v>
      </c>
      <c r="K168">
        <v>1</v>
      </c>
      <c r="L168">
        <v>-7.1035834058462957</v>
      </c>
      <c r="M168">
        <v>0</v>
      </c>
      <c r="N168">
        <v>1</v>
      </c>
    </row>
    <row r="169" spans="4:14" x14ac:dyDescent="0.3">
      <c r="D169" t="s">
        <v>102</v>
      </c>
      <c r="E169" t="s">
        <v>50</v>
      </c>
      <c r="F169" t="s">
        <v>89</v>
      </c>
      <c r="G169">
        <v>2017</v>
      </c>
      <c r="H169" t="s">
        <v>90</v>
      </c>
      <c r="I169" t="s">
        <v>103</v>
      </c>
      <c r="J169" t="s">
        <v>73</v>
      </c>
      <c r="K169">
        <v>1</v>
      </c>
      <c r="L169">
        <v>-14.415443234167078</v>
      </c>
      <c r="M169">
        <v>0</v>
      </c>
      <c r="N169">
        <v>1</v>
      </c>
    </row>
    <row r="170" spans="4:14" x14ac:dyDescent="0.3">
      <c r="D170" t="s">
        <v>102</v>
      </c>
      <c r="E170" t="s">
        <v>50</v>
      </c>
      <c r="F170" t="s">
        <v>89</v>
      </c>
      <c r="G170">
        <v>2018</v>
      </c>
      <c r="H170" t="s">
        <v>90</v>
      </c>
      <c r="I170" t="s">
        <v>103</v>
      </c>
      <c r="J170" t="s">
        <v>73</v>
      </c>
      <c r="K170">
        <v>1</v>
      </c>
      <c r="L170">
        <v>-13.94950351167016</v>
      </c>
      <c r="M170">
        <v>0</v>
      </c>
      <c r="N170">
        <v>1</v>
      </c>
    </row>
    <row r="171" spans="4:14" x14ac:dyDescent="0.3">
      <c r="D171" t="s">
        <v>102</v>
      </c>
      <c r="E171" t="s">
        <v>50</v>
      </c>
      <c r="F171" t="s">
        <v>89</v>
      </c>
      <c r="G171">
        <v>2020</v>
      </c>
      <c r="H171" t="s">
        <v>90</v>
      </c>
      <c r="I171" t="s">
        <v>103</v>
      </c>
      <c r="J171" t="s">
        <v>73</v>
      </c>
      <c r="K171">
        <v>1</v>
      </c>
      <c r="L171">
        <v>0</v>
      </c>
      <c r="M171">
        <v>0</v>
      </c>
      <c r="N171">
        <v>1</v>
      </c>
    </row>
    <row r="172" spans="4:14" x14ac:dyDescent="0.3">
      <c r="D172" t="s">
        <v>102</v>
      </c>
      <c r="E172" t="s">
        <v>50</v>
      </c>
      <c r="F172" t="s">
        <v>89</v>
      </c>
      <c r="G172" t="s">
        <v>104</v>
      </c>
      <c r="H172" t="s">
        <v>90</v>
      </c>
      <c r="I172" t="s">
        <v>103</v>
      </c>
      <c r="J172" t="s">
        <v>73</v>
      </c>
      <c r="K172">
        <v>1</v>
      </c>
      <c r="L172">
        <v>-7.2077216170835392</v>
      </c>
      <c r="M172">
        <v>0</v>
      </c>
      <c r="N172">
        <v>1</v>
      </c>
    </row>
    <row r="173" spans="4:14" x14ac:dyDescent="0.3">
      <c r="D173" t="s">
        <v>102</v>
      </c>
      <c r="E173" t="s">
        <v>56</v>
      </c>
      <c r="F173" t="s">
        <v>89</v>
      </c>
      <c r="G173">
        <v>2017</v>
      </c>
      <c r="H173" t="s">
        <v>90</v>
      </c>
      <c r="I173" t="s">
        <v>103</v>
      </c>
      <c r="J173" t="s">
        <v>73</v>
      </c>
      <c r="K173">
        <v>1</v>
      </c>
      <c r="L173">
        <v>-17.893464678120729</v>
      </c>
      <c r="M173">
        <v>0</v>
      </c>
      <c r="N173">
        <v>1</v>
      </c>
    </row>
    <row r="174" spans="4:14" x14ac:dyDescent="0.3">
      <c r="D174" t="s">
        <v>102</v>
      </c>
      <c r="E174" t="s">
        <v>56</v>
      </c>
      <c r="F174" t="s">
        <v>89</v>
      </c>
      <c r="G174">
        <v>2018</v>
      </c>
      <c r="H174" t="s">
        <v>90</v>
      </c>
      <c r="I174" t="s">
        <v>103</v>
      </c>
      <c r="J174" t="s">
        <v>73</v>
      </c>
      <c r="K174">
        <v>1</v>
      </c>
      <c r="L174">
        <v>-19.346970662298713</v>
      </c>
      <c r="M174">
        <v>0</v>
      </c>
      <c r="N174">
        <v>1</v>
      </c>
    </row>
    <row r="175" spans="4:14" x14ac:dyDescent="0.3">
      <c r="D175" t="s">
        <v>102</v>
      </c>
      <c r="E175" t="s">
        <v>56</v>
      </c>
      <c r="F175" t="s">
        <v>89</v>
      </c>
      <c r="G175">
        <v>2020</v>
      </c>
      <c r="H175" t="s">
        <v>90</v>
      </c>
      <c r="I175" t="s">
        <v>103</v>
      </c>
      <c r="J175" t="s">
        <v>73</v>
      </c>
      <c r="K175">
        <v>1</v>
      </c>
      <c r="L175">
        <v>0</v>
      </c>
      <c r="M175">
        <v>0</v>
      </c>
      <c r="N175">
        <v>1</v>
      </c>
    </row>
    <row r="176" spans="4:14" x14ac:dyDescent="0.3">
      <c r="D176" t="s">
        <v>102</v>
      </c>
      <c r="E176" t="s">
        <v>56</v>
      </c>
      <c r="F176" t="s">
        <v>89</v>
      </c>
      <c r="G176" t="s">
        <v>104</v>
      </c>
      <c r="H176" t="s">
        <v>90</v>
      </c>
      <c r="I176" t="s">
        <v>103</v>
      </c>
      <c r="J176" t="s">
        <v>73</v>
      </c>
      <c r="K176">
        <v>1</v>
      </c>
      <c r="L176">
        <v>-9.6734853311493563</v>
      </c>
      <c r="M176">
        <v>0</v>
      </c>
      <c r="N176">
        <v>1</v>
      </c>
    </row>
    <row r="177" spans="4:14" x14ac:dyDescent="0.3">
      <c r="D177" t="s">
        <v>102</v>
      </c>
      <c r="E177" t="s">
        <v>57</v>
      </c>
      <c r="F177" t="s">
        <v>89</v>
      </c>
      <c r="G177">
        <v>2017</v>
      </c>
      <c r="H177" t="s">
        <v>90</v>
      </c>
      <c r="I177" t="s">
        <v>103</v>
      </c>
      <c r="J177" t="s">
        <v>73</v>
      </c>
      <c r="K177">
        <v>1</v>
      </c>
      <c r="L177">
        <v>-10.345425375010732</v>
      </c>
      <c r="M177">
        <v>0</v>
      </c>
      <c r="N177">
        <v>1</v>
      </c>
    </row>
    <row r="178" spans="4:14" x14ac:dyDescent="0.3">
      <c r="D178" t="s">
        <v>102</v>
      </c>
      <c r="E178" t="s">
        <v>57</v>
      </c>
      <c r="F178" t="s">
        <v>89</v>
      </c>
      <c r="G178">
        <v>2018</v>
      </c>
      <c r="H178" t="s">
        <v>90</v>
      </c>
      <c r="I178" t="s">
        <v>103</v>
      </c>
      <c r="J178" t="s">
        <v>73</v>
      </c>
      <c r="K178">
        <v>1</v>
      </c>
      <c r="L178">
        <v>-10.513925941414023</v>
      </c>
      <c r="M178">
        <v>0</v>
      </c>
      <c r="N178">
        <v>1</v>
      </c>
    </row>
    <row r="179" spans="4:14" x14ac:dyDescent="0.3">
      <c r="D179" t="s">
        <v>102</v>
      </c>
      <c r="E179" t="s">
        <v>57</v>
      </c>
      <c r="F179" t="s">
        <v>89</v>
      </c>
      <c r="G179">
        <v>2020</v>
      </c>
      <c r="H179" t="s">
        <v>90</v>
      </c>
      <c r="I179" t="s">
        <v>103</v>
      </c>
      <c r="J179" t="s">
        <v>73</v>
      </c>
      <c r="K179">
        <v>1</v>
      </c>
      <c r="L179">
        <v>0</v>
      </c>
      <c r="M179">
        <v>0</v>
      </c>
      <c r="N179">
        <v>1</v>
      </c>
    </row>
    <row r="180" spans="4:14" x14ac:dyDescent="0.3">
      <c r="D180" t="s">
        <v>102</v>
      </c>
      <c r="E180" t="s">
        <v>57</v>
      </c>
      <c r="F180" t="s">
        <v>89</v>
      </c>
      <c r="G180" t="s">
        <v>104</v>
      </c>
      <c r="H180" t="s">
        <v>90</v>
      </c>
      <c r="I180" t="s">
        <v>103</v>
      </c>
      <c r="J180" t="s">
        <v>73</v>
      </c>
      <c r="K180">
        <v>1</v>
      </c>
      <c r="L180">
        <v>-5.2569629707070114</v>
      </c>
      <c r="M180">
        <v>0</v>
      </c>
      <c r="N180">
        <v>1</v>
      </c>
    </row>
    <row r="181" spans="4:14" x14ac:dyDescent="0.3">
      <c r="D181" t="s">
        <v>102</v>
      </c>
      <c r="E181" t="s">
        <v>58</v>
      </c>
      <c r="F181" t="s">
        <v>89</v>
      </c>
      <c r="G181">
        <v>2017</v>
      </c>
      <c r="H181" t="s">
        <v>90</v>
      </c>
      <c r="I181" t="s">
        <v>103</v>
      </c>
      <c r="J181" t="s">
        <v>73</v>
      </c>
      <c r="K181">
        <v>1</v>
      </c>
      <c r="L181">
        <v>-19.90317090321172</v>
      </c>
      <c r="M181">
        <v>0</v>
      </c>
      <c r="N181">
        <v>1</v>
      </c>
    </row>
    <row r="182" spans="4:14" x14ac:dyDescent="0.3">
      <c r="D182" t="s">
        <v>102</v>
      </c>
      <c r="E182" t="s">
        <v>58</v>
      </c>
      <c r="F182" t="s">
        <v>89</v>
      </c>
      <c r="G182">
        <v>2018</v>
      </c>
      <c r="H182" t="s">
        <v>90</v>
      </c>
      <c r="I182" t="s">
        <v>103</v>
      </c>
      <c r="J182" t="s">
        <v>73</v>
      </c>
      <c r="K182">
        <v>1</v>
      </c>
      <c r="L182">
        <v>-19.744621237821221</v>
      </c>
      <c r="M182">
        <v>0</v>
      </c>
      <c r="N182">
        <v>1</v>
      </c>
    </row>
    <row r="183" spans="4:14" x14ac:dyDescent="0.3">
      <c r="D183" t="s">
        <v>102</v>
      </c>
      <c r="E183" t="s">
        <v>58</v>
      </c>
      <c r="F183" t="s">
        <v>89</v>
      </c>
      <c r="G183">
        <v>2020</v>
      </c>
      <c r="H183" t="s">
        <v>90</v>
      </c>
      <c r="I183" t="s">
        <v>103</v>
      </c>
      <c r="J183" t="s">
        <v>73</v>
      </c>
      <c r="K183">
        <v>1</v>
      </c>
      <c r="L183">
        <v>0</v>
      </c>
      <c r="M183">
        <v>0</v>
      </c>
      <c r="N183">
        <v>1</v>
      </c>
    </row>
    <row r="184" spans="4:14" x14ac:dyDescent="0.3">
      <c r="D184" t="s">
        <v>102</v>
      </c>
      <c r="E184" t="s">
        <v>58</v>
      </c>
      <c r="F184" t="s">
        <v>89</v>
      </c>
      <c r="G184" t="s">
        <v>104</v>
      </c>
      <c r="H184" t="s">
        <v>90</v>
      </c>
      <c r="I184" t="s">
        <v>103</v>
      </c>
      <c r="J184" t="s">
        <v>73</v>
      </c>
      <c r="K184">
        <v>1</v>
      </c>
      <c r="L184">
        <v>-9.9515854516058599</v>
      </c>
      <c r="M184">
        <v>0</v>
      </c>
      <c r="N184">
        <v>1</v>
      </c>
    </row>
    <row r="185" spans="4:14" x14ac:dyDescent="0.3">
      <c r="D185" t="s">
        <v>102</v>
      </c>
      <c r="E185" t="s">
        <v>59</v>
      </c>
      <c r="F185" t="s">
        <v>89</v>
      </c>
      <c r="G185">
        <v>2017</v>
      </c>
      <c r="H185" t="s">
        <v>90</v>
      </c>
      <c r="I185" t="s">
        <v>103</v>
      </c>
      <c r="J185" t="s">
        <v>73</v>
      </c>
      <c r="K185">
        <v>1</v>
      </c>
      <c r="L185">
        <v>-10.865445541925963</v>
      </c>
      <c r="M185">
        <v>0</v>
      </c>
      <c r="N185">
        <v>1</v>
      </c>
    </row>
    <row r="186" spans="4:14" x14ac:dyDescent="0.3">
      <c r="D186" t="s">
        <v>102</v>
      </c>
      <c r="E186" t="s">
        <v>59</v>
      </c>
      <c r="F186" t="s">
        <v>89</v>
      </c>
      <c r="G186">
        <v>2018</v>
      </c>
      <c r="H186" t="s">
        <v>90</v>
      </c>
      <c r="I186" t="s">
        <v>103</v>
      </c>
      <c r="J186" t="s">
        <v>73</v>
      </c>
      <c r="K186">
        <v>1</v>
      </c>
      <c r="L186">
        <v>-11.05900461161507</v>
      </c>
      <c r="M186">
        <v>0</v>
      </c>
      <c r="N186">
        <v>1</v>
      </c>
    </row>
    <row r="187" spans="4:14" x14ac:dyDescent="0.3">
      <c r="D187" t="s">
        <v>102</v>
      </c>
      <c r="E187" t="s">
        <v>59</v>
      </c>
      <c r="F187" t="s">
        <v>89</v>
      </c>
      <c r="G187">
        <v>2020</v>
      </c>
      <c r="H187" t="s">
        <v>90</v>
      </c>
      <c r="I187" t="s">
        <v>103</v>
      </c>
      <c r="J187" t="s">
        <v>73</v>
      </c>
      <c r="K187">
        <v>1</v>
      </c>
      <c r="L187">
        <v>0</v>
      </c>
      <c r="M187">
        <v>0</v>
      </c>
      <c r="N187">
        <v>1</v>
      </c>
    </row>
    <row r="188" spans="4:14" x14ac:dyDescent="0.3">
      <c r="D188" t="s">
        <v>102</v>
      </c>
      <c r="E188" t="s">
        <v>59</v>
      </c>
      <c r="F188" t="s">
        <v>89</v>
      </c>
      <c r="G188" t="s">
        <v>104</v>
      </c>
      <c r="H188" t="s">
        <v>90</v>
      </c>
      <c r="I188" t="s">
        <v>103</v>
      </c>
      <c r="J188" t="s">
        <v>73</v>
      </c>
      <c r="K188">
        <v>1</v>
      </c>
      <c r="L188">
        <v>-5.5295023058075348</v>
      </c>
      <c r="M188">
        <v>0</v>
      </c>
      <c r="N188">
        <v>1</v>
      </c>
    </row>
    <row r="189" spans="4:14" x14ac:dyDescent="0.3">
      <c r="D189" t="s">
        <v>102</v>
      </c>
      <c r="E189" t="s">
        <v>60</v>
      </c>
      <c r="F189" t="s">
        <v>89</v>
      </c>
      <c r="G189">
        <v>2017</v>
      </c>
      <c r="H189" t="s">
        <v>90</v>
      </c>
      <c r="I189" t="s">
        <v>103</v>
      </c>
      <c r="J189" t="s">
        <v>73</v>
      </c>
      <c r="K189">
        <v>1</v>
      </c>
      <c r="L189">
        <v>-17.141108421051275</v>
      </c>
      <c r="M189">
        <v>0</v>
      </c>
      <c r="N189">
        <v>1</v>
      </c>
    </row>
    <row r="190" spans="4:14" x14ac:dyDescent="0.3">
      <c r="D190" t="s">
        <v>102</v>
      </c>
      <c r="E190" t="s">
        <v>60</v>
      </c>
      <c r="F190" t="s">
        <v>89</v>
      </c>
      <c r="G190">
        <v>2018</v>
      </c>
      <c r="H190" t="s">
        <v>90</v>
      </c>
      <c r="I190" t="s">
        <v>103</v>
      </c>
      <c r="J190" t="s">
        <v>73</v>
      </c>
      <c r="K190">
        <v>1</v>
      </c>
      <c r="L190">
        <v>-16.855238144062046</v>
      </c>
      <c r="M190">
        <v>0</v>
      </c>
      <c r="N190">
        <v>1</v>
      </c>
    </row>
    <row r="191" spans="4:14" x14ac:dyDescent="0.3">
      <c r="D191" t="s">
        <v>102</v>
      </c>
      <c r="E191" t="s">
        <v>60</v>
      </c>
      <c r="F191" t="s">
        <v>89</v>
      </c>
      <c r="G191">
        <v>2020</v>
      </c>
      <c r="H191" t="s">
        <v>90</v>
      </c>
      <c r="I191" t="s">
        <v>103</v>
      </c>
      <c r="J191" t="s">
        <v>73</v>
      </c>
      <c r="K191">
        <v>1</v>
      </c>
      <c r="L191">
        <v>0</v>
      </c>
      <c r="M191">
        <v>0</v>
      </c>
      <c r="N191">
        <v>1</v>
      </c>
    </row>
    <row r="192" spans="4:14" x14ac:dyDescent="0.3">
      <c r="D192" t="s">
        <v>102</v>
      </c>
      <c r="E192" t="s">
        <v>60</v>
      </c>
      <c r="F192" t="s">
        <v>89</v>
      </c>
      <c r="G192" t="s">
        <v>104</v>
      </c>
      <c r="H192" t="s">
        <v>90</v>
      </c>
      <c r="I192" t="s">
        <v>103</v>
      </c>
      <c r="J192" t="s">
        <v>73</v>
      </c>
      <c r="K192">
        <v>1</v>
      </c>
      <c r="L192">
        <v>-8.5705542105256374</v>
      </c>
      <c r="M192">
        <v>0</v>
      </c>
      <c r="N192">
        <v>1</v>
      </c>
    </row>
    <row r="193" spans="4:14" x14ac:dyDescent="0.3">
      <c r="D193" t="s">
        <v>105</v>
      </c>
      <c r="E193" t="s">
        <v>42</v>
      </c>
      <c r="F193" t="s">
        <v>89</v>
      </c>
      <c r="G193">
        <v>2017</v>
      </c>
      <c r="H193" t="s">
        <v>90</v>
      </c>
      <c r="I193" t="s">
        <v>103</v>
      </c>
      <c r="J193" t="s">
        <v>93</v>
      </c>
      <c r="K193">
        <v>1</v>
      </c>
      <c r="L193">
        <v>-22.227034614533075</v>
      </c>
      <c r="M193">
        <v>0</v>
      </c>
      <c r="N193">
        <v>1</v>
      </c>
    </row>
    <row r="194" spans="4:14" x14ac:dyDescent="0.3">
      <c r="D194" t="s">
        <v>105</v>
      </c>
      <c r="E194" t="s">
        <v>42</v>
      </c>
      <c r="F194" t="s">
        <v>89</v>
      </c>
      <c r="G194">
        <v>2018</v>
      </c>
      <c r="H194" t="s">
        <v>90</v>
      </c>
      <c r="I194" t="s">
        <v>103</v>
      </c>
      <c r="J194" t="s">
        <v>93</v>
      </c>
      <c r="K194">
        <v>1</v>
      </c>
      <c r="L194">
        <v>-21.687503412402531</v>
      </c>
      <c r="M194">
        <v>0</v>
      </c>
      <c r="N194">
        <v>1</v>
      </c>
    </row>
    <row r="195" spans="4:14" x14ac:dyDescent="0.3">
      <c r="D195" t="s">
        <v>105</v>
      </c>
      <c r="E195" t="s">
        <v>42</v>
      </c>
      <c r="F195" t="s">
        <v>89</v>
      </c>
      <c r="G195">
        <v>2030</v>
      </c>
      <c r="H195" t="s">
        <v>90</v>
      </c>
      <c r="I195" t="s">
        <v>103</v>
      </c>
      <c r="J195" t="s">
        <v>93</v>
      </c>
      <c r="K195">
        <v>1</v>
      </c>
      <c r="L195">
        <v>-22.227034614533075</v>
      </c>
      <c r="M195">
        <v>0</v>
      </c>
      <c r="N195">
        <v>1</v>
      </c>
    </row>
    <row r="196" spans="4:14" x14ac:dyDescent="0.3">
      <c r="D196" t="s">
        <v>105</v>
      </c>
      <c r="E196" t="s">
        <v>44</v>
      </c>
      <c r="F196" t="s">
        <v>89</v>
      </c>
      <c r="G196">
        <v>2017</v>
      </c>
      <c r="H196" t="s">
        <v>90</v>
      </c>
      <c r="I196" t="s">
        <v>103</v>
      </c>
      <c r="J196" t="s">
        <v>93</v>
      </c>
      <c r="K196">
        <v>1</v>
      </c>
      <c r="L196">
        <v>-21.85601375282334</v>
      </c>
      <c r="M196">
        <v>0</v>
      </c>
      <c r="N196">
        <v>1</v>
      </c>
    </row>
    <row r="197" spans="4:14" x14ac:dyDescent="0.3">
      <c r="D197" t="s">
        <v>105</v>
      </c>
      <c r="E197" t="s">
        <v>44</v>
      </c>
      <c r="F197" t="s">
        <v>89</v>
      </c>
      <c r="G197">
        <v>2018</v>
      </c>
      <c r="H197" t="s">
        <v>90</v>
      </c>
      <c r="I197" t="s">
        <v>103</v>
      </c>
      <c r="J197" t="s">
        <v>93</v>
      </c>
      <c r="K197">
        <v>1</v>
      </c>
      <c r="L197">
        <v>-21.105937644282569</v>
      </c>
      <c r="M197">
        <v>0</v>
      </c>
      <c r="N197">
        <v>1</v>
      </c>
    </row>
    <row r="198" spans="4:14" x14ac:dyDescent="0.3">
      <c r="D198" t="s">
        <v>105</v>
      </c>
      <c r="E198" t="s">
        <v>44</v>
      </c>
      <c r="F198" t="s">
        <v>89</v>
      </c>
      <c r="G198">
        <v>2030</v>
      </c>
      <c r="H198" t="s">
        <v>90</v>
      </c>
      <c r="I198" t="s">
        <v>103</v>
      </c>
      <c r="J198" t="s">
        <v>93</v>
      </c>
      <c r="K198">
        <v>1</v>
      </c>
      <c r="L198">
        <v>-21.85601375282334</v>
      </c>
      <c r="M198">
        <v>0</v>
      </c>
      <c r="N198">
        <v>1</v>
      </c>
    </row>
    <row r="199" spans="4:14" x14ac:dyDescent="0.3">
      <c r="D199" t="s">
        <v>105</v>
      </c>
      <c r="E199" t="s">
        <v>46</v>
      </c>
      <c r="F199" t="s">
        <v>89</v>
      </c>
      <c r="G199">
        <v>2017</v>
      </c>
      <c r="H199" t="s">
        <v>90</v>
      </c>
      <c r="I199" t="s">
        <v>103</v>
      </c>
      <c r="J199" t="s">
        <v>93</v>
      </c>
      <c r="K199">
        <v>1</v>
      </c>
      <c r="L199">
        <v>-14.670472219825976</v>
      </c>
      <c r="M199">
        <v>0</v>
      </c>
      <c r="N199">
        <v>1</v>
      </c>
    </row>
    <row r="200" spans="4:14" x14ac:dyDescent="0.3">
      <c r="D200" t="s">
        <v>105</v>
      </c>
      <c r="E200" t="s">
        <v>46</v>
      </c>
      <c r="F200" t="s">
        <v>89</v>
      </c>
      <c r="G200">
        <v>2018</v>
      </c>
      <c r="H200" t="s">
        <v>90</v>
      </c>
      <c r="I200" t="s">
        <v>103</v>
      </c>
      <c r="J200" t="s">
        <v>93</v>
      </c>
      <c r="K200">
        <v>1</v>
      </c>
      <c r="L200">
        <v>-15.221964441099207</v>
      </c>
      <c r="M200">
        <v>0</v>
      </c>
      <c r="N200">
        <v>1</v>
      </c>
    </row>
    <row r="201" spans="4:14" x14ac:dyDescent="0.3">
      <c r="D201" t="s">
        <v>105</v>
      </c>
      <c r="E201" t="s">
        <v>46</v>
      </c>
      <c r="F201" t="s">
        <v>89</v>
      </c>
      <c r="G201">
        <v>2030</v>
      </c>
      <c r="H201" t="s">
        <v>90</v>
      </c>
      <c r="I201" t="s">
        <v>103</v>
      </c>
      <c r="J201" t="s">
        <v>93</v>
      </c>
      <c r="K201">
        <v>1</v>
      </c>
      <c r="L201">
        <v>-15.221964441099207</v>
      </c>
      <c r="M201">
        <v>0</v>
      </c>
      <c r="N201">
        <v>1</v>
      </c>
    </row>
    <row r="202" spans="4:14" x14ac:dyDescent="0.3">
      <c r="D202" t="s">
        <v>105</v>
      </c>
      <c r="E202" t="s">
        <v>50</v>
      </c>
      <c r="F202" t="s">
        <v>89</v>
      </c>
      <c r="G202">
        <v>2017</v>
      </c>
      <c r="H202" t="s">
        <v>90</v>
      </c>
      <c r="I202" t="s">
        <v>103</v>
      </c>
      <c r="J202" t="s">
        <v>93</v>
      </c>
      <c r="K202">
        <v>1</v>
      </c>
      <c r="L202">
        <v>-15.445117750893299</v>
      </c>
      <c r="M202">
        <v>0</v>
      </c>
      <c r="N202">
        <v>1</v>
      </c>
    </row>
    <row r="203" spans="4:14" x14ac:dyDescent="0.3">
      <c r="D203" t="s">
        <v>105</v>
      </c>
      <c r="E203" t="s">
        <v>50</v>
      </c>
      <c r="F203" t="s">
        <v>89</v>
      </c>
      <c r="G203">
        <v>2018</v>
      </c>
      <c r="H203" t="s">
        <v>90</v>
      </c>
      <c r="I203" t="s">
        <v>103</v>
      </c>
      <c r="J203" t="s">
        <v>93</v>
      </c>
      <c r="K203">
        <v>1</v>
      </c>
      <c r="L203">
        <v>-14.945896619646602</v>
      </c>
      <c r="M203">
        <v>0</v>
      </c>
      <c r="N203">
        <v>1</v>
      </c>
    </row>
    <row r="204" spans="4:14" x14ac:dyDescent="0.3">
      <c r="D204" t="s">
        <v>105</v>
      </c>
      <c r="E204" t="s">
        <v>50</v>
      </c>
      <c r="F204" t="s">
        <v>89</v>
      </c>
      <c r="G204">
        <v>2030</v>
      </c>
      <c r="H204" t="s">
        <v>90</v>
      </c>
      <c r="I204" t="s">
        <v>103</v>
      </c>
      <c r="J204" t="s">
        <v>93</v>
      </c>
      <c r="K204">
        <v>1</v>
      </c>
      <c r="L204">
        <v>-15.445117750893299</v>
      </c>
      <c r="M204">
        <v>0</v>
      </c>
      <c r="N204">
        <v>1</v>
      </c>
    </row>
    <row r="205" spans="4:14" x14ac:dyDescent="0.3">
      <c r="D205" t="s">
        <v>105</v>
      </c>
      <c r="E205" t="s">
        <v>56</v>
      </c>
      <c r="F205" t="s">
        <v>89</v>
      </c>
      <c r="G205">
        <v>2017</v>
      </c>
      <c r="H205" t="s">
        <v>90</v>
      </c>
      <c r="I205" t="s">
        <v>103</v>
      </c>
      <c r="J205" t="s">
        <v>93</v>
      </c>
      <c r="K205">
        <v>1</v>
      </c>
      <c r="L205">
        <v>-19.171569297986498</v>
      </c>
      <c r="M205">
        <v>0</v>
      </c>
      <c r="N205">
        <v>1</v>
      </c>
    </row>
    <row r="206" spans="4:14" x14ac:dyDescent="0.3">
      <c r="D206" t="s">
        <v>105</v>
      </c>
      <c r="E206" t="s">
        <v>56</v>
      </c>
      <c r="F206" t="s">
        <v>89</v>
      </c>
      <c r="G206">
        <v>2018</v>
      </c>
      <c r="H206" t="s">
        <v>90</v>
      </c>
      <c r="I206" t="s">
        <v>103</v>
      </c>
      <c r="J206" t="s">
        <v>93</v>
      </c>
      <c r="K206">
        <v>1</v>
      </c>
      <c r="L206">
        <v>-20.728897138177196</v>
      </c>
      <c r="M206">
        <v>0</v>
      </c>
      <c r="N206">
        <v>1</v>
      </c>
    </row>
    <row r="207" spans="4:14" x14ac:dyDescent="0.3">
      <c r="D207" t="s">
        <v>105</v>
      </c>
      <c r="E207" t="s">
        <v>56</v>
      </c>
      <c r="F207" t="s">
        <v>89</v>
      </c>
      <c r="G207">
        <v>2030</v>
      </c>
      <c r="H207" t="s">
        <v>90</v>
      </c>
      <c r="I207" t="s">
        <v>103</v>
      </c>
      <c r="J207" t="s">
        <v>93</v>
      </c>
      <c r="K207">
        <v>1</v>
      </c>
      <c r="L207">
        <v>-20.728897138177196</v>
      </c>
      <c r="M207">
        <v>0</v>
      </c>
      <c r="N207">
        <v>1</v>
      </c>
    </row>
    <row r="208" spans="4:14" x14ac:dyDescent="0.3">
      <c r="D208" t="s">
        <v>105</v>
      </c>
      <c r="E208" t="s">
        <v>57</v>
      </c>
      <c r="F208" t="s">
        <v>89</v>
      </c>
      <c r="G208">
        <v>2017</v>
      </c>
      <c r="H208" t="s">
        <v>90</v>
      </c>
      <c r="I208" t="s">
        <v>103</v>
      </c>
      <c r="J208" t="s">
        <v>93</v>
      </c>
      <c r="K208">
        <v>1</v>
      </c>
      <c r="L208">
        <v>-11.084384330368643</v>
      </c>
      <c r="M208">
        <v>0</v>
      </c>
      <c r="N208">
        <v>1</v>
      </c>
    </row>
    <row r="209" spans="4:14" x14ac:dyDescent="0.3">
      <c r="D209" t="s">
        <v>105</v>
      </c>
      <c r="E209" t="s">
        <v>57</v>
      </c>
      <c r="F209" t="s">
        <v>89</v>
      </c>
      <c r="G209">
        <v>2018</v>
      </c>
      <c r="H209" t="s">
        <v>90</v>
      </c>
      <c r="I209" t="s">
        <v>103</v>
      </c>
      <c r="J209" t="s">
        <v>93</v>
      </c>
      <c r="K209">
        <v>1</v>
      </c>
      <c r="L209">
        <v>-11.264920651515025</v>
      </c>
      <c r="M209">
        <v>0</v>
      </c>
      <c r="N209">
        <v>1</v>
      </c>
    </row>
    <row r="210" spans="4:14" x14ac:dyDescent="0.3">
      <c r="D210" t="s">
        <v>105</v>
      </c>
      <c r="E210" t="s">
        <v>57</v>
      </c>
      <c r="F210" t="s">
        <v>89</v>
      </c>
      <c r="G210">
        <v>2030</v>
      </c>
      <c r="H210" t="s">
        <v>90</v>
      </c>
      <c r="I210" t="s">
        <v>103</v>
      </c>
      <c r="J210" t="s">
        <v>93</v>
      </c>
      <c r="K210">
        <v>1</v>
      </c>
      <c r="L210">
        <v>-11.264920651515025</v>
      </c>
      <c r="M210">
        <v>0</v>
      </c>
      <c r="N210">
        <v>1</v>
      </c>
    </row>
    <row r="211" spans="4:14" x14ac:dyDescent="0.3">
      <c r="D211" t="s">
        <v>105</v>
      </c>
      <c r="E211" t="s">
        <v>58</v>
      </c>
      <c r="F211" t="s">
        <v>89</v>
      </c>
      <c r="G211">
        <v>2017</v>
      </c>
      <c r="H211" t="s">
        <v>90</v>
      </c>
      <c r="I211" t="s">
        <v>103</v>
      </c>
      <c r="J211" t="s">
        <v>93</v>
      </c>
      <c r="K211">
        <v>1</v>
      </c>
      <c r="L211">
        <v>-21.324825967726845</v>
      </c>
      <c r="M211">
        <v>0</v>
      </c>
      <c r="N211">
        <v>1</v>
      </c>
    </row>
    <row r="212" spans="4:14" x14ac:dyDescent="0.3">
      <c r="D212" t="s">
        <v>105</v>
      </c>
      <c r="E212" t="s">
        <v>58</v>
      </c>
      <c r="F212" t="s">
        <v>89</v>
      </c>
      <c r="G212">
        <v>2018</v>
      </c>
      <c r="H212" t="s">
        <v>90</v>
      </c>
      <c r="I212" t="s">
        <v>103</v>
      </c>
      <c r="J212" t="s">
        <v>93</v>
      </c>
      <c r="K212">
        <v>1</v>
      </c>
      <c r="L212">
        <v>-21.154951326237025</v>
      </c>
      <c r="M212">
        <v>0</v>
      </c>
      <c r="N212">
        <v>1</v>
      </c>
    </row>
    <row r="213" spans="4:14" x14ac:dyDescent="0.3">
      <c r="D213" t="s">
        <v>105</v>
      </c>
      <c r="E213" t="s">
        <v>58</v>
      </c>
      <c r="F213" t="s">
        <v>89</v>
      </c>
      <c r="G213">
        <v>2030</v>
      </c>
      <c r="H213" t="s">
        <v>90</v>
      </c>
      <c r="I213" t="s">
        <v>103</v>
      </c>
      <c r="J213" t="s">
        <v>93</v>
      </c>
      <c r="K213">
        <v>1</v>
      </c>
      <c r="L213">
        <v>-21.324825967726845</v>
      </c>
      <c r="M213">
        <v>0</v>
      </c>
      <c r="N213">
        <v>1</v>
      </c>
    </row>
    <row r="214" spans="4:14" x14ac:dyDescent="0.3">
      <c r="D214" t="s">
        <v>105</v>
      </c>
      <c r="E214" t="s">
        <v>59</v>
      </c>
      <c r="F214" t="s">
        <v>89</v>
      </c>
      <c r="G214">
        <v>2017</v>
      </c>
      <c r="H214" t="s">
        <v>90</v>
      </c>
      <c r="I214" t="s">
        <v>103</v>
      </c>
      <c r="J214" t="s">
        <v>93</v>
      </c>
      <c r="K214">
        <v>1</v>
      </c>
      <c r="L214">
        <v>-11.641548794920675</v>
      </c>
      <c r="M214">
        <v>0</v>
      </c>
      <c r="N214">
        <v>1</v>
      </c>
    </row>
    <row r="215" spans="4:14" x14ac:dyDescent="0.3">
      <c r="D215" t="s">
        <v>105</v>
      </c>
      <c r="E215" t="s">
        <v>59</v>
      </c>
      <c r="F215" t="s">
        <v>89</v>
      </c>
      <c r="G215">
        <v>2018</v>
      </c>
      <c r="H215" t="s">
        <v>90</v>
      </c>
      <c r="I215" t="s">
        <v>103</v>
      </c>
      <c r="J215" t="s">
        <v>93</v>
      </c>
      <c r="K215">
        <v>1</v>
      </c>
      <c r="L215">
        <v>-11.848933512444718</v>
      </c>
      <c r="M215">
        <v>0</v>
      </c>
      <c r="N215">
        <v>1</v>
      </c>
    </row>
    <row r="216" spans="4:14" x14ac:dyDescent="0.3">
      <c r="D216" t="s">
        <v>105</v>
      </c>
      <c r="E216" t="s">
        <v>59</v>
      </c>
      <c r="F216" t="s">
        <v>89</v>
      </c>
      <c r="G216">
        <v>2030</v>
      </c>
      <c r="H216" t="s">
        <v>90</v>
      </c>
      <c r="I216" t="s">
        <v>103</v>
      </c>
      <c r="J216" t="s">
        <v>93</v>
      </c>
      <c r="K216">
        <v>1</v>
      </c>
      <c r="L216">
        <v>-11.848933512444718</v>
      </c>
      <c r="M216">
        <v>0</v>
      </c>
      <c r="N216">
        <v>1</v>
      </c>
    </row>
    <row r="217" spans="4:14" x14ac:dyDescent="0.3">
      <c r="D217" t="s">
        <v>105</v>
      </c>
      <c r="E217" t="s">
        <v>60</v>
      </c>
      <c r="F217" t="s">
        <v>89</v>
      </c>
      <c r="G217">
        <v>2017</v>
      </c>
      <c r="H217" t="s">
        <v>90</v>
      </c>
      <c r="I217" t="s">
        <v>103</v>
      </c>
      <c r="J217" t="s">
        <v>93</v>
      </c>
      <c r="K217">
        <v>1</v>
      </c>
      <c r="L217">
        <v>-18.365473308269223</v>
      </c>
      <c r="M217">
        <v>0</v>
      </c>
      <c r="N217">
        <v>1</v>
      </c>
    </row>
    <row r="218" spans="4:14" x14ac:dyDescent="0.3">
      <c r="D218" t="s">
        <v>105</v>
      </c>
      <c r="E218" t="s">
        <v>60</v>
      </c>
      <c r="F218" t="s">
        <v>89</v>
      </c>
      <c r="G218">
        <v>2018</v>
      </c>
      <c r="H218" t="s">
        <v>90</v>
      </c>
      <c r="I218" t="s">
        <v>103</v>
      </c>
      <c r="J218" t="s">
        <v>93</v>
      </c>
      <c r="K218">
        <v>1</v>
      </c>
      <c r="L218">
        <v>-18.059183725780766</v>
      </c>
      <c r="M218">
        <v>0</v>
      </c>
      <c r="N218">
        <v>1</v>
      </c>
    </row>
    <row r="219" spans="4:14" x14ac:dyDescent="0.3">
      <c r="D219" t="s">
        <v>105</v>
      </c>
      <c r="E219" t="s">
        <v>60</v>
      </c>
      <c r="F219" t="s">
        <v>89</v>
      </c>
      <c r="G219">
        <v>2030</v>
      </c>
      <c r="H219" t="s">
        <v>90</v>
      </c>
      <c r="I219" t="s">
        <v>103</v>
      </c>
      <c r="J219" t="s">
        <v>93</v>
      </c>
      <c r="K219">
        <v>1</v>
      </c>
      <c r="L219">
        <v>-18.365473308269223</v>
      </c>
      <c r="M219">
        <v>0</v>
      </c>
      <c r="N219">
        <v>1</v>
      </c>
    </row>
    <row r="220" spans="4:14" x14ac:dyDescent="0.3">
      <c r="D220" t="s">
        <v>106</v>
      </c>
      <c r="E220" t="s">
        <v>33</v>
      </c>
      <c r="F220" t="s">
        <v>89</v>
      </c>
      <c r="G220">
        <v>2017</v>
      </c>
      <c r="H220" t="s">
        <v>95</v>
      </c>
      <c r="I220" t="s">
        <v>103</v>
      </c>
      <c r="J220" t="s">
        <v>73</v>
      </c>
      <c r="K220">
        <v>1</v>
      </c>
      <c r="L220">
        <v>-18.981770074917137</v>
      </c>
      <c r="M220">
        <v>0</v>
      </c>
      <c r="N220">
        <v>1</v>
      </c>
    </row>
    <row r="221" spans="4:14" x14ac:dyDescent="0.3">
      <c r="D221" t="s">
        <v>106</v>
      </c>
      <c r="E221" t="s">
        <v>33</v>
      </c>
      <c r="F221" t="s">
        <v>89</v>
      </c>
      <c r="G221">
        <v>2018</v>
      </c>
      <c r="H221" t="s">
        <v>95</v>
      </c>
      <c r="I221" t="s">
        <v>103</v>
      </c>
      <c r="J221" t="s">
        <v>73</v>
      </c>
      <c r="K221">
        <v>1</v>
      </c>
      <c r="L221">
        <v>-18.871257252763048</v>
      </c>
      <c r="M221">
        <v>0</v>
      </c>
      <c r="N221">
        <v>1</v>
      </c>
    </row>
    <row r="222" spans="4:14" x14ac:dyDescent="0.3">
      <c r="D222" t="s">
        <v>106</v>
      </c>
      <c r="E222" t="s">
        <v>33</v>
      </c>
      <c r="F222" t="s">
        <v>89</v>
      </c>
      <c r="G222">
        <v>2020</v>
      </c>
      <c r="H222" t="s">
        <v>95</v>
      </c>
      <c r="I222" t="s">
        <v>103</v>
      </c>
      <c r="J222" t="s">
        <v>73</v>
      </c>
      <c r="K222">
        <v>1</v>
      </c>
      <c r="L222">
        <v>0</v>
      </c>
      <c r="M222">
        <v>0</v>
      </c>
      <c r="N222">
        <v>1</v>
      </c>
    </row>
    <row r="223" spans="4:14" x14ac:dyDescent="0.3">
      <c r="D223" t="s">
        <v>106</v>
      </c>
      <c r="E223" t="s">
        <v>33</v>
      </c>
      <c r="F223" t="s">
        <v>89</v>
      </c>
      <c r="G223" t="s">
        <v>104</v>
      </c>
      <c r="H223" t="s">
        <v>95</v>
      </c>
      <c r="I223" t="s">
        <v>103</v>
      </c>
      <c r="J223" t="s">
        <v>73</v>
      </c>
      <c r="K223">
        <v>1</v>
      </c>
      <c r="L223">
        <v>-9.4908850374585683</v>
      </c>
      <c r="M223">
        <v>0</v>
      </c>
      <c r="N223">
        <v>1</v>
      </c>
    </row>
    <row r="224" spans="4:14" x14ac:dyDescent="0.3">
      <c r="D224" t="s">
        <v>106</v>
      </c>
      <c r="E224" t="s">
        <v>41</v>
      </c>
      <c r="F224" t="s">
        <v>89</v>
      </c>
      <c r="G224">
        <v>2017</v>
      </c>
      <c r="H224" t="s">
        <v>95</v>
      </c>
      <c r="I224" t="s">
        <v>103</v>
      </c>
      <c r="J224" t="s">
        <v>73</v>
      </c>
      <c r="K224">
        <v>1</v>
      </c>
      <c r="L224">
        <v>-18.981770074917129</v>
      </c>
      <c r="M224">
        <v>0</v>
      </c>
      <c r="N224">
        <v>1</v>
      </c>
    </row>
    <row r="225" spans="4:14" x14ac:dyDescent="0.3">
      <c r="D225" t="s">
        <v>106</v>
      </c>
      <c r="E225" t="s">
        <v>41</v>
      </c>
      <c r="F225" t="s">
        <v>89</v>
      </c>
      <c r="G225">
        <v>2018</v>
      </c>
      <c r="H225" t="s">
        <v>95</v>
      </c>
      <c r="I225" t="s">
        <v>103</v>
      </c>
      <c r="J225" t="s">
        <v>73</v>
      </c>
      <c r="K225">
        <v>1</v>
      </c>
      <c r="L225">
        <v>-18.871257252763048</v>
      </c>
      <c r="M225">
        <v>0</v>
      </c>
      <c r="N225">
        <v>1</v>
      </c>
    </row>
    <row r="226" spans="4:14" x14ac:dyDescent="0.3">
      <c r="D226" t="s">
        <v>106</v>
      </c>
      <c r="E226" t="s">
        <v>41</v>
      </c>
      <c r="F226" t="s">
        <v>89</v>
      </c>
      <c r="G226">
        <v>2020</v>
      </c>
      <c r="H226" t="s">
        <v>95</v>
      </c>
      <c r="I226" t="s">
        <v>103</v>
      </c>
      <c r="J226" t="s">
        <v>73</v>
      </c>
      <c r="K226">
        <v>1</v>
      </c>
      <c r="L226">
        <v>0</v>
      </c>
      <c r="M226">
        <v>0</v>
      </c>
      <c r="N226">
        <v>1</v>
      </c>
    </row>
    <row r="227" spans="4:14" x14ac:dyDescent="0.3">
      <c r="D227" t="s">
        <v>106</v>
      </c>
      <c r="E227" t="s">
        <v>41</v>
      </c>
      <c r="F227" t="s">
        <v>89</v>
      </c>
      <c r="G227" t="s">
        <v>104</v>
      </c>
      <c r="H227" t="s">
        <v>95</v>
      </c>
      <c r="I227" t="s">
        <v>103</v>
      </c>
      <c r="J227" t="s">
        <v>73</v>
      </c>
      <c r="K227">
        <v>1</v>
      </c>
      <c r="L227">
        <v>-9.4908850374585647</v>
      </c>
      <c r="M227">
        <v>0</v>
      </c>
      <c r="N227">
        <v>1</v>
      </c>
    </row>
    <row r="228" spans="4:14" x14ac:dyDescent="0.3">
      <c r="D228" t="s">
        <v>106</v>
      </c>
      <c r="E228" t="s">
        <v>42</v>
      </c>
      <c r="F228" t="s">
        <v>89</v>
      </c>
      <c r="G228">
        <v>2017</v>
      </c>
      <c r="H228" t="s">
        <v>95</v>
      </c>
      <c r="I228" t="s">
        <v>103</v>
      </c>
      <c r="J228" t="s">
        <v>73</v>
      </c>
      <c r="K228">
        <v>1</v>
      </c>
      <c r="L228">
        <v>-20.745232306897538</v>
      </c>
      <c r="M228">
        <v>0</v>
      </c>
      <c r="N228">
        <v>1</v>
      </c>
    </row>
    <row r="229" spans="4:14" x14ac:dyDescent="0.3">
      <c r="D229" t="s">
        <v>106</v>
      </c>
      <c r="E229" t="s">
        <v>42</v>
      </c>
      <c r="F229" t="s">
        <v>89</v>
      </c>
      <c r="G229">
        <v>2018</v>
      </c>
      <c r="H229" t="s">
        <v>95</v>
      </c>
      <c r="I229" t="s">
        <v>103</v>
      </c>
      <c r="J229" t="s">
        <v>73</v>
      </c>
      <c r="K229">
        <v>1</v>
      </c>
      <c r="L229">
        <v>-20.241669851575693</v>
      </c>
      <c r="M229">
        <v>0</v>
      </c>
      <c r="N229">
        <v>1</v>
      </c>
    </row>
    <row r="230" spans="4:14" x14ac:dyDescent="0.3">
      <c r="D230" t="s">
        <v>106</v>
      </c>
      <c r="E230" t="s">
        <v>42</v>
      </c>
      <c r="F230" t="s">
        <v>89</v>
      </c>
      <c r="G230">
        <v>2020</v>
      </c>
      <c r="H230" t="s">
        <v>95</v>
      </c>
      <c r="I230" t="s">
        <v>103</v>
      </c>
      <c r="J230" t="s">
        <v>73</v>
      </c>
      <c r="K230">
        <v>1</v>
      </c>
      <c r="L230">
        <v>0</v>
      </c>
      <c r="M230">
        <v>0</v>
      </c>
      <c r="N230">
        <v>1</v>
      </c>
    </row>
    <row r="231" spans="4:14" x14ac:dyDescent="0.3">
      <c r="D231" t="s">
        <v>106</v>
      </c>
      <c r="E231" t="s">
        <v>42</v>
      </c>
      <c r="F231" t="s">
        <v>89</v>
      </c>
      <c r="G231" t="s">
        <v>104</v>
      </c>
      <c r="H231" t="s">
        <v>95</v>
      </c>
      <c r="I231" t="s">
        <v>103</v>
      </c>
      <c r="J231" t="s">
        <v>73</v>
      </c>
      <c r="K231">
        <v>1</v>
      </c>
      <c r="L231">
        <v>-10.372616153448769</v>
      </c>
      <c r="M231">
        <v>0</v>
      </c>
      <c r="N231">
        <v>1</v>
      </c>
    </row>
    <row r="232" spans="4:14" x14ac:dyDescent="0.3">
      <c r="D232" t="s">
        <v>106</v>
      </c>
      <c r="E232" t="s">
        <v>44</v>
      </c>
      <c r="F232" t="s">
        <v>89</v>
      </c>
      <c r="G232">
        <v>2017</v>
      </c>
      <c r="H232" t="s">
        <v>95</v>
      </c>
      <c r="I232" t="s">
        <v>103</v>
      </c>
      <c r="J232" t="s">
        <v>73</v>
      </c>
      <c r="K232">
        <v>1</v>
      </c>
      <c r="L232">
        <v>-20.39894616930178</v>
      </c>
      <c r="M232">
        <v>0</v>
      </c>
      <c r="N232">
        <v>1</v>
      </c>
    </row>
    <row r="233" spans="4:14" x14ac:dyDescent="0.3">
      <c r="D233" t="s">
        <v>106</v>
      </c>
      <c r="E233" t="s">
        <v>44</v>
      </c>
      <c r="F233" t="s">
        <v>89</v>
      </c>
      <c r="G233">
        <v>2018</v>
      </c>
      <c r="H233" t="s">
        <v>95</v>
      </c>
      <c r="I233" t="s">
        <v>103</v>
      </c>
      <c r="J233" t="s">
        <v>73</v>
      </c>
      <c r="K233">
        <v>1</v>
      </c>
      <c r="L233">
        <v>-19.69887513466373</v>
      </c>
      <c r="M233">
        <v>0</v>
      </c>
      <c r="N233">
        <v>1</v>
      </c>
    </row>
    <row r="234" spans="4:14" x14ac:dyDescent="0.3">
      <c r="D234" t="s">
        <v>106</v>
      </c>
      <c r="E234" t="s">
        <v>44</v>
      </c>
      <c r="F234" t="s">
        <v>89</v>
      </c>
      <c r="G234">
        <v>2020</v>
      </c>
      <c r="H234" t="s">
        <v>95</v>
      </c>
      <c r="I234" t="s">
        <v>103</v>
      </c>
      <c r="J234" t="s">
        <v>73</v>
      </c>
      <c r="K234">
        <v>1</v>
      </c>
      <c r="L234">
        <v>0</v>
      </c>
      <c r="M234">
        <v>0</v>
      </c>
      <c r="N234">
        <v>1</v>
      </c>
    </row>
    <row r="235" spans="4:14" x14ac:dyDescent="0.3">
      <c r="D235" t="s">
        <v>106</v>
      </c>
      <c r="E235" t="s">
        <v>44</v>
      </c>
      <c r="F235" t="s">
        <v>89</v>
      </c>
      <c r="G235" t="s">
        <v>104</v>
      </c>
      <c r="H235" t="s">
        <v>95</v>
      </c>
      <c r="I235" t="s">
        <v>103</v>
      </c>
      <c r="J235" t="s">
        <v>73</v>
      </c>
      <c r="K235">
        <v>1</v>
      </c>
      <c r="L235">
        <v>-10.19947308465089</v>
      </c>
      <c r="M235">
        <v>0</v>
      </c>
      <c r="N235">
        <v>1</v>
      </c>
    </row>
    <row r="236" spans="4:14" x14ac:dyDescent="0.3">
      <c r="D236" t="s">
        <v>106</v>
      </c>
      <c r="E236" t="s">
        <v>45</v>
      </c>
      <c r="F236" t="s">
        <v>89</v>
      </c>
      <c r="G236">
        <v>2017</v>
      </c>
      <c r="H236" t="s">
        <v>95</v>
      </c>
      <c r="I236" t="s">
        <v>103</v>
      </c>
      <c r="J236" t="s">
        <v>73</v>
      </c>
      <c r="K236">
        <v>1</v>
      </c>
      <c r="L236">
        <v>-22.343579215799213</v>
      </c>
      <c r="M236">
        <v>0</v>
      </c>
      <c r="N236">
        <v>1</v>
      </c>
    </row>
    <row r="237" spans="4:14" x14ac:dyDescent="0.3">
      <c r="D237" t="s">
        <v>106</v>
      </c>
      <c r="E237" t="s">
        <v>45</v>
      </c>
      <c r="F237" t="s">
        <v>89</v>
      </c>
      <c r="G237">
        <v>2018</v>
      </c>
      <c r="H237" t="s">
        <v>95</v>
      </c>
      <c r="I237" t="s">
        <v>103</v>
      </c>
      <c r="J237" t="s">
        <v>73</v>
      </c>
      <c r="K237">
        <v>1</v>
      </c>
      <c r="L237">
        <v>-18.786261067314889</v>
      </c>
      <c r="M237">
        <v>0</v>
      </c>
      <c r="N237">
        <v>1</v>
      </c>
    </row>
    <row r="238" spans="4:14" x14ac:dyDescent="0.3">
      <c r="D238" t="s">
        <v>106</v>
      </c>
      <c r="E238" t="s">
        <v>45</v>
      </c>
      <c r="F238" t="s">
        <v>89</v>
      </c>
      <c r="G238">
        <v>2020</v>
      </c>
      <c r="H238" t="s">
        <v>95</v>
      </c>
      <c r="I238" t="s">
        <v>103</v>
      </c>
      <c r="J238" t="s">
        <v>73</v>
      </c>
      <c r="K238">
        <v>1</v>
      </c>
      <c r="L238">
        <v>0</v>
      </c>
      <c r="M238">
        <v>0</v>
      </c>
      <c r="N238">
        <v>1</v>
      </c>
    </row>
    <row r="239" spans="4:14" x14ac:dyDescent="0.3">
      <c r="D239" t="s">
        <v>106</v>
      </c>
      <c r="E239" t="s">
        <v>45</v>
      </c>
      <c r="F239" t="s">
        <v>89</v>
      </c>
      <c r="G239" t="s">
        <v>104</v>
      </c>
      <c r="H239" t="s">
        <v>95</v>
      </c>
      <c r="I239" t="s">
        <v>103</v>
      </c>
      <c r="J239" t="s">
        <v>73</v>
      </c>
      <c r="K239">
        <v>1</v>
      </c>
      <c r="L239">
        <v>-11.171789607899607</v>
      </c>
      <c r="M239">
        <v>0</v>
      </c>
      <c r="N239">
        <v>1</v>
      </c>
    </row>
    <row r="240" spans="4:14" x14ac:dyDescent="0.3">
      <c r="D240" t="s">
        <v>106</v>
      </c>
      <c r="E240" t="s">
        <v>46</v>
      </c>
      <c r="F240" t="s">
        <v>89</v>
      </c>
      <c r="G240">
        <v>2017</v>
      </c>
      <c r="H240" t="s">
        <v>95</v>
      </c>
      <c r="I240" t="s">
        <v>103</v>
      </c>
      <c r="J240" t="s">
        <v>73</v>
      </c>
      <c r="K240">
        <v>1</v>
      </c>
      <c r="L240">
        <v>-13.692440738504244</v>
      </c>
      <c r="M240">
        <v>0</v>
      </c>
      <c r="N240">
        <v>1</v>
      </c>
    </row>
    <row r="241" spans="4:14" x14ac:dyDescent="0.3">
      <c r="D241" t="s">
        <v>106</v>
      </c>
      <c r="E241" t="s">
        <v>46</v>
      </c>
      <c r="F241" t="s">
        <v>89</v>
      </c>
      <c r="G241">
        <v>2018</v>
      </c>
      <c r="H241" t="s">
        <v>95</v>
      </c>
      <c r="I241" t="s">
        <v>103</v>
      </c>
      <c r="J241" t="s">
        <v>73</v>
      </c>
      <c r="K241">
        <v>1</v>
      </c>
      <c r="L241">
        <v>-14.207166811692591</v>
      </c>
      <c r="M241">
        <v>0</v>
      </c>
      <c r="N241">
        <v>1</v>
      </c>
    </row>
    <row r="242" spans="4:14" x14ac:dyDescent="0.3">
      <c r="D242" t="s">
        <v>106</v>
      </c>
      <c r="E242" t="s">
        <v>46</v>
      </c>
      <c r="F242" t="s">
        <v>89</v>
      </c>
      <c r="G242">
        <v>2020</v>
      </c>
      <c r="H242" t="s">
        <v>95</v>
      </c>
      <c r="I242" t="s">
        <v>103</v>
      </c>
      <c r="J242" t="s">
        <v>73</v>
      </c>
      <c r="K242">
        <v>1</v>
      </c>
      <c r="L242">
        <v>0</v>
      </c>
      <c r="M242">
        <v>0</v>
      </c>
      <c r="N242">
        <v>1</v>
      </c>
    </row>
    <row r="243" spans="4:14" x14ac:dyDescent="0.3">
      <c r="D243" t="s">
        <v>106</v>
      </c>
      <c r="E243" t="s">
        <v>46</v>
      </c>
      <c r="F243" t="s">
        <v>89</v>
      </c>
      <c r="G243" t="s">
        <v>104</v>
      </c>
      <c r="H243" t="s">
        <v>95</v>
      </c>
      <c r="I243" t="s">
        <v>103</v>
      </c>
      <c r="J243" t="s">
        <v>73</v>
      </c>
      <c r="K243">
        <v>1</v>
      </c>
      <c r="L243">
        <v>-7.1035834058462957</v>
      </c>
      <c r="M243">
        <v>0</v>
      </c>
      <c r="N243">
        <v>1</v>
      </c>
    </row>
    <row r="244" spans="4:14" x14ac:dyDescent="0.3">
      <c r="D244" t="s">
        <v>106</v>
      </c>
      <c r="E244" t="s">
        <v>49</v>
      </c>
      <c r="F244" t="s">
        <v>89</v>
      </c>
      <c r="G244">
        <v>2017</v>
      </c>
      <c r="H244" t="s">
        <v>95</v>
      </c>
      <c r="I244" t="s">
        <v>103</v>
      </c>
      <c r="J244" t="s">
        <v>73</v>
      </c>
      <c r="K244">
        <v>1</v>
      </c>
      <c r="L244">
        <v>-11.776155924950052</v>
      </c>
      <c r="M244">
        <v>0</v>
      </c>
      <c r="N244">
        <v>1</v>
      </c>
    </row>
    <row r="245" spans="4:14" x14ac:dyDescent="0.3">
      <c r="D245" t="s">
        <v>106</v>
      </c>
      <c r="E245" t="s">
        <v>49</v>
      </c>
      <c r="F245" t="s">
        <v>89</v>
      </c>
      <c r="G245">
        <v>2018</v>
      </c>
      <c r="H245" t="s">
        <v>95</v>
      </c>
      <c r="I245" t="s">
        <v>103</v>
      </c>
      <c r="J245" t="s">
        <v>73</v>
      </c>
      <c r="K245">
        <v>1</v>
      </c>
      <c r="L245">
        <v>-12.534356543690697</v>
      </c>
      <c r="M245">
        <v>0</v>
      </c>
      <c r="N245">
        <v>1</v>
      </c>
    </row>
    <row r="246" spans="4:14" x14ac:dyDescent="0.3">
      <c r="D246" t="s">
        <v>106</v>
      </c>
      <c r="E246" t="s">
        <v>49</v>
      </c>
      <c r="F246" t="s">
        <v>89</v>
      </c>
      <c r="G246">
        <v>2020</v>
      </c>
      <c r="H246" t="s">
        <v>95</v>
      </c>
      <c r="I246" t="s">
        <v>103</v>
      </c>
      <c r="J246" t="s">
        <v>73</v>
      </c>
      <c r="K246">
        <v>1</v>
      </c>
      <c r="L246">
        <v>0</v>
      </c>
      <c r="M246">
        <v>0</v>
      </c>
      <c r="N246">
        <v>1</v>
      </c>
    </row>
    <row r="247" spans="4:14" x14ac:dyDescent="0.3">
      <c r="D247" t="s">
        <v>106</v>
      </c>
      <c r="E247" t="s">
        <v>49</v>
      </c>
      <c r="F247" t="s">
        <v>89</v>
      </c>
      <c r="G247" t="s">
        <v>104</v>
      </c>
      <c r="H247" t="s">
        <v>95</v>
      </c>
      <c r="I247" t="s">
        <v>103</v>
      </c>
      <c r="J247" t="s">
        <v>73</v>
      </c>
      <c r="K247">
        <v>1</v>
      </c>
      <c r="L247">
        <v>-6.2671782718453484</v>
      </c>
      <c r="M247">
        <v>0</v>
      </c>
      <c r="N247">
        <v>1</v>
      </c>
    </row>
    <row r="248" spans="4:14" x14ac:dyDescent="0.3">
      <c r="D248" t="s">
        <v>106</v>
      </c>
      <c r="E248" t="s">
        <v>50</v>
      </c>
      <c r="F248" t="s">
        <v>89</v>
      </c>
      <c r="G248">
        <v>2017</v>
      </c>
      <c r="H248" t="s">
        <v>95</v>
      </c>
      <c r="I248" t="s">
        <v>103</v>
      </c>
      <c r="J248" t="s">
        <v>73</v>
      </c>
      <c r="K248">
        <v>1</v>
      </c>
      <c r="L248">
        <v>-14.41544323416708</v>
      </c>
      <c r="M248">
        <v>0</v>
      </c>
      <c r="N248">
        <v>1</v>
      </c>
    </row>
    <row r="249" spans="4:14" x14ac:dyDescent="0.3">
      <c r="D249" t="s">
        <v>106</v>
      </c>
      <c r="E249" t="s">
        <v>50</v>
      </c>
      <c r="F249" t="s">
        <v>89</v>
      </c>
      <c r="G249">
        <v>2018</v>
      </c>
      <c r="H249" t="s">
        <v>95</v>
      </c>
      <c r="I249" t="s">
        <v>103</v>
      </c>
      <c r="J249" t="s">
        <v>73</v>
      </c>
      <c r="K249">
        <v>1</v>
      </c>
      <c r="L249">
        <v>-13.949503511670166</v>
      </c>
      <c r="M249">
        <v>0</v>
      </c>
      <c r="N249">
        <v>1</v>
      </c>
    </row>
    <row r="250" spans="4:14" x14ac:dyDescent="0.3">
      <c r="D250" t="s">
        <v>106</v>
      </c>
      <c r="E250" t="s">
        <v>50</v>
      </c>
      <c r="F250" t="s">
        <v>89</v>
      </c>
      <c r="G250">
        <v>2020</v>
      </c>
      <c r="H250" t="s">
        <v>95</v>
      </c>
      <c r="I250" t="s">
        <v>103</v>
      </c>
      <c r="J250" t="s">
        <v>73</v>
      </c>
      <c r="K250">
        <v>1</v>
      </c>
      <c r="L250">
        <v>0</v>
      </c>
      <c r="M250">
        <v>0</v>
      </c>
      <c r="N250">
        <v>1</v>
      </c>
    </row>
    <row r="251" spans="4:14" x14ac:dyDescent="0.3">
      <c r="D251" t="s">
        <v>106</v>
      </c>
      <c r="E251" t="s">
        <v>50</v>
      </c>
      <c r="F251" t="s">
        <v>89</v>
      </c>
      <c r="G251" t="s">
        <v>104</v>
      </c>
      <c r="H251" t="s">
        <v>95</v>
      </c>
      <c r="I251" t="s">
        <v>103</v>
      </c>
      <c r="J251" t="s">
        <v>73</v>
      </c>
      <c r="K251">
        <v>1</v>
      </c>
      <c r="L251">
        <v>-7.2077216170835401</v>
      </c>
      <c r="M251">
        <v>0</v>
      </c>
      <c r="N251">
        <v>1</v>
      </c>
    </row>
    <row r="252" spans="4:14" x14ac:dyDescent="0.3">
      <c r="D252" t="s">
        <v>106</v>
      </c>
      <c r="E252" t="s">
        <v>51</v>
      </c>
      <c r="F252" t="s">
        <v>89</v>
      </c>
      <c r="G252">
        <v>2017</v>
      </c>
      <c r="H252" t="s">
        <v>95</v>
      </c>
      <c r="I252" t="s">
        <v>103</v>
      </c>
      <c r="J252" t="s">
        <v>73</v>
      </c>
      <c r="K252">
        <v>1</v>
      </c>
      <c r="L252">
        <v>-15.533865397513903</v>
      </c>
      <c r="M252">
        <v>0</v>
      </c>
      <c r="N252">
        <v>1</v>
      </c>
    </row>
    <row r="253" spans="4:14" x14ac:dyDescent="0.3">
      <c r="D253" t="s">
        <v>106</v>
      </c>
      <c r="E253" t="s">
        <v>51</v>
      </c>
      <c r="F253" t="s">
        <v>89</v>
      </c>
      <c r="G253">
        <v>2018</v>
      </c>
      <c r="H253" t="s">
        <v>95</v>
      </c>
      <c r="I253" t="s">
        <v>103</v>
      </c>
      <c r="J253" t="s">
        <v>73</v>
      </c>
      <c r="K253">
        <v>1</v>
      </c>
      <c r="L253">
        <v>-15.591713012207599</v>
      </c>
      <c r="M253">
        <v>0</v>
      </c>
      <c r="N253">
        <v>1</v>
      </c>
    </row>
    <row r="254" spans="4:14" x14ac:dyDescent="0.3">
      <c r="D254" t="s">
        <v>106</v>
      </c>
      <c r="E254" t="s">
        <v>51</v>
      </c>
      <c r="F254" t="s">
        <v>89</v>
      </c>
      <c r="G254">
        <v>2020</v>
      </c>
      <c r="H254" t="s">
        <v>95</v>
      </c>
      <c r="I254" t="s">
        <v>103</v>
      </c>
      <c r="J254" t="s">
        <v>73</v>
      </c>
      <c r="K254">
        <v>1</v>
      </c>
      <c r="L254">
        <v>0</v>
      </c>
      <c r="M254">
        <v>0</v>
      </c>
      <c r="N254">
        <v>1</v>
      </c>
    </row>
    <row r="255" spans="4:14" x14ac:dyDescent="0.3">
      <c r="D255" t="s">
        <v>106</v>
      </c>
      <c r="E255" t="s">
        <v>51</v>
      </c>
      <c r="F255" t="s">
        <v>89</v>
      </c>
      <c r="G255" t="s">
        <v>104</v>
      </c>
      <c r="H255" t="s">
        <v>95</v>
      </c>
      <c r="I255" t="s">
        <v>103</v>
      </c>
      <c r="J255" t="s">
        <v>73</v>
      </c>
      <c r="K255">
        <v>1</v>
      </c>
      <c r="L255">
        <v>-7.7958565061037994</v>
      </c>
      <c r="M255">
        <v>0</v>
      </c>
      <c r="N255">
        <v>1</v>
      </c>
    </row>
    <row r="256" spans="4:14" x14ac:dyDescent="0.3">
      <c r="D256" t="s">
        <v>106</v>
      </c>
      <c r="E256" t="s">
        <v>53</v>
      </c>
      <c r="F256" t="s">
        <v>89</v>
      </c>
      <c r="G256">
        <v>2017</v>
      </c>
      <c r="H256" t="s">
        <v>95</v>
      </c>
      <c r="I256" t="s">
        <v>103</v>
      </c>
      <c r="J256" t="s">
        <v>73</v>
      </c>
      <c r="K256">
        <v>1</v>
      </c>
      <c r="L256">
        <v>-19.04750034445405</v>
      </c>
      <c r="M256">
        <v>0</v>
      </c>
      <c r="N256">
        <v>1</v>
      </c>
    </row>
    <row r="257" spans="4:14" x14ac:dyDescent="0.3">
      <c r="D257" t="s">
        <v>106</v>
      </c>
      <c r="E257" t="s">
        <v>53</v>
      </c>
      <c r="F257" t="s">
        <v>89</v>
      </c>
      <c r="G257">
        <v>2018</v>
      </c>
      <c r="H257" t="s">
        <v>95</v>
      </c>
      <c r="I257" t="s">
        <v>103</v>
      </c>
      <c r="J257" t="s">
        <v>73</v>
      </c>
      <c r="K257">
        <v>1</v>
      </c>
      <c r="L257">
        <v>-18.50895075908328</v>
      </c>
      <c r="M257">
        <v>0</v>
      </c>
      <c r="N257">
        <v>1</v>
      </c>
    </row>
    <row r="258" spans="4:14" x14ac:dyDescent="0.3">
      <c r="D258" t="s">
        <v>106</v>
      </c>
      <c r="E258" t="s">
        <v>53</v>
      </c>
      <c r="F258" t="s">
        <v>89</v>
      </c>
      <c r="G258">
        <v>2020</v>
      </c>
      <c r="H258" t="s">
        <v>95</v>
      </c>
      <c r="I258" t="s">
        <v>103</v>
      </c>
      <c r="J258" t="s">
        <v>73</v>
      </c>
      <c r="K258">
        <v>1</v>
      </c>
      <c r="L258">
        <v>0</v>
      </c>
      <c r="M258">
        <v>0</v>
      </c>
      <c r="N258">
        <v>1</v>
      </c>
    </row>
    <row r="259" spans="4:14" x14ac:dyDescent="0.3">
      <c r="D259" t="s">
        <v>106</v>
      </c>
      <c r="E259" t="s">
        <v>53</v>
      </c>
      <c r="F259" t="s">
        <v>89</v>
      </c>
      <c r="G259" t="s">
        <v>104</v>
      </c>
      <c r="H259" t="s">
        <v>95</v>
      </c>
      <c r="I259" t="s">
        <v>103</v>
      </c>
      <c r="J259" t="s">
        <v>73</v>
      </c>
      <c r="K259">
        <v>1</v>
      </c>
      <c r="L259">
        <v>-9.5237501722270252</v>
      </c>
      <c r="M259">
        <v>0</v>
      </c>
      <c r="N259">
        <v>1</v>
      </c>
    </row>
    <row r="260" spans="4:14" x14ac:dyDescent="0.3">
      <c r="D260" t="s">
        <v>106</v>
      </c>
      <c r="E260" t="s">
        <v>54</v>
      </c>
      <c r="F260" t="s">
        <v>89</v>
      </c>
      <c r="G260">
        <v>2017</v>
      </c>
      <c r="H260" t="s">
        <v>95</v>
      </c>
      <c r="I260" t="s">
        <v>103</v>
      </c>
      <c r="J260" t="s">
        <v>73</v>
      </c>
      <c r="K260">
        <v>1</v>
      </c>
      <c r="L260">
        <v>-6.9894605483394399</v>
      </c>
      <c r="M260">
        <v>0</v>
      </c>
      <c r="N260">
        <v>1</v>
      </c>
    </row>
    <row r="261" spans="4:14" x14ac:dyDescent="0.3">
      <c r="D261" t="s">
        <v>106</v>
      </c>
      <c r="E261" t="s">
        <v>54</v>
      </c>
      <c r="F261" t="s">
        <v>89</v>
      </c>
      <c r="G261">
        <v>2018</v>
      </c>
      <c r="H261" t="s">
        <v>95</v>
      </c>
      <c r="I261" t="s">
        <v>103</v>
      </c>
      <c r="J261" t="s">
        <v>73</v>
      </c>
      <c r="K261">
        <v>1</v>
      </c>
      <c r="L261">
        <v>-7.2320174853987726</v>
      </c>
      <c r="M261">
        <v>0</v>
      </c>
      <c r="N261">
        <v>1</v>
      </c>
    </row>
    <row r="262" spans="4:14" x14ac:dyDescent="0.3">
      <c r="D262" t="s">
        <v>106</v>
      </c>
      <c r="E262" t="s">
        <v>54</v>
      </c>
      <c r="F262" t="s">
        <v>89</v>
      </c>
      <c r="G262">
        <v>2020</v>
      </c>
      <c r="H262" t="s">
        <v>95</v>
      </c>
      <c r="I262" t="s">
        <v>103</v>
      </c>
      <c r="J262" t="s">
        <v>73</v>
      </c>
      <c r="K262">
        <v>1</v>
      </c>
      <c r="L262">
        <v>0</v>
      </c>
      <c r="M262">
        <v>0</v>
      </c>
      <c r="N262">
        <v>1</v>
      </c>
    </row>
    <row r="263" spans="4:14" x14ac:dyDescent="0.3">
      <c r="D263" t="s">
        <v>106</v>
      </c>
      <c r="E263" t="s">
        <v>54</v>
      </c>
      <c r="F263" t="s">
        <v>89</v>
      </c>
      <c r="G263" t="s">
        <v>104</v>
      </c>
      <c r="H263" t="s">
        <v>95</v>
      </c>
      <c r="I263" t="s">
        <v>103</v>
      </c>
      <c r="J263" t="s">
        <v>73</v>
      </c>
      <c r="K263">
        <v>1</v>
      </c>
      <c r="L263">
        <v>-3.6160087426993863</v>
      </c>
      <c r="M263">
        <v>0</v>
      </c>
      <c r="N263">
        <v>1</v>
      </c>
    </row>
    <row r="264" spans="4:14" x14ac:dyDescent="0.3">
      <c r="D264" t="s">
        <v>106</v>
      </c>
      <c r="E264" t="s">
        <v>55</v>
      </c>
      <c r="F264" t="s">
        <v>89</v>
      </c>
      <c r="G264">
        <v>2017</v>
      </c>
      <c r="H264" t="s">
        <v>95</v>
      </c>
      <c r="I264" t="s">
        <v>103</v>
      </c>
      <c r="J264" t="s">
        <v>73</v>
      </c>
      <c r="K264">
        <v>1</v>
      </c>
      <c r="L264">
        <v>-17.242246559828899</v>
      </c>
      <c r="M264">
        <v>0</v>
      </c>
      <c r="N264">
        <v>1</v>
      </c>
    </row>
    <row r="265" spans="4:14" x14ac:dyDescent="0.3">
      <c r="D265" t="s">
        <v>106</v>
      </c>
      <c r="E265" t="s">
        <v>55</v>
      </c>
      <c r="F265" t="s">
        <v>89</v>
      </c>
      <c r="G265">
        <v>2018</v>
      </c>
      <c r="H265" t="s">
        <v>95</v>
      </c>
      <c r="I265" t="s">
        <v>103</v>
      </c>
      <c r="J265" t="s">
        <v>73</v>
      </c>
      <c r="K265">
        <v>1</v>
      </c>
      <c r="L265">
        <v>-17.408054916642119</v>
      </c>
      <c r="M265">
        <v>0</v>
      </c>
      <c r="N265">
        <v>1</v>
      </c>
    </row>
    <row r="266" spans="4:14" x14ac:dyDescent="0.3">
      <c r="D266" t="s">
        <v>106</v>
      </c>
      <c r="E266" t="s">
        <v>55</v>
      </c>
      <c r="F266" t="s">
        <v>89</v>
      </c>
      <c r="G266">
        <v>2020</v>
      </c>
      <c r="H266" t="s">
        <v>95</v>
      </c>
      <c r="I266" t="s">
        <v>103</v>
      </c>
      <c r="J266" t="s">
        <v>73</v>
      </c>
      <c r="K266">
        <v>1</v>
      </c>
      <c r="L266">
        <v>0</v>
      </c>
      <c r="M266">
        <v>0</v>
      </c>
      <c r="N266">
        <v>1</v>
      </c>
    </row>
    <row r="267" spans="4:14" x14ac:dyDescent="0.3">
      <c r="D267" t="s">
        <v>106</v>
      </c>
      <c r="E267" t="s">
        <v>55</v>
      </c>
      <c r="F267" t="s">
        <v>89</v>
      </c>
      <c r="G267" t="s">
        <v>104</v>
      </c>
      <c r="H267" t="s">
        <v>95</v>
      </c>
      <c r="I267" t="s">
        <v>103</v>
      </c>
      <c r="J267" t="s">
        <v>73</v>
      </c>
      <c r="K267">
        <v>1</v>
      </c>
      <c r="L267">
        <v>-8.7040274583210593</v>
      </c>
      <c r="M267">
        <v>0</v>
      </c>
      <c r="N267">
        <v>1</v>
      </c>
    </row>
    <row r="268" spans="4:14" x14ac:dyDescent="0.3">
      <c r="D268" t="s">
        <v>106</v>
      </c>
      <c r="E268" t="s">
        <v>56</v>
      </c>
      <c r="F268" t="s">
        <v>89</v>
      </c>
      <c r="G268">
        <v>2017</v>
      </c>
      <c r="H268" t="s">
        <v>95</v>
      </c>
      <c r="I268" t="s">
        <v>103</v>
      </c>
      <c r="J268" t="s">
        <v>73</v>
      </c>
      <c r="K268">
        <v>1</v>
      </c>
      <c r="L268">
        <v>-17.893464678120743</v>
      </c>
      <c r="M268">
        <v>0</v>
      </c>
      <c r="N268">
        <v>1</v>
      </c>
    </row>
    <row r="269" spans="4:14" x14ac:dyDescent="0.3">
      <c r="D269" t="s">
        <v>106</v>
      </c>
      <c r="E269" t="s">
        <v>56</v>
      </c>
      <c r="F269" t="s">
        <v>89</v>
      </c>
      <c r="G269">
        <v>2018</v>
      </c>
      <c r="H269" t="s">
        <v>95</v>
      </c>
      <c r="I269" t="s">
        <v>103</v>
      </c>
      <c r="J269" t="s">
        <v>73</v>
      </c>
      <c r="K269">
        <v>1</v>
      </c>
      <c r="L269">
        <v>-19.346970662298709</v>
      </c>
      <c r="M269">
        <v>0</v>
      </c>
      <c r="N269">
        <v>1</v>
      </c>
    </row>
    <row r="270" spans="4:14" x14ac:dyDescent="0.3">
      <c r="D270" t="s">
        <v>106</v>
      </c>
      <c r="E270" t="s">
        <v>56</v>
      </c>
      <c r="F270" t="s">
        <v>89</v>
      </c>
      <c r="G270">
        <v>2020</v>
      </c>
      <c r="H270" t="s">
        <v>95</v>
      </c>
      <c r="I270" t="s">
        <v>103</v>
      </c>
      <c r="J270" t="s">
        <v>73</v>
      </c>
      <c r="K270">
        <v>1</v>
      </c>
      <c r="L270">
        <v>0</v>
      </c>
      <c r="M270">
        <v>0</v>
      </c>
      <c r="N270">
        <v>1</v>
      </c>
    </row>
    <row r="271" spans="4:14" x14ac:dyDescent="0.3">
      <c r="D271" t="s">
        <v>106</v>
      </c>
      <c r="E271" t="s">
        <v>56</v>
      </c>
      <c r="F271" t="s">
        <v>89</v>
      </c>
      <c r="G271" t="s">
        <v>104</v>
      </c>
      <c r="H271" t="s">
        <v>95</v>
      </c>
      <c r="I271" t="s">
        <v>103</v>
      </c>
      <c r="J271" t="s">
        <v>73</v>
      </c>
      <c r="K271">
        <v>1</v>
      </c>
      <c r="L271">
        <v>-9.6734853311493545</v>
      </c>
      <c r="M271">
        <v>0</v>
      </c>
      <c r="N271">
        <v>1</v>
      </c>
    </row>
    <row r="272" spans="4:14" x14ac:dyDescent="0.3">
      <c r="D272" t="s">
        <v>106</v>
      </c>
      <c r="E272" t="s">
        <v>58</v>
      </c>
      <c r="F272" t="s">
        <v>89</v>
      </c>
      <c r="G272">
        <v>2017</v>
      </c>
      <c r="H272" t="s">
        <v>95</v>
      </c>
      <c r="I272" t="s">
        <v>103</v>
      </c>
      <c r="J272" t="s">
        <v>73</v>
      </c>
      <c r="K272">
        <v>1</v>
      </c>
      <c r="L272">
        <v>-19.903170903211723</v>
      </c>
      <c r="M272">
        <v>0</v>
      </c>
      <c r="N272">
        <v>1</v>
      </c>
    </row>
    <row r="273" spans="4:14" x14ac:dyDescent="0.3">
      <c r="D273" t="s">
        <v>106</v>
      </c>
      <c r="E273" t="s">
        <v>58</v>
      </c>
      <c r="F273" t="s">
        <v>89</v>
      </c>
      <c r="G273">
        <v>2018</v>
      </c>
      <c r="H273" t="s">
        <v>95</v>
      </c>
      <c r="I273" t="s">
        <v>103</v>
      </c>
      <c r="J273" t="s">
        <v>73</v>
      </c>
      <c r="K273">
        <v>1</v>
      </c>
      <c r="L273">
        <v>-19.744621237821214</v>
      </c>
      <c r="M273">
        <v>0</v>
      </c>
      <c r="N273">
        <v>1</v>
      </c>
    </row>
    <row r="274" spans="4:14" x14ac:dyDescent="0.3">
      <c r="D274" t="s">
        <v>106</v>
      </c>
      <c r="E274" t="s">
        <v>58</v>
      </c>
      <c r="F274" t="s">
        <v>89</v>
      </c>
      <c r="G274">
        <v>2020</v>
      </c>
      <c r="H274" t="s">
        <v>95</v>
      </c>
      <c r="I274" t="s">
        <v>103</v>
      </c>
      <c r="J274" t="s">
        <v>73</v>
      </c>
      <c r="K274">
        <v>1</v>
      </c>
      <c r="L274">
        <v>0</v>
      </c>
      <c r="M274">
        <v>0</v>
      </c>
      <c r="N274">
        <v>1</v>
      </c>
    </row>
    <row r="275" spans="4:14" x14ac:dyDescent="0.3">
      <c r="D275" t="s">
        <v>106</v>
      </c>
      <c r="E275" t="s">
        <v>58</v>
      </c>
      <c r="F275" t="s">
        <v>89</v>
      </c>
      <c r="G275" t="s">
        <v>104</v>
      </c>
      <c r="H275" t="s">
        <v>95</v>
      </c>
      <c r="I275" t="s">
        <v>103</v>
      </c>
      <c r="J275" t="s">
        <v>73</v>
      </c>
      <c r="K275">
        <v>1</v>
      </c>
      <c r="L275">
        <v>-9.9515854516058617</v>
      </c>
      <c r="M275">
        <v>0</v>
      </c>
      <c r="N275">
        <v>1</v>
      </c>
    </row>
    <row r="276" spans="4:14" x14ac:dyDescent="0.3">
      <c r="D276" t="s">
        <v>106</v>
      </c>
      <c r="E276" t="s">
        <v>59</v>
      </c>
      <c r="F276" t="s">
        <v>89</v>
      </c>
      <c r="G276">
        <v>2017</v>
      </c>
      <c r="H276" t="s">
        <v>95</v>
      </c>
      <c r="I276" t="s">
        <v>103</v>
      </c>
      <c r="J276" t="s">
        <v>73</v>
      </c>
      <c r="K276">
        <v>1</v>
      </c>
      <c r="L276">
        <v>-10.865445541925963</v>
      </c>
      <c r="M276">
        <v>0</v>
      </c>
      <c r="N276">
        <v>1</v>
      </c>
    </row>
    <row r="277" spans="4:14" x14ac:dyDescent="0.3">
      <c r="D277" t="s">
        <v>106</v>
      </c>
      <c r="E277" t="s">
        <v>59</v>
      </c>
      <c r="F277" t="s">
        <v>89</v>
      </c>
      <c r="G277">
        <v>2018</v>
      </c>
      <c r="H277" t="s">
        <v>95</v>
      </c>
      <c r="I277" t="s">
        <v>103</v>
      </c>
      <c r="J277" t="s">
        <v>73</v>
      </c>
      <c r="K277">
        <v>1</v>
      </c>
      <c r="L277">
        <v>-11.059004611615066</v>
      </c>
      <c r="M277">
        <v>0</v>
      </c>
      <c r="N277">
        <v>1</v>
      </c>
    </row>
    <row r="278" spans="4:14" x14ac:dyDescent="0.3">
      <c r="D278" t="s">
        <v>106</v>
      </c>
      <c r="E278" t="s">
        <v>59</v>
      </c>
      <c r="F278" t="s">
        <v>89</v>
      </c>
      <c r="G278">
        <v>2020</v>
      </c>
      <c r="H278" t="s">
        <v>95</v>
      </c>
      <c r="I278" t="s">
        <v>103</v>
      </c>
      <c r="J278" t="s">
        <v>73</v>
      </c>
      <c r="K278">
        <v>1</v>
      </c>
      <c r="L278">
        <v>0</v>
      </c>
      <c r="M278">
        <v>0</v>
      </c>
      <c r="N278">
        <v>1</v>
      </c>
    </row>
    <row r="279" spans="4:14" x14ac:dyDescent="0.3">
      <c r="D279" t="s">
        <v>106</v>
      </c>
      <c r="E279" t="s">
        <v>59</v>
      </c>
      <c r="F279" t="s">
        <v>89</v>
      </c>
      <c r="G279" t="s">
        <v>104</v>
      </c>
      <c r="H279" t="s">
        <v>95</v>
      </c>
      <c r="I279" t="s">
        <v>103</v>
      </c>
      <c r="J279" t="s">
        <v>73</v>
      </c>
      <c r="K279">
        <v>1</v>
      </c>
      <c r="L279">
        <v>-5.529502305807533</v>
      </c>
      <c r="M279">
        <v>0</v>
      </c>
      <c r="N279">
        <v>1</v>
      </c>
    </row>
    <row r="280" spans="4:14" x14ac:dyDescent="0.3">
      <c r="D280" t="s">
        <v>106</v>
      </c>
      <c r="E280" t="s">
        <v>60</v>
      </c>
      <c r="F280" t="s">
        <v>89</v>
      </c>
      <c r="G280">
        <v>2017</v>
      </c>
      <c r="H280" t="s">
        <v>95</v>
      </c>
      <c r="I280" t="s">
        <v>103</v>
      </c>
      <c r="J280" t="s">
        <v>73</v>
      </c>
      <c r="K280">
        <v>1</v>
      </c>
      <c r="L280">
        <v>-15.81092644879141</v>
      </c>
      <c r="M280">
        <v>0</v>
      </c>
      <c r="N280">
        <v>1</v>
      </c>
    </row>
    <row r="281" spans="4:14" x14ac:dyDescent="0.3">
      <c r="D281" t="s">
        <v>106</v>
      </c>
      <c r="E281" t="s">
        <v>60</v>
      </c>
      <c r="F281" t="s">
        <v>89</v>
      </c>
      <c r="G281">
        <v>2018</v>
      </c>
      <c r="H281" t="s">
        <v>95</v>
      </c>
      <c r="I281" t="s">
        <v>103</v>
      </c>
      <c r="J281" t="s">
        <v>73</v>
      </c>
      <c r="K281">
        <v>1</v>
      </c>
      <c r="L281">
        <v>-15.915830425263804</v>
      </c>
      <c r="M281">
        <v>0</v>
      </c>
      <c r="N281">
        <v>1</v>
      </c>
    </row>
    <row r="282" spans="4:14" x14ac:dyDescent="0.3">
      <c r="D282" t="s">
        <v>106</v>
      </c>
      <c r="E282" t="s">
        <v>60</v>
      </c>
      <c r="F282" t="s">
        <v>89</v>
      </c>
      <c r="G282">
        <v>2020</v>
      </c>
      <c r="H282" t="s">
        <v>95</v>
      </c>
      <c r="I282" t="s">
        <v>103</v>
      </c>
      <c r="J282" t="s">
        <v>73</v>
      </c>
      <c r="K282">
        <v>1</v>
      </c>
      <c r="L282">
        <v>0</v>
      </c>
      <c r="M282">
        <v>0</v>
      </c>
      <c r="N282">
        <v>1</v>
      </c>
    </row>
    <row r="283" spans="4:14" x14ac:dyDescent="0.3">
      <c r="D283" t="s">
        <v>106</v>
      </c>
      <c r="E283" t="s">
        <v>60</v>
      </c>
      <c r="F283" t="s">
        <v>89</v>
      </c>
      <c r="G283" t="s">
        <v>104</v>
      </c>
      <c r="H283" t="s">
        <v>95</v>
      </c>
      <c r="I283" t="s">
        <v>103</v>
      </c>
      <c r="J283" t="s">
        <v>73</v>
      </c>
      <c r="K283">
        <v>1</v>
      </c>
      <c r="L283">
        <v>-7.9579152126319022</v>
      </c>
      <c r="M283">
        <v>0</v>
      </c>
      <c r="N283">
        <v>1</v>
      </c>
    </row>
    <row r="284" spans="4:14" x14ac:dyDescent="0.3">
      <c r="D284" t="s">
        <v>107</v>
      </c>
      <c r="E284" t="s">
        <v>33</v>
      </c>
      <c r="F284" t="s">
        <v>89</v>
      </c>
      <c r="G284">
        <v>2017</v>
      </c>
      <c r="H284" t="s">
        <v>95</v>
      </c>
      <c r="I284" t="s">
        <v>103</v>
      </c>
      <c r="J284" t="s">
        <v>93</v>
      </c>
      <c r="K284">
        <v>1</v>
      </c>
      <c r="L284">
        <v>-20.337610794554077</v>
      </c>
      <c r="M284">
        <v>0</v>
      </c>
      <c r="N284">
        <v>1</v>
      </c>
    </row>
    <row r="285" spans="4:14" x14ac:dyDescent="0.3">
      <c r="D285" t="s">
        <v>107</v>
      </c>
      <c r="E285" t="s">
        <v>33</v>
      </c>
      <c r="F285" t="s">
        <v>89</v>
      </c>
      <c r="G285">
        <v>2018</v>
      </c>
      <c r="H285" t="s">
        <v>95</v>
      </c>
      <c r="I285" t="s">
        <v>103</v>
      </c>
      <c r="J285" t="s">
        <v>93</v>
      </c>
      <c r="K285">
        <v>1</v>
      </c>
      <c r="L285">
        <v>-20.21920419938898</v>
      </c>
      <c r="M285">
        <v>0</v>
      </c>
      <c r="N285">
        <v>1</v>
      </c>
    </row>
    <row r="286" spans="4:14" x14ac:dyDescent="0.3">
      <c r="D286" t="s">
        <v>107</v>
      </c>
      <c r="E286" t="s">
        <v>33</v>
      </c>
      <c r="F286" t="s">
        <v>89</v>
      </c>
      <c r="G286">
        <v>2030</v>
      </c>
      <c r="H286" t="s">
        <v>95</v>
      </c>
      <c r="I286" t="s">
        <v>103</v>
      </c>
      <c r="J286" t="s">
        <v>93</v>
      </c>
      <c r="K286">
        <v>1</v>
      </c>
      <c r="L286">
        <v>-20.337610794554077</v>
      </c>
      <c r="M286">
        <v>0</v>
      </c>
      <c r="N286">
        <v>1</v>
      </c>
    </row>
    <row r="287" spans="4:14" x14ac:dyDescent="0.3">
      <c r="D287" t="s">
        <v>107</v>
      </c>
      <c r="E287" t="s">
        <v>41</v>
      </c>
      <c r="F287" t="s">
        <v>89</v>
      </c>
      <c r="G287">
        <v>2017</v>
      </c>
      <c r="H287" t="s">
        <v>95</v>
      </c>
      <c r="I287" t="s">
        <v>103</v>
      </c>
      <c r="J287" t="s">
        <v>93</v>
      </c>
      <c r="K287">
        <v>1</v>
      </c>
      <c r="L287">
        <v>-20.337610794554067</v>
      </c>
      <c r="M287">
        <v>0</v>
      </c>
      <c r="N287">
        <v>1</v>
      </c>
    </row>
    <row r="288" spans="4:14" x14ac:dyDescent="0.3">
      <c r="D288" t="s">
        <v>107</v>
      </c>
      <c r="E288" t="s">
        <v>41</v>
      </c>
      <c r="F288" t="s">
        <v>89</v>
      </c>
      <c r="G288">
        <v>2018</v>
      </c>
      <c r="H288" t="s">
        <v>95</v>
      </c>
      <c r="I288" t="s">
        <v>103</v>
      </c>
      <c r="J288" t="s">
        <v>93</v>
      </c>
      <c r="K288">
        <v>1</v>
      </c>
      <c r="L288">
        <v>-20.21920419938898</v>
      </c>
      <c r="M288">
        <v>0</v>
      </c>
      <c r="N288">
        <v>1</v>
      </c>
    </row>
    <row r="289" spans="4:14" x14ac:dyDescent="0.3">
      <c r="D289" t="s">
        <v>107</v>
      </c>
      <c r="E289" t="s">
        <v>41</v>
      </c>
      <c r="F289" t="s">
        <v>89</v>
      </c>
      <c r="G289">
        <v>2030</v>
      </c>
      <c r="H289" t="s">
        <v>95</v>
      </c>
      <c r="I289" t="s">
        <v>103</v>
      </c>
      <c r="J289" t="s">
        <v>93</v>
      </c>
      <c r="K289">
        <v>1</v>
      </c>
      <c r="L289">
        <v>-20.337610794554067</v>
      </c>
      <c r="M289">
        <v>0</v>
      </c>
      <c r="N289">
        <v>1</v>
      </c>
    </row>
    <row r="290" spans="4:14" x14ac:dyDescent="0.3">
      <c r="D290" t="s">
        <v>107</v>
      </c>
      <c r="E290" t="s">
        <v>42</v>
      </c>
      <c r="F290" t="s">
        <v>89</v>
      </c>
      <c r="G290">
        <v>2017</v>
      </c>
      <c r="H290" t="s">
        <v>95</v>
      </c>
      <c r="I290" t="s">
        <v>103</v>
      </c>
      <c r="J290" t="s">
        <v>93</v>
      </c>
      <c r="K290">
        <v>1</v>
      </c>
      <c r="L290">
        <v>-22.227034614533075</v>
      </c>
      <c r="M290">
        <v>0</v>
      </c>
      <c r="N290">
        <v>1</v>
      </c>
    </row>
    <row r="291" spans="4:14" x14ac:dyDescent="0.3">
      <c r="D291" t="s">
        <v>107</v>
      </c>
      <c r="E291" t="s">
        <v>42</v>
      </c>
      <c r="F291" t="s">
        <v>89</v>
      </c>
      <c r="G291">
        <v>2018</v>
      </c>
      <c r="H291" t="s">
        <v>95</v>
      </c>
      <c r="I291" t="s">
        <v>103</v>
      </c>
      <c r="J291" t="s">
        <v>93</v>
      </c>
      <c r="K291">
        <v>1</v>
      </c>
      <c r="L291">
        <v>-21.687503412402531</v>
      </c>
      <c r="M291">
        <v>0</v>
      </c>
      <c r="N291">
        <v>1</v>
      </c>
    </row>
    <row r="292" spans="4:14" x14ac:dyDescent="0.3">
      <c r="D292" t="s">
        <v>107</v>
      </c>
      <c r="E292" t="s">
        <v>42</v>
      </c>
      <c r="F292" t="s">
        <v>89</v>
      </c>
      <c r="G292">
        <v>2030</v>
      </c>
      <c r="H292" t="s">
        <v>95</v>
      </c>
      <c r="I292" t="s">
        <v>103</v>
      </c>
      <c r="J292" t="s">
        <v>93</v>
      </c>
      <c r="K292">
        <v>1</v>
      </c>
      <c r="L292">
        <v>-22.227034614533075</v>
      </c>
      <c r="M292">
        <v>0</v>
      </c>
      <c r="N292">
        <v>1</v>
      </c>
    </row>
    <row r="293" spans="4:14" x14ac:dyDescent="0.3">
      <c r="D293" t="s">
        <v>107</v>
      </c>
      <c r="E293" t="s">
        <v>44</v>
      </c>
      <c r="F293" t="s">
        <v>89</v>
      </c>
      <c r="G293">
        <v>2017</v>
      </c>
      <c r="H293" t="s">
        <v>95</v>
      </c>
      <c r="I293" t="s">
        <v>103</v>
      </c>
      <c r="J293" t="s">
        <v>93</v>
      </c>
      <c r="K293">
        <v>1</v>
      </c>
      <c r="L293">
        <v>-21.856013752823337</v>
      </c>
      <c r="M293">
        <v>0</v>
      </c>
      <c r="N293">
        <v>1</v>
      </c>
    </row>
    <row r="294" spans="4:14" x14ac:dyDescent="0.3">
      <c r="D294" t="s">
        <v>107</v>
      </c>
      <c r="E294" t="s">
        <v>44</v>
      </c>
      <c r="F294" t="s">
        <v>89</v>
      </c>
      <c r="G294">
        <v>2018</v>
      </c>
      <c r="H294" t="s">
        <v>95</v>
      </c>
      <c r="I294" t="s">
        <v>103</v>
      </c>
      <c r="J294" t="s">
        <v>93</v>
      </c>
      <c r="K294">
        <v>1</v>
      </c>
      <c r="L294">
        <v>-21.105937644282569</v>
      </c>
      <c r="M294">
        <v>0</v>
      </c>
      <c r="N294">
        <v>1</v>
      </c>
    </row>
    <row r="295" spans="4:14" x14ac:dyDescent="0.3">
      <c r="D295" t="s">
        <v>107</v>
      </c>
      <c r="E295" t="s">
        <v>44</v>
      </c>
      <c r="F295" t="s">
        <v>89</v>
      </c>
      <c r="G295">
        <v>2030</v>
      </c>
      <c r="H295" t="s">
        <v>95</v>
      </c>
      <c r="I295" t="s">
        <v>103</v>
      </c>
      <c r="J295" t="s">
        <v>93</v>
      </c>
      <c r="K295">
        <v>1</v>
      </c>
      <c r="L295">
        <v>-21.856013752823337</v>
      </c>
      <c r="M295">
        <v>0</v>
      </c>
      <c r="N295">
        <v>1</v>
      </c>
    </row>
    <row r="296" spans="4:14" x14ac:dyDescent="0.3">
      <c r="D296" t="s">
        <v>107</v>
      </c>
      <c r="E296" t="s">
        <v>45</v>
      </c>
      <c r="F296" t="s">
        <v>89</v>
      </c>
      <c r="G296">
        <v>2017</v>
      </c>
      <c r="H296" t="s">
        <v>95</v>
      </c>
      <c r="I296" t="s">
        <v>103</v>
      </c>
      <c r="J296" t="s">
        <v>93</v>
      </c>
      <c r="K296">
        <v>1</v>
      </c>
      <c r="L296">
        <v>-23.939549159784875</v>
      </c>
      <c r="M296">
        <v>0</v>
      </c>
      <c r="N296">
        <v>1</v>
      </c>
    </row>
    <row r="297" spans="4:14" x14ac:dyDescent="0.3">
      <c r="D297" t="s">
        <v>107</v>
      </c>
      <c r="E297" t="s">
        <v>45</v>
      </c>
      <c r="F297" t="s">
        <v>89</v>
      </c>
      <c r="G297">
        <v>2018</v>
      </c>
      <c r="H297" t="s">
        <v>95</v>
      </c>
      <c r="I297" t="s">
        <v>103</v>
      </c>
      <c r="J297" t="s">
        <v>93</v>
      </c>
      <c r="K297">
        <v>1</v>
      </c>
      <c r="L297">
        <v>-20.128136857837383</v>
      </c>
      <c r="M297">
        <v>0</v>
      </c>
      <c r="N297">
        <v>1</v>
      </c>
    </row>
    <row r="298" spans="4:14" x14ac:dyDescent="0.3">
      <c r="D298" t="s">
        <v>107</v>
      </c>
      <c r="E298" t="s">
        <v>45</v>
      </c>
      <c r="F298" t="s">
        <v>89</v>
      </c>
      <c r="G298">
        <v>2030</v>
      </c>
      <c r="H298" t="s">
        <v>95</v>
      </c>
      <c r="I298" t="s">
        <v>103</v>
      </c>
      <c r="J298" t="s">
        <v>93</v>
      </c>
      <c r="K298">
        <v>1</v>
      </c>
      <c r="L298">
        <v>-23.939549159784875</v>
      </c>
      <c r="M298">
        <v>0</v>
      </c>
      <c r="N298">
        <v>1</v>
      </c>
    </row>
    <row r="299" spans="4:14" x14ac:dyDescent="0.3">
      <c r="D299" t="s">
        <v>107</v>
      </c>
      <c r="E299" t="s">
        <v>46</v>
      </c>
      <c r="F299" t="s">
        <v>89</v>
      </c>
      <c r="G299">
        <v>2017</v>
      </c>
      <c r="H299" t="s">
        <v>95</v>
      </c>
      <c r="I299" t="s">
        <v>103</v>
      </c>
      <c r="J299" t="s">
        <v>93</v>
      </c>
      <c r="K299">
        <v>1</v>
      </c>
      <c r="L299">
        <v>-14.670472219825976</v>
      </c>
      <c r="M299">
        <v>0</v>
      </c>
      <c r="N299">
        <v>1</v>
      </c>
    </row>
    <row r="300" spans="4:14" x14ac:dyDescent="0.3">
      <c r="D300" t="s">
        <v>107</v>
      </c>
      <c r="E300" t="s">
        <v>46</v>
      </c>
      <c r="F300" t="s">
        <v>89</v>
      </c>
      <c r="G300">
        <v>2018</v>
      </c>
      <c r="H300" t="s">
        <v>95</v>
      </c>
      <c r="I300" t="s">
        <v>103</v>
      </c>
      <c r="J300" t="s">
        <v>93</v>
      </c>
      <c r="K300">
        <v>1</v>
      </c>
      <c r="L300">
        <v>-15.221964441099207</v>
      </c>
      <c r="M300">
        <v>0</v>
      </c>
      <c r="N300">
        <v>1</v>
      </c>
    </row>
    <row r="301" spans="4:14" x14ac:dyDescent="0.3">
      <c r="D301" t="s">
        <v>107</v>
      </c>
      <c r="E301" t="s">
        <v>46</v>
      </c>
      <c r="F301" t="s">
        <v>89</v>
      </c>
      <c r="G301">
        <v>2030</v>
      </c>
      <c r="H301" t="s">
        <v>95</v>
      </c>
      <c r="I301" t="s">
        <v>103</v>
      </c>
      <c r="J301" t="s">
        <v>93</v>
      </c>
      <c r="K301">
        <v>1</v>
      </c>
      <c r="L301">
        <v>-15.221964441099207</v>
      </c>
      <c r="M301">
        <v>0</v>
      </c>
      <c r="N301">
        <v>1</v>
      </c>
    </row>
    <row r="302" spans="4:14" x14ac:dyDescent="0.3">
      <c r="D302" t="s">
        <v>107</v>
      </c>
      <c r="E302" t="s">
        <v>49</v>
      </c>
      <c r="F302" t="s">
        <v>89</v>
      </c>
      <c r="G302">
        <v>2017</v>
      </c>
      <c r="H302" t="s">
        <v>95</v>
      </c>
      <c r="I302" t="s">
        <v>103</v>
      </c>
      <c r="J302" t="s">
        <v>93</v>
      </c>
      <c r="K302">
        <v>1</v>
      </c>
      <c r="L302">
        <v>-12.617309919589342</v>
      </c>
      <c r="M302">
        <v>0</v>
      </c>
      <c r="N302">
        <v>1</v>
      </c>
    </row>
    <row r="303" spans="4:14" x14ac:dyDescent="0.3">
      <c r="D303" t="s">
        <v>107</v>
      </c>
      <c r="E303" t="s">
        <v>49</v>
      </c>
      <c r="F303" t="s">
        <v>89</v>
      </c>
      <c r="G303">
        <v>2018</v>
      </c>
      <c r="H303" t="s">
        <v>95</v>
      </c>
      <c r="I303" t="s">
        <v>103</v>
      </c>
      <c r="J303" t="s">
        <v>93</v>
      </c>
      <c r="K303">
        <v>1</v>
      </c>
      <c r="L303">
        <v>-13.42966772538289</v>
      </c>
      <c r="M303">
        <v>0</v>
      </c>
      <c r="N303">
        <v>1</v>
      </c>
    </row>
    <row r="304" spans="4:14" x14ac:dyDescent="0.3">
      <c r="D304" t="s">
        <v>107</v>
      </c>
      <c r="E304" t="s">
        <v>49</v>
      </c>
      <c r="F304" t="s">
        <v>89</v>
      </c>
      <c r="G304">
        <v>2030</v>
      </c>
      <c r="H304" t="s">
        <v>95</v>
      </c>
      <c r="I304" t="s">
        <v>103</v>
      </c>
      <c r="J304" t="s">
        <v>93</v>
      </c>
      <c r="K304">
        <v>1</v>
      </c>
      <c r="L304">
        <v>-13.42966772538289</v>
      </c>
      <c r="M304">
        <v>0</v>
      </c>
      <c r="N304">
        <v>1</v>
      </c>
    </row>
    <row r="305" spans="4:14" x14ac:dyDescent="0.3">
      <c r="D305" t="s">
        <v>107</v>
      </c>
      <c r="E305" t="s">
        <v>50</v>
      </c>
      <c r="F305" t="s">
        <v>89</v>
      </c>
      <c r="G305">
        <v>2017</v>
      </c>
      <c r="H305" t="s">
        <v>95</v>
      </c>
      <c r="I305" t="s">
        <v>103</v>
      </c>
      <c r="J305" t="s">
        <v>93</v>
      </c>
      <c r="K305">
        <v>1</v>
      </c>
      <c r="L305">
        <v>-15.445117750893301</v>
      </c>
      <c r="M305">
        <v>0</v>
      </c>
      <c r="N305">
        <v>1</v>
      </c>
    </row>
    <row r="306" spans="4:14" x14ac:dyDescent="0.3">
      <c r="D306" t="s">
        <v>107</v>
      </c>
      <c r="E306" t="s">
        <v>50</v>
      </c>
      <c r="F306" t="s">
        <v>89</v>
      </c>
      <c r="G306">
        <v>2018</v>
      </c>
      <c r="H306" t="s">
        <v>95</v>
      </c>
      <c r="I306" t="s">
        <v>103</v>
      </c>
      <c r="J306" t="s">
        <v>93</v>
      </c>
      <c r="K306">
        <v>1</v>
      </c>
      <c r="L306">
        <v>-14.945896619646607</v>
      </c>
      <c r="M306">
        <v>0</v>
      </c>
      <c r="N306">
        <v>1</v>
      </c>
    </row>
    <row r="307" spans="4:14" x14ac:dyDescent="0.3">
      <c r="D307" t="s">
        <v>107</v>
      </c>
      <c r="E307" t="s">
        <v>50</v>
      </c>
      <c r="F307" t="s">
        <v>89</v>
      </c>
      <c r="G307">
        <v>2030</v>
      </c>
      <c r="H307" t="s">
        <v>95</v>
      </c>
      <c r="I307" t="s">
        <v>103</v>
      </c>
      <c r="J307" t="s">
        <v>93</v>
      </c>
      <c r="K307">
        <v>1</v>
      </c>
      <c r="L307">
        <v>-15.445117750893301</v>
      </c>
      <c r="M307">
        <v>0</v>
      </c>
      <c r="N307">
        <v>1</v>
      </c>
    </row>
    <row r="308" spans="4:14" x14ac:dyDescent="0.3">
      <c r="D308" t="s">
        <v>107</v>
      </c>
      <c r="E308" t="s">
        <v>51</v>
      </c>
      <c r="F308" t="s">
        <v>89</v>
      </c>
      <c r="G308">
        <v>2017</v>
      </c>
      <c r="H308" t="s">
        <v>95</v>
      </c>
      <c r="I308" t="s">
        <v>103</v>
      </c>
      <c r="J308" t="s">
        <v>93</v>
      </c>
      <c r="K308">
        <v>1</v>
      </c>
      <c r="L308">
        <v>-16.64342721162204</v>
      </c>
      <c r="M308">
        <v>0</v>
      </c>
      <c r="N308">
        <v>1</v>
      </c>
    </row>
    <row r="309" spans="4:14" x14ac:dyDescent="0.3">
      <c r="D309" t="s">
        <v>107</v>
      </c>
      <c r="E309" t="s">
        <v>51</v>
      </c>
      <c r="F309" t="s">
        <v>89</v>
      </c>
      <c r="G309">
        <v>2018</v>
      </c>
      <c r="H309" t="s">
        <v>95</v>
      </c>
      <c r="I309" t="s">
        <v>103</v>
      </c>
      <c r="J309" t="s">
        <v>93</v>
      </c>
      <c r="K309">
        <v>1</v>
      </c>
      <c r="L309">
        <v>-16.705406798793856</v>
      </c>
      <c r="M309">
        <v>0</v>
      </c>
      <c r="N309">
        <v>1</v>
      </c>
    </row>
    <row r="310" spans="4:14" x14ac:dyDescent="0.3">
      <c r="D310" t="s">
        <v>107</v>
      </c>
      <c r="E310" t="s">
        <v>51</v>
      </c>
      <c r="F310" t="s">
        <v>89</v>
      </c>
      <c r="G310">
        <v>2030</v>
      </c>
      <c r="H310" t="s">
        <v>95</v>
      </c>
      <c r="I310" t="s">
        <v>103</v>
      </c>
      <c r="J310" t="s">
        <v>93</v>
      </c>
      <c r="K310">
        <v>1</v>
      </c>
      <c r="L310">
        <v>-16.705406798793856</v>
      </c>
      <c r="M310">
        <v>0</v>
      </c>
      <c r="N310">
        <v>1</v>
      </c>
    </row>
    <row r="311" spans="4:14" x14ac:dyDescent="0.3">
      <c r="D311" t="s">
        <v>107</v>
      </c>
      <c r="E311" t="s">
        <v>53</v>
      </c>
      <c r="F311" t="s">
        <v>89</v>
      </c>
      <c r="G311">
        <v>2017</v>
      </c>
      <c r="H311" t="s">
        <v>95</v>
      </c>
      <c r="I311" t="s">
        <v>103</v>
      </c>
      <c r="J311" t="s">
        <v>93</v>
      </c>
      <c r="K311">
        <v>1</v>
      </c>
      <c r="L311">
        <v>-20.408036083343625</v>
      </c>
      <c r="M311">
        <v>0</v>
      </c>
      <c r="N311">
        <v>1</v>
      </c>
    </row>
    <row r="312" spans="4:14" x14ac:dyDescent="0.3">
      <c r="D312" t="s">
        <v>107</v>
      </c>
      <c r="E312" t="s">
        <v>53</v>
      </c>
      <c r="F312" t="s">
        <v>89</v>
      </c>
      <c r="G312">
        <v>2018</v>
      </c>
      <c r="H312" t="s">
        <v>95</v>
      </c>
      <c r="I312" t="s">
        <v>103</v>
      </c>
      <c r="J312" t="s">
        <v>93</v>
      </c>
      <c r="K312">
        <v>1</v>
      </c>
      <c r="L312">
        <v>-19.831018670446372</v>
      </c>
      <c r="M312">
        <v>0</v>
      </c>
      <c r="N312">
        <v>1</v>
      </c>
    </row>
    <row r="313" spans="4:14" x14ac:dyDescent="0.3">
      <c r="D313" t="s">
        <v>107</v>
      </c>
      <c r="E313" t="s">
        <v>53</v>
      </c>
      <c r="F313" t="s">
        <v>89</v>
      </c>
      <c r="G313">
        <v>2030</v>
      </c>
      <c r="H313" t="s">
        <v>95</v>
      </c>
      <c r="I313" t="s">
        <v>103</v>
      </c>
      <c r="J313" t="s">
        <v>93</v>
      </c>
      <c r="K313">
        <v>1</v>
      </c>
      <c r="L313">
        <v>-20.408036083343625</v>
      </c>
      <c r="M313">
        <v>0</v>
      </c>
      <c r="N313">
        <v>1</v>
      </c>
    </row>
    <row r="314" spans="4:14" x14ac:dyDescent="0.3">
      <c r="D314" t="s">
        <v>107</v>
      </c>
      <c r="E314" t="s">
        <v>54</v>
      </c>
      <c r="F314" t="s">
        <v>89</v>
      </c>
      <c r="G314">
        <v>2017</v>
      </c>
      <c r="H314" t="s">
        <v>95</v>
      </c>
      <c r="I314" t="s">
        <v>103</v>
      </c>
      <c r="J314" t="s">
        <v>93</v>
      </c>
      <c r="K314">
        <v>1</v>
      </c>
      <c r="L314">
        <v>-7.4887077303636858</v>
      </c>
      <c r="M314">
        <v>0</v>
      </c>
      <c r="N314">
        <v>1</v>
      </c>
    </row>
    <row r="315" spans="4:14" x14ac:dyDescent="0.3">
      <c r="D315" t="s">
        <v>107</v>
      </c>
      <c r="E315" t="s">
        <v>54</v>
      </c>
      <c r="F315" t="s">
        <v>89</v>
      </c>
      <c r="G315">
        <v>2018</v>
      </c>
      <c r="H315" t="s">
        <v>95</v>
      </c>
      <c r="I315" t="s">
        <v>103</v>
      </c>
      <c r="J315" t="s">
        <v>93</v>
      </c>
      <c r="K315">
        <v>1</v>
      </c>
      <c r="L315">
        <v>-7.7485901629272567</v>
      </c>
      <c r="M315">
        <v>0</v>
      </c>
      <c r="N315">
        <v>1</v>
      </c>
    </row>
    <row r="316" spans="4:14" x14ac:dyDescent="0.3">
      <c r="D316" t="s">
        <v>107</v>
      </c>
      <c r="E316" t="s">
        <v>54</v>
      </c>
      <c r="F316" t="s">
        <v>89</v>
      </c>
      <c r="G316">
        <v>2030</v>
      </c>
      <c r="H316" t="s">
        <v>95</v>
      </c>
      <c r="I316" t="s">
        <v>103</v>
      </c>
      <c r="J316" t="s">
        <v>93</v>
      </c>
      <c r="K316">
        <v>1</v>
      </c>
      <c r="L316">
        <v>-7.7485901629272567</v>
      </c>
      <c r="M316">
        <v>0</v>
      </c>
      <c r="N316">
        <v>1</v>
      </c>
    </row>
    <row r="317" spans="4:14" x14ac:dyDescent="0.3">
      <c r="D317" t="s">
        <v>107</v>
      </c>
      <c r="E317" t="s">
        <v>55</v>
      </c>
      <c r="F317" t="s">
        <v>89</v>
      </c>
      <c r="G317">
        <v>2017</v>
      </c>
      <c r="H317" t="s">
        <v>95</v>
      </c>
      <c r="I317" t="s">
        <v>103</v>
      </c>
      <c r="J317" t="s">
        <v>93</v>
      </c>
      <c r="K317">
        <v>1</v>
      </c>
      <c r="L317">
        <v>-18.473835599816677</v>
      </c>
      <c r="M317">
        <v>0</v>
      </c>
      <c r="N317">
        <v>1</v>
      </c>
    </row>
    <row r="318" spans="4:14" x14ac:dyDescent="0.3">
      <c r="D318" t="s">
        <v>107</v>
      </c>
      <c r="E318" t="s">
        <v>55</v>
      </c>
      <c r="F318" t="s">
        <v>89</v>
      </c>
      <c r="G318">
        <v>2018</v>
      </c>
      <c r="H318" t="s">
        <v>95</v>
      </c>
      <c r="I318" t="s">
        <v>103</v>
      </c>
      <c r="J318" t="s">
        <v>93</v>
      </c>
      <c r="K318">
        <v>1</v>
      </c>
      <c r="L318">
        <v>-18.651487410687984</v>
      </c>
      <c r="M318">
        <v>0</v>
      </c>
      <c r="N318">
        <v>1</v>
      </c>
    </row>
    <row r="319" spans="4:14" x14ac:dyDescent="0.3">
      <c r="D319" t="s">
        <v>107</v>
      </c>
      <c r="E319" t="s">
        <v>55</v>
      </c>
      <c r="F319" t="s">
        <v>89</v>
      </c>
      <c r="G319">
        <v>2030</v>
      </c>
      <c r="H319" t="s">
        <v>95</v>
      </c>
      <c r="I319" t="s">
        <v>103</v>
      </c>
      <c r="J319" t="s">
        <v>93</v>
      </c>
      <c r="K319">
        <v>1</v>
      </c>
      <c r="L319">
        <v>-18.651487410687984</v>
      </c>
      <c r="M319">
        <v>0</v>
      </c>
      <c r="N319">
        <v>1</v>
      </c>
    </row>
    <row r="320" spans="4:14" x14ac:dyDescent="0.3">
      <c r="D320" t="s">
        <v>107</v>
      </c>
      <c r="E320" t="s">
        <v>56</v>
      </c>
      <c r="F320" t="s">
        <v>89</v>
      </c>
      <c r="G320">
        <v>2017</v>
      </c>
      <c r="H320" t="s">
        <v>95</v>
      </c>
      <c r="I320" t="s">
        <v>103</v>
      </c>
      <c r="J320" t="s">
        <v>93</v>
      </c>
      <c r="K320">
        <v>1</v>
      </c>
      <c r="L320">
        <v>-19.171569297986512</v>
      </c>
      <c r="M320">
        <v>0</v>
      </c>
      <c r="N320">
        <v>1</v>
      </c>
    </row>
    <row r="321" spans="4:14" x14ac:dyDescent="0.3">
      <c r="D321" t="s">
        <v>107</v>
      </c>
      <c r="E321" t="s">
        <v>56</v>
      </c>
      <c r="F321" t="s">
        <v>89</v>
      </c>
      <c r="G321">
        <v>2018</v>
      </c>
      <c r="H321" t="s">
        <v>95</v>
      </c>
      <c r="I321" t="s">
        <v>103</v>
      </c>
      <c r="J321" t="s">
        <v>93</v>
      </c>
      <c r="K321">
        <v>1</v>
      </c>
      <c r="L321">
        <v>-20.728897138177192</v>
      </c>
      <c r="M321">
        <v>0</v>
      </c>
      <c r="N321">
        <v>1</v>
      </c>
    </row>
    <row r="322" spans="4:14" x14ac:dyDescent="0.3">
      <c r="D322" t="s">
        <v>107</v>
      </c>
      <c r="E322" t="s">
        <v>56</v>
      </c>
      <c r="F322" t="s">
        <v>89</v>
      </c>
      <c r="G322">
        <v>2030</v>
      </c>
      <c r="H322" t="s">
        <v>95</v>
      </c>
      <c r="I322" t="s">
        <v>103</v>
      </c>
      <c r="J322" t="s">
        <v>93</v>
      </c>
      <c r="K322">
        <v>1</v>
      </c>
      <c r="L322">
        <v>-20.728897138177192</v>
      </c>
      <c r="M322">
        <v>0</v>
      </c>
      <c r="N322">
        <v>1</v>
      </c>
    </row>
    <row r="323" spans="4:14" x14ac:dyDescent="0.3">
      <c r="D323" t="s">
        <v>107</v>
      </c>
      <c r="E323" t="s">
        <v>58</v>
      </c>
      <c r="F323" t="s">
        <v>89</v>
      </c>
      <c r="G323">
        <v>2017</v>
      </c>
      <c r="H323" t="s">
        <v>95</v>
      </c>
      <c r="I323" t="s">
        <v>103</v>
      </c>
      <c r="J323" t="s">
        <v>93</v>
      </c>
      <c r="K323">
        <v>1</v>
      </c>
      <c r="L323">
        <v>-21.324825967726849</v>
      </c>
      <c r="M323">
        <v>0</v>
      </c>
      <c r="N323">
        <v>1</v>
      </c>
    </row>
    <row r="324" spans="4:14" x14ac:dyDescent="0.3">
      <c r="D324" t="s">
        <v>107</v>
      </c>
      <c r="E324" t="s">
        <v>58</v>
      </c>
      <c r="F324" t="s">
        <v>89</v>
      </c>
      <c r="G324">
        <v>2018</v>
      </c>
      <c r="H324" t="s">
        <v>95</v>
      </c>
      <c r="I324" t="s">
        <v>103</v>
      </c>
      <c r="J324" t="s">
        <v>93</v>
      </c>
      <c r="K324">
        <v>1</v>
      </c>
      <c r="L324">
        <v>-21.154951326237015</v>
      </c>
      <c r="M324">
        <v>0</v>
      </c>
      <c r="N324">
        <v>1</v>
      </c>
    </row>
    <row r="325" spans="4:14" x14ac:dyDescent="0.3">
      <c r="D325" t="s">
        <v>107</v>
      </c>
      <c r="E325" t="s">
        <v>58</v>
      </c>
      <c r="F325" t="s">
        <v>89</v>
      </c>
      <c r="G325">
        <v>2030</v>
      </c>
      <c r="H325" t="s">
        <v>95</v>
      </c>
      <c r="I325" t="s">
        <v>103</v>
      </c>
      <c r="J325" t="s">
        <v>93</v>
      </c>
      <c r="K325">
        <v>1</v>
      </c>
      <c r="L325">
        <v>-21.324825967726849</v>
      </c>
      <c r="M325">
        <v>0</v>
      </c>
      <c r="N325">
        <v>1</v>
      </c>
    </row>
    <row r="326" spans="4:14" x14ac:dyDescent="0.3">
      <c r="D326" t="s">
        <v>107</v>
      </c>
      <c r="E326" t="s">
        <v>59</v>
      </c>
      <c r="F326" t="s">
        <v>89</v>
      </c>
      <c r="G326">
        <v>2017</v>
      </c>
      <c r="H326" t="s">
        <v>95</v>
      </c>
      <c r="I326" t="s">
        <v>103</v>
      </c>
      <c r="J326" t="s">
        <v>93</v>
      </c>
      <c r="K326">
        <v>1</v>
      </c>
      <c r="L326">
        <v>-11.641548794920675</v>
      </c>
      <c r="M326">
        <v>0</v>
      </c>
      <c r="N326">
        <v>1</v>
      </c>
    </row>
    <row r="327" spans="4:14" x14ac:dyDescent="0.3">
      <c r="D327" t="s">
        <v>107</v>
      </c>
      <c r="E327" t="s">
        <v>59</v>
      </c>
      <c r="F327" t="s">
        <v>89</v>
      </c>
      <c r="G327">
        <v>2018</v>
      </c>
      <c r="H327" t="s">
        <v>95</v>
      </c>
      <c r="I327" t="s">
        <v>103</v>
      </c>
      <c r="J327" t="s">
        <v>93</v>
      </c>
      <c r="K327">
        <v>1</v>
      </c>
      <c r="L327">
        <v>-11.848933512444713</v>
      </c>
      <c r="M327">
        <v>0</v>
      </c>
      <c r="N327">
        <v>1</v>
      </c>
    </row>
    <row r="328" spans="4:14" x14ac:dyDescent="0.3">
      <c r="D328" t="s">
        <v>107</v>
      </c>
      <c r="E328" t="s">
        <v>59</v>
      </c>
      <c r="F328" t="s">
        <v>89</v>
      </c>
      <c r="G328">
        <v>2030</v>
      </c>
      <c r="H328" t="s">
        <v>95</v>
      </c>
      <c r="I328" t="s">
        <v>103</v>
      </c>
      <c r="J328" t="s">
        <v>93</v>
      </c>
      <c r="K328">
        <v>1</v>
      </c>
      <c r="L328">
        <v>-11.848933512444713</v>
      </c>
      <c r="M328">
        <v>0</v>
      </c>
      <c r="N328">
        <v>1</v>
      </c>
    </row>
    <row r="329" spans="4:14" x14ac:dyDescent="0.3">
      <c r="D329" t="s">
        <v>107</v>
      </c>
      <c r="E329" t="s">
        <v>60</v>
      </c>
      <c r="F329" t="s">
        <v>89</v>
      </c>
      <c r="G329">
        <v>2017</v>
      </c>
      <c r="H329" t="s">
        <v>95</v>
      </c>
      <c r="I329" t="s">
        <v>103</v>
      </c>
      <c r="J329" t="s">
        <v>93</v>
      </c>
      <c r="K329">
        <v>1</v>
      </c>
      <c r="L329">
        <v>-16.940278337990797</v>
      </c>
      <c r="M329">
        <v>0</v>
      </c>
      <c r="N329">
        <v>1</v>
      </c>
    </row>
    <row r="330" spans="4:14" x14ac:dyDescent="0.3">
      <c r="D330" t="s">
        <v>107</v>
      </c>
      <c r="E330" t="s">
        <v>60</v>
      </c>
      <c r="F330" t="s">
        <v>89</v>
      </c>
      <c r="G330">
        <v>2018</v>
      </c>
      <c r="H330" t="s">
        <v>95</v>
      </c>
      <c r="I330" t="s">
        <v>103</v>
      </c>
      <c r="J330" t="s">
        <v>93</v>
      </c>
      <c r="K330">
        <v>1</v>
      </c>
      <c r="L330">
        <v>-17.052675455639793</v>
      </c>
      <c r="M330">
        <v>0</v>
      </c>
      <c r="N330">
        <v>1</v>
      </c>
    </row>
    <row r="331" spans="4:14" x14ac:dyDescent="0.3">
      <c r="D331" t="s">
        <v>107</v>
      </c>
      <c r="E331" t="s">
        <v>60</v>
      </c>
      <c r="F331" t="s">
        <v>89</v>
      </c>
      <c r="G331">
        <v>2030</v>
      </c>
      <c r="H331" t="s">
        <v>95</v>
      </c>
      <c r="I331" t="s">
        <v>103</v>
      </c>
      <c r="J331" t="s">
        <v>93</v>
      </c>
      <c r="K331">
        <v>1</v>
      </c>
      <c r="L331">
        <v>-17.052675455639793</v>
      </c>
      <c r="M331">
        <v>0</v>
      </c>
      <c r="N331">
        <v>1</v>
      </c>
    </row>
    <row r="332" spans="4:14" x14ac:dyDescent="0.3">
      <c r="D332" t="s">
        <v>108</v>
      </c>
      <c r="E332" t="s">
        <v>50</v>
      </c>
      <c r="F332" t="s">
        <v>89</v>
      </c>
      <c r="G332">
        <v>2017</v>
      </c>
      <c r="H332" t="s">
        <v>90</v>
      </c>
      <c r="I332" t="s">
        <v>77</v>
      </c>
      <c r="J332" t="s">
        <v>73</v>
      </c>
      <c r="K332">
        <v>1</v>
      </c>
      <c r="L332">
        <v>-5.9696755219359323</v>
      </c>
      <c r="M332">
        <v>0</v>
      </c>
      <c r="N332">
        <v>1</v>
      </c>
    </row>
    <row r="333" spans="4:14" x14ac:dyDescent="0.3">
      <c r="D333" t="s">
        <v>108</v>
      </c>
      <c r="E333" t="s">
        <v>50</v>
      </c>
      <c r="F333" t="s">
        <v>89</v>
      </c>
      <c r="G333">
        <v>2018</v>
      </c>
      <c r="H333" t="s">
        <v>90</v>
      </c>
      <c r="I333" t="s">
        <v>77</v>
      </c>
      <c r="J333" t="s">
        <v>73</v>
      </c>
      <c r="K333">
        <v>1</v>
      </c>
      <c r="L333">
        <v>-5.4330585187202205</v>
      </c>
      <c r="M333">
        <v>0</v>
      </c>
      <c r="N333">
        <v>1</v>
      </c>
    </row>
    <row r="334" spans="4:14" x14ac:dyDescent="0.3">
      <c r="D334" t="s">
        <v>108</v>
      </c>
      <c r="E334" t="s">
        <v>55</v>
      </c>
      <c r="F334" t="s">
        <v>89</v>
      </c>
      <c r="G334">
        <v>2017</v>
      </c>
      <c r="H334" t="s">
        <v>90</v>
      </c>
      <c r="I334" t="s">
        <v>77</v>
      </c>
      <c r="J334" t="s">
        <v>73</v>
      </c>
      <c r="K334">
        <v>1</v>
      </c>
      <c r="L334">
        <v>-7.4414347285074944</v>
      </c>
      <c r="M334">
        <v>0</v>
      </c>
      <c r="N334">
        <v>1</v>
      </c>
    </row>
    <row r="335" spans="4:14" x14ac:dyDescent="0.3">
      <c r="D335" t="s">
        <v>108</v>
      </c>
      <c r="E335" t="s">
        <v>55</v>
      </c>
      <c r="F335" t="s">
        <v>89</v>
      </c>
      <c r="G335">
        <v>2018</v>
      </c>
      <c r="H335" t="s">
        <v>90</v>
      </c>
      <c r="I335" t="s">
        <v>77</v>
      </c>
      <c r="J335" t="s">
        <v>73</v>
      </c>
      <c r="K335">
        <v>1</v>
      </c>
      <c r="L335">
        <v>-6.927238652297584</v>
      </c>
      <c r="M335">
        <v>0</v>
      </c>
      <c r="N335">
        <v>1</v>
      </c>
    </row>
    <row r="336" spans="4:14" x14ac:dyDescent="0.3">
      <c r="D336" t="s">
        <v>108</v>
      </c>
      <c r="E336" t="s">
        <v>56</v>
      </c>
      <c r="F336" t="s">
        <v>89</v>
      </c>
      <c r="G336">
        <v>2017</v>
      </c>
      <c r="H336" t="s">
        <v>90</v>
      </c>
      <c r="I336" t="s">
        <v>77</v>
      </c>
      <c r="J336" t="s">
        <v>73</v>
      </c>
      <c r="K336">
        <v>1</v>
      </c>
      <c r="L336">
        <v>-7.9324264514098806</v>
      </c>
      <c r="M336">
        <v>0</v>
      </c>
      <c r="N336">
        <v>1</v>
      </c>
    </row>
    <row r="337" spans="4:14" x14ac:dyDescent="0.3">
      <c r="D337" t="s">
        <v>108</v>
      </c>
      <c r="E337" t="s">
        <v>56</v>
      </c>
      <c r="F337" t="s">
        <v>89</v>
      </c>
      <c r="G337">
        <v>2018</v>
      </c>
      <c r="H337" t="s">
        <v>90</v>
      </c>
      <c r="I337" t="s">
        <v>77</v>
      </c>
      <c r="J337" t="s">
        <v>73</v>
      </c>
      <c r="K337">
        <v>1</v>
      </c>
      <c r="L337">
        <v>-7.0407869013636484</v>
      </c>
      <c r="M337">
        <v>0</v>
      </c>
      <c r="N337">
        <v>1</v>
      </c>
    </row>
    <row r="338" spans="4:14" x14ac:dyDescent="0.3">
      <c r="D338" t="s">
        <v>108</v>
      </c>
      <c r="E338" t="s">
        <v>57</v>
      </c>
      <c r="F338" t="s">
        <v>89</v>
      </c>
      <c r="G338">
        <v>2017</v>
      </c>
      <c r="H338" t="s">
        <v>90</v>
      </c>
      <c r="I338" t="s">
        <v>77</v>
      </c>
      <c r="J338" t="s">
        <v>73</v>
      </c>
      <c r="K338">
        <v>1</v>
      </c>
      <c r="L338">
        <v>-7.0326348156696277</v>
      </c>
      <c r="M338">
        <v>0</v>
      </c>
      <c r="N338">
        <v>1</v>
      </c>
    </row>
    <row r="339" spans="4:14" x14ac:dyDescent="0.3">
      <c r="D339" t="s">
        <v>108</v>
      </c>
      <c r="E339" t="s">
        <v>57</v>
      </c>
      <c r="F339" t="s">
        <v>89</v>
      </c>
      <c r="G339">
        <v>2018</v>
      </c>
      <c r="H339" t="s">
        <v>90</v>
      </c>
      <c r="I339" t="s">
        <v>77</v>
      </c>
      <c r="J339" t="s">
        <v>73</v>
      </c>
      <c r="K339">
        <v>1</v>
      </c>
      <c r="L339">
        <v>-8.062543264537716</v>
      </c>
      <c r="M339">
        <v>0</v>
      </c>
      <c r="N339">
        <v>1</v>
      </c>
    </row>
    <row r="340" spans="4:14" x14ac:dyDescent="0.3">
      <c r="D340" t="s">
        <v>108</v>
      </c>
      <c r="E340" t="s">
        <v>59</v>
      </c>
      <c r="F340" t="s">
        <v>89</v>
      </c>
      <c r="G340">
        <v>2017</v>
      </c>
      <c r="H340" t="s">
        <v>90</v>
      </c>
      <c r="I340" t="s">
        <v>77</v>
      </c>
      <c r="J340" t="s">
        <v>73</v>
      </c>
      <c r="K340">
        <v>1</v>
      </c>
      <c r="L340">
        <v>-2.3944063983670829</v>
      </c>
      <c r="M340">
        <v>0</v>
      </c>
      <c r="N340">
        <v>1</v>
      </c>
    </row>
    <row r="341" spans="4:14" x14ac:dyDescent="0.3">
      <c r="D341" t="s">
        <v>108</v>
      </c>
      <c r="E341" t="s">
        <v>59</v>
      </c>
      <c r="F341" t="s">
        <v>89</v>
      </c>
      <c r="G341">
        <v>2018</v>
      </c>
      <c r="H341" t="s">
        <v>90</v>
      </c>
      <c r="I341" t="s">
        <v>77</v>
      </c>
      <c r="J341" t="s">
        <v>73</v>
      </c>
      <c r="K341">
        <v>1</v>
      </c>
      <c r="L341">
        <v>-1.9290291795480687</v>
      </c>
      <c r="M341">
        <v>0</v>
      </c>
      <c r="N341">
        <v>1</v>
      </c>
    </row>
    <row r="342" spans="4:14" x14ac:dyDescent="0.3">
      <c r="D342" t="s">
        <v>108</v>
      </c>
      <c r="E342" t="s">
        <v>60</v>
      </c>
      <c r="F342" t="s">
        <v>89</v>
      </c>
      <c r="G342">
        <v>2017</v>
      </c>
      <c r="H342" t="s">
        <v>90</v>
      </c>
      <c r="I342" t="s">
        <v>77</v>
      </c>
      <c r="J342" t="s">
        <v>73</v>
      </c>
      <c r="K342">
        <v>1</v>
      </c>
      <c r="L342">
        <v>-2.8877107095373624</v>
      </c>
      <c r="M342">
        <v>0</v>
      </c>
      <c r="N342">
        <v>1</v>
      </c>
    </row>
    <row r="343" spans="4:14" x14ac:dyDescent="0.3">
      <c r="D343" t="s">
        <v>108</v>
      </c>
      <c r="E343" t="s">
        <v>60</v>
      </c>
      <c r="F343" t="s">
        <v>89</v>
      </c>
      <c r="G343">
        <v>2018</v>
      </c>
      <c r="H343" t="s">
        <v>90</v>
      </c>
      <c r="I343" t="s">
        <v>77</v>
      </c>
      <c r="J343" t="s">
        <v>73</v>
      </c>
      <c r="K343">
        <v>1</v>
      </c>
      <c r="L343">
        <v>-3.9012501483300253</v>
      </c>
      <c r="M343">
        <v>0</v>
      </c>
      <c r="N343">
        <v>1</v>
      </c>
    </row>
    <row r="344" spans="4:14" x14ac:dyDescent="0.3">
      <c r="D344" t="s">
        <v>109</v>
      </c>
      <c r="E344" t="s">
        <v>50</v>
      </c>
      <c r="F344" t="s">
        <v>89</v>
      </c>
      <c r="G344">
        <v>2017</v>
      </c>
      <c r="H344" t="s">
        <v>90</v>
      </c>
      <c r="I344" t="s">
        <v>77</v>
      </c>
      <c r="J344" t="s">
        <v>93</v>
      </c>
      <c r="K344">
        <v>1</v>
      </c>
      <c r="L344">
        <v>-6.3960809163599279</v>
      </c>
      <c r="M344">
        <v>0</v>
      </c>
      <c r="N344">
        <v>1</v>
      </c>
    </row>
    <row r="345" spans="4:14" x14ac:dyDescent="0.3">
      <c r="D345" t="s">
        <v>109</v>
      </c>
      <c r="E345" t="s">
        <v>50</v>
      </c>
      <c r="F345" t="s">
        <v>89</v>
      </c>
      <c r="G345">
        <v>2018</v>
      </c>
      <c r="H345" t="s">
        <v>90</v>
      </c>
      <c r="I345" t="s">
        <v>77</v>
      </c>
      <c r="J345" t="s">
        <v>93</v>
      </c>
      <c r="K345">
        <v>1</v>
      </c>
      <c r="L345">
        <v>-5.8211341272002368</v>
      </c>
      <c r="M345">
        <v>0</v>
      </c>
      <c r="N345">
        <v>1</v>
      </c>
    </row>
    <row r="346" spans="4:14" x14ac:dyDescent="0.3">
      <c r="D346" t="s">
        <v>109</v>
      </c>
      <c r="E346" t="s">
        <v>50</v>
      </c>
      <c r="F346" t="s">
        <v>89</v>
      </c>
      <c r="G346">
        <v>2030</v>
      </c>
      <c r="H346" t="s">
        <v>90</v>
      </c>
      <c r="I346" t="s">
        <v>77</v>
      </c>
      <c r="J346" t="s">
        <v>93</v>
      </c>
      <c r="K346">
        <v>1</v>
      </c>
      <c r="L346">
        <v>-6.3960809163599279</v>
      </c>
      <c r="M346">
        <v>0</v>
      </c>
      <c r="N346">
        <v>1</v>
      </c>
    </row>
    <row r="347" spans="4:14" x14ac:dyDescent="0.3">
      <c r="D347" t="s">
        <v>109</v>
      </c>
      <c r="E347" t="s">
        <v>55</v>
      </c>
      <c r="F347" t="s">
        <v>89</v>
      </c>
      <c r="G347">
        <v>2017</v>
      </c>
      <c r="H347" t="s">
        <v>90</v>
      </c>
      <c r="I347" t="s">
        <v>77</v>
      </c>
      <c r="J347" t="s">
        <v>93</v>
      </c>
      <c r="K347">
        <v>1</v>
      </c>
      <c r="L347">
        <v>-7.9729657805437446</v>
      </c>
      <c r="M347">
        <v>0</v>
      </c>
      <c r="N347">
        <v>1</v>
      </c>
    </row>
    <row r="348" spans="4:14" x14ac:dyDescent="0.3">
      <c r="D348" t="s">
        <v>109</v>
      </c>
      <c r="E348" t="s">
        <v>55</v>
      </c>
      <c r="F348" t="s">
        <v>89</v>
      </c>
      <c r="G348">
        <v>2018</v>
      </c>
      <c r="H348" t="s">
        <v>90</v>
      </c>
      <c r="I348" t="s">
        <v>77</v>
      </c>
      <c r="J348" t="s">
        <v>93</v>
      </c>
      <c r="K348">
        <v>1</v>
      </c>
      <c r="L348">
        <v>-7.4220414131759833</v>
      </c>
      <c r="M348">
        <v>0</v>
      </c>
      <c r="N348">
        <v>1</v>
      </c>
    </row>
    <row r="349" spans="4:14" x14ac:dyDescent="0.3">
      <c r="D349" t="s">
        <v>109</v>
      </c>
      <c r="E349" t="s">
        <v>55</v>
      </c>
      <c r="F349" t="s">
        <v>89</v>
      </c>
      <c r="G349">
        <v>2030</v>
      </c>
      <c r="H349" t="s">
        <v>90</v>
      </c>
      <c r="I349" t="s">
        <v>77</v>
      </c>
      <c r="J349" t="s">
        <v>93</v>
      </c>
      <c r="K349">
        <v>1</v>
      </c>
      <c r="L349">
        <v>-7.9729657805437446</v>
      </c>
      <c r="M349">
        <v>0</v>
      </c>
      <c r="N349">
        <v>1</v>
      </c>
    </row>
    <row r="350" spans="4:14" x14ac:dyDescent="0.3">
      <c r="D350" t="s">
        <v>109</v>
      </c>
      <c r="E350" t="s">
        <v>56</v>
      </c>
      <c r="F350" t="s">
        <v>89</v>
      </c>
      <c r="G350">
        <v>2017</v>
      </c>
      <c r="H350" t="s">
        <v>90</v>
      </c>
      <c r="I350" t="s">
        <v>77</v>
      </c>
      <c r="J350" t="s">
        <v>93</v>
      </c>
      <c r="K350">
        <v>1</v>
      </c>
      <c r="L350">
        <v>-8.4990283407963005</v>
      </c>
      <c r="M350">
        <v>0</v>
      </c>
      <c r="N350">
        <v>1</v>
      </c>
    </row>
    <row r="351" spans="4:14" x14ac:dyDescent="0.3">
      <c r="D351" t="s">
        <v>109</v>
      </c>
      <c r="E351" t="s">
        <v>56</v>
      </c>
      <c r="F351" t="s">
        <v>89</v>
      </c>
      <c r="G351">
        <v>2018</v>
      </c>
      <c r="H351" t="s">
        <v>90</v>
      </c>
      <c r="I351" t="s">
        <v>77</v>
      </c>
      <c r="J351" t="s">
        <v>93</v>
      </c>
      <c r="K351">
        <v>1</v>
      </c>
      <c r="L351">
        <v>-7.5437002514610523</v>
      </c>
      <c r="M351">
        <v>0</v>
      </c>
      <c r="N351">
        <v>1</v>
      </c>
    </row>
    <row r="352" spans="4:14" x14ac:dyDescent="0.3">
      <c r="D352" t="s">
        <v>109</v>
      </c>
      <c r="E352" t="s">
        <v>56</v>
      </c>
      <c r="F352" t="s">
        <v>89</v>
      </c>
      <c r="G352">
        <v>2030</v>
      </c>
      <c r="H352" t="s">
        <v>90</v>
      </c>
      <c r="I352" t="s">
        <v>77</v>
      </c>
      <c r="J352" t="s">
        <v>93</v>
      </c>
      <c r="K352">
        <v>1</v>
      </c>
      <c r="L352">
        <v>-8.4990283407963005</v>
      </c>
      <c r="M352">
        <v>0</v>
      </c>
      <c r="N352">
        <v>1</v>
      </c>
    </row>
    <row r="353" spans="4:14" x14ac:dyDescent="0.3">
      <c r="D353" t="s">
        <v>109</v>
      </c>
      <c r="E353" t="s">
        <v>57</v>
      </c>
      <c r="F353" t="s">
        <v>89</v>
      </c>
      <c r="G353">
        <v>2017</v>
      </c>
      <c r="H353" t="s">
        <v>90</v>
      </c>
      <c r="I353" t="s">
        <v>77</v>
      </c>
      <c r="J353" t="s">
        <v>93</v>
      </c>
      <c r="K353">
        <v>1</v>
      </c>
      <c r="L353">
        <v>-7.5349658739317444</v>
      </c>
      <c r="M353">
        <v>0</v>
      </c>
      <c r="N353">
        <v>1</v>
      </c>
    </row>
    <row r="354" spans="4:14" x14ac:dyDescent="0.3">
      <c r="D354" t="s">
        <v>109</v>
      </c>
      <c r="E354" t="s">
        <v>57</v>
      </c>
      <c r="F354" t="s">
        <v>89</v>
      </c>
      <c r="G354">
        <v>2018</v>
      </c>
      <c r="H354" t="s">
        <v>90</v>
      </c>
      <c r="I354" t="s">
        <v>77</v>
      </c>
      <c r="J354" t="s">
        <v>93</v>
      </c>
      <c r="K354">
        <v>1</v>
      </c>
      <c r="L354">
        <v>-8.6384392120046947</v>
      </c>
      <c r="M354">
        <v>0</v>
      </c>
      <c r="N354">
        <v>1</v>
      </c>
    </row>
    <row r="355" spans="4:14" x14ac:dyDescent="0.3">
      <c r="D355" t="s">
        <v>109</v>
      </c>
      <c r="E355" t="s">
        <v>57</v>
      </c>
      <c r="F355" t="s">
        <v>89</v>
      </c>
      <c r="G355">
        <v>2030</v>
      </c>
      <c r="H355" t="s">
        <v>90</v>
      </c>
      <c r="I355" t="s">
        <v>77</v>
      </c>
      <c r="J355" t="s">
        <v>93</v>
      </c>
      <c r="K355">
        <v>1</v>
      </c>
      <c r="L355">
        <v>-8.6384392120046947</v>
      </c>
      <c r="M355">
        <v>0</v>
      </c>
      <c r="N355">
        <v>1</v>
      </c>
    </row>
    <row r="356" spans="4:14" x14ac:dyDescent="0.3">
      <c r="D356" t="s">
        <v>109</v>
      </c>
      <c r="E356" t="s">
        <v>59</v>
      </c>
      <c r="F356" t="s">
        <v>89</v>
      </c>
      <c r="G356">
        <v>2017</v>
      </c>
      <c r="H356" t="s">
        <v>90</v>
      </c>
      <c r="I356" t="s">
        <v>77</v>
      </c>
      <c r="J356" t="s">
        <v>93</v>
      </c>
      <c r="K356">
        <v>1</v>
      </c>
      <c r="L356">
        <v>-2.5654354268218746</v>
      </c>
      <c r="M356">
        <v>0</v>
      </c>
      <c r="N356">
        <v>1</v>
      </c>
    </row>
    <row r="357" spans="4:14" x14ac:dyDescent="0.3">
      <c r="D357" t="s">
        <v>109</v>
      </c>
      <c r="E357" t="s">
        <v>59</v>
      </c>
      <c r="F357" t="s">
        <v>89</v>
      </c>
      <c r="G357">
        <v>2018</v>
      </c>
      <c r="H357" t="s">
        <v>90</v>
      </c>
      <c r="I357" t="s">
        <v>77</v>
      </c>
      <c r="J357" t="s">
        <v>93</v>
      </c>
      <c r="K357">
        <v>1</v>
      </c>
      <c r="L357">
        <v>-2.0668169780872168</v>
      </c>
      <c r="M357">
        <v>0</v>
      </c>
      <c r="N357">
        <v>1</v>
      </c>
    </row>
    <row r="358" spans="4:14" x14ac:dyDescent="0.3">
      <c r="D358" t="s">
        <v>109</v>
      </c>
      <c r="E358" t="s">
        <v>59</v>
      </c>
      <c r="F358" t="s">
        <v>89</v>
      </c>
      <c r="G358">
        <v>2030</v>
      </c>
      <c r="H358" t="s">
        <v>90</v>
      </c>
      <c r="I358" t="s">
        <v>77</v>
      </c>
      <c r="J358" t="s">
        <v>93</v>
      </c>
      <c r="K358">
        <v>1</v>
      </c>
      <c r="L358">
        <v>-2.5654354268218746</v>
      </c>
      <c r="M358">
        <v>0</v>
      </c>
      <c r="N358">
        <v>1</v>
      </c>
    </row>
    <row r="359" spans="4:14" x14ac:dyDescent="0.3">
      <c r="D359" t="s">
        <v>109</v>
      </c>
      <c r="E359" t="s">
        <v>60</v>
      </c>
      <c r="F359" t="s">
        <v>89</v>
      </c>
      <c r="G359">
        <v>2017</v>
      </c>
      <c r="H359" t="s">
        <v>90</v>
      </c>
      <c r="I359" t="s">
        <v>77</v>
      </c>
      <c r="J359" t="s">
        <v>93</v>
      </c>
      <c r="K359">
        <v>1</v>
      </c>
      <c r="L359">
        <v>-3.0939757602186027</v>
      </c>
      <c r="M359">
        <v>0</v>
      </c>
      <c r="N359">
        <v>1</v>
      </c>
    </row>
    <row r="360" spans="4:14" x14ac:dyDescent="0.3">
      <c r="D360" t="s">
        <v>109</v>
      </c>
      <c r="E360" t="s">
        <v>60</v>
      </c>
      <c r="F360" t="s">
        <v>89</v>
      </c>
      <c r="G360">
        <v>2018</v>
      </c>
      <c r="H360" t="s">
        <v>90</v>
      </c>
      <c r="I360" t="s">
        <v>77</v>
      </c>
      <c r="J360" t="s">
        <v>93</v>
      </c>
      <c r="K360">
        <v>1</v>
      </c>
      <c r="L360">
        <v>-4.1799108732107415</v>
      </c>
      <c r="M360">
        <v>0</v>
      </c>
      <c r="N360">
        <v>1</v>
      </c>
    </row>
    <row r="361" spans="4:14" x14ac:dyDescent="0.3">
      <c r="D361" t="s">
        <v>109</v>
      </c>
      <c r="E361" t="s">
        <v>60</v>
      </c>
      <c r="F361" t="s">
        <v>89</v>
      </c>
      <c r="G361">
        <v>2030</v>
      </c>
      <c r="H361" t="s">
        <v>90</v>
      </c>
      <c r="I361" t="s">
        <v>77</v>
      </c>
      <c r="J361" t="s">
        <v>93</v>
      </c>
      <c r="K361">
        <v>1</v>
      </c>
      <c r="L361">
        <v>-4.1799108732107415</v>
      </c>
      <c r="M361">
        <v>0</v>
      </c>
      <c r="N361">
        <v>1</v>
      </c>
    </row>
    <row r="362" spans="4:14" x14ac:dyDescent="0.3">
      <c r="D362" t="s">
        <v>110</v>
      </c>
      <c r="E362" t="s">
        <v>33</v>
      </c>
      <c r="F362" t="s">
        <v>89</v>
      </c>
      <c r="G362">
        <v>2017</v>
      </c>
      <c r="H362" t="s">
        <v>95</v>
      </c>
      <c r="I362" t="s">
        <v>77</v>
      </c>
      <c r="J362" t="s">
        <v>73</v>
      </c>
      <c r="K362">
        <v>1</v>
      </c>
      <c r="L362">
        <v>-10.869164803410905</v>
      </c>
      <c r="M362">
        <v>0</v>
      </c>
      <c r="N362">
        <v>1</v>
      </c>
    </row>
    <row r="363" spans="4:14" x14ac:dyDescent="0.3">
      <c r="D363" t="s">
        <v>110</v>
      </c>
      <c r="E363" t="s">
        <v>33</v>
      </c>
      <c r="F363" t="s">
        <v>89</v>
      </c>
      <c r="G363">
        <v>2018</v>
      </c>
      <c r="H363" t="s">
        <v>95</v>
      </c>
      <c r="I363" t="s">
        <v>77</v>
      </c>
      <c r="J363" t="s">
        <v>73</v>
      </c>
      <c r="K363">
        <v>1</v>
      </c>
      <c r="L363">
        <v>-10.539200629752328</v>
      </c>
      <c r="M363">
        <v>0</v>
      </c>
      <c r="N363">
        <v>1</v>
      </c>
    </row>
    <row r="364" spans="4:14" x14ac:dyDescent="0.3">
      <c r="D364" t="s">
        <v>110</v>
      </c>
      <c r="E364" t="s">
        <v>41</v>
      </c>
      <c r="F364" t="s">
        <v>89</v>
      </c>
      <c r="G364">
        <v>2017</v>
      </c>
      <c r="H364" t="s">
        <v>95</v>
      </c>
      <c r="I364" t="s">
        <v>77</v>
      </c>
      <c r="J364" t="s">
        <v>73</v>
      </c>
      <c r="K364">
        <v>1</v>
      </c>
      <c r="L364">
        <v>-10.869164803410905</v>
      </c>
      <c r="M364">
        <v>0</v>
      </c>
      <c r="N364">
        <v>1</v>
      </c>
    </row>
    <row r="365" spans="4:14" x14ac:dyDescent="0.3">
      <c r="D365" t="s">
        <v>110</v>
      </c>
      <c r="E365" t="s">
        <v>41</v>
      </c>
      <c r="F365" t="s">
        <v>89</v>
      </c>
      <c r="G365">
        <v>2018</v>
      </c>
      <c r="H365" t="s">
        <v>95</v>
      </c>
      <c r="I365" t="s">
        <v>77</v>
      </c>
      <c r="J365" t="s">
        <v>73</v>
      </c>
      <c r="K365">
        <v>1</v>
      </c>
      <c r="L365">
        <v>-10.539200629752326</v>
      </c>
      <c r="M365">
        <v>0</v>
      </c>
      <c r="N365">
        <v>1</v>
      </c>
    </row>
    <row r="366" spans="4:14" x14ac:dyDescent="0.3">
      <c r="D366" t="s">
        <v>110</v>
      </c>
      <c r="E366" t="s">
        <v>42</v>
      </c>
      <c r="F366" t="s">
        <v>89</v>
      </c>
      <c r="G366">
        <v>2017</v>
      </c>
      <c r="H366" t="s">
        <v>95</v>
      </c>
      <c r="I366" t="s">
        <v>77</v>
      </c>
      <c r="J366" t="s">
        <v>73</v>
      </c>
      <c r="K366">
        <v>1</v>
      </c>
      <c r="L366">
        <v>-10.290723202761443</v>
      </c>
      <c r="M366">
        <v>0</v>
      </c>
      <c r="N366">
        <v>1</v>
      </c>
    </row>
    <row r="367" spans="4:14" x14ac:dyDescent="0.3">
      <c r="D367" t="s">
        <v>110</v>
      </c>
      <c r="E367" t="s">
        <v>42</v>
      </c>
      <c r="F367" t="s">
        <v>89</v>
      </c>
      <c r="G367">
        <v>2018</v>
      </c>
      <c r="H367" t="s">
        <v>95</v>
      </c>
      <c r="I367" t="s">
        <v>77</v>
      </c>
      <c r="J367" t="s">
        <v>73</v>
      </c>
      <c r="K367">
        <v>1</v>
      </c>
      <c r="L367">
        <v>-9.2707511771577291</v>
      </c>
      <c r="M367">
        <v>0</v>
      </c>
      <c r="N367">
        <v>1</v>
      </c>
    </row>
    <row r="368" spans="4:14" x14ac:dyDescent="0.3">
      <c r="D368" t="s">
        <v>110</v>
      </c>
      <c r="E368" t="s">
        <v>44</v>
      </c>
      <c r="F368" t="s">
        <v>89</v>
      </c>
      <c r="G368">
        <v>2017</v>
      </c>
      <c r="H368" t="s">
        <v>95</v>
      </c>
      <c r="I368" t="s">
        <v>77</v>
      </c>
      <c r="J368" t="s">
        <v>73</v>
      </c>
      <c r="K368">
        <v>1</v>
      </c>
      <c r="L368">
        <v>-5.1773365510821661</v>
      </c>
      <c r="M368">
        <v>0</v>
      </c>
      <c r="N368">
        <v>1</v>
      </c>
    </row>
    <row r="369" spans="4:14" x14ac:dyDescent="0.3">
      <c r="D369" t="s">
        <v>110</v>
      </c>
      <c r="E369" t="s">
        <v>44</v>
      </c>
      <c r="F369" t="s">
        <v>89</v>
      </c>
      <c r="G369">
        <v>2018</v>
      </c>
      <c r="H369" t="s">
        <v>95</v>
      </c>
      <c r="I369" t="s">
        <v>77</v>
      </c>
      <c r="J369" t="s">
        <v>73</v>
      </c>
      <c r="K369">
        <v>1</v>
      </c>
      <c r="L369">
        <v>-4.3583642071993198</v>
      </c>
      <c r="M369">
        <v>0</v>
      </c>
      <c r="N369">
        <v>1</v>
      </c>
    </row>
    <row r="370" spans="4:14" x14ac:dyDescent="0.3">
      <c r="D370" t="s">
        <v>110</v>
      </c>
      <c r="E370" t="s">
        <v>45</v>
      </c>
      <c r="F370" t="s">
        <v>89</v>
      </c>
      <c r="G370">
        <v>2017</v>
      </c>
      <c r="H370" t="s">
        <v>95</v>
      </c>
      <c r="I370" t="s">
        <v>77</v>
      </c>
      <c r="J370" t="s">
        <v>73</v>
      </c>
      <c r="K370">
        <v>1</v>
      </c>
      <c r="L370">
        <v>-4.5162883326327066</v>
      </c>
      <c r="M370">
        <v>0</v>
      </c>
      <c r="N370">
        <v>1</v>
      </c>
    </row>
    <row r="371" spans="4:14" x14ac:dyDescent="0.3">
      <c r="D371" t="s">
        <v>110</v>
      </c>
      <c r="E371" t="s">
        <v>45</v>
      </c>
      <c r="F371" t="s">
        <v>89</v>
      </c>
      <c r="G371">
        <v>2018</v>
      </c>
      <c r="H371" t="s">
        <v>95</v>
      </c>
      <c r="I371" t="s">
        <v>77</v>
      </c>
      <c r="J371" t="s">
        <v>73</v>
      </c>
      <c r="K371">
        <v>1</v>
      </c>
      <c r="L371">
        <v>-4.7045285016588272</v>
      </c>
      <c r="M371">
        <v>0</v>
      </c>
      <c r="N371">
        <v>1</v>
      </c>
    </row>
    <row r="372" spans="4:14" x14ac:dyDescent="0.3">
      <c r="D372" t="s">
        <v>110</v>
      </c>
      <c r="E372" t="s">
        <v>49</v>
      </c>
      <c r="F372" t="s">
        <v>89</v>
      </c>
      <c r="G372">
        <v>2017</v>
      </c>
      <c r="H372" t="s">
        <v>95</v>
      </c>
      <c r="I372" t="s">
        <v>77</v>
      </c>
      <c r="J372" t="s">
        <v>73</v>
      </c>
      <c r="K372">
        <v>1</v>
      </c>
      <c r="L372">
        <v>-10.969812276280463</v>
      </c>
      <c r="M372">
        <v>0</v>
      </c>
      <c r="N372">
        <v>1</v>
      </c>
    </row>
    <row r="373" spans="4:14" x14ac:dyDescent="0.3">
      <c r="D373" t="s">
        <v>110</v>
      </c>
      <c r="E373" t="s">
        <v>49</v>
      </c>
      <c r="F373" t="s">
        <v>89</v>
      </c>
      <c r="G373">
        <v>2018</v>
      </c>
      <c r="H373" t="s">
        <v>95</v>
      </c>
      <c r="I373" t="s">
        <v>77</v>
      </c>
      <c r="J373" t="s">
        <v>73</v>
      </c>
      <c r="K373">
        <v>1</v>
      </c>
      <c r="L373">
        <v>-10.360854890394709</v>
      </c>
      <c r="M373">
        <v>0</v>
      </c>
      <c r="N373">
        <v>1</v>
      </c>
    </row>
    <row r="374" spans="4:14" x14ac:dyDescent="0.3">
      <c r="D374" t="s">
        <v>110</v>
      </c>
      <c r="E374" t="s">
        <v>50</v>
      </c>
      <c r="F374" t="s">
        <v>89</v>
      </c>
      <c r="G374">
        <v>2017</v>
      </c>
      <c r="H374" t="s">
        <v>95</v>
      </c>
      <c r="I374" t="s">
        <v>77</v>
      </c>
      <c r="J374" t="s">
        <v>73</v>
      </c>
      <c r="K374">
        <v>1</v>
      </c>
      <c r="L374">
        <v>-5.9696755219359314</v>
      </c>
      <c r="M374">
        <v>0</v>
      </c>
      <c r="N374">
        <v>1</v>
      </c>
    </row>
    <row r="375" spans="4:14" x14ac:dyDescent="0.3">
      <c r="D375" t="s">
        <v>110</v>
      </c>
      <c r="E375" t="s">
        <v>50</v>
      </c>
      <c r="F375" t="s">
        <v>89</v>
      </c>
      <c r="G375">
        <v>2018</v>
      </c>
      <c r="H375" t="s">
        <v>95</v>
      </c>
      <c r="I375" t="s">
        <v>77</v>
      </c>
      <c r="J375" t="s">
        <v>73</v>
      </c>
      <c r="K375">
        <v>1</v>
      </c>
      <c r="L375">
        <v>-5.4330585187202196</v>
      </c>
      <c r="M375">
        <v>0</v>
      </c>
      <c r="N375">
        <v>1</v>
      </c>
    </row>
    <row r="376" spans="4:14" x14ac:dyDescent="0.3">
      <c r="D376" t="s">
        <v>110</v>
      </c>
      <c r="E376" t="s">
        <v>51</v>
      </c>
      <c r="F376" t="s">
        <v>89</v>
      </c>
      <c r="G376">
        <v>2017</v>
      </c>
      <c r="H376" t="s">
        <v>95</v>
      </c>
      <c r="I376" t="s">
        <v>77</v>
      </c>
      <c r="J376" t="s">
        <v>73</v>
      </c>
      <c r="K376">
        <v>1</v>
      </c>
      <c r="L376">
        <v>-4.619427943080197</v>
      </c>
      <c r="M376">
        <v>0</v>
      </c>
      <c r="N376">
        <v>1</v>
      </c>
    </row>
    <row r="377" spans="4:14" x14ac:dyDescent="0.3">
      <c r="D377" t="s">
        <v>110</v>
      </c>
      <c r="E377" t="s">
        <v>51</v>
      </c>
      <c r="F377" t="s">
        <v>89</v>
      </c>
      <c r="G377">
        <v>2018</v>
      </c>
      <c r="H377" t="s">
        <v>95</v>
      </c>
      <c r="I377" t="s">
        <v>77</v>
      </c>
      <c r="J377" t="s">
        <v>73</v>
      </c>
      <c r="K377">
        <v>1</v>
      </c>
      <c r="L377">
        <v>-4.3245996299466105</v>
      </c>
      <c r="M377">
        <v>0</v>
      </c>
      <c r="N377">
        <v>1</v>
      </c>
    </row>
    <row r="378" spans="4:14" x14ac:dyDescent="0.3">
      <c r="D378" t="s">
        <v>110</v>
      </c>
      <c r="E378" t="s">
        <v>53</v>
      </c>
      <c r="F378" t="s">
        <v>89</v>
      </c>
      <c r="G378">
        <v>2017</v>
      </c>
      <c r="H378" t="s">
        <v>95</v>
      </c>
      <c r="I378" t="s">
        <v>77</v>
      </c>
      <c r="J378" t="s">
        <v>73</v>
      </c>
      <c r="K378">
        <v>1</v>
      </c>
      <c r="L378">
        <v>-5.7705566304396889</v>
      </c>
      <c r="M378">
        <v>0</v>
      </c>
      <c r="N378">
        <v>1</v>
      </c>
    </row>
    <row r="379" spans="4:14" x14ac:dyDescent="0.3">
      <c r="D379" t="s">
        <v>110</v>
      </c>
      <c r="E379" t="s">
        <v>53</v>
      </c>
      <c r="F379" t="s">
        <v>89</v>
      </c>
      <c r="G379">
        <v>2018</v>
      </c>
      <c r="H379" t="s">
        <v>95</v>
      </c>
      <c r="I379" t="s">
        <v>77</v>
      </c>
      <c r="J379" t="s">
        <v>73</v>
      </c>
      <c r="K379">
        <v>1</v>
      </c>
      <c r="L379">
        <v>-4.4067073140106396</v>
      </c>
      <c r="M379">
        <v>0</v>
      </c>
      <c r="N379">
        <v>1</v>
      </c>
    </row>
    <row r="380" spans="4:14" x14ac:dyDescent="0.3">
      <c r="D380" t="s">
        <v>110</v>
      </c>
      <c r="E380" t="s">
        <v>54</v>
      </c>
      <c r="F380" t="s">
        <v>89</v>
      </c>
      <c r="G380">
        <v>2017</v>
      </c>
      <c r="H380" t="s">
        <v>95</v>
      </c>
      <c r="I380" t="s">
        <v>77</v>
      </c>
      <c r="J380" t="s">
        <v>73</v>
      </c>
      <c r="K380">
        <v>1</v>
      </c>
      <c r="L380">
        <v>-19.247910098445342</v>
      </c>
      <c r="M380">
        <v>0</v>
      </c>
      <c r="N380">
        <v>1</v>
      </c>
    </row>
    <row r="381" spans="4:14" x14ac:dyDescent="0.3">
      <c r="D381" t="s">
        <v>110</v>
      </c>
      <c r="E381" t="s">
        <v>54</v>
      </c>
      <c r="F381" t="s">
        <v>89</v>
      </c>
      <c r="G381">
        <v>2018</v>
      </c>
      <c r="H381" t="s">
        <v>95</v>
      </c>
      <c r="I381" t="s">
        <v>77</v>
      </c>
      <c r="J381" t="s">
        <v>73</v>
      </c>
      <c r="K381">
        <v>1</v>
      </c>
      <c r="L381">
        <v>-16.550981282977784</v>
      </c>
      <c r="M381">
        <v>0</v>
      </c>
      <c r="N381">
        <v>1</v>
      </c>
    </row>
    <row r="382" spans="4:14" x14ac:dyDescent="0.3">
      <c r="D382" t="s">
        <v>110</v>
      </c>
      <c r="E382" t="s">
        <v>55</v>
      </c>
      <c r="F382" t="s">
        <v>89</v>
      </c>
      <c r="G382">
        <v>2017</v>
      </c>
      <c r="H382" t="s">
        <v>95</v>
      </c>
      <c r="I382" t="s">
        <v>77</v>
      </c>
      <c r="J382" t="s">
        <v>73</v>
      </c>
      <c r="K382">
        <v>1</v>
      </c>
      <c r="L382">
        <v>-7.4414347285074927</v>
      </c>
      <c r="M382">
        <v>0</v>
      </c>
      <c r="N382">
        <v>1</v>
      </c>
    </row>
    <row r="383" spans="4:14" x14ac:dyDescent="0.3">
      <c r="D383" t="s">
        <v>110</v>
      </c>
      <c r="E383" t="s">
        <v>55</v>
      </c>
      <c r="F383" t="s">
        <v>89</v>
      </c>
      <c r="G383">
        <v>2018</v>
      </c>
      <c r="H383" t="s">
        <v>95</v>
      </c>
      <c r="I383" t="s">
        <v>77</v>
      </c>
      <c r="J383" t="s">
        <v>73</v>
      </c>
      <c r="K383">
        <v>1</v>
      </c>
      <c r="L383">
        <v>-6.9272386522975848</v>
      </c>
      <c r="M383">
        <v>0</v>
      </c>
      <c r="N383">
        <v>1</v>
      </c>
    </row>
    <row r="384" spans="4:14" x14ac:dyDescent="0.3">
      <c r="D384" t="s">
        <v>110</v>
      </c>
      <c r="E384" t="s">
        <v>56</v>
      </c>
      <c r="F384" t="s">
        <v>89</v>
      </c>
      <c r="G384">
        <v>2017</v>
      </c>
      <c r="H384" t="s">
        <v>95</v>
      </c>
      <c r="I384" t="s">
        <v>77</v>
      </c>
      <c r="J384" t="s">
        <v>73</v>
      </c>
      <c r="K384">
        <v>1</v>
      </c>
      <c r="L384">
        <v>-7.932426451409877</v>
      </c>
      <c r="M384">
        <v>0</v>
      </c>
      <c r="N384">
        <v>1</v>
      </c>
    </row>
    <row r="385" spans="4:14" x14ac:dyDescent="0.3">
      <c r="D385" t="s">
        <v>110</v>
      </c>
      <c r="E385" t="s">
        <v>56</v>
      </c>
      <c r="F385" t="s">
        <v>89</v>
      </c>
      <c r="G385">
        <v>2018</v>
      </c>
      <c r="H385" t="s">
        <v>95</v>
      </c>
      <c r="I385" t="s">
        <v>77</v>
      </c>
      <c r="J385" t="s">
        <v>73</v>
      </c>
      <c r="K385">
        <v>1</v>
      </c>
      <c r="L385">
        <v>-7.040786901363651</v>
      </c>
      <c r="M385">
        <v>0</v>
      </c>
      <c r="N385">
        <v>1</v>
      </c>
    </row>
    <row r="386" spans="4:14" x14ac:dyDescent="0.3">
      <c r="D386" t="s">
        <v>110</v>
      </c>
      <c r="E386" t="s">
        <v>57</v>
      </c>
      <c r="F386" t="s">
        <v>89</v>
      </c>
      <c r="G386">
        <v>2017</v>
      </c>
      <c r="H386" t="s">
        <v>95</v>
      </c>
      <c r="I386" t="s">
        <v>77</v>
      </c>
      <c r="J386" t="s">
        <v>73</v>
      </c>
      <c r="K386">
        <v>1</v>
      </c>
      <c r="L386">
        <v>-7.0326348156696277</v>
      </c>
      <c r="M386">
        <v>0</v>
      </c>
      <c r="N386">
        <v>1</v>
      </c>
    </row>
    <row r="387" spans="4:14" x14ac:dyDescent="0.3">
      <c r="D387" t="s">
        <v>110</v>
      </c>
      <c r="E387" t="s">
        <v>57</v>
      </c>
      <c r="F387" t="s">
        <v>89</v>
      </c>
      <c r="G387">
        <v>2018</v>
      </c>
      <c r="H387" t="s">
        <v>95</v>
      </c>
      <c r="I387" t="s">
        <v>77</v>
      </c>
      <c r="J387" t="s">
        <v>73</v>
      </c>
      <c r="K387">
        <v>1</v>
      </c>
      <c r="L387">
        <v>-8.0625432645377142</v>
      </c>
      <c r="M387">
        <v>0</v>
      </c>
      <c r="N387">
        <v>1</v>
      </c>
    </row>
    <row r="388" spans="4:14" x14ac:dyDescent="0.3">
      <c r="D388" t="s">
        <v>110</v>
      </c>
      <c r="E388" t="s">
        <v>58</v>
      </c>
      <c r="F388" t="s">
        <v>89</v>
      </c>
      <c r="G388">
        <v>2017</v>
      </c>
      <c r="H388" t="s">
        <v>95</v>
      </c>
      <c r="I388" t="s">
        <v>77</v>
      </c>
      <c r="J388" t="s">
        <v>73</v>
      </c>
      <c r="K388">
        <v>1</v>
      </c>
      <c r="L388">
        <v>-7.0669686532190026</v>
      </c>
      <c r="M388">
        <v>0</v>
      </c>
      <c r="N388">
        <v>1</v>
      </c>
    </row>
    <row r="389" spans="4:14" x14ac:dyDescent="0.3">
      <c r="D389" t="s">
        <v>110</v>
      </c>
      <c r="E389" t="s">
        <v>58</v>
      </c>
      <c r="F389" t="s">
        <v>89</v>
      </c>
      <c r="G389">
        <v>2018</v>
      </c>
      <c r="H389" t="s">
        <v>95</v>
      </c>
      <c r="I389" t="s">
        <v>77</v>
      </c>
      <c r="J389" t="s">
        <v>73</v>
      </c>
      <c r="K389">
        <v>1</v>
      </c>
      <c r="L389">
        <v>-7.5221827373575767</v>
      </c>
      <c r="M389">
        <v>0</v>
      </c>
      <c r="N389">
        <v>1</v>
      </c>
    </row>
    <row r="390" spans="4:14" x14ac:dyDescent="0.3">
      <c r="D390" t="s">
        <v>110</v>
      </c>
      <c r="E390" t="s">
        <v>59</v>
      </c>
      <c r="F390" t="s">
        <v>89</v>
      </c>
      <c r="G390">
        <v>2017</v>
      </c>
      <c r="H390" t="s">
        <v>95</v>
      </c>
      <c r="I390" t="s">
        <v>77</v>
      </c>
      <c r="J390" t="s">
        <v>73</v>
      </c>
      <c r="K390">
        <v>1</v>
      </c>
      <c r="L390">
        <v>-2.3944063983670811</v>
      </c>
      <c r="M390">
        <v>0</v>
      </c>
      <c r="N390">
        <v>1</v>
      </c>
    </row>
    <row r="391" spans="4:14" x14ac:dyDescent="0.3">
      <c r="D391" t="s">
        <v>110</v>
      </c>
      <c r="E391" t="s">
        <v>59</v>
      </c>
      <c r="F391" t="s">
        <v>89</v>
      </c>
      <c r="G391">
        <v>2018</v>
      </c>
      <c r="H391" t="s">
        <v>95</v>
      </c>
      <c r="I391" t="s">
        <v>77</v>
      </c>
      <c r="J391" t="s">
        <v>73</v>
      </c>
      <c r="K391">
        <v>1</v>
      </c>
      <c r="L391">
        <v>-1.9290291795480661</v>
      </c>
      <c r="M391">
        <v>0</v>
      </c>
      <c r="N391">
        <v>1</v>
      </c>
    </row>
    <row r="392" spans="4:14" x14ac:dyDescent="0.3">
      <c r="D392" t="s">
        <v>110</v>
      </c>
      <c r="E392" t="s">
        <v>60</v>
      </c>
      <c r="F392" t="s">
        <v>89</v>
      </c>
      <c r="G392">
        <v>2017</v>
      </c>
      <c r="H392" t="s">
        <v>95</v>
      </c>
      <c r="I392" t="s">
        <v>77</v>
      </c>
      <c r="J392" t="s">
        <v>73</v>
      </c>
      <c r="K392">
        <v>1</v>
      </c>
      <c r="L392">
        <v>-0.82345451165639949</v>
      </c>
      <c r="M392">
        <v>0</v>
      </c>
      <c r="N392">
        <v>1</v>
      </c>
    </row>
    <row r="393" spans="4:14" x14ac:dyDescent="0.3">
      <c r="D393" t="s">
        <v>110</v>
      </c>
      <c r="E393" t="s">
        <v>60</v>
      </c>
      <c r="F393" t="s">
        <v>89</v>
      </c>
      <c r="G393">
        <v>2018</v>
      </c>
      <c r="H393" t="s">
        <v>95</v>
      </c>
      <c r="I393" t="s">
        <v>77</v>
      </c>
      <c r="J393" t="s">
        <v>73</v>
      </c>
      <c r="K393">
        <v>1</v>
      </c>
      <c r="L393">
        <v>-1.0535701624870391</v>
      </c>
      <c r="M393">
        <v>0</v>
      </c>
      <c r="N393">
        <v>1</v>
      </c>
    </row>
    <row r="394" spans="4:14" x14ac:dyDescent="0.3">
      <c r="D394" t="s">
        <v>111</v>
      </c>
      <c r="E394" t="s">
        <v>33</v>
      </c>
      <c r="F394" t="s">
        <v>89</v>
      </c>
      <c r="G394">
        <v>2017</v>
      </c>
      <c r="H394" t="s">
        <v>95</v>
      </c>
      <c r="I394" t="s">
        <v>77</v>
      </c>
      <c r="J394" t="s">
        <v>93</v>
      </c>
      <c r="K394">
        <v>1</v>
      </c>
      <c r="L394">
        <v>-11.645533717940255</v>
      </c>
      <c r="M394">
        <v>0</v>
      </c>
      <c r="N394">
        <v>1</v>
      </c>
    </row>
    <row r="395" spans="4:14" x14ac:dyDescent="0.3">
      <c r="D395" t="s">
        <v>111</v>
      </c>
      <c r="E395" t="s">
        <v>33</v>
      </c>
      <c r="F395" t="s">
        <v>89</v>
      </c>
      <c r="G395">
        <v>2018</v>
      </c>
      <c r="H395" t="s">
        <v>95</v>
      </c>
      <c r="I395" t="s">
        <v>77</v>
      </c>
      <c r="J395" t="s">
        <v>93</v>
      </c>
      <c r="K395">
        <v>1</v>
      </c>
      <c r="L395">
        <v>-11.292000674734638</v>
      </c>
      <c r="M395">
        <v>0</v>
      </c>
      <c r="N395">
        <v>1</v>
      </c>
    </row>
    <row r="396" spans="4:14" x14ac:dyDescent="0.3">
      <c r="D396" t="s">
        <v>111</v>
      </c>
      <c r="E396" t="s">
        <v>33</v>
      </c>
      <c r="F396" t="s">
        <v>89</v>
      </c>
      <c r="G396">
        <v>2030</v>
      </c>
      <c r="H396" t="s">
        <v>95</v>
      </c>
      <c r="I396" t="s">
        <v>77</v>
      </c>
      <c r="J396" t="s">
        <v>93</v>
      </c>
      <c r="K396">
        <v>1</v>
      </c>
      <c r="L396">
        <v>-11.645533717940255</v>
      </c>
      <c r="M396">
        <v>0</v>
      </c>
      <c r="N396">
        <v>1</v>
      </c>
    </row>
    <row r="397" spans="4:14" x14ac:dyDescent="0.3">
      <c r="D397" t="s">
        <v>111</v>
      </c>
      <c r="E397" t="s">
        <v>41</v>
      </c>
      <c r="F397" t="s">
        <v>89</v>
      </c>
      <c r="G397">
        <v>2017</v>
      </c>
      <c r="H397" t="s">
        <v>95</v>
      </c>
      <c r="I397" t="s">
        <v>77</v>
      </c>
      <c r="J397" t="s">
        <v>93</v>
      </c>
      <c r="K397">
        <v>1</v>
      </c>
      <c r="L397">
        <v>-11.645533717940255</v>
      </c>
      <c r="M397">
        <v>0</v>
      </c>
      <c r="N397">
        <v>1</v>
      </c>
    </row>
    <row r="398" spans="4:14" x14ac:dyDescent="0.3">
      <c r="D398" t="s">
        <v>111</v>
      </c>
      <c r="E398" t="s">
        <v>41</v>
      </c>
      <c r="F398" t="s">
        <v>89</v>
      </c>
      <c r="G398">
        <v>2018</v>
      </c>
      <c r="H398" t="s">
        <v>95</v>
      </c>
      <c r="I398" t="s">
        <v>77</v>
      </c>
      <c r="J398" t="s">
        <v>93</v>
      </c>
      <c r="K398">
        <v>1</v>
      </c>
      <c r="L398">
        <v>-11.292000674734636</v>
      </c>
      <c r="M398">
        <v>0</v>
      </c>
      <c r="N398">
        <v>1</v>
      </c>
    </row>
    <row r="399" spans="4:14" x14ac:dyDescent="0.3">
      <c r="D399" t="s">
        <v>111</v>
      </c>
      <c r="E399" t="s">
        <v>41</v>
      </c>
      <c r="F399" t="s">
        <v>89</v>
      </c>
      <c r="G399">
        <v>2030</v>
      </c>
      <c r="H399" t="s">
        <v>95</v>
      </c>
      <c r="I399" t="s">
        <v>77</v>
      </c>
      <c r="J399" t="s">
        <v>93</v>
      </c>
      <c r="K399">
        <v>1</v>
      </c>
      <c r="L399">
        <v>-11.645533717940255</v>
      </c>
      <c r="M399">
        <v>0</v>
      </c>
      <c r="N399">
        <v>1</v>
      </c>
    </row>
    <row r="400" spans="4:14" x14ac:dyDescent="0.3">
      <c r="D400" t="s">
        <v>111</v>
      </c>
      <c r="E400" t="s">
        <v>42</v>
      </c>
      <c r="F400" t="s">
        <v>89</v>
      </c>
      <c r="G400">
        <v>2017</v>
      </c>
      <c r="H400" t="s">
        <v>95</v>
      </c>
      <c r="I400" t="s">
        <v>77</v>
      </c>
      <c r="J400" t="s">
        <v>93</v>
      </c>
      <c r="K400">
        <v>1</v>
      </c>
      <c r="L400">
        <v>-11.025774860101548</v>
      </c>
      <c r="M400">
        <v>0</v>
      </c>
      <c r="N400">
        <v>1</v>
      </c>
    </row>
    <row r="401" spans="4:14" x14ac:dyDescent="0.3">
      <c r="D401" t="s">
        <v>111</v>
      </c>
      <c r="E401" t="s">
        <v>42</v>
      </c>
      <c r="F401" t="s">
        <v>89</v>
      </c>
      <c r="G401">
        <v>2018</v>
      </c>
      <c r="H401" t="s">
        <v>95</v>
      </c>
      <c r="I401" t="s">
        <v>77</v>
      </c>
      <c r="J401" t="s">
        <v>93</v>
      </c>
      <c r="K401">
        <v>1</v>
      </c>
      <c r="L401">
        <v>-9.9329476898118525</v>
      </c>
      <c r="M401">
        <v>0</v>
      </c>
      <c r="N401">
        <v>1</v>
      </c>
    </row>
    <row r="402" spans="4:14" x14ac:dyDescent="0.3">
      <c r="D402" t="s">
        <v>111</v>
      </c>
      <c r="E402" t="s">
        <v>42</v>
      </c>
      <c r="F402" t="s">
        <v>89</v>
      </c>
      <c r="G402">
        <v>2030</v>
      </c>
      <c r="H402" t="s">
        <v>95</v>
      </c>
      <c r="I402" t="s">
        <v>77</v>
      </c>
      <c r="J402" t="s">
        <v>93</v>
      </c>
      <c r="K402">
        <v>1</v>
      </c>
      <c r="L402">
        <v>-11.025774860101548</v>
      </c>
      <c r="M402">
        <v>0</v>
      </c>
      <c r="N402">
        <v>1</v>
      </c>
    </row>
    <row r="403" spans="4:14" x14ac:dyDescent="0.3">
      <c r="D403" t="s">
        <v>111</v>
      </c>
      <c r="E403" t="s">
        <v>44</v>
      </c>
      <c r="F403" t="s">
        <v>89</v>
      </c>
      <c r="G403">
        <v>2017</v>
      </c>
      <c r="H403" t="s">
        <v>95</v>
      </c>
      <c r="I403" t="s">
        <v>77</v>
      </c>
      <c r="J403" t="s">
        <v>93</v>
      </c>
      <c r="K403">
        <v>1</v>
      </c>
      <c r="L403">
        <v>-5.5471463047308927</v>
      </c>
      <c r="M403">
        <v>0</v>
      </c>
      <c r="N403">
        <v>1</v>
      </c>
    </row>
    <row r="404" spans="4:14" x14ac:dyDescent="0.3">
      <c r="D404" t="s">
        <v>111</v>
      </c>
      <c r="E404" t="s">
        <v>44</v>
      </c>
      <c r="F404" t="s">
        <v>89</v>
      </c>
      <c r="G404">
        <v>2018</v>
      </c>
      <c r="H404" t="s">
        <v>95</v>
      </c>
      <c r="I404" t="s">
        <v>77</v>
      </c>
      <c r="J404" t="s">
        <v>93</v>
      </c>
      <c r="K404">
        <v>1</v>
      </c>
      <c r="L404">
        <v>-4.6696759362849862</v>
      </c>
      <c r="M404">
        <v>0</v>
      </c>
      <c r="N404">
        <v>1</v>
      </c>
    </row>
    <row r="405" spans="4:14" x14ac:dyDescent="0.3">
      <c r="D405" t="s">
        <v>111</v>
      </c>
      <c r="E405" t="s">
        <v>44</v>
      </c>
      <c r="F405" t="s">
        <v>89</v>
      </c>
      <c r="G405">
        <v>2030</v>
      </c>
      <c r="H405" t="s">
        <v>95</v>
      </c>
      <c r="I405" t="s">
        <v>77</v>
      </c>
      <c r="J405" t="s">
        <v>93</v>
      </c>
      <c r="K405">
        <v>1</v>
      </c>
      <c r="L405">
        <v>-5.5471463047308927</v>
      </c>
      <c r="M405">
        <v>0</v>
      </c>
      <c r="N405">
        <v>1</v>
      </c>
    </row>
    <row r="406" spans="4:14" x14ac:dyDescent="0.3">
      <c r="D406" t="s">
        <v>111</v>
      </c>
      <c r="E406" t="s">
        <v>45</v>
      </c>
      <c r="F406" t="s">
        <v>89</v>
      </c>
      <c r="G406">
        <v>2017</v>
      </c>
      <c r="H406" t="s">
        <v>95</v>
      </c>
      <c r="I406" t="s">
        <v>77</v>
      </c>
      <c r="J406" t="s">
        <v>93</v>
      </c>
      <c r="K406">
        <v>1</v>
      </c>
      <c r="L406">
        <v>-4.8388803563921856</v>
      </c>
      <c r="M406">
        <v>0</v>
      </c>
      <c r="N406">
        <v>1</v>
      </c>
    </row>
    <row r="407" spans="4:14" x14ac:dyDescent="0.3">
      <c r="D407" t="s">
        <v>111</v>
      </c>
      <c r="E407" t="s">
        <v>45</v>
      </c>
      <c r="F407" t="s">
        <v>89</v>
      </c>
      <c r="G407">
        <v>2018</v>
      </c>
      <c r="H407" t="s">
        <v>95</v>
      </c>
      <c r="I407" t="s">
        <v>77</v>
      </c>
      <c r="J407" t="s">
        <v>93</v>
      </c>
      <c r="K407">
        <v>1</v>
      </c>
      <c r="L407">
        <v>-5.0405662517773147</v>
      </c>
      <c r="M407">
        <v>0</v>
      </c>
      <c r="N407">
        <v>1</v>
      </c>
    </row>
    <row r="408" spans="4:14" x14ac:dyDescent="0.3">
      <c r="D408" t="s">
        <v>111</v>
      </c>
      <c r="E408" t="s">
        <v>45</v>
      </c>
      <c r="F408" t="s">
        <v>89</v>
      </c>
      <c r="G408">
        <v>2030</v>
      </c>
      <c r="H408" t="s">
        <v>95</v>
      </c>
      <c r="I408" t="s">
        <v>77</v>
      </c>
      <c r="J408" t="s">
        <v>93</v>
      </c>
      <c r="K408">
        <v>1</v>
      </c>
      <c r="L408">
        <v>-5.0405662517773147</v>
      </c>
      <c r="M408">
        <v>0</v>
      </c>
      <c r="N408">
        <v>1</v>
      </c>
    </row>
    <row r="409" spans="4:14" x14ac:dyDescent="0.3">
      <c r="D409" t="s">
        <v>111</v>
      </c>
      <c r="E409" t="s">
        <v>49</v>
      </c>
      <c r="F409" t="s">
        <v>89</v>
      </c>
      <c r="G409">
        <v>2017</v>
      </c>
      <c r="H409" t="s">
        <v>95</v>
      </c>
      <c r="I409" t="s">
        <v>77</v>
      </c>
      <c r="J409" t="s">
        <v>93</v>
      </c>
      <c r="K409">
        <v>1</v>
      </c>
      <c r="L409">
        <v>-11.753370296014783</v>
      </c>
      <c r="M409">
        <v>0</v>
      </c>
      <c r="N409">
        <v>1</v>
      </c>
    </row>
    <row r="410" spans="4:14" x14ac:dyDescent="0.3">
      <c r="D410" t="s">
        <v>111</v>
      </c>
      <c r="E410" t="s">
        <v>49</v>
      </c>
      <c r="F410" t="s">
        <v>89</v>
      </c>
      <c r="G410">
        <v>2018</v>
      </c>
      <c r="H410" t="s">
        <v>95</v>
      </c>
      <c r="I410" t="s">
        <v>77</v>
      </c>
      <c r="J410" t="s">
        <v>93</v>
      </c>
      <c r="K410">
        <v>1</v>
      </c>
      <c r="L410">
        <v>-11.100915953994331</v>
      </c>
      <c r="M410">
        <v>0</v>
      </c>
      <c r="N410">
        <v>1</v>
      </c>
    </row>
    <row r="411" spans="4:14" x14ac:dyDescent="0.3">
      <c r="D411" t="s">
        <v>111</v>
      </c>
      <c r="E411" t="s">
        <v>49</v>
      </c>
      <c r="F411" t="s">
        <v>89</v>
      </c>
      <c r="G411">
        <v>2030</v>
      </c>
      <c r="H411" t="s">
        <v>95</v>
      </c>
      <c r="I411" t="s">
        <v>77</v>
      </c>
      <c r="J411" t="s">
        <v>93</v>
      </c>
      <c r="K411">
        <v>1</v>
      </c>
      <c r="L411">
        <v>-11.753370296014783</v>
      </c>
      <c r="M411">
        <v>0</v>
      </c>
      <c r="N411">
        <v>1</v>
      </c>
    </row>
    <row r="412" spans="4:14" x14ac:dyDescent="0.3">
      <c r="D412" t="s">
        <v>111</v>
      </c>
      <c r="E412" t="s">
        <v>50</v>
      </c>
      <c r="F412" t="s">
        <v>89</v>
      </c>
      <c r="G412">
        <v>2017</v>
      </c>
      <c r="H412" t="s">
        <v>95</v>
      </c>
      <c r="I412" t="s">
        <v>77</v>
      </c>
      <c r="J412" t="s">
        <v>93</v>
      </c>
      <c r="K412">
        <v>1</v>
      </c>
      <c r="L412">
        <v>-6.396080916359927</v>
      </c>
      <c r="M412">
        <v>0</v>
      </c>
      <c r="N412">
        <v>1</v>
      </c>
    </row>
    <row r="413" spans="4:14" x14ac:dyDescent="0.3">
      <c r="D413" t="s">
        <v>111</v>
      </c>
      <c r="E413" t="s">
        <v>50</v>
      </c>
      <c r="F413" t="s">
        <v>89</v>
      </c>
      <c r="G413">
        <v>2018</v>
      </c>
      <c r="H413" t="s">
        <v>95</v>
      </c>
      <c r="I413" t="s">
        <v>77</v>
      </c>
      <c r="J413" t="s">
        <v>93</v>
      </c>
      <c r="K413">
        <v>1</v>
      </c>
      <c r="L413">
        <v>-5.821134127200235</v>
      </c>
      <c r="M413">
        <v>0</v>
      </c>
      <c r="N413">
        <v>1</v>
      </c>
    </row>
    <row r="414" spans="4:14" x14ac:dyDescent="0.3">
      <c r="D414" t="s">
        <v>111</v>
      </c>
      <c r="E414" t="s">
        <v>50</v>
      </c>
      <c r="F414" t="s">
        <v>89</v>
      </c>
      <c r="G414">
        <v>2030</v>
      </c>
      <c r="H414" t="s">
        <v>95</v>
      </c>
      <c r="I414" t="s">
        <v>77</v>
      </c>
      <c r="J414" t="s">
        <v>93</v>
      </c>
      <c r="K414">
        <v>1</v>
      </c>
      <c r="L414">
        <v>-6.396080916359927</v>
      </c>
      <c r="M414">
        <v>0</v>
      </c>
      <c r="N414">
        <v>1</v>
      </c>
    </row>
    <row r="415" spans="4:14" x14ac:dyDescent="0.3">
      <c r="D415" t="s">
        <v>111</v>
      </c>
      <c r="E415" t="s">
        <v>51</v>
      </c>
      <c r="F415" t="s">
        <v>89</v>
      </c>
      <c r="G415">
        <v>2017</v>
      </c>
      <c r="H415" t="s">
        <v>95</v>
      </c>
      <c r="I415" t="s">
        <v>77</v>
      </c>
      <c r="J415" t="s">
        <v>93</v>
      </c>
      <c r="K415">
        <v>1</v>
      </c>
      <c r="L415">
        <v>-4.9493870818716399</v>
      </c>
      <c r="M415">
        <v>0</v>
      </c>
      <c r="N415">
        <v>1</v>
      </c>
    </row>
    <row r="416" spans="4:14" x14ac:dyDescent="0.3">
      <c r="D416" t="s">
        <v>111</v>
      </c>
      <c r="E416" t="s">
        <v>51</v>
      </c>
      <c r="F416" t="s">
        <v>89</v>
      </c>
      <c r="G416">
        <v>2018</v>
      </c>
      <c r="H416" t="s">
        <v>95</v>
      </c>
      <c r="I416" t="s">
        <v>77</v>
      </c>
      <c r="J416" t="s">
        <v>93</v>
      </c>
      <c r="K416">
        <v>1</v>
      </c>
      <c r="L416">
        <v>-4.6334996035142257</v>
      </c>
      <c r="M416">
        <v>0</v>
      </c>
      <c r="N416">
        <v>1</v>
      </c>
    </row>
    <row r="417" spans="4:14" x14ac:dyDescent="0.3">
      <c r="D417" t="s">
        <v>111</v>
      </c>
      <c r="E417" t="s">
        <v>51</v>
      </c>
      <c r="F417" t="s">
        <v>89</v>
      </c>
      <c r="G417">
        <v>2030</v>
      </c>
      <c r="H417" t="s">
        <v>95</v>
      </c>
      <c r="I417" t="s">
        <v>77</v>
      </c>
      <c r="J417" t="s">
        <v>93</v>
      </c>
      <c r="K417">
        <v>1</v>
      </c>
      <c r="L417">
        <v>-4.9493870818716399</v>
      </c>
      <c r="M417">
        <v>0</v>
      </c>
      <c r="N417">
        <v>1</v>
      </c>
    </row>
    <row r="418" spans="4:14" x14ac:dyDescent="0.3">
      <c r="D418" t="s">
        <v>111</v>
      </c>
      <c r="E418" t="s">
        <v>53</v>
      </c>
      <c r="F418" t="s">
        <v>89</v>
      </c>
      <c r="G418">
        <v>2017</v>
      </c>
      <c r="H418" t="s">
        <v>95</v>
      </c>
      <c r="I418" t="s">
        <v>77</v>
      </c>
      <c r="J418" t="s">
        <v>93</v>
      </c>
      <c r="K418">
        <v>1</v>
      </c>
      <c r="L418">
        <v>-6.1827392468996667</v>
      </c>
      <c r="M418">
        <v>0</v>
      </c>
      <c r="N418">
        <v>1</v>
      </c>
    </row>
    <row r="419" spans="4:14" x14ac:dyDescent="0.3">
      <c r="D419" t="s">
        <v>111</v>
      </c>
      <c r="E419" t="s">
        <v>53</v>
      </c>
      <c r="F419" t="s">
        <v>89</v>
      </c>
      <c r="G419">
        <v>2018</v>
      </c>
      <c r="H419" t="s">
        <v>95</v>
      </c>
      <c r="I419" t="s">
        <v>77</v>
      </c>
      <c r="J419" t="s">
        <v>93</v>
      </c>
      <c r="K419">
        <v>1</v>
      </c>
      <c r="L419">
        <v>-4.7214721221542568</v>
      </c>
      <c r="M419">
        <v>0</v>
      </c>
      <c r="N419">
        <v>1</v>
      </c>
    </row>
    <row r="420" spans="4:14" x14ac:dyDescent="0.3">
      <c r="D420" t="s">
        <v>111</v>
      </c>
      <c r="E420" t="s">
        <v>53</v>
      </c>
      <c r="F420" t="s">
        <v>89</v>
      </c>
      <c r="G420">
        <v>2030</v>
      </c>
      <c r="H420" t="s">
        <v>95</v>
      </c>
      <c r="I420" t="s">
        <v>77</v>
      </c>
      <c r="J420" t="s">
        <v>93</v>
      </c>
      <c r="K420">
        <v>1</v>
      </c>
      <c r="L420">
        <v>-6.1827392468996667</v>
      </c>
      <c r="M420">
        <v>0</v>
      </c>
      <c r="N420">
        <v>1</v>
      </c>
    </row>
    <row r="421" spans="4:14" x14ac:dyDescent="0.3">
      <c r="D421" t="s">
        <v>111</v>
      </c>
      <c r="E421" t="s">
        <v>54</v>
      </c>
      <c r="F421" t="s">
        <v>89</v>
      </c>
      <c r="G421">
        <v>2017</v>
      </c>
      <c r="H421" t="s">
        <v>95</v>
      </c>
      <c r="I421" t="s">
        <v>77</v>
      </c>
      <c r="J421" t="s">
        <v>93</v>
      </c>
      <c r="K421">
        <v>1</v>
      </c>
      <c r="L421">
        <v>-20.62276081976287</v>
      </c>
      <c r="M421">
        <v>0</v>
      </c>
      <c r="N421">
        <v>1</v>
      </c>
    </row>
    <row r="422" spans="4:14" x14ac:dyDescent="0.3">
      <c r="D422" t="s">
        <v>111</v>
      </c>
      <c r="E422" t="s">
        <v>54</v>
      </c>
      <c r="F422" t="s">
        <v>89</v>
      </c>
      <c r="G422">
        <v>2018</v>
      </c>
      <c r="H422" t="s">
        <v>95</v>
      </c>
      <c r="I422" t="s">
        <v>77</v>
      </c>
      <c r="J422" t="s">
        <v>93</v>
      </c>
      <c r="K422">
        <v>1</v>
      </c>
      <c r="L422">
        <v>-17.733194231761914</v>
      </c>
      <c r="M422">
        <v>0</v>
      </c>
      <c r="N422">
        <v>1</v>
      </c>
    </row>
    <row r="423" spans="4:14" x14ac:dyDescent="0.3">
      <c r="D423" t="s">
        <v>111</v>
      </c>
      <c r="E423" t="s">
        <v>54</v>
      </c>
      <c r="F423" t="s">
        <v>89</v>
      </c>
      <c r="G423">
        <v>2030</v>
      </c>
      <c r="H423" t="s">
        <v>95</v>
      </c>
      <c r="I423" t="s">
        <v>77</v>
      </c>
      <c r="J423" t="s">
        <v>93</v>
      </c>
      <c r="K423">
        <v>1</v>
      </c>
      <c r="L423">
        <v>-20.62276081976287</v>
      </c>
      <c r="M423">
        <v>0</v>
      </c>
      <c r="N423">
        <v>1</v>
      </c>
    </row>
    <row r="424" spans="4:14" x14ac:dyDescent="0.3">
      <c r="D424" t="s">
        <v>111</v>
      </c>
      <c r="E424" t="s">
        <v>55</v>
      </c>
      <c r="F424" t="s">
        <v>89</v>
      </c>
      <c r="G424">
        <v>2017</v>
      </c>
      <c r="H424" t="s">
        <v>95</v>
      </c>
      <c r="I424" t="s">
        <v>77</v>
      </c>
      <c r="J424" t="s">
        <v>93</v>
      </c>
      <c r="K424">
        <v>1</v>
      </c>
      <c r="L424">
        <v>-7.9729657805437428</v>
      </c>
      <c r="M424">
        <v>0</v>
      </c>
      <c r="N424">
        <v>1</v>
      </c>
    </row>
    <row r="425" spans="4:14" x14ac:dyDescent="0.3">
      <c r="D425" t="s">
        <v>111</v>
      </c>
      <c r="E425" t="s">
        <v>55</v>
      </c>
      <c r="F425" t="s">
        <v>89</v>
      </c>
      <c r="G425">
        <v>2018</v>
      </c>
      <c r="H425" t="s">
        <v>95</v>
      </c>
      <c r="I425" t="s">
        <v>77</v>
      </c>
      <c r="J425" t="s">
        <v>93</v>
      </c>
      <c r="K425">
        <v>1</v>
      </c>
      <c r="L425">
        <v>-7.4220414131759842</v>
      </c>
      <c r="M425">
        <v>0</v>
      </c>
      <c r="N425">
        <v>1</v>
      </c>
    </row>
    <row r="426" spans="4:14" x14ac:dyDescent="0.3">
      <c r="D426" t="s">
        <v>111</v>
      </c>
      <c r="E426" t="s">
        <v>55</v>
      </c>
      <c r="F426" t="s">
        <v>89</v>
      </c>
      <c r="G426">
        <v>2030</v>
      </c>
      <c r="H426" t="s">
        <v>95</v>
      </c>
      <c r="I426" t="s">
        <v>77</v>
      </c>
      <c r="J426" t="s">
        <v>93</v>
      </c>
      <c r="K426">
        <v>1</v>
      </c>
      <c r="L426">
        <v>-7.9729657805437428</v>
      </c>
      <c r="M426">
        <v>0</v>
      </c>
      <c r="N426">
        <v>1</v>
      </c>
    </row>
    <row r="427" spans="4:14" x14ac:dyDescent="0.3">
      <c r="D427" t="s">
        <v>111</v>
      </c>
      <c r="E427" t="s">
        <v>56</v>
      </c>
      <c r="F427" t="s">
        <v>89</v>
      </c>
      <c r="G427">
        <v>2017</v>
      </c>
      <c r="H427" t="s">
        <v>95</v>
      </c>
      <c r="I427" t="s">
        <v>77</v>
      </c>
      <c r="J427" t="s">
        <v>93</v>
      </c>
      <c r="K427">
        <v>1</v>
      </c>
      <c r="L427">
        <v>-8.499028340796297</v>
      </c>
      <c r="M427">
        <v>0</v>
      </c>
      <c r="N427">
        <v>1</v>
      </c>
    </row>
    <row r="428" spans="4:14" x14ac:dyDescent="0.3">
      <c r="D428" t="s">
        <v>111</v>
      </c>
      <c r="E428" t="s">
        <v>56</v>
      </c>
      <c r="F428" t="s">
        <v>89</v>
      </c>
      <c r="G428">
        <v>2018</v>
      </c>
      <c r="H428" t="s">
        <v>95</v>
      </c>
      <c r="I428" t="s">
        <v>77</v>
      </c>
      <c r="J428" t="s">
        <v>93</v>
      </c>
      <c r="K428">
        <v>1</v>
      </c>
      <c r="L428">
        <v>-7.5437002514610549</v>
      </c>
      <c r="M428">
        <v>0</v>
      </c>
      <c r="N428">
        <v>1</v>
      </c>
    </row>
    <row r="429" spans="4:14" x14ac:dyDescent="0.3">
      <c r="D429" t="s">
        <v>111</v>
      </c>
      <c r="E429" t="s">
        <v>56</v>
      </c>
      <c r="F429" t="s">
        <v>89</v>
      </c>
      <c r="G429">
        <v>2030</v>
      </c>
      <c r="H429" t="s">
        <v>95</v>
      </c>
      <c r="I429" t="s">
        <v>77</v>
      </c>
      <c r="J429" t="s">
        <v>93</v>
      </c>
      <c r="K429">
        <v>1</v>
      </c>
      <c r="L429">
        <v>-8.499028340796297</v>
      </c>
      <c r="M429">
        <v>0</v>
      </c>
      <c r="N429">
        <v>1</v>
      </c>
    </row>
    <row r="430" spans="4:14" x14ac:dyDescent="0.3">
      <c r="D430" t="s">
        <v>111</v>
      </c>
      <c r="E430" t="s">
        <v>57</v>
      </c>
      <c r="F430" t="s">
        <v>89</v>
      </c>
      <c r="G430">
        <v>2017</v>
      </c>
      <c r="H430" t="s">
        <v>95</v>
      </c>
      <c r="I430" t="s">
        <v>77</v>
      </c>
      <c r="J430" t="s">
        <v>93</v>
      </c>
      <c r="K430">
        <v>1</v>
      </c>
      <c r="L430">
        <v>-7.5349658739317444</v>
      </c>
      <c r="M430">
        <v>0</v>
      </c>
      <c r="N430">
        <v>1</v>
      </c>
    </row>
    <row r="431" spans="4:14" x14ac:dyDescent="0.3">
      <c r="D431" t="s">
        <v>111</v>
      </c>
      <c r="E431" t="s">
        <v>57</v>
      </c>
      <c r="F431" t="s">
        <v>89</v>
      </c>
      <c r="G431">
        <v>2018</v>
      </c>
      <c r="H431" t="s">
        <v>95</v>
      </c>
      <c r="I431" t="s">
        <v>77</v>
      </c>
      <c r="J431" t="s">
        <v>93</v>
      </c>
      <c r="K431">
        <v>1</v>
      </c>
      <c r="L431">
        <v>-8.6384392120046929</v>
      </c>
      <c r="M431">
        <v>0</v>
      </c>
      <c r="N431">
        <v>1</v>
      </c>
    </row>
    <row r="432" spans="4:14" x14ac:dyDescent="0.3">
      <c r="D432" t="s">
        <v>111</v>
      </c>
      <c r="E432" t="s">
        <v>57</v>
      </c>
      <c r="F432" t="s">
        <v>89</v>
      </c>
      <c r="G432">
        <v>2030</v>
      </c>
      <c r="H432" t="s">
        <v>95</v>
      </c>
      <c r="I432" t="s">
        <v>77</v>
      </c>
      <c r="J432" t="s">
        <v>93</v>
      </c>
      <c r="K432">
        <v>1</v>
      </c>
      <c r="L432">
        <v>-8.6384392120046929</v>
      </c>
      <c r="M432">
        <v>0</v>
      </c>
      <c r="N432">
        <v>1</v>
      </c>
    </row>
    <row r="433" spans="4:14" x14ac:dyDescent="0.3">
      <c r="D433" t="s">
        <v>111</v>
      </c>
      <c r="E433" t="s">
        <v>58</v>
      </c>
      <c r="F433" t="s">
        <v>89</v>
      </c>
      <c r="G433">
        <v>2017</v>
      </c>
      <c r="H433" t="s">
        <v>95</v>
      </c>
      <c r="I433" t="s">
        <v>77</v>
      </c>
      <c r="J433" t="s">
        <v>93</v>
      </c>
      <c r="K433">
        <v>1</v>
      </c>
      <c r="L433">
        <v>-7.5717521284489324</v>
      </c>
      <c r="M433">
        <v>0</v>
      </c>
      <c r="N433">
        <v>1</v>
      </c>
    </row>
    <row r="434" spans="4:14" x14ac:dyDescent="0.3">
      <c r="D434" t="s">
        <v>111</v>
      </c>
      <c r="E434" t="s">
        <v>58</v>
      </c>
      <c r="F434" t="s">
        <v>89</v>
      </c>
      <c r="G434">
        <v>2018</v>
      </c>
      <c r="H434" t="s">
        <v>95</v>
      </c>
      <c r="I434" t="s">
        <v>77</v>
      </c>
      <c r="J434" t="s">
        <v>93</v>
      </c>
      <c r="K434">
        <v>1</v>
      </c>
      <c r="L434">
        <v>-8.0594815043116892</v>
      </c>
      <c r="M434">
        <v>0</v>
      </c>
      <c r="N434">
        <v>1</v>
      </c>
    </row>
    <row r="435" spans="4:14" x14ac:dyDescent="0.3">
      <c r="D435" t="s">
        <v>111</v>
      </c>
      <c r="E435" t="s">
        <v>58</v>
      </c>
      <c r="F435" t="s">
        <v>89</v>
      </c>
      <c r="G435">
        <v>2030</v>
      </c>
      <c r="H435" t="s">
        <v>95</v>
      </c>
      <c r="I435" t="s">
        <v>77</v>
      </c>
      <c r="J435" t="s">
        <v>93</v>
      </c>
      <c r="K435">
        <v>1</v>
      </c>
      <c r="L435">
        <v>-8.0594815043116892</v>
      </c>
      <c r="M435">
        <v>0</v>
      </c>
      <c r="N435">
        <v>1</v>
      </c>
    </row>
    <row r="436" spans="4:14" x14ac:dyDescent="0.3">
      <c r="D436" t="s">
        <v>111</v>
      </c>
      <c r="E436" t="s">
        <v>59</v>
      </c>
      <c r="F436" t="s">
        <v>89</v>
      </c>
      <c r="G436">
        <v>2017</v>
      </c>
      <c r="H436" t="s">
        <v>95</v>
      </c>
      <c r="I436" t="s">
        <v>77</v>
      </c>
      <c r="J436" t="s">
        <v>93</v>
      </c>
      <c r="K436">
        <v>1</v>
      </c>
      <c r="L436">
        <v>-2.5654354268218729</v>
      </c>
      <c r="M436">
        <v>0</v>
      </c>
      <c r="N436">
        <v>1</v>
      </c>
    </row>
    <row r="437" spans="4:14" x14ac:dyDescent="0.3">
      <c r="D437" t="s">
        <v>111</v>
      </c>
      <c r="E437" t="s">
        <v>59</v>
      </c>
      <c r="F437" t="s">
        <v>89</v>
      </c>
      <c r="G437">
        <v>2018</v>
      </c>
      <c r="H437" t="s">
        <v>95</v>
      </c>
      <c r="I437" t="s">
        <v>77</v>
      </c>
      <c r="J437" t="s">
        <v>93</v>
      </c>
      <c r="K437">
        <v>1</v>
      </c>
      <c r="L437">
        <v>-2.0668169780872137</v>
      </c>
      <c r="M437">
        <v>0</v>
      </c>
      <c r="N437">
        <v>1</v>
      </c>
    </row>
    <row r="438" spans="4:14" x14ac:dyDescent="0.3">
      <c r="D438" t="s">
        <v>111</v>
      </c>
      <c r="E438" t="s">
        <v>59</v>
      </c>
      <c r="F438" t="s">
        <v>89</v>
      </c>
      <c r="G438">
        <v>2030</v>
      </c>
      <c r="H438" t="s">
        <v>95</v>
      </c>
      <c r="I438" t="s">
        <v>77</v>
      </c>
      <c r="J438" t="s">
        <v>93</v>
      </c>
      <c r="K438">
        <v>1</v>
      </c>
      <c r="L438">
        <v>-2.5654354268218729</v>
      </c>
      <c r="M438">
        <v>0</v>
      </c>
      <c r="N438">
        <v>1</v>
      </c>
    </row>
    <row r="439" spans="4:14" x14ac:dyDescent="0.3">
      <c r="D439" t="s">
        <v>111</v>
      </c>
      <c r="E439" t="s">
        <v>60</v>
      </c>
      <c r="F439" t="s">
        <v>89</v>
      </c>
      <c r="G439">
        <v>2017</v>
      </c>
      <c r="H439" t="s">
        <v>95</v>
      </c>
      <c r="I439" t="s">
        <v>77</v>
      </c>
      <c r="J439" t="s">
        <v>93</v>
      </c>
      <c r="K439">
        <v>1</v>
      </c>
      <c r="L439">
        <v>-0.88227269106042805</v>
      </c>
      <c r="M439">
        <v>0</v>
      </c>
      <c r="N439">
        <v>1</v>
      </c>
    </row>
    <row r="440" spans="4:14" x14ac:dyDescent="0.3">
      <c r="D440" t="s">
        <v>111</v>
      </c>
      <c r="E440" t="s">
        <v>60</v>
      </c>
      <c r="F440" t="s">
        <v>89</v>
      </c>
      <c r="G440">
        <v>2018</v>
      </c>
      <c r="H440" t="s">
        <v>95</v>
      </c>
      <c r="I440" t="s">
        <v>77</v>
      </c>
      <c r="J440" t="s">
        <v>93</v>
      </c>
      <c r="K440">
        <v>1</v>
      </c>
      <c r="L440">
        <v>-1.1288251740932562</v>
      </c>
      <c r="M440">
        <v>0</v>
      </c>
      <c r="N440">
        <v>1</v>
      </c>
    </row>
    <row r="441" spans="4:14" x14ac:dyDescent="0.3">
      <c r="D441" t="s">
        <v>111</v>
      </c>
      <c r="E441" t="s">
        <v>60</v>
      </c>
      <c r="F441" t="s">
        <v>89</v>
      </c>
      <c r="G441">
        <v>2030</v>
      </c>
      <c r="H441" t="s">
        <v>95</v>
      </c>
      <c r="I441" t="s">
        <v>77</v>
      </c>
      <c r="J441" t="s">
        <v>93</v>
      </c>
      <c r="K441">
        <v>1</v>
      </c>
      <c r="L441">
        <v>-1.1288251740932562</v>
      </c>
      <c r="M441">
        <v>0</v>
      </c>
      <c r="N441">
        <v>1</v>
      </c>
    </row>
    <row r="442" spans="4:14" x14ac:dyDescent="0.3">
      <c r="D442" t="s">
        <v>112</v>
      </c>
      <c r="E442" t="s">
        <v>42</v>
      </c>
      <c r="F442" t="s">
        <v>89</v>
      </c>
      <c r="G442">
        <v>2017</v>
      </c>
      <c r="H442" t="s">
        <v>90</v>
      </c>
      <c r="I442" t="s">
        <v>113</v>
      </c>
      <c r="J442" t="s">
        <v>73</v>
      </c>
      <c r="K442">
        <v>1</v>
      </c>
      <c r="L442">
        <v>-24.5</v>
      </c>
      <c r="M442">
        <v>0</v>
      </c>
      <c r="N442">
        <v>1</v>
      </c>
    </row>
    <row r="443" spans="4:14" x14ac:dyDescent="0.3">
      <c r="D443" t="s">
        <v>112</v>
      </c>
      <c r="E443" t="s">
        <v>42</v>
      </c>
      <c r="F443" t="s">
        <v>89</v>
      </c>
      <c r="G443">
        <v>2018</v>
      </c>
      <c r="H443" t="s">
        <v>90</v>
      </c>
      <c r="I443" t="s">
        <v>113</v>
      </c>
      <c r="J443" t="s">
        <v>73</v>
      </c>
      <c r="K443">
        <v>1</v>
      </c>
      <c r="L443">
        <v>-24.5</v>
      </c>
      <c r="M443">
        <v>0</v>
      </c>
      <c r="N443">
        <v>1</v>
      </c>
    </row>
    <row r="444" spans="4:14" x14ac:dyDescent="0.3">
      <c r="D444" t="s">
        <v>112</v>
      </c>
      <c r="E444" t="s">
        <v>50</v>
      </c>
      <c r="F444" t="s">
        <v>89</v>
      </c>
      <c r="G444">
        <v>2017</v>
      </c>
      <c r="H444" t="s">
        <v>90</v>
      </c>
      <c r="I444" t="s">
        <v>113</v>
      </c>
      <c r="J444" t="s">
        <v>73</v>
      </c>
      <c r="K444">
        <v>1</v>
      </c>
      <c r="L444">
        <v>-20.837783672372979</v>
      </c>
      <c r="M444">
        <v>0</v>
      </c>
      <c r="N444">
        <v>1</v>
      </c>
    </row>
    <row r="445" spans="4:14" x14ac:dyDescent="0.3">
      <c r="D445" t="s">
        <v>112</v>
      </c>
      <c r="E445" t="s">
        <v>50</v>
      </c>
      <c r="F445" t="s">
        <v>89</v>
      </c>
      <c r="G445">
        <v>2018</v>
      </c>
      <c r="H445" t="s">
        <v>90</v>
      </c>
      <c r="I445" t="s">
        <v>113</v>
      </c>
      <c r="J445" t="s">
        <v>73</v>
      </c>
      <c r="K445">
        <v>1</v>
      </c>
      <c r="L445">
        <v>-21.113774182471818</v>
      </c>
      <c r="M445">
        <v>0</v>
      </c>
      <c r="N445">
        <v>1</v>
      </c>
    </row>
    <row r="446" spans="4:14" x14ac:dyDescent="0.3">
      <c r="D446" t="s">
        <v>114</v>
      </c>
      <c r="E446" t="s">
        <v>42</v>
      </c>
      <c r="F446" t="s">
        <v>89</v>
      </c>
      <c r="G446">
        <v>2017</v>
      </c>
      <c r="H446" t="s">
        <v>90</v>
      </c>
      <c r="I446" t="s">
        <v>113</v>
      </c>
      <c r="J446" t="s">
        <v>93</v>
      </c>
      <c r="K446">
        <v>1</v>
      </c>
      <c r="L446">
        <v>-24.5</v>
      </c>
      <c r="M446">
        <v>0</v>
      </c>
      <c r="N446">
        <v>1</v>
      </c>
    </row>
    <row r="447" spans="4:14" x14ac:dyDescent="0.3">
      <c r="D447" t="s">
        <v>114</v>
      </c>
      <c r="E447" t="s">
        <v>42</v>
      </c>
      <c r="F447" t="s">
        <v>89</v>
      </c>
      <c r="G447">
        <v>2018</v>
      </c>
      <c r="H447" t="s">
        <v>90</v>
      </c>
      <c r="I447" t="s">
        <v>113</v>
      </c>
      <c r="J447" t="s">
        <v>93</v>
      </c>
      <c r="K447">
        <v>1</v>
      </c>
      <c r="L447">
        <v>-24.5</v>
      </c>
      <c r="M447">
        <v>0</v>
      </c>
      <c r="N447">
        <v>1</v>
      </c>
    </row>
    <row r="448" spans="4:14" x14ac:dyDescent="0.3">
      <c r="D448" t="s">
        <v>114</v>
      </c>
      <c r="E448" t="s">
        <v>50</v>
      </c>
      <c r="F448" t="s">
        <v>89</v>
      </c>
      <c r="G448">
        <v>2017</v>
      </c>
      <c r="H448" t="s">
        <v>90</v>
      </c>
      <c r="I448" t="s">
        <v>113</v>
      </c>
      <c r="J448" t="s">
        <v>93</v>
      </c>
      <c r="K448">
        <v>1</v>
      </c>
      <c r="L448">
        <v>-22.326196791828192</v>
      </c>
      <c r="M448">
        <v>0</v>
      </c>
      <c r="N448">
        <v>1</v>
      </c>
    </row>
    <row r="449" spans="4:14" x14ac:dyDescent="0.3">
      <c r="D449" t="s">
        <v>114</v>
      </c>
      <c r="E449" t="s">
        <v>50</v>
      </c>
      <c r="F449" t="s">
        <v>89</v>
      </c>
      <c r="G449">
        <v>2018</v>
      </c>
      <c r="H449" t="s">
        <v>90</v>
      </c>
      <c r="I449" t="s">
        <v>113</v>
      </c>
      <c r="J449" t="s">
        <v>93</v>
      </c>
      <c r="K449">
        <v>1</v>
      </c>
      <c r="L449">
        <v>-22.621900909791233</v>
      </c>
      <c r="M449">
        <v>0</v>
      </c>
      <c r="N449">
        <v>1</v>
      </c>
    </row>
    <row r="450" spans="4:14" x14ac:dyDescent="0.3">
      <c r="D450" t="s">
        <v>115</v>
      </c>
      <c r="E450" t="s">
        <v>41</v>
      </c>
      <c r="F450" t="s">
        <v>89</v>
      </c>
      <c r="G450">
        <v>2017</v>
      </c>
      <c r="H450" t="s">
        <v>95</v>
      </c>
      <c r="I450" t="s">
        <v>113</v>
      </c>
      <c r="J450" t="s">
        <v>73</v>
      </c>
      <c r="K450">
        <v>1</v>
      </c>
      <c r="L450">
        <v>-24.123705524241927</v>
      </c>
      <c r="M450">
        <v>0</v>
      </c>
      <c r="N450">
        <v>1</v>
      </c>
    </row>
    <row r="451" spans="4:14" x14ac:dyDescent="0.3">
      <c r="D451" t="s">
        <v>115</v>
      </c>
      <c r="E451" t="s">
        <v>41</v>
      </c>
      <c r="F451" t="s">
        <v>89</v>
      </c>
      <c r="G451">
        <v>2018</v>
      </c>
      <c r="H451" t="s">
        <v>95</v>
      </c>
      <c r="I451" t="s">
        <v>113</v>
      </c>
      <c r="J451" t="s">
        <v>73</v>
      </c>
      <c r="K451">
        <v>1</v>
      </c>
      <c r="L451">
        <v>-24.5</v>
      </c>
      <c r="M451">
        <v>0</v>
      </c>
      <c r="N451">
        <v>1</v>
      </c>
    </row>
    <row r="452" spans="4:14" x14ac:dyDescent="0.3">
      <c r="D452" t="s">
        <v>115</v>
      </c>
      <c r="E452" t="s">
        <v>42</v>
      </c>
      <c r="F452" t="s">
        <v>89</v>
      </c>
      <c r="G452">
        <v>2017</v>
      </c>
      <c r="H452" t="s">
        <v>95</v>
      </c>
      <c r="I452" t="s">
        <v>113</v>
      </c>
      <c r="J452" t="s">
        <v>73</v>
      </c>
      <c r="K452">
        <v>1</v>
      </c>
      <c r="L452">
        <v>-24.5</v>
      </c>
      <c r="M452">
        <v>0</v>
      </c>
      <c r="N452">
        <v>1</v>
      </c>
    </row>
    <row r="453" spans="4:14" x14ac:dyDescent="0.3">
      <c r="D453" t="s">
        <v>115</v>
      </c>
      <c r="E453" t="s">
        <v>42</v>
      </c>
      <c r="F453" t="s">
        <v>89</v>
      </c>
      <c r="G453">
        <v>2018</v>
      </c>
      <c r="H453" t="s">
        <v>95</v>
      </c>
      <c r="I453" t="s">
        <v>113</v>
      </c>
      <c r="J453" t="s">
        <v>73</v>
      </c>
      <c r="K453">
        <v>1</v>
      </c>
      <c r="L453">
        <v>-24.5</v>
      </c>
      <c r="M453">
        <v>0</v>
      </c>
      <c r="N453">
        <v>1</v>
      </c>
    </row>
    <row r="454" spans="4:14" x14ac:dyDescent="0.3">
      <c r="D454" t="s">
        <v>115</v>
      </c>
      <c r="E454" t="s">
        <v>46</v>
      </c>
      <c r="F454" t="s">
        <v>89</v>
      </c>
      <c r="G454">
        <v>2017</v>
      </c>
      <c r="H454" t="s">
        <v>95</v>
      </c>
      <c r="I454" t="s">
        <v>113</v>
      </c>
      <c r="J454" t="s">
        <v>73</v>
      </c>
      <c r="K454">
        <v>1</v>
      </c>
      <c r="L454">
        <v>-15.48183254344392</v>
      </c>
      <c r="M454">
        <v>0</v>
      </c>
      <c r="N454">
        <v>1</v>
      </c>
    </row>
    <row r="455" spans="4:14" x14ac:dyDescent="0.3">
      <c r="D455" t="s">
        <v>115</v>
      </c>
      <c r="E455" t="s">
        <v>46</v>
      </c>
      <c r="F455" t="s">
        <v>89</v>
      </c>
      <c r="G455">
        <v>2018</v>
      </c>
      <c r="H455" t="s">
        <v>95</v>
      </c>
      <c r="I455" t="s">
        <v>113</v>
      </c>
      <c r="J455" t="s">
        <v>73</v>
      </c>
      <c r="K455">
        <v>1</v>
      </c>
      <c r="L455">
        <v>-15.296050552922592</v>
      </c>
      <c r="M455">
        <v>0</v>
      </c>
      <c r="N455">
        <v>1</v>
      </c>
    </row>
    <row r="456" spans="4:14" x14ac:dyDescent="0.3">
      <c r="D456" t="s">
        <v>115</v>
      </c>
      <c r="E456" t="s">
        <v>49</v>
      </c>
      <c r="F456" t="s">
        <v>89</v>
      </c>
      <c r="G456">
        <v>2017</v>
      </c>
      <c r="H456" t="s">
        <v>95</v>
      </c>
      <c r="I456" t="s">
        <v>113</v>
      </c>
      <c r="J456" t="s">
        <v>73</v>
      </c>
      <c r="K456">
        <v>1</v>
      </c>
      <c r="L456">
        <v>-18.483198485465167</v>
      </c>
      <c r="M456">
        <v>0</v>
      </c>
      <c r="N456">
        <v>1</v>
      </c>
    </row>
    <row r="457" spans="4:14" x14ac:dyDescent="0.3">
      <c r="D457" t="s">
        <v>115</v>
      </c>
      <c r="E457" t="s">
        <v>49</v>
      </c>
      <c r="F457" t="s">
        <v>89</v>
      </c>
      <c r="G457">
        <v>2018</v>
      </c>
      <c r="H457" t="s">
        <v>95</v>
      </c>
      <c r="I457" t="s">
        <v>113</v>
      </c>
      <c r="J457" t="s">
        <v>73</v>
      </c>
      <c r="K457">
        <v>1</v>
      </c>
      <c r="L457">
        <v>-18.885553826645335</v>
      </c>
      <c r="M457">
        <v>0</v>
      </c>
      <c r="N457">
        <v>1</v>
      </c>
    </row>
    <row r="458" spans="4:14" x14ac:dyDescent="0.3">
      <c r="D458" t="s">
        <v>115</v>
      </c>
      <c r="E458" t="s">
        <v>50</v>
      </c>
      <c r="F458" t="s">
        <v>89</v>
      </c>
      <c r="G458">
        <v>2017</v>
      </c>
      <c r="H458" t="s">
        <v>95</v>
      </c>
      <c r="I458" t="s">
        <v>113</v>
      </c>
      <c r="J458" t="s">
        <v>73</v>
      </c>
      <c r="K458">
        <v>1</v>
      </c>
      <c r="L458">
        <v>-20.837783672372993</v>
      </c>
      <c r="M458">
        <v>0</v>
      </c>
      <c r="N458">
        <v>1</v>
      </c>
    </row>
    <row r="459" spans="4:14" x14ac:dyDescent="0.3">
      <c r="D459" t="s">
        <v>115</v>
      </c>
      <c r="E459" t="s">
        <v>50</v>
      </c>
      <c r="F459" t="s">
        <v>89</v>
      </c>
      <c r="G459">
        <v>2018</v>
      </c>
      <c r="H459" t="s">
        <v>95</v>
      </c>
      <c r="I459" t="s">
        <v>113</v>
      </c>
      <c r="J459" t="s">
        <v>73</v>
      </c>
      <c r="K459">
        <v>1</v>
      </c>
      <c r="L459">
        <v>-21.113774182471836</v>
      </c>
      <c r="M459">
        <v>0</v>
      </c>
      <c r="N459">
        <v>1</v>
      </c>
    </row>
    <row r="460" spans="4:14" x14ac:dyDescent="0.3">
      <c r="D460" t="s">
        <v>115</v>
      </c>
      <c r="E460" t="s">
        <v>53</v>
      </c>
      <c r="F460" t="s">
        <v>89</v>
      </c>
      <c r="G460">
        <v>2017</v>
      </c>
      <c r="H460" t="s">
        <v>95</v>
      </c>
      <c r="I460" t="s">
        <v>113</v>
      </c>
      <c r="J460" t="s">
        <v>73</v>
      </c>
      <c r="K460">
        <v>1</v>
      </c>
      <c r="L460">
        <v>-15.527069132235845</v>
      </c>
      <c r="M460">
        <v>0</v>
      </c>
      <c r="N460">
        <v>1</v>
      </c>
    </row>
    <row r="461" spans="4:14" x14ac:dyDescent="0.3">
      <c r="D461" t="s">
        <v>115</v>
      </c>
      <c r="E461" t="s">
        <v>53</v>
      </c>
      <c r="F461" t="s">
        <v>89</v>
      </c>
      <c r="G461">
        <v>2018</v>
      </c>
      <c r="H461" t="s">
        <v>95</v>
      </c>
      <c r="I461" t="s">
        <v>113</v>
      </c>
      <c r="J461" t="s">
        <v>73</v>
      </c>
      <c r="K461">
        <v>1</v>
      </c>
      <c r="L461">
        <v>-16.108959660042011</v>
      </c>
      <c r="M461">
        <v>0</v>
      </c>
      <c r="N461">
        <v>1</v>
      </c>
    </row>
    <row r="462" spans="4:14" x14ac:dyDescent="0.3">
      <c r="D462" t="s">
        <v>115</v>
      </c>
      <c r="E462" t="s">
        <v>55</v>
      </c>
      <c r="F462" t="s">
        <v>89</v>
      </c>
      <c r="G462">
        <v>2017</v>
      </c>
      <c r="H462" t="s">
        <v>95</v>
      </c>
      <c r="I462" t="s">
        <v>113</v>
      </c>
      <c r="J462" t="s">
        <v>73</v>
      </c>
      <c r="K462">
        <v>1</v>
      </c>
      <c r="L462">
        <v>-18.947553534774705</v>
      </c>
      <c r="M462">
        <v>0</v>
      </c>
      <c r="N462">
        <v>1</v>
      </c>
    </row>
    <row r="463" spans="4:14" x14ac:dyDescent="0.3">
      <c r="D463" t="s">
        <v>115</v>
      </c>
      <c r="E463" t="s">
        <v>55</v>
      </c>
      <c r="F463" t="s">
        <v>89</v>
      </c>
      <c r="G463">
        <v>2018</v>
      </c>
      <c r="H463" t="s">
        <v>95</v>
      </c>
      <c r="I463" t="s">
        <v>113</v>
      </c>
      <c r="J463" t="s">
        <v>73</v>
      </c>
      <c r="K463">
        <v>1</v>
      </c>
      <c r="L463">
        <v>-16.674185854049021</v>
      </c>
      <c r="M463">
        <v>0</v>
      </c>
      <c r="N463">
        <v>1</v>
      </c>
    </row>
    <row r="464" spans="4:14" x14ac:dyDescent="0.3">
      <c r="D464" t="s">
        <v>115</v>
      </c>
      <c r="E464" t="s">
        <v>56</v>
      </c>
      <c r="F464" t="s">
        <v>89</v>
      </c>
      <c r="G464">
        <v>2017</v>
      </c>
      <c r="H464" t="s">
        <v>95</v>
      </c>
      <c r="I464" t="s">
        <v>113</v>
      </c>
      <c r="J464" t="s">
        <v>73</v>
      </c>
      <c r="K464">
        <v>1</v>
      </c>
      <c r="L464">
        <v>-20.372393305394244</v>
      </c>
      <c r="M464">
        <v>0</v>
      </c>
      <c r="N464">
        <v>1</v>
      </c>
    </row>
    <row r="465" spans="4:14" x14ac:dyDescent="0.3">
      <c r="D465" t="s">
        <v>115</v>
      </c>
      <c r="E465" t="s">
        <v>56</v>
      </c>
      <c r="F465" t="s">
        <v>89</v>
      </c>
      <c r="G465">
        <v>2018</v>
      </c>
      <c r="H465" t="s">
        <v>95</v>
      </c>
      <c r="I465" t="s">
        <v>113</v>
      </c>
      <c r="J465" t="s">
        <v>73</v>
      </c>
      <c r="K465">
        <v>1</v>
      </c>
      <c r="L465">
        <v>-20.640005822239395</v>
      </c>
      <c r="M465">
        <v>0</v>
      </c>
      <c r="N465">
        <v>1</v>
      </c>
    </row>
    <row r="466" spans="4:14" x14ac:dyDescent="0.3">
      <c r="D466" t="s">
        <v>115</v>
      </c>
      <c r="E466" t="s">
        <v>57</v>
      </c>
      <c r="F466" t="s">
        <v>89</v>
      </c>
      <c r="G466">
        <v>2017</v>
      </c>
      <c r="H466" t="s">
        <v>95</v>
      </c>
      <c r="I466" t="s">
        <v>113</v>
      </c>
      <c r="J466" t="s">
        <v>73</v>
      </c>
      <c r="K466">
        <v>1</v>
      </c>
      <c r="L466">
        <v>-17.739914460755983</v>
      </c>
      <c r="M466">
        <v>0</v>
      </c>
      <c r="N466">
        <v>1</v>
      </c>
    </row>
    <row r="467" spans="4:14" x14ac:dyDescent="0.3">
      <c r="D467" t="s">
        <v>115</v>
      </c>
      <c r="E467" t="s">
        <v>57</v>
      </c>
      <c r="F467" t="s">
        <v>89</v>
      </c>
      <c r="G467">
        <v>2018</v>
      </c>
      <c r="H467" t="s">
        <v>95</v>
      </c>
      <c r="I467" t="s">
        <v>113</v>
      </c>
      <c r="J467" t="s">
        <v>73</v>
      </c>
      <c r="K467">
        <v>1</v>
      </c>
      <c r="L467">
        <v>-17.372881747774827</v>
      </c>
      <c r="M467">
        <v>0</v>
      </c>
      <c r="N467">
        <v>1</v>
      </c>
    </row>
    <row r="468" spans="4:14" x14ac:dyDescent="0.3">
      <c r="D468" t="s">
        <v>115</v>
      </c>
      <c r="E468" t="s">
        <v>59</v>
      </c>
      <c r="F468" t="s">
        <v>89</v>
      </c>
      <c r="G468">
        <v>2018</v>
      </c>
      <c r="H468" t="s">
        <v>95</v>
      </c>
      <c r="I468" t="s">
        <v>113</v>
      </c>
      <c r="J468" t="s">
        <v>73</v>
      </c>
      <c r="K468">
        <v>1</v>
      </c>
      <c r="L468">
        <v>-0.66881516587677714</v>
      </c>
      <c r="M468">
        <v>0</v>
      </c>
      <c r="N468">
        <v>1</v>
      </c>
    </row>
    <row r="469" spans="4:14" x14ac:dyDescent="0.3">
      <c r="D469" t="s">
        <v>115</v>
      </c>
      <c r="E469" t="s">
        <v>60</v>
      </c>
      <c r="F469" t="s">
        <v>89</v>
      </c>
      <c r="G469">
        <v>2017</v>
      </c>
      <c r="H469" t="s">
        <v>95</v>
      </c>
      <c r="I469" t="s">
        <v>113</v>
      </c>
      <c r="J469" t="s">
        <v>73</v>
      </c>
      <c r="K469">
        <v>1</v>
      </c>
      <c r="L469">
        <v>-21.788718424781354</v>
      </c>
      <c r="M469">
        <v>0</v>
      </c>
      <c r="N469">
        <v>1</v>
      </c>
    </row>
    <row r="470" spans="4:14" x14ac:dyDescent="0.3">
      <c r="D470" t="s">
        <v>115</v>
      </c>
      <c r="E470" t="s">
        <v>60</v>
      </c>
      <c r="F470" t="s">
        <v>89</v>
      </c>
      <c r="G470">
        <v>2018</v>
      </c>
      <c r="H470" t="s">
        <v>95</v>
      </c>
      <c r="I470" t="s">
        <v>113</v>
      </c>
      <c r="J470" t="s">
        <v>73</v>
      </c>
      <c r="K470">
        <v>1</v>
      </c>
      <c r="L470">
        <v>-21.739483594470585</v>
      </c>
      <c r="M470">
        <v>0</v>
      </c>
      <c r="N470">
        <v>1</v>
      </c>
    </row>
    <row r="471" spans="4:14" x14ac:dyDescent="0.3">
      <c r="D471" t="s">
        <v>116</v>
      </c>
      <c r="E471" t="s">
        <v>41</v>
      </c>
      <c r="F471" t="s">
        <v>89</v>
      </c>
      <c r="G471">
        <v>2017</v>
      </c>
      <c r="H471" t="s">
        <v>95</v>
      </c>
      <c r="I471" t="s">
        <v>113</v>
      </c>
      <c r="J471" t="s">
        <v>93</v>
      </c>
      <c r="K471">
        <v>1</v>
      </c>
      <c r="L471">
        <v>-24.5</v>
      </c>
      <c r="M471">
        <v>0</v>
      </c>
      <c r="N471">
        <v>1</v>
      </c>
    </row>
    <row r="472" spans="4:14" x14ac:dyDescent="0.3">
      <c r="D472" t="s">
        <v>116</v>
      </c>
      <c r="E472" t="s">
        <v>41</v>
      </c>
      <c r="F472" t="s">
        <v>89</v>
      </c>
      <c r="G472">
        <v>2018</v>
      </c>
      <c r="H472" t="s">
        <v>95</v>
      </c>
      <c r="I472" t="s">
        <v>113</v>
      </c>
      <c r="J472" t="s">
        <v>93</v>
      </c>
      <c r="K472">
        <v>1</v>
      </c>
      <c r="L472">
        <v>-24.5</v>
      </c>
      <c r="M472">
        <v>0</v>
      </c>
      <c r="N472">
        <v>1</v>
      </c>
    </row>
    <row r="473" spans="4:14" x14ac:dyDescent="0.3">
      <c r="D473" t="s">
        <v>116</v>
      </c>
      <c r="E473" t="s">
        <v>42</v>
      </c>
      <c r="F473" t="s">
        <v>89</v>
      </c>
      <c r="G473">
        <v>2017</v>
      </c>
      <c r="H473" t="s">
        <v>95</v>
      </c>
      <c r="I473" t="s">
        <v>113</v>
      </c>
      <c r="J473" t="s">
        <v>93</v>
      </c>
      <c r="K473">
        <v>1</v>
      </c>
      <c r="L473">
        <v>-24.5</v>
      </c>
      <c r="M473">
        <v>0</v>
      </c>
      <c r="N473">
        <v>1</v>
      </c>
    </row>
    <row r="474" spans="4:14" x14ac:dyDescent="0.3">
      <c r="D474" t="s">
        <v>116</v>
      </c>
      <c r="E474" t="s">
        <v>42</v>
      </c>
      <c r="F474" t="s">
        <v>89</v>
      </c>
      <c r="G474">
        <v>2018</v>
      </c>
      <c r="H474" t="s">
        <v>95</v>
      </c>
      <c r="I474" t="s">
        <v>113</v>
      </c>
      <c r="J474" t="s">
        <v>93</v>
      </c>
      <c r="K474">
        <v>1</v>
      </c>
      <c r="L474">
        <v>-24.5</v>
      </c>
      <c r="M474">
        <v>0</v>
      </c>
      <c r="N474">
        <v>1</v>
      </c>
    </row>
    <row r="475" spans="4:14" x14ac:dyDescent="0.3">
      <c r="D475" t="s">
        <v>116</v>
      </c>
      <c r="E475" t="s">
        <v>46</v>
      </c>
      <c r="F475" t="s">
        <v>89</v>
      </c>
      <c r="G475">
        <v>2017</v>
      </c>
      <c r="H475" t="s">
        <v>95</v>
      </c>
      <c r="I475" t="s">
        <v>113</v>
      </c>
      <c r="J475" t="s">
        <v>93</v>
      </c>
      <c r="K475">
        <v>1</v>
      </c>
      <c r="L475">
        <v>-16.587677725118485</v>
      </c>
      <c r="M475">
        <v>0</v>
      </c>
      <c r="N475">
        <v>1</v>
      </c>
    </row>
    <row r="476" spans="4:14" x14ac:dyDescent="0.3">
      <c r="D476" t="s">
        <v>116</v>
      </c>
      <c r="E476" t="s">
        <v>46</v>
      </c>
      <c r="F476" t="s">
        <v>89</v>
      </c>
      <c r="G476">
        <v>2018</v>
      </c>
      <c r="H476" t="s">
        <v>95</v>
      </c>
      <c r="I476" t="s">
        <v>113</v>
      </c>
      <c r="J476" t="s">
        <v>93</v>
      </c>
      <c r="K476">
        <v>1</v>
      </c>
      <c r="L476">
        <v>-16.388625592417064</v>
      </c>
      <c r="M476">
        <v>0</v>
      </c>
      <c r="N476">
        <v>1</v>
      </c>
    </row>
    <row r="477" spans="4:14" x14ac:dyDescent="0.3">
      <c r="D477" t="s">
        <v>116</v>
      </c>
      <c r="E477" t="s">
        <v>49</v>
      </c>
      <c r="F477" t="s">
        <v>89</v>
      </c>
      <c r="G477">
        <v>2017</v>
      </c>
      <c r="H477" t="s">
        <v>95</v>
      </c>
      <c r="I477" t="s">
        <v>113</v>
      </c>
      <c r="J477" t="s">
        <v>93</v>
      </c>
      <c r="K477">
        <v>1</v>
      </c>
      <c r="L477">
        <v>-19.80342694871268</v>
      </c>
      <c r="M477">
        <v>0</v>
      </c>
      <c r="N477">
        <v>1</v>
      </c>
    </row>
    <row r="478" spans="4:14" x14ac:dyDescent="0.3">
      <c r="D478" t="s">
        <v>116</v>
      </c>
      <c r="E478" t="s">
        <v>49</v>
      </c>
      <c r="F478" t="s">
        <v>89</v>
      </c>
      <c r="G478">
        <v>2018</v>
      </c>
      <c r="H478" t="s">
        <v>95</v>
      </c>
      <c r="I478" t="s">
        <v>113</v>
      </c>
      <c r="J478" t="s">
        <v>93</v>
      </c>
      <c r="K478">
        <v>1</v>
      </c>
      <c r="L478">
        <v>-20.234521957120005</v>
      </c>
      <c r="M478">
        <v>0</v>
      </c>
      <c r="N478">
        <v>1</v>
      </c>
    </row>
    <row r="479" spans="4:14" x14ac:dyDescent="0.3">
      <c r="D479" t="s">
        <v>116</v>
      </c>
      <c r="E479" t="s">
        <v>50</v>
      </c>
      <c r="F479" t="s">
        <v>89</v>
      </c>
      <c r="G479">
        <v>2017</v>
      </c>
      <c r="H479" t="s">
        <v>95</v>
      </c>
      <c r="I479" t="s">
        <v>113</v>
      </c>
      <c r="J479" t="s">
        <v>93</v>
      </c>
      <c r="K479">
        <v>1</v>
      </c>
      <c r="L479">
        <v>-22.32619679182821</v>
      </c>
      <c r="M479">
        <v>0</v>
      </c>
      <c r="N479">
        <v>1</v>
      </c>
    </row>
    <row r="480" spans="4:14" x14ac:dyDescent="0.3">
      <c r="D480" t="s">
        <v>116</v>
      </c>
      <c r="E480" t="s">
        <v>50</v>
      </c>
      <c r="F480" t="s">
        <v>89</v>
      </c>
      <c r="G480">
        <v>2018</v>
      </c>
      <c r="H480" t="s">
        <v>95</v>
      </c>
      <c r="I480" t="s">
        <v>113</v>
      </c>
      <c r="J480" t="s">
        <v>93</v>
      </c>
      <c r="K480">
        <v>1</v>
      </c>
      <c r="L480">
        <v>-22.621900909791254</v>
      </c>
      <c r="M480">
        <v>0</v>
      </c>
      <c r="N480">
        <v>1</v>
      </c>
    </row>
    <row r="481" spans="4:14" x14ac:dyDescent="0.3">
      <c r="D481" t="s">
        <v>116</v>
      </c>
      <c r="E481" t="s">
        <v>53</v>
      </c>
      <c r="F481" t="s">
        <v>89</v>
      </c>
      <c r="G481">
        <v>2017</v>
      </c>
      <c r="H481" t="s">
        <v>95</v>
      </c>
      <c r="I481" t="s">
        <v>113</v>
      </c>
      <c r="J481" t="s">
        <v>93</v>
      </c>
      <c r="K481">
        <v>1</v>
      </c>
      <c r="L481">
        <v>-16.636145498824121</v>
      </c>
      <c r="M481">
        <v>0</v>
      </c>
      <c r="N481">
        <v>1</v>
      </c>
    </row>
    <row r="482" spans="4:14" x14ac:dyDescent="0.3">
      <c r="D482" t="s">
        <v>116</v>
      </c>
      <c r="E482" t="s">
        <v>53</v>
      </c>
      <c r="F482" t="s">
        <v>89</v>
      </c>
      <c r="G482">
        <v>2018</v>
      </c>
      <c r="H482" t="s">
        <v>95</v>
      </c>
      <c r="I482" t="s">
        <v>113</v>
      </c>
      <c r="J482" t="s">
        <v>93</v>
      </c>
      <c r="K482">
        <v>1</v>
      </c>
      <c r="L482">
        <v>-17.259599635759301</v>
      </c>
      <c r="M482">
        <v>0</v>
      </c>
      <c r="N482">
        <v>1</v>
      </c>
    </row>
    <row r="483" spans="4:14" x14ac:dyDescent="0.3">
      <c r="D483" t="s">
        <v>116</v>
      </c>
      <c r="E483" t="s">
        <v>55</v>
      </c>
      <c r="F483" t="s">
        <v>89</v>
      </c>
      <c r="G483">
        <v>2017</v>
      </c>
      <c r="H483" t="s">
        <v>95</v>
      </c>
      <c r="I483" t="s">
        <v>113</v>
      </c>
      <c r="J483" t="s">
        <v>93</v>
      </c>
      <c r="K483">
        <v>1</v>
      </c>
      <c r="L483">
        <v>-20.300950215830042</v>
      </c>
      <c r="M483">
        <v>0</v>
      </c>
      <c r="N483">
        <v>1</v>
      </c>
    </row>
    <row r="484" spans="4:14" x14ac:dyDescent="0.3">
      <c r="D484" t="s">
        <v>116</v>
      </c>
      <c r="E484" t="s">
        <v>55</v>
      </c>
      <c r="F484" t="s">
        <v>89</v>
      </c>
      <c r="G484">
        <v>2018</v>
      </c>
      <c r="H484" t="s">
        <v>95</v>
      </c>
      <c r="I484" t="s">
        <v>113</v>
      </c>
      <c r="J484" t="s">
        <v>93</v>
      </c>
      <c r="K484">
        <v>1</v>
      </c>
      <c r="L484">
        <v>-17.86519912933824</v>
      </c>
      <c r="M484">
        <v>0</v>
      </c>
      <c r="N484">
        <v>1</v>
      </c>
    </row>
    <row r="485" spans="4:14" x14ac:dyDescent="0.3">
      <c r="D485" t="s">
        <v>116</v>
      </c>
      <c r="E485" t="s">
        <v>56</v>
      </c>
      <c r="F485" t="s">
        <v>89</v>
      </c>
      <c r="G485">
        <v>2017</v>
      </c>
      <c r="H485" t="s">
        <v>95</v>
      </c>
      <c r="I485" t="s">
        <v>113</v>
      </c>
      <c r="J485" t="s">
        <v>93</v>
      </c>
      <c r="K485">
        <v>1</v>
      </c>
      <c r="L485">
        <v>-21.827564255779549</v>
      </c>
      <c r="M485">
        <v>0</v>
      </c>
      <c r="N485">
        <v>1</v>
      </c>
    </row>
    <row r="486" spans="4:14" x14ac:dyDescent="0.3">
      <c r="D486" t="s">
        <v>116</v>
      </c>
      <c r="E486" t="s">
        <v>56</v>
      </c>
      <c r="F486" t="s">
        <v>89</v>
      </c>
      <c r="G486">
        <v>2018</v>
      </c>
      <c r="H486" t="s">
        <v>95</v>
      </c>
      <c r="I486" t="s">
        <v>113</v>
      </c>
      <c r="J486" t="s">
        <v>93</v>
      </c>
      <c r="K486">
        <v>1</v>
      </c>
      <c r="L486">
        <v>-22.114291952399352</v>
      </c>
      <c r="M486">
        <v>0</v>
      </c>
      <c r="N486">
        <v>1</v>
      </c>
    </row>
    <row r="487" spans="4:14" x14ac:dyDescent="0.3">
      <c r="D487" t="s">
        <v>116</v>
      </c>
      <c r="E487" t="s">
        <v>57</v>
      </c>
      <c r="F487" t="s">
        <v>89</v>
      </c>
      <c r="G487">
        <v>2017</v>
      </c>
      <c r="H487" t="s">
        <v>95</v>
      </c>
      <c r="I487" t="s">
        <v>113</v>
      </c>
      <c r="J487" t="s">
        <v>93</v>
      </c>
      <c r="K487">
        <v>1</v>
      </c>
      <c r="L487">
        <v>-19.007051207952841</v>
      </c>
      <c r="M487">
        <v>0</v>
      </c>
      <c r="N487">
        <v>1</v>
      </c>
    </row>
    <row r="488" spans="4:14" x14ac:dyDescent="0.3">
      <c r="D488" t="s">
        <v>116</v>
      </c>
      <c r="E488" t="s">
        <v>57</v>
      </c>
      <c r="F488" t="s">
        <v>89</v>
      </c>
      <c r="G488">
        <v>2018</v>
      </c>
      <c r="H488" t="s">
        <v>95</v>
      </c>
      <c r="I488" t="s">
        <v>113</v>
      </c>
      <c r="J488" t="s">
        <v>93</v>
      </c>
      <c r="K488">
        <v>1</v>
      </c>
      <c r="L488">
        <v>-18.613801872615888</v>
      </c>
      <c r="M488">
        <v>0</v>
      </c>
      <c r="N488">
        <v>1</v>
      </c>
    </row>
    <row r="489" spans="4:14" x14ac:dyDescent="0.3">
      <c r="D489" t="s">
        <v>116</v>
      </c>
      <c r="E489" t="s">
        <v>59</v>
      </c>
      <c r="F489" t="s">
        <v>89</v>
      </c>
      <c r="G489">
        <v>2018</v>
      </c>
      <c r="H489" t="s">
        <v>95</v>
      </c>
      <c r="I489" t="s">
        <v>113</v>
      </c>
      <c r="J489" t="s">
        <v>93</v>
      </c>
      <c r="K489">
        <v>1</v>
      </c>
      <c r="L489">
        <v>-0.71658767772511844</v>
      </c>
      <c r="M489">
        <v>0</v>
      </c>
      <c r="N489">
        <v>1</v>
      </c>
    </row>
    <row r="490" spans="4:14" x14ac:dyDescent="0.3">
      <c r="D490" t="s">
        <v>116</v>
      </c>
      <c r="E490" t="s">
        <v>60</v>
      </c>
      <c r="F490" t="s">
        <v>89</v>
      </c>
      <c r="G490">
        <v>2017</v>
      </c>
      <c r="H490" t="s">
        <v>95</v>
      </c>
      <c r="I490" t="s">
        <v>113</v>
      </c>
      <c r="J490" t="s">
        <v>93</v>
      </c>
      <c r="K490">
        <v>1</v>
      </c>
      <c r="L490">
        <v>-23.345055455122882</v>
      </c>
      <c r="M490">
        <v>0</v>
      </c>
      <c r="N490">
        <v>1</v>
      </c>
    </row>
    <row r="491" spans="4:14" x14ac:dyDescent="0.3">
      <c r="D491" t="s">
        <v>116</v>
      </c>
      <c r="E491" t="s">
        <v>60</v>
      </c>
      <c r="F491" t="s">
        <v>89</v>
      </c>
      <c r="G491">
        <v>2018</v>
      </c>
      <c r="H491" t="s">
        <v>95</v>
      </c>
      <c r="I491" t="s">
        <v>113</v>
      </c>
      <c r="J491" t="s">
        <v>93</v>
      </c>
      <c r="K491">
        <v>1</v>
      </c>
      <c r="L491">
        <v>-23.292303851218485</v>
      </c>
      <c r="M491">
        <v>0</v>
      </c>
      <c r="N491">
        <v>1</v>
      </c>
    </row>
    <row r="492" spans="4:14" x14ac:dyDescent="0.3">
      <c r="D492" t="s">
        <v>117</v>
      </c>
      <c r="E492" t="s">
        <v>33</v>
      </c>
      <c r="F492" t="s">
        <v>89</v>
      </c>
      <c r="G492">
        <v>2017</v>
      </c>
      <c r="H492" t="s">
        <v>95</v>
      </c>
      <c r="I492" t="s">
        <v>118</v>
      </c>
      <c r="J492" t="s">
        <v>93</v>
      </c>
      <c r="K492">
        <v>1</v>
      </c>
      <c r="L492">
        <v>-14.055218726232193</v>
      </c>
      <c r="M492">
        <v>0</v>
      </c>
      <c r="N492">
        <v>1</v>
      </c>
    </row>
    <row r="493" spans="4:14" x14ac:dyDescent="0.3">
      <c r="D493" t="s">
        <v>117</v>
      </c>
      <c r="E493" t="s">
        <v>33</v>
      </c>
      <c r="F493" t="s">
        <v>89</v>
      </c>
      <c r="G493">
        <v>2018</v>
      </c>
      <c r="H493" t="s">
        <v>95</v>
      </c>
      <c r="I493" t="s">
        <v>118</v>
      </c>
      <c r="J493" t="s">
        <v>93</v>
      </c>
      <c r="K493">
        <v>1</v>
      </c>
      <c r="L493">
        <v>-14.28385878713804</v>
      </c>
      <c r="M493">
        <v>0</v>
      </c>
      <c r="N493">
        <v>1</v>
      </c>
    </row>
    <row r="494" spans="4:14" x14ac:dyDescent="0.3">
      <c r="D494" t="s">
        <v>117</v>
      </c>
      <c r="E494" t="s">
        <v>41</v>
      </c>
      <c r="F494" t="s">
        <v>89</v>
      </c>
      <c r="G494">
        <v>2017</v>
      </c>
      <c r="H494" t="s">
        <v>95</v>
      </c>
      <c r="I494" t="s">
        <v>118</v>
      </c>
      <c r="J494" t="s">
        <v>93</v>
      </c>
      <c r="K494">
        <v>1</v>
      </c>
      <c r="L494">
        <v>-14.055218726232196</v>
      </c>
      <c r="M494">
        <v>0</v>
      </c>
      <c r="N494">
        <v>1</v>
      </c>
    </row>
    <row r="495" spans="4:14" x14ac:dyDescent="0.3">
      <c r="D495" t="s">
        <v>117</v>
      </c>
      <c r="E495" t="s">
        <v>41</v>
      </c>
      <c r="F495" t="s">
        <v>89</v>
      </c>
      <c r="G495">
        <v>2018</v>
      </c>
      <c r="H495" t="s">
        <v>95</v>
      </c>
      <c r="I495" t="s">
        <v>118</v>
      </c>
      <c r="J495" t="s">
        <v>93</v>
      </c>
      <c r="K495">
        <v>1</v>
      </c>
      <c r="L495">
        <v>-14.283858787138042</v>
      </c>
      <c r="M495">
        <v>0</v>
      </c>
      <c r="N495">
        <v>1</v>
      </c>
    </row>
    <row r="496" spans="4:14" x14ac:dyDescent="0.3">
      <c r="D496" t="s">
        <v>117</v>
      </c>
      <c r="E496" t="s">
        <v>42</v>
      </c>
      <c r="F496" t="s">
        <v>89</v>
      </c>
      <c r="G496">
        <v>2017</v>
      </c>
      <c r="H496" t="s">
        <v>95</v>
      </c>
      <c r="I496" t="s">
        <v>118</v>
      </c>
      <c r="J496" t="s">
        <v>93</v>
      </c>
      <c r="K496">
        <v>1</v>
      </c>
      <c r="L496">
        <v>-13.292435345956113</v>
      </c>
      <c r="M496">
        <v>0</v>
      </c>
      <c r="N496">
        <v>1</v>
      </c>
    </row>
    <row r="497" spans="4:14" x14ac:dyDescent="0.3">
      <c r="D497" t="s">
        <v>117</v>
      </c>
      <c r="E497" t="s">
        <v>42</v>
      </c>
      <c r="F497" t="s">
        <v>89</v>
      </c>
      <c r="G497">
        <v>2018</v>
      </c>
      <c r="H497" t="s">
        <v>95</v>
      </c>
      <c r="I497" t="s">
        <v>118</v>
      </c>
      <c r="J497" t="s">
        <v>93</v>
      </c>
      <c r="K497">
        <v>1</v>
      </c>
      <c r="L497">
        <v>-13.279142471320176</v>
      </c>
      <c r="M497">
        <v>0</v>
      </c>
      <c r="N497">
        <v>1</v>
      </c>
    </row>
    <row r="498" spans="4:14" x14ac:dyDescent="0.3">
      <c r="D498" t="s">
        <v>117</v>
      </c>
      <c r="E498" t="s">
        <v>44</v>
      </c>
      <c r="F498" t="s">
        <v>89</v>
      </c>
      <c r="G498">
        <v>2017</v>
      </c>
      <c r="H498" t="s">
        <v>95</v>
      </c>
      <c r="I498" t="s">
        <v>118</v>
      </c>
      <c r="J498" t="s">
        <v>93</v>
      </c>
      <c r="K498">
        <v>1</v>
      </c>
      <c r="L498">
        <v>-13.114606679573678</v>
      </c>
      <c r="M498">
        <v>0</v>
      </c>
      <c r="N498">
        <v>1</v>
      </c>
    </row>
    <row r="499" spans="4:14" x14ac:dyDescent="0.3">
      <c r="D499" t="s">
        <v>117</v>
      </c>
      <c r="E499" t="s">
        <v>44</v>
      </c>
      <c r="F499" t="s">
        <v>89</v>
      </c>
      <c r="G499">
        <v>2018</v>
      </c>
      <c r="H499" t="s">
        <v>95</v>
      </c>
      <c r="I499" t="s">
        <v>118</v>
      </c>
      <c r="J499" t="s">
        <v>93</v>
      </c>
      <c r="K499">
        <v>1</v>
      </c>
      <c r="L499">
        <v>-13.248845270555048</v>
      </c>
      <c r="M499">
        <v>0</v>
      </c>
      <c r="N499">
        <v>1</v>
      </c>
    </row>
    <row r="500" spans="4:14" x14ac:dyDescent="0.3">
      <c r="D500" t="s">
        <v>117</v>
      </c>
      <c r="E500" t="s">
        <v>45</v>
      </c>
      <c r="F500" t="s">
        <v>89</v>
      </c>
      <c r="G500">
        <v>2017</v>
      </c>
      <c r="H500" t="s">
        <v>95</v>
      </c>
      <c r="I500" t="s">
        <v>118</v>
      </c>
      <c r="J500" t="s">
        <v>93</v>
      </c>
      <c r="K500">
        <v>1</v>
      </c>
      <c r="L500">
        <v>-17.353021251361817</v>
      </c>
      <c r="M500">
        <v>0</v>
      </c>
      <c r="N500">
        <v>1</v>
      </c>
    </row>
    <row r="501" spans="4:14" x14ac:dyDescent="0.3">
      <c r="D501" t="s">
        <v>117</v>
      </c>
      <c r="E501" t="s">
        <v>45</v>
      </c>
      <c r="F501" t="s">
        <v>89</v>
      </c>
      <c r="G501">
        <v>2018</v>
      </c>
      <c r="H501" t="s">
        <v>95</v>
      </c>
      <c r="I501" t="s">
        <v>118</v>
      </c>
      <c r="J501" t="s">
        <v>93</v>
      </c>
      <c r="K501">
        <v>1</v>
      </c>
      <c r="L501">
        <v>-16.933738998178264</v>
      </c>
      <c r="M501">
        <v>0</v>
      </c>
      <c r="N501">
        <v>1</v>
      </c>
    </row>
    <row r="502" spans="4:14" x14ac:dyDescent="0.3">
      <c r="D502" t="s">
        <v>117</v>
      </c>
      <c r="E502" t="s">
        <v>46</v>
      </c>
      <c r="F502" t="s">
        <v>89</v>
      </c>
      <c r="G502">
        <v>2017</v>
      </c>
      <c r="H502" t="s">
        <v>95</v>
      </c>
      <c r="I502" t="s">
        <v>118</v>
      </c>
      <c r="J502" t="s">
        <v>93</v>
      </c>
      <c r="K502">
        <v>1</v>
      </c>
      <c r="L502">
        <v>-13.017994326265018</v>
      </c>
      <c r="M502">
        <v>0</v>
      </c>
      <c r="N502">
        <v>1</v>
      </c>
    </row>
    <row r="503" spans="4:14" x14ac:dyDescent="0.3">
      <c r="D503" t="s">
        <v>117</v>
      </c>
      <c r="E503" t="s">
        <v>46</v>
      </c>
      <c r="F503" t="s">
        <v>89</v>
      </c>
      <c r="G503">
        <v>2018</v>
      </c>
      <c r="H503" t="s">
        <v>95</v>
      </c>
      <c r="I503" t="s">
        <v>118</v>
      </c>
      <c r="J503" t="s">
        <v>93</v>
      </c>
      <c r="K503">
        <v>1</v>
      </c>
      <c r="L503">
        <v>-13.199159457856497</v>
      </c>
      <c r="M503">
        <v>0</v>
      </c>
      <c r="N503">
        <v>1</v>
      </c>
    </row>
    <row r="504" spans="4:14" x14ac:dyDescent="0.3">
      <c r="D504" t="s">
        <v>117</v>
      </c>
      <c r="E504" t="s">
        <v>49</v>
      </c>
      <c r="F504" t="s">
        <v>89</v>
      </c>
      <c r="G504">
        <v>2017</v>
      </c>
      <c r="H504" t="s">
        <v>95</v>
      </c>
      <c r="I504" t="s">
        <v>118</v>
      </c>
      <c r="J504" t="s">
        <v>93</v>
      </c>
      <c r="K504">
        <v>1</v>
      </c>
      <c r="L504">
        <v>-15.888008436171113</v>
      </c>
      <c r="M504">
        <v>0</v>
      </c>
      <c r="N504">
        <v>1</v>
      </c>
    </row>
    <row r="505" spans="4:14" x14ac:dyDescent="0.3">
      <c r="D505" t="s">
        <v>117</v>
      </c>
      <c r="E505" t="s">
        <v>49</v>
      </c>
      <c r="F505" t="s">
        <v>89</v>
      </c>
      <c r="G505">
        <v>2018</v>
      </c>
      <c r="H505" t="s">
        <v>95</v>
      </c>
      <c r="I505" t="s">
        <v>118</v>
      </c>
      <c r="J505" t="s">
        <v>93</v>
      </c>
      <c r="K505">
        <v>1</v>
      </c>
      <c r="L505">
        <v>-15.787519191149972</v>
      </c>
      <c r="M505">
        <v>0</v>
      </c>
      <c r="N505">
        <v>1</v>
      </c>
    </row>
    <row r="506" spans="4:14" x14ac:dyDescent="0.3">
      <c r="D506" t="s">
        <v>117</v>
      </c>
      <c r="E506" t="s">
        <v>50</v>
      </c>
      <c r="F506" t="s">
        <v>89</v>
      </c>
      <c r="G506">
        <v>2017</v>
      </c>
      <c r="H506" t="s">
        <v>95</v>
      </c>
      <c r="I506" t="s">
        <v>118</v>
      </c>
      <c r="J506" t="s">
        <v>93</v>
      </c>
      <c r="K506">
        <v>1</v>
      </c>
      <c r="L506">
        <v>-11.671860760122206</v>
      </c>
      <c r="M506">
        <v>0</v>
      </c>
      <c r="N506">
        <v>1</v>
      </c>
    </row>
    <row r="507" spans="4:14" x14ac:dyDescent="0.3">
      <c r="D507" t="s">
        <v>117</v>
      </c>
      <c r="E507" t="s">
        <v>50</v>
      </c>
      <c r="F507" t="s">
        <v>89</v>
      </c>
      <c r="G507">
        <v>2018</v>
      </c>
      <c r="H507" t="s">
        <v>95</v>
      </c>
      <c r="I507" t="s">
        <v>118</v>
      </c>
      <c r="J507" t="s">
        <v>93</v>
      </c>
      <c r="K507">
        <v>1</v>
      </c>
      <c r="L507">
        <v>-12.361336942118866</v>
      </c>
      <c r="M507">
        <v>0</v>
      </c>
      <c r="N507">
        <v>1</v>
      </c>
    </row>
    <row r="508" spans="4:14" x14ac:dyDescent="0.3">
      <c r="D508" t="s">
        <v>117</v>
      </c>
      <c r="E508" t="s">
        <v>51</v>
      </c>
      <c r="F508" t="s">
        <v>89</v>
      </c>
      <c r="G508">
        <v>2017</v>
      </c>
      <c r="H508" t="s">
        <v>95</v>
      </c>
      <c r="I508" t="s">
        <v>118</v>
      </c>
      <c r="J508" t="s">
        <v>93</v>
      </c>
      <c r="K508">
        <v>1</v>
      </c>
      <c r="L508">
        <v>-10.04379701675267</v>
      </c>
      <c r="M508">
        <v>0</v>
      </c>
      <c r="N508">
        <v>1</v>
      </c>
    </row>
    <row r="509" spans="4:14" x14ac:dyDescent="0.3">
      <c r="D509" t="s">
        <v>117</v>
      </c>
      <c r="E509" t="s">
        <v>51</v>
      </c>
      <c r="F509" t="s">
        <v>89</v>
      </c>
      <c r="G509">
        <v>2018</v>
      </c>
      <c r="H509" t="s">
        <v>95</v>
      </c>
      <c r="I509" t="s">
        <v>118</v>
      </c>
      <c r="J509" t="s">
        <v>93</v>
      </c>
      <c r="K509">
        <v>1</v>
      </c>
      <c r="L509">
        <v>-10.609880041123956</v>
      </c>
      <c r="M509">
        <v>0</v>
      </c>
      <c r="N509">
        <v>1</v>
      </c>
    </row>
    <row r="510" spans="4:14" x14ac:dyDescent="0.3">
      <c r="D510" t="s">
        <v>117</v>
      </c>
      <c r="E510" t="s">
        <v>53</v>
      </c>
      <c r="F510" t="s">
        <v>89</v>
      </c>
      <c r="G510">
        <v>2017</v>
      </c>
      <c r="H510" t="s">
        <v>95</v>
      </c>
      <c r="I510" t="s">
        <v>118</v>
      </c>
      <c r="J510" t="s">
        <v>93</v>
      </c>
      <c r="K510">
        <v>1</v>
      </c>
      <c r="L510">
        <v>-13.28641794016364</v>
      </c>
      <c r="M510">
        <v>0</v>
      </c>
      <c r="N510">
        <v>1</v>
      </c>
    </row>
    <row r="511" spans="4:14" x14ac:dyDescent="0.3">
      <c r="D511" t="s">
        <v>117</v>
      </c>
      <c r="E511" t="s">
        <v>53</v>
      </c>
      <c r="F511" t="s">
        <v>89</v>
      </c>
      <c r="G511">
        <v>2018</v>
      </c>
      <c r="H511" t="s">
        <v>95</v>
      </c>
      <c r="I511" t="s">
        <v>118</v>
      </c>
      <c r="J511" t="s">
        <v>93</v>
      </c>
      <c r="K511">
        <v>1</v>
      </c>
      <c r="L511">
        <v>-12.830031709229774</v>
      </c>
      <c r="M511">
        <v>0</v>
      </c>
      <c r="N511">
        <v>1</v>
      </c>
    </row>
    <row r="512" spans="4:14" x14ac:dyDescent="0.3">
      <c r="D512" t="s">
        <v>117</v>
      </c>
      <c r="E512" t="s">
        <v>54</v>
      </c>
      <c r="F512" t="s">
        <v>89</v>
      </c>
      <c r="G512">
        <v>2017</v>
      </c>
      <c r="H512" t="s">
        <v>95</v>
      </c>
      <c r="I512" t="s">
        <v>118</v>
      </c>
      <c r="J512" t="s">
        <v>93</v>
      </c>
      <c r="K512">
        <v>1</v>
      </c>
      <c r="L512">
        <v>-4.3095506992053521</v>
      </c>
      <c r="M512">
        <v>0</v>
      </c>
      <c r="N512">
        <v>1</v>
      </c>
    </row>
    <row r="513" spans="4:14" x14ac:dyDescent="0.3">
      <c r="D513" t="s">
        <v>117</v>
      </c>
      <c r="E513" t="s">
        <v>54</v>
      </c>
      <c r="F513" t="s">
        <v>89</v>
      </c>
      <c r="G513">
        <v>2018</v>
      </c>
      <c r="H513" t="s">
        <v>95</v>
      </c>
      <c r="I513" t="s">
        <v>118</v>
      </c>
      <c r="J513" t="s">
        <v>93</v>
      </c>
      <c r="K513">
        <v>1</v>
      </c>
      <c r="L513">
        <v>-4.3490919807489394</v>
      </c>
      <c r="M513">
        <v>0</v>
      </c>
      <c r="N513">
        <v>1</v>
      </c>
    </row>
    <row r="514" spans="4:14" x14ac:dyDescent="0.3">
      <c r="D514" t="s">
        <v>117</v>
      </c>
      <c r="E514" t="s">
        <v>55</v>
      </c>
      <c r="F514" t="s">
        <v>89</v>
      </c>
      <c r="G514">
        <v>2017</v>
      </c>
      <c r="H514" t="s">
        <v>95</v>
      </c>
      <c r="I514" t="s">
        <v>118</v>
      </c>
      <c r="J514" t="s">
        <v>93</v>
      </c>
      <c r="K514">
        <v>1</v>
      </c>
      <c r="L514">
        <v>-13.036192137080075</v>
      </c>
      <c r="M514">
        <v>0</v>
      </c>
      <c r="N514">
        <v>1</v>
      </c>
    </row>
    <row r="515" spans="4:14" x14ac:dyDescent="0.3">
      <c r="D515" t="s">
        <v>117</v>
      </c>
      <c r="E515" t="s">
        <v>55</v>
      </c>
      <c r="F515" t="s">
        <v>89</v>
      </c>
      <c r="G515">
        <v>2018</v>
      </c>
      <c r="H515" t="s">
        <v>95</v>
      </c>
      <c r="I515" t="s">
        <v>118</v>
      </c>
      <c r="J515" t="s">
        <v>93</v>
      </c>
      <c r="K515">
        <v>1</v>
      </c>
      <c r="L515">
        <v>-13.115162257868636</v>
      </c>
      <c r="M515">
        <v>0</v>
      </c>
      <c r="N515">
        <v>1</v>
      </c>
    </row>
    <row r="516" spans="4:14" x14ac:dyDescent="0.3">
      <c r="D516" t="s">
        <v>117</v>
      </c>
      <c r="E516" t="s">
        <v>56</v>
      </c>
      <c r="F516" t="s">
        <v>89</v>
      </c>
      <c r="G516">
        <v>2017</v>
      </c>
      <c r="H516" t="s">
        <v>95</v>
      </c>
      <c r="I516" t="s">
        <v>118</v>
      </c>
      <c r="J516" t="s">
        <v>93</v>
      </c>
      <c r="K516">
        <v>1</v>
      </c>
      <c r="L516">
        <v>-13.49146202894768</v>
      </c>
      <c r="M516">
        <v>0</v>
      </c>
      <c r="N516">
        <v>1</v>
      </c>
    </row>
    <row r="517" spans="4:14" x14ac:dyDescent="0.3">
      <c r="D517" t="s">
        <v>117</v>
      </c>
      <c r="E517" t="s">
        <v>56</v>
      </c>
      <c r="F517" t="s">
        <v>89</v>
      </c>
      <c r="G517">
        <v>2018</v>
      </c>
      <c r="H517" t="s">
        <v>95</v>
      </c>
      <c r="I517" t="s">
        <v>118</v>
      </c>
      <c r="J517" t="s">
        <v>93</v>
      </c>
      <c r="K517">
        <v>1</v>
      </c>
      <c r="L517">
        <v>-14.200381050273498</v>
      </c>
      <c r="M517">
        <v>0</v>
      </c>
      <c r="N517">
        <v>1</v>
      </c>
    </row>
    <row r="518" spans="4:14" x14ac:dyDescent="0.3">
      <c r="D518" t="s">
        <v>117</v>
      </c>
      <c r="E518" t="s">
        <v>57</v>
      </c>
      <c r="F518" t="s">
        <v>89</v>
      </c>
      <c r="G518">
        <v>2017</v>
      </c>
      <c r="H518" t="s">
        <v>95</v>
      </c>
      <c r="I518" t="s">
        <v>118</v>
      </c>
      <c r="J518" t="s">
        <v>93</v>
      </c>
      <c r="K518">
        <v>1</v>
      </c>
      <c r="L518">
        <v>-13.054739289354076</v>
      </c>
      <c r="M518">
        <v>0</v>
      </c>
      <c r="N518">
        <v>1</v>
      </c>
    </row>
    <row r="519" spans="4:14" x14ac:dyDescent="0.3">
      <c r="D519" t="s">
        <v>117</v>
      </c>
      <c r="E519" t="s">
        <v>57</v>
      </c>
      <c r="F519" t="s">
        <v>89</v>
      </c>
      <c r="G519">
        <v>2018</v>
      </c>
      <c r="H519" t="s">
        <v>95</v>
      </c>
      <c r="I519" t="s">
        <v>118</v>
      </c>
      <c r="J519" t="s">
        <v>93</v>
      </c>
      <c r="K519">
        <v>1</v>
      </c>
      <c r="L519">
        <v>-13.134473254240341</v>
      </c>
      <c r="M519">
        <v>0</v>
      </c>
      <c r="N519">
        <v>1</v>
      </c>
    </row>
    <row r="520" spans="4:14" x14ac:dyDescent="0.3">
      <c r="D520" t="s">
        <v>117</v>
      </c>
      <c r="E520" t="s">
        <v>58</v>
      </c>
      <c r="F520" t="s">
        <v>89</v>
      </c>
      <c r="G520">
        <v>2017</v>
      </c>
      <c r="H520" t="s">
        <v>95</v>
      </c>
      <c r="I520" t="s">
        <v>118</v>
      </c>
      <c r="J520" t="s">
        <v>93</v>
      </c>
      <c r="K520">
        <v>1</v>
      </c>
      <c r="L520">
        <v>-5.6638064634059129</v>
      </c>
      <c r="M520">
        <v>0</v>
      </c>
      <c r="N520">
        <v>1</v>
      </c>
    </row>
    <row r="521" spans="4:14" x14ac:dyDescent="0.3">
      <c r="D521" t="s">
        <v>117</v>
      </c>
      <c r="E521" t="s">
        <v>58</v>
      </c>
      <c r="F521" t="s">
        <v>89</v>
      </c>
      <c r="G521">
        <v>2018</v>
      </c>
      <c r="H521" t="s">
        <v>95</v>
      </c>
      <c r="I521" t="s">
        <v>118</v>
      </c>
      <c r="J521" t="s">
        <v>93</v>
      </c>
      <c r="K521">
        <v>1</v>
      </c>
      <c r="L521">
        <v>-6.6434483306415313</v>
      </c>
      <c r="M521">
        <v>0</v>
      </c>
      <c r="N521">
        <v>1</v>
      </c>
    </row>
    <row r="522" spans="4:14" x14ac:dyDescent="0.3">
      <c r="D522" t="s">
        <v>117</v>
      </c>
      <c r="E522" t="s">
        <v>59</v>
      </c>
      <c r="F522" t="s">
        <v>89</v>
      </c>
      <c r="G522">
        <v>2017</v>
      </c>
      <c r="H522" t="s">
        <v>95</v>
      </c>
      <c r="I522" t="s">
        <v>118</v>
      </c>
      <c r="J522" t="s">
        <v>93</v>
      </c>
      <c r="K522">
        <v>1</v>
      </c>
      <c r="L522">
        <v>-9.8972020558344127</v>
      </c>
      <c r="M522">
        <v>0</v>
      </c>
      <c r="N522">
        <v>1</v>
      </c>
    </row>
    <row r="523" spans="4:14" x14ac:dyDescent="0.3">
      <c r="D523" t="s">
        <v>117</v>
      </c>
      <c r="E523" t="s">
        <v>59</v>
      </c>
      <c r="F523" t="s">
        <v>89</v>
      </c>
      <c r="G523">
        <v>2018</v>
      </c>
      <c r="H523" t="s">
        <v>95</v>
      </c>
      <c r="I523" t="s">
        <v>118</v>
      </c>
      <c r="J523" t="s">
        <v>93</v>
      </c>
      <c r="K523">
        <v>1</v>
      </c>
      <c r="L523">
        <v>-11.164927175328419</v>
      </c>
      <c r="M523">
        <v>0</v>
      </c>
      <c r="N523">
        <v>1</v>
      </c>
    </row>
    <row r="524" spans="4:14" x14ac:dyDescent="0.3">
      <c r="D524" t="s">
        <v>117</v>
      </c>
      <c r="E524" t="s">
        <v>60</v>
      </c>
      <c r="F524" t="s">
        <v>89</v>
      </c>
      <c r="G524">
        <v>2017</v>
      </c>
      <c r="H524" t="s">
        <v>95</v>
      </c>
      <c r="I524" t="s">
        <v>118</v>
      </c>
      <c r="J524" t="s">
        <v>93</v>
      </c>
      <c r="K524">
        <v>1</v>
      </c>
      <c r="L524">
        <v>-13.551676695599053</v>
      </c>
      <c r="M524">
        <v>0</v>
      </c>
      <c r="N524">
        <v>1</v>
      </c>
    </row>
    <row r="525" spans="4:14" x14ac:dyDescent="0.3">
      <c r="D525" t="s">
        <v>117</v>
      </c>
      <c r="E525" t="s">
        <v>60</v>
      </c>
      <c r="F525" t="s">
        <v>89</v>
      </c>
      <c r="G525">
        <v>2018</v>
      </c>
      <c r="H525" t="s">
        <v>95</v>
      </c>
      <c r="I525" t="s">
        <v>118</v>
      </c>
      <c r="J525" t="s">
        <v>93</v>
      </c>
      <c r="K525">
        <v>1</v>
      </c>
      <c r="L525">
        <v>-13.213653626178557</v>
      </c>
      <c r="M525">
        <v>0</v>
      </c>
      <c r="N525">
        <v>1</v>
      </c>
    </row>
    <row r="526" spans="4:14" x14ac:dyDescent="0.3">
      <c r="D526" t="s">
        <v>119</v>
      </c>
      <c r="E526" t="s">
        <v>33</v>
      </c>
      <c r="F526" t="s">
        <v>89</v>
      </c>
      <c r="G526">
        <v>2017</v>
      </c>
      <c r="H526" t="s">
        <v>90</v>
      </c>
      <c r="I526" t="s">
        <v>79</v>
      </c>
      <c r="J526" t="s">
        <v>73</v>
      </c>
      <c r="K526">
        <v>1</v>
      </c>
      <c r="L526">
        <v>-10.730899423428935</v>
      </c>
      <c r="M526">
        <v>0</v>
      </c>
      <c r="N526">
        <v>1</v>
      </c>
    </row>
    <row r="527" spans="4:14" x14ac:dyDescent="0.3">
      <c r="D527" t="s">
        <v>119</v>
      </c>
      <c r="E527" t="s">
        <v>33</v>
      </c>
      <c r="F527" t="s">
        <v>89</v>
      </c>
      <c r="G527">
        <v>2018</v>
      </c>
      <c r="H527" t="s">
        <v>90</v>
      </c>
      <c r="I527" t="s">
        <v>79</v>
      </c>
      <c r="J527" t="s">
        <v>73</v>
      </c>
      <c r="K527">
        <v>1</v>
      </c>
      <c r="L527">
        <v>-9.9619437885550735</v>
      </c>
      <c r="M527">
        <v>0</v>
      </c>
      <c r="N527">
        <v>1</v>
      </c>
    </row>
    <row r="528" spans="4:14" x14ac:dyDescent="0.3">
      <c r="D528" t="s">
        <v>119</v>
      </c>
      <c r="E528" t="s">
        <v>41</v>
      </c>
      <c r="F528" t="s">
        <v>89</v>
      </c>
      <c r="G528">
        <v>2017</v>
      </c>
      <c r="H528" t="s">
        <v>90</v>
      </c>
      <c r="I528" t="s">
        <v>79</v>
      </c>
      <c r="J528" t="s">
        <v>73</v>
      </c>
      <c r="K528">
        <v>1</v>
      </c>
      <c r="L528">
        <v>-10.730899423428927</v>
      </c>
      <c r="M528">
        <v>0</v>
      </c>
      <c r="N528">
        <v>1</v>
      </c>
    </row>
    <row r="529" spans="4:14" x14ac:dyDescent="0.3">
      <c r="D529" t="s">
        <v>119</v>
      </c>
      <c r="E529" t="s">
        <v>41</v>
      </c>
      <c r="F529" t="s">
        <v>89</v>
      </c>
      <c r="G529">
        <v>2018</v>
      </c>
      <c r="H529" t="s">
        <v>90</v>
      </c>
      <c r="I529" t="s">
        <v>79</v>
      </c>
      <c r="J529" t="s">
        <v>73</v>
      </c>
      <c r="K529">
        <v>1</v>
      </c>
      <c r="L529">
        <v>-9.9619437885550699</v>
      </c>
      <c r="M529">
        <v>0</v>
      </c>
      <c r="N529">
        <v>1</v>
      </c>
    </row>
    <row r="530" spans="4:14" x14ac:dyDescent="0.3">
      <c r="D530" t="s">
        <v>119</v>
      </c>
      <c r="E530" t="s">
        <v>42</v>
      </c>
      <c r="F530" t="s">
        <v>89</v>
      </c>
      <c r="G530">
        <v>2017</v>
      </c>
      <c r="H530" t="s">
        <v>90</v>
      </c>
      <c r="I530" t="s">
        <v>79</v>
      </c>
      <c r="J530" t="s">
        <v>73</v>
      </c>
      <c r="K530">
        <v>1</v>
      </c>
      <c r="L530">
        <v>-8.5200480390157889</v>
      </c>
      <c r="M530">
        <v>0</v>
      </c>
      <c r="N530">
        <v>1</v>
      </c>
    </row>
    <row r="531" spans="4:14" x14ac:dyDescent="0.3">
      <c r="D531" t="s">
        <v>119</v>
      </c>
      <c r="E531" t="s">
        <v>42</v>
      </c>
      <c r="F531" t="s">
        <v>89</v>
      </c>
      <c r="G531">
        <v>2018</v>
      </c>
      <c r="H531" t="s">
        <v>90</v>
      </c>
      <c r="I531" t="s">
        <v>79</v>
      </c>
      <c r="J531" t="s">
        <v>73</v>
      </c>
      <c r="K531">
        <v>1</v>
      </c>
      <c r="L531">
        <v>-8.7909530551142314</v>
      </c>
      <c r="M531">
        <v>0</v>
      </c>
      <c r="N531">
        <v>1</v>
      </c>
    </row>
    <row r="532" spans="4:14" x14ac:dyDescent="0.3">
      <c r="D532" t="s">
        <v>119</v>
      </c>
      <c r="E532" t="s">
        <v>44</v>
      </c>
      <c r="F532" t="s">
        <v>89</v>
      </c>
      <c r="G532">
        <v>2017</v>
      </c>
      <c r="H532" t="s">
        <v>90</v>
      </c>
      <c r="I532" t="s">
        <v>79</v>
      </c>
      <c r="J532" t="s">
        <v>73</v>
      </c>
      <c r="K532">
        <v>1</v>
      </c>
      <c r="L532">
        <v>-15.120166017902156</v>
      </c>
      <c r="M532">
        <v>0</v>
      </c>
      <c r="N532">
        <v>1</v>
      </c>
    </row>
    <row r="533" spans="4:14" x14ac:dyDescent="0.3">
      <c r="D533" t="s">
        <v>119</v>
      </c>
      <c r="E533" t="s">
        <v>44</v>
      </c>
      <c r="F533" t="s">
        <v>89</v>
      </c>
      <c r="G533">
        <v>2018</v>
      </c>
      <c r="H533" t="s">
        <v>90</v>
      </c>
      <c r="I533" t="s">
        <v>79</v>
      </c>
      <c r="J533" t="s">
        <v>73</v>
      </c>
      <c r="K533">
        <v>1</v>
      </c>
      <c r="L533">
        <v>-13.229260393006063</v>
      </c>
      <c r="M533">
        <v>0</v>
      </c>
      <c r="N533">
        <v>1</v>
      </c>
    </row>
    <row r="534" spans="4:14" x14ac:dyDescent="0.3">
      <c r="D534" t="s">
        <v>119</v>
      </c>
      <c r="E534" t="s">
        <v>45</v>
      </c>
      <c r="F534" t="s">
        <v>89</v>
      </c>
      <c r="G534">
        <v>2017</v>
      </c>
      <c r="H534" t="s">
        <v>90</v>
      </c>
      <c r="I534" t="s">
        <v>79</v>
      </c>
      <c r="J534" t="s">
        <v>73</v>
      </c>
      <c r="K534">
        <v>1</v>
      </c>
      <c r="L534">
        <v>-7.7175910135126529</v>
      </c>
      <c r="M534">
        <v>0</v>
      </c>
      <c r="N534">
        <v>1</v>
      </c>
    </row>
    <row r="535" spans="4:14" x14ac:dyDescent="0.3">
      <c r="D535" t="s">
        <v>119</v>
      </c>
      <c r="E535" t="s">
        <v>45</v>
      </c>
      <c r="F535" t="s">
        <v>89</v>
      </c>
      <c r="G535">
        <v>2018</v>
      </c>
      <c r="H535" t="s">
        <v>90</v>
      </c>
      <c r="I535" t="s">
        <v>79</v>
      </c>
      <c r="J535" t="s">
        <v>73</v>
      </c>
      <c r="K535">
        <v>1</v>
      </c>
      <c r="L535">
        <v>-8.9797742951954795</v>
      </c>
      <c r="M535">
        <v>0</v>
      </c>
      <c r="N535">
        <v>1</v>
      </c>
    </row>
    <row r="536" spans="4:14" x14ac:dyDescent="0.3">
      <c r="D536" t="s">
        <v>119</v>
      </c>
      <c r="E536" t="s">
        <v>46</v>
      </c>
      <c r="F536" t="s">
        <v>89</v>
      </c>
      <c r="G536">
        <v>2017</v>
      </c>
      <c r="H536" t="s">
        <v>90</v>
      </c>
      <c r="I536" t="s">
        <v>79</v>
      </c>
      <c r="J536" t="s">
        <v>73</v>
      </c>
      <c r="K536">
        <v>1</v>
      </c>
      <c r="L536">
        <v>-7.8286234550404643</v>
      </c>
      <c r="M536">
        <v>0</v>
      </c>
      <c r="N536">
        <v>1</v>
      </c>
    </row>
    <row r="537" spans="4:14" x14ac:dyDescent="0.3">
      <c r="D537" t="s">
        <v>119</v>
      </c>
      <c r="E537" t="s">
        <v>46</v>
      </c>
      <c r="F537" t="s">
        <v>89</v>
      </c>
      <c r="G537">
        <v>2018</v>
      </c>
      <c r="H537" t="s">
        <v>90</v>
      </c>
      <c r="I537" t="s">
        <v>79</v>
      </c>
      <c r="J537" t="s">
        <v>73</v>
      </c>
      <c r="K537">
        <v>1</v>
      </c>
      <c r="L537">
        <v>-8.6688417970168246</v>
      </c>
      <c r="M537">
        <v>0</v>
      </c>
      <c r="N537">
        <v>1</v>
      </c>
    </row>
    <row r="538" spans="4:14" x14ac:dyDescent="0.3">
      <c r="D538" t="s">
        <v>119</v>
      </c>
      <c r="E538" t="s">
        <v>50</v>
      </c>
      <c r="F538" t="s">
        <v>89</v>
      </c>
      <c r="G538">
        <v>2017</v>
      </c>
      <c r="H538" t="s">
        <v>90</v>
      </c>
      <c r="I538" t="s">
        <v>79</v>
      </c>
      <c r="J538" t="s">
        <v>73</v>
      </c>
      <c r="K538">
        <v>1</v>
      </c>
      <c r="L538">
        <v>-9.7165815156192945</v>
      </c>
      <c r="M538">
        <v>0</v>
      </c>
      <c r="N538">
        <v>1</v>
      </c>
    </row>
    <row r="539" spans="4:14" x14ac:dyDescent="0.3">
      <c r="D539" t="s">
        <v>119</v>
      </c>
      <c r="E539" t="s">
        <v>50</v>
      </c>
      <c r="F539" t="s">
        <v>89</v>
      </c>
      <c r="G539">
        <v>2018</v>
      </c>
      <c r="H539" t="s">
        <v>90</v>
      </c>
      <c r="I539" t="s">
        <v>79</v>
      </c>
      <c r="J539" t="s">
        <v>73</v>
      </c>
      <c r="K539">
        <v>1</v>
      </c>
      <c r="L539">
        <v>-9.0454816934943825</v>
      </c>
      <c r="M539">
        <v>0</v>
      </c>
      <c r="N539">
        <v>1</v>
      </c>
    </row>
    <row r="540" spans="4:14" x14ac:dyDescent="0.3">
      <c r="D540" t="s">
        <v>119</v>
      </c>
      <c r="E540" t="s">
        <v>55</v>
      </c>
      <c r="F540" t="s">
        <v>89</v>
      </c>
      <c r="G540">
        <v>2017</v>
      </c>
      <c r="H540" t="s">
        <v>90</v>
      </c>
      <c r="I540" t="s">
        <v>79</v>
      </c>
      <c r="J540" t="s">
        <v>73</v>
      </c>
      <c r="K540">
        <v>1</v>
      </c>
      <c r="L540">
        <v>-14.447153366507495</v>
      </c>
      <c r="M540">
        <v>0</v>
      </c>
      <c r="N540">
        <v>1</v>
      </c>
    </row>
    <row r="541" spans="4:14" x14ac:dyDescent="0.3">
      <c r="D541" t="s">
        <v>119</v>
      </c>
      <c r="E541" t="s">
        <v>55</v>
      </c>
      <c r="F541" t="s">
        <v>89</v>
      </c>
      <c r="G541">
        <v>2018</v>
      </c>
      <c r="H541" t="s">
        <v>90</v>
      </c>
      <c r="I541" t="s">
        <v>79</v>
      </c>
      <c r="J541" t="s">
        <v>73</v>
      </c>
      <c r="K541">
        <v>1</v>
      </c>
      <c r="L541">
        <v>-15.317592038417816</v>
      </c>
      <c r="M541">
        <v>0</v>
      </c>
      <c r="N541">
        <v>1</v>
      </c>
    </row>
    <row r="542" spans="4:14" x14ac:dyDescent="0.3">
      <c r="D542" t="s">
        <v>119</v>
      </c>
      <c r="E542" t="s">
        <v>56</v>
      </c>
      <c r="F542" t="s">
        <v>89</v>
      </c>
      <c r="G542">
        <v>2017</v>
      </c>
      <c r="H542" t="s">
        <v>90</v>
      </c>
      <c r="I542" t="s">
        <v>79</v>
      </c>
      <c r="J542" t="s">
        <v>73</v>
      </c>
      <c r="K542">
        <v>1</v>
      </c>
      <c r="L542">
        <v>-13.661142577524435</v>
      </c>
      <c r="M542">
        <v>0</v>
      </c>
      <c r="N542">
        <v>1</v>
      </c>
    </row>
    <row r="543" spans="4:14" x14ac:dyDescent="0.3">
      <c r="D543" t="s">
        <v>119</v>
      </c>
      <c r="E543" t="s">
        <v>56</v>
      </c>
      <c r="F543" t="s">
        <v>89</v>
      </c>
      <c r="G543">
        <v>2018</v>
      </c>
      <c r="H543" t="s">
        <v>90</v>
      </c>
      <c r="I543" t="s">
        <v>79</v>
      </c>
      <c r="J543" t="s">
        <v>73</v>
      </c>
      <c r="K543">
        <v>1</v>
      </c>
      <c r="L543">
        <v>-13.297876480257637</v>
      </c>
      <c r="M543">
        <v>0</v>
      </c>
      <c r="N543">
        <v>1</v>
      </c>
    </row>
    <row r="544" spans="4:14" x14ac:dyDescent="0.3">
      <c r="D544" t="s">
        <v>119</v>
      </c>
      <c r="E544" t="s">
        <v>57</v>
      </c>
      <c r="F544" t="s">
        <v>89</v>
      </c>
      <c r="G544">
        <v>2017</v>
      </c>
      <c r="H544" t="s">
        <v>90</v>
      </c>
      <c r="I544" t="s">
        <v>79</v>
      </c>
      <c r="J544" t="s">
        <v>73</v>
      </c>
      <c r="K544">
        <v>1</v>
      </c>
      <c r="L544">
        <v>-12.395385035782132</v>
      </c>
      <c r="M544">
        <v>0</v>
      </c>
      <c r="N544">
        <v>1</v>
      </c>
    </row>
    <row r="545" spans="4:14" x14ac:dyDescent="0.3">
      <c r="D545" t="s">
        <v>119</v>
      </c>
      <c r="E545" t="s">
        <v>57</v>
      </c>
      <c r="F545" t="s">
        <v>89</v>
      </c>
      <c r="G545">
        <v>2018</v>
      </c>
      <c r="H545" t="s">
        <v>90</v>
      </c>
      <c r="I545" t="s">
        <v>79</v>
      </c>
      <c r="J545" t="s">
        <v>73</v>
      </c>
      <c r="K545">
        <v>1</v>
      </c>
      <c r="L545">
        <v>-12.386863732101778</v>
      </c>
      <c r="M545">
        <v>0</v>
      </c>
      <c r="N545">
        <v>1</v>
      </c>
    </row>
    <row r="546" spans="4:14" x14ac:dyDescent="0.3">
      <c r="D546" t="s">
        <v>119</v>
      </c>
      <c r="E546" t="s">
        <v>58</v>
      </c>
      <c r="F546" t="s">
        <v>89</v>
      </c>
      <c r="G546">
        <v>2017</v>
      </c>
      <c r="H546" t="s">
        <v>90</v>
      </c>
      <c r="I546" t="s">
        <v>79</v>
      </c>
      <c r="J546" t="s">
        <v>73</v>
      </c>
      <c r="K546">
        <v>1</v>
      </c>
      <c r="L546">
        <v>-10.35815193648239</v>
      </c>
      <c r="M546">
        <v>0</v>
      </c>
      <c r="N546">
        <v>1</v>
      </c>
    </row>
    <row r="547" spans="4:14" x14ac:dyDescent="0.3">
      <c r="D547" t="s">
        <v>119</v>
      </c>
      <c r="E547" t="s">
        <v>58</v>
      </c>
      <c r="F547" t="s">
        <v>89</v>
      </c>
      <c r="G547">
        <v>2018</v>
      </c>
      <c r="H547" t="s">
        <v>90</v>
      </c>
      <c r="I547" t="s">
        <v>79</v>
      </c>
      <c r="J547" t="s">
        <v>73</v>
      </c>
      <c r="K547">
        <v>1</v>
      </c>
      <c r="L547">
        <v>-12.263459406822982</v>
      </c>
      <c r="M547">
        <v>0</v>
      </c>
      <c r="N547">
        <v>1</v>
      </c>
    </row>
    <row r="548" spans="4:14" x14ac:dyDescent="0.3">
      <c r="D548" t="s">
        <v>119</v>
      </c>
      <c r="E548" t="s">
        <v>59</v>
      </c>
      <c r="F548" t="s">
        <v>89</v>
      </c>
      <c r="G548">
        <v>2017</v>
      </c>
      <c r="H548" t="s">
        <v>90</v>
      </c>
      <c r="I548" t="s">
        <v>79</v>
      </c>
      <c r="J548" t="s">
        <v>73</v>
      </c>
      <c r="K548">
        <v>1</v>
      </c>
      <c r="L548">
        <v>-13.656898609938901</v>
      </c>
      <c r="M548">
        <v>0</v>
      </c>
      <c r="N548">
        <v>1</v>
      </c>
    </row>
    <row r="549" spans="4:14" x14ac:dyDescent="0.3">
      <c r="D549" t="s">
        <v>119</v>
      </c>
      <c r="E549" t="s">
        <v>59</v>
      </c>
      <c r="F549" t="s">
        <v>89</v>
      </c>
      <c r="G549">
        <v>2018</v>
      </c>
      <c r="H549" t="s">
        <v>90</v>
      </c>
      <c r="I549" t="s">
        <v>79</v>
      </c>
      <c r="J549" t="s">
        <v>73</v>
      </c>
      <c r="K549">
        <v>1</v>
      </c>
      <c r="L549">
        <v>-14.684100540815155</v>
      </c>
      <c r="M549">
        <v>0</v>
      </c>
      <c r="N549">
        <v>1</v>
      </c>
    </row>
    <row r="550" spans="4:14" x14ac:dyDescent="0.3">
      <c r="D550" t="s">
        <v>119</v>
      </c>
      <c r="E550" t="s">
        <v>60</v>
      </c>
      <c r="F550" t="s">
        <v>89</v>
      </c>
      <c r="G550">
        <v>2017</v>
      </c>
      <c r="H550" t="s">
        <v>90</v>
      </c>
      <c r="I550" t="s">
        <v>79</v>
      </c>
      <c r="J550" t="s">
        <v>73</v>
      </c>
      <c r="K550">
        <v>1</v>
      </c>
      <c r="L550">
        <v>-8.9690204563412532</v>
      </c>
      <c r="M550">
        <v>0</v>
      </c>
      <c r="N550">
        <v>1</v>
      </c>
    </row>
    <row r="551" spans="4:14" x14ac:dyDescent="0.3">
      <c r="D551" t="s">
        <v>119</v>
      </c>
      <c r="E551" t="s">
        <v>60</v>
      </c>
      <c r="F551" t="s">
        <v>89</v>
      </c>
      <c r="G551">
        <v>2018</v>
      </c>
      <c r="H551" t="s">
        <v>90</v>
      </c>
      <c r="I551" t="s">
        <v>79</v>
      </c>
      <c r="J551" t="s">
        <v>73</v>
      </c>
      <c r="K551">
        <v>1</v>
      </c>
      <c r="L551">
        <v>-9.9929258722000434</v>
      </c>
      <c r="M551">
        <v>0</v>
      </c>
      <c r="N551">
        <v>1</v>
      </c>
    </row>
    <row r="552" spans="4:14" x14ac:dyDescent="0.3">
      <c r="D552" t="s">
        <v>120</v>
      </c>
      <c r="E552" t="s">
        <v>33</v>
      </c>
      <c r="F552" t="s">
        <v>89</v>
      </c>
      <c r="G552">
        <v>2017</v>
      </c>
      <c r="H552" t="s">
        <v>90</v>
      </c>
      <c r="I552" t="s">
        <v>79</v>
      </c>
      <c r="J552" t="s">
        <v>93</v>
      </c>
      <c r="K552">
        <v>1</v>
      </c>
      <c r="L552">
        <v>-11.497392239388146</v>
      </c>
      <c r="M552">
        <v>0</v>
      </c>
      <c r="N552">
        <v>1</v>
      </c>
    </row>
    <row r="553" spans="4:14" x14ac:dyDescent="0.3">
      <c r="D553" t="s">
        <v>120</v>
      </c>
      <c r="E553" t="s">
        <v>33</v>
      </c>
      <c r="F553" t="s">
        <v>89</v>
      </c>
      <c r="G553">
        <v>2018</v>
      </c>
      <c r="H553" t="s">
        <v>90</v>
      </c>
      <c r="I553" t="s">
        <v>79</v>
      </c>
      <c r="J553" t="s">
        <v>93</v>
      </c>
      <c r="K553">
        <v>1</v>
      </c>
      <c r="L553">
        <v>-10.673511202023294</v>
      </c>
      <c r="M553">
        <v>0</v>
      </c>
      <c r="N553">
        <v>1</v>
      </c>
    </row>
    <row r="554" spans="4:14" x14ac:dyDescent="0.3">
      <c r="D554" t="s">
        <v>120</v>
      </c>
      <c r="E554" t="s">
        <v>33</v>
      </c>
      <c r="F554" t="s">
        <v>89</v>
      </c>
      <c r="G554">
        <v>2030</v>
      </c>
      <c r="H554" t="s">
        <v>90</v>
      </c>
      <c r="I554" t="s">
        <v>79</v>
      </c>
      <c r="J554" t="s">
        <v>93</v>
      </c>
      <c r="K554">
        <v>1</v>
      </c>
      <c r="L554">
        <v>-11.497392239388146</v>
      </c>
      <c r="M554">
        <v>0</v>
      </c>
      <c r="N554">
        <v>1</v>
      </c>
    </row>
    <row r="555" spans="4:14" x14ac:dyDescent="0.3">
      <c r="D555" t="s">
        <v>120</v>
      </c>
      <c r="E555" t="s">
        <v>41</v>
      </c>
      <c r="F555" t="s">
        <v>89</v>
      </c>
      <c r="G555">
        <v>2017</v>
      </c>
      <c r="H555" t="s">
        <v>90</v>
      </c>
      <c r="I555" t="s">
        <v>79</v>
      </c>
      <c r="J555" t="s">
        <v>93</v>
      </c>
      <c r="K555">
        <v>1</v>
      </c>
      <c r="L555">
        <v>-11.497392239388136</v>
      </c>
      <c r="M555">
        <v>0</v>
      </c>
      <c r="N555">
        <v>1</v>
      </c>
    </row>
    <row r="556" spans="4:14" x14ac:dyDescent="0.3">
      <c r="D556" t="s">
        <v>120</v>
      </c>
      <c r="E556" t="s">
        <v>41</v>
      </c>
      <c r="F556" t="s">
        <v>89</v>
      </c>
      <c r="G556">
        <v>2018</v>
      </c>
      <c r="H556" t="s">
        <v>90</v>
      </c>
      <c r="I556" t="s">
        <v>79</v>
      </c>
      <c r="J556" t="s">
        <v>93</v>
      </c>
      <c r="K556">
        <v>1</v>
      </c>
      <c r="L556">
        <v>-10.67351120202329</v>
      </c>
      <c r="M556">
        <v>0</v>
      </c>
      <c r="N556">
        <v>1</v>
      </c>
    </row>
    <row r="557" spans="4:14" x14ac:dyDescent="0.3">
      <c r="D557" t="s">
        <v>120</v>
      </c>
      <c r="E557" t="s">
        <v>41</v>
      </c>
      <c r="F557" t="s">
        <v>89</v>
      </c>
      <c r="G557">
        <v>2030</v>
      </c>
      <c r="H557" t="s">
        <v>90</v>
      </c>
      <c r="I557" t="s">
        <v>79</v>
      </c>
      <c r="J557" t="s">
        <v>93</v>
      </c>
      <c r="K557">
        <v>1</v>
      </c>
      <c r="L557">
        <v>-11.497392239388136</v>
      </c>
      <c r="M557">
        <v>0</v>
      </c>
      <c r="N557">
        <v>1</v>
      </c>
    </row>
    <row r="558" spans="4:14" x14ac:dyDescent="0.3">
      <c r="D558" t="s">
        <v>120</v>
      </c>
      <c r="E558" t="s">
        <v>42</v>
      </c>
      <c r="F558" t="s">
        <v>89</v>
      </c>
      <c r="G558">
        <v>2017</v>
      </c>
      <c r="H558" t="s">
        <v>90</v>
      </c>
      <c r="I558" t="s">
        <v>79</v>
      </c>
      <c r="J558" t="s">
        <v>93</v>
      </c>
      <c r="K558">
        <v>1</v>
      </c>
      <c r="L558">
        <v>-9.1286228989454887</v>
      </c>
      <c r="M558">
        <v>0</v>
      </c>
      <c r="N558">
        <v>1</v>
      </c>
    </row>
    <row r="559" spans="4:14" x14ac:dyDescent="0.3">
      <c r="D559" t="s">
        <v>120</v>
      </c>
      <c r="E559" t="s">
        <v>42</v>
      </c>
      <c r="F559" t="s">
        <v>89</v>
      </c>
      <c r="G559">
        <v>2018</v>
      </c>
      <c r="H559" t="s">
        <v>90</v>
      </c>
      <c r="I559" t="s">
        <v>79</v>
      </c>
      <c r="J559" t="s">
        <v>93</v>
      </c>
      <c r="K559">
        <v>1</v>
      </c>
      <c r="L559">
        <v>-9.4188782733366772</v>
      </c>
      <c r="M559">
        <v>0</v>
      </c>
      <c r="N559">
        <v>1</v>
      </c>
    </row>
    <row r="560" spans="4:14" x14ac:dyDescent="0.3">
      <c r="D560" t="s">
        <v>120</v>
      </c>
      <c r="E560" t="s">
        <v>42</v>
      </c>
      <c r="F560" t="s">
        <v>89</v>
      </c>
      <c r="G560">
        <v>2030</v>
      </c>
      <c r="H560" t="s">
        <v>90</v>
      </c>
      <c r="I560" t="s">
        <v>79</v>
      </c>
      <c r="J560" t="s">
        <v>93</v>
      </c>
      <c r="K560">
        <v>1</v>
      </c>
      <c r="L560">
        <v>-9.4188782733366772</v>
      </c>
      <c r="M560">
        <v>0</v>
      </c>
      <c r="N560">
        <v>1</v>
      </c>
    </row>
    <row r="561" spans="4:14" x14ac:dyDescent="0.3">
      <c r="D561" t="s">
        <v>120</v>
      </c>
      <c r="E561" t="s">
        <v>44</v>
      </c>
      <c r="F561" t="s">
        <v>89</v>
      </c>
      <c r="G561">
        <v>2017</v>
      </c>
      <c r="H561" t="s">
        <v>90</v>
      </c>
      <c r="I561" t="s">
        <v>79</v>
      </c>
      <c r="J561" t="s">
        <v>93</v>
      </c>
      <c r="K561">
        <v>1</v>
      </c>
      <c r="L561">
        <v>-16.200177876323739</v>
      </c>
      <c r="M561">
        <v>0</v>
      </c>
      <c r="N561">
        <v>1</v>
      </c>
    </row>
    <row r="562" spans="4:14" x14ac:dyDescent="0.3">
      <c r="D562" t="s">
        <v>120</v>
      </c>
      <c r="E562" t="s">
        <v>44</v>
      </c>
      <c r="F562" t="s">
        <v>89</v>
      </c>
      <c r="G562">
        <v>2018</v>
      </c>
      <c r="H562" t="s">
        <v>90</v>
      </c>
      <c r="I562" t="s">
        <v>79</v>
      </c>
      <c r="J562" t="s">
        <v>93</v>
      </c>
      <c r="K562">
        <v>1</v>
      </c>
      <c r="L562">
        <v>-14.174207563935068</v>
      </c>
      <c r="M562">
        <v>0</v>
      </c>
      <c r="N562">
        <v>1</v>
      </c>
    </row>
    <row r="563" spans="4:14" x14ac:dyDescent="0.3">
      <c r="D563" t="s">
        <v>120</v>
      </c>
      <c r="E563" t="s">
        <v>44</v>
      </c>
      <c r="F563" t="s">
        <v>89</v>
      </c>
      <c r="G563">
        <v>2030</v>
      </c>
      <c r="H563" t="s">
        <v>90</v>
      </c>
      <c r="I563" t="s">
        <v>79</v>
      </c>
      <c r="J563" t="s">
        <v>93</v>
      </c>
      <c r="K563">
        <v>1</v>
      </c>
      <c r="L563">
        <v>-16.200177876323739</v>
      </c>
      <c r="M563">
        <v>0</v>
      </c>
      <c r="N563">
        <v>1</v>
      </c>
    </row>
    <row r="564" spans="4:14" x14ac:dyDescent="0.3">
      <c r="D564" t="s">
        <v>120</v>
      </c>
      <c r="E564" t="s">
        <v>45</v>
      </c>
      <c r="F564" t="s">
        <v>89</v>
      </c>
      <c r="G564">
        <v>2017</v>
      </c>
      <c r="H564" t="s">
        <v>90</v>
      </c>
      <c r="I564" t="s">
        <v>79</v>
      </c>
      <c r="J564" t="s">
        <v>93</v>
      </c>
      <c r="K564">
        <v>1</v>
      </c>
      <c r="L564">
        <v>-8.2688475144778426</v>
      </c>
      <c r="M564">
        <v>0</v>
      </c>
      <c r="N564">
        <v>1</v>
      </c>
    </row>
    <row r="565" spans="4:14" x14ac:dyDescent="0.3">
      <c r="D565" t="s">
        <v>120</v>
      </c>
      <c r="E565" t="s">
        <v>45</v>
      </c>
      <c r="F565" t="s">
        <v>89</v>
      </c>
      <c r="G565">
        <v>2018</v>
      </c>
      <c r="H565" t="s">
        <v>90</v>
      </c>
      <c r="I565" t="s">
        <v>79</v>
      </c>
      <c r="J565" t="s">
        <v>93</v>
      </c>
      <c r="K565">
        <v>1</v>
      </c>
      <c r="L565">
        <v>-9.6211867448523005</v>
      </c>
      <c r="M565">
        <v>0</v>
      </c>
      <c r="N565">
        <v>1</v>
      </c>
    </row>
    <row r="566" spans="4:14" x14ac:dyDescent="0.3">
      <c r="D566" t="s">
        <v>120</v>
      </c>
      <c r="E566" t="s">
        <v>45</v>
      </c>
      <c r="F566" t="s">
        <v>89</v>
      </c>
      <c r="G566">
        <v>2030</v>
      </c>
      <c r="H566" t="s">
        <v>90</v>
      </c>
      <c r="I566" t="s">
        <v>79</v>
      </c>
      <c r="J566" t="s">
        <v>93</v>
      </c>
      <c r="K566">
        <v>1</v>
      </c>
      <c r="L566">
        <v>-9.6211867448523005</v>
      </c>
      <c r="M566">
        <v>0</v>
      </c>
      <c r="N566">
        <v>1</v>
      </c>
    </row>
    <row r="567" spans="4:14" x14ac:dyDescent="0.3">
      <c r="D567" t="s">
        <v>120</v>
      </c>
      <c r="E567" t="s">
        <v>46</v>
      </c>
      <c r="F567" t="s">
        <v>89</v>
      </c>
      <c r="G567">
        <v>2017</v>
      </c>
      <c r="H567" t="s">
        <v>90</v>
      </c>
      <c r="I567" t="s">
        <v>79</v>
      </c>
      <c r="J567" t="s">
        <v>93</v>
      </c>
      <c r="K567">
        <v>1</v>
      </c>
      <c r="L567">
        <v>-8.3878108446862125</v>
      </c>
      <c r="M567">
        <v>0</v>
      </c>
      <c r="N567">
        <v>1</v>
      </c>
    </row>
    <row r="568" spans="4:14" x14ac:dyDescent="0.3">
      <c r="D568" t="s">
        <v>120</v>
      </c>
      <c r="E568" t="s">
        <v>46</v>
      </c>
      <c r="F568" t="s">
        <v>89</v>
      </c>
      <c r="G568">
        <v>2018</v>
      </c>
      <c r="H568" t="s">
        <v>90</v>
      </c>
      <c r="I568" t="s">
        <v>79</v>
      </c>
      <c r="J568" t="s">
        <v>93</v>
      </c>
      <c r="K568">
        <v>1</v>
      </c>
      <c r="L568">
        <v>-9.2880447825180266</v>
      </c>
      <c r="M568">
        <v>0</v>
      </c>
      <c r="N568">
        <v>1</v>
      </c>
    </row>
    <row r="569" spans="4:14" x14ac:dyDescent="0.3">
      <c r="D569" t="s">
        <v>120</v>
      </c>
      <c r="E569" t="s">
        <v>46</v>
      </c>
      <c r="F569" t="s">
        <v>89</v>
      </c>
      <c r="G569">
        <v>2030</v>
      </c>
      <c r="H569" t="s">
        <v>90</v>
      </c>
      <c r="I569" t="s">
        <v>79</v>
      </c>
      <c r="J569" t="s">
        <v>93</v>
      </c>
      <c r="K569">
        <v>1</v>
      </c>
      <c r="L569">
        <v>-9.2880447825180266</v>
      </c>
      <c r="M569">
        <v>0</v>
      </c>
      <c r="N569">
        <v>1</v>
      </c>
    </row>
    <row r="570" spans="4:14" x14ac:dyDescent="0.3">
      <c r="D570" t="s">
        <v>120</v>
      </c>
      <c r="E570" t="s">
        <v>50</v>
      </c>
      <c r="F570" t="s">
        <v>89</v>
      </c>
      <c r="G570">
        <v>2017</v>
      </c>
      <c r="H570" t="s">
        <v>90</v>
      </c>
      <c r="I570" t="s">
        <v>79</v>
      </c>
      <c r="J570" t="s">
        <v>93</v>
      </c>
      <c r="K570">
        <v>1</v>
      </c>
      <c r="L570">
        <v>-10.410623052449246</v>
      </c>
      <c r="M570">
        <v>0</v>
      </c>
      <c r="N570">
        <v>1</v>
      </c>
    </row>
    <row r="571" spans="4:14" x14ac:dyDescent="0.3">
      <c r="D571" t="s">
        <v>120</v>
      </c>
      <c r="E571" t="s">
        <v>50</v>
      </c>
      <c r="F571" t="s">
        <v>89</v>
      </c>
      <c r="G571">
        <v>2018</v>
      </c>
      <c r="H571" t="s">
        <v>90</v>
      </c>
      <c r="I571" t="s">
        <v>79</v>
      </c>
      <c r="J571" t="s">
        <v>93</v>
      </c>
      <c r="K571">
        <v>1</v>
      </c>
      <c r="L571">
        <v>-9.6915875287439821</v>
      </c>
      <c r="M571">
        <v>0</v>
      </c>
      <c r="N571">
        <v>1</v>
      </c>
    </row>
    <row r="572" spans="4:14" x14ac:dyDescent="0.3">
      <c r="D572" t="s">
        <v>120</v>
      </c>
      <c r="E572" t="s">
        <v>50</v>
      </c>
      <c r="F572" t="s">
        <v>89</v>
      </c>
      <c r="G572">
        <v>2030</v>
      </c>
      <c r="H572" t="s">
        <v>90</v>
      </c>
      <c r="I572" t="s">
        <v>79</v>
      </c>
      <c r="J572" t="s">
        <v>93</v>
      </c>
      <c r="K572">
        <v>1</v>
      </c>
      <c r="L572">
        <v>-10.410623052449246</v>
      </c>
      <c r="M572">
        <v>0</v>
      </c>
      <c r="N572">
        <v>1</v>
      </c>
    </row>
    <row r="573" spans="4:14" x14ac:dyDescent="0.3">
      <c r="D573" t="s">
        <v>120</v>
      </c>
      <c r="E573" t="s">
        <v>55</v>
      </c>
      <c r="F573" t="s">
        <v>89</v>
      </c>
      <c r="G573">
        <v>2017</v>
      </c>
      <c r="H573" t="s">
        <v>90</v>
      </c>
      <c r="I573" t="s">
        <v>79</v>
      </c>
      <c r="J573" t="s">
        <v>93</v>
      </c>
      <c r="K573">
        <v>1</v>
      </c>
      <c r="L573">
        <v>-15.479092892686603</v>
      </c>
      <c r="M573">
        <v>0</v>
      </c>
      <c r="N573">
        <v>1</v>
      </c>
    </row>
    <row r="574" spans="4:14" x14ac:dyDescent="0.3">
      <c r="D574" t="s">
        <v>120</v>
      </c>
      <c r="E574" t="s">
        <v>55</v>
      </c>
      <c r="F574" t="s">
        <v>89</v>
      </c>
      <c r="G574">
        <v>2018</v>
      </c>
      <c r="H574" t="s">
        <v>90</v>
      </c>
      <c r="I574" t="s">
        <v>79</v>
      </c>
      <c r="J574" t="s">
        <v>93</v>
      </c>
      <c r="K574">
        <v>1</v>
      </c>
      <c r="L574">
        <v>-16.41170575544766</v>
      </c>
      <c r="M574">
        <v>0</v>
      </c>
      <c r="N574">
        <v>1</v>
      </c>
    </row>
    <row r="575" spans="4:14" x14ac:dyDescent="0.3">
      <c r="D575" t="s">
        <v>120</v>
      </c>
      <c r="E575" t="s">
        <v>55</v>
      </c>
      <c r="F575" t="s">
        <v>89</v>
      </c>
      <c r="G575">
        <v>2030</v>
      </c>
      <c r="H575" t="s">
        <v>90</v>
      </c>
      <c r="I575" t="s">
        <v>79</v>
      </c>
      <c r="J575" t="s">
        <v>93</v>
      </c>
      <c r="K575">
        <v>1</v>
      </c>
      <c r="L575">
        <v>-16.41170575544766</v>
      </c>
      <c r="M575">
        <v>0</v>
      </c>
      <c r="N575">
        <v>1</v>
      </c>
    </row>
    <row r="576" spans="4:14" x14ac:dyDescent="0.3">
      <c r="D576" t="s">
        <v>120</v>
      </c>
      <c r="E576" t="s">
        <v>56</v>
      </c>
      <c r="F576" t="s">
        <v>89</v>
      </c>
      <c r="G576">
        <v>2017</v>
      </c>
      <c r="H576" t="s">
        <v>90</v>
      </c>
      <c r="I576" t="s">
        <v>79</v>
      </c>
      <c r="J576" t="s">
        <v>93</v>
      </c>
      <c r="K576">
        <v>1</v>
      </c>
      <c r="L576">
        <v>-14.63693847591904</v>
      </c>
      <c r="M576">
        <v>0</v>
      </c>
      <c r="N576">
        <v>1</v>
      </c>
    </row>
    <row r="577" spans="4:14" x14ac:dyDescent="0.3">
      <c r="D577" t="s">
        <v>120</v>
      </c>
      <c r="E577" t="s">
        <v>56</v>
      </c>
      <c r="F577" t="s">
        <v>89</v>
      </c>
      <c r="G577">
        <v>2018</v>
      </c>
      <c r="H577" t="s">
        <v>90</v>
      </c>
      <c r="I577" t="s">
        <v>79</v>
      </c>
      <c r="J577" t="s">
        <v>93</v>
      </c>
      <c r="K577">
        <v>1</v>
      </c>
      <c r="L577">
        <v>-14.247724800276041</v>
      </c>
      <c r="M577">
        <v>0</v>
      </c>
      <c r="N577">
        <v>1</v>
      </c>
    </row>
    <row r="578" spans="4:14" x14ac:dyDescent="0.3">
      <c r="D578" t="s">
        <v>120</v>
      </c>
      <c r="E578" t="s">
        <v>56</v>
      </c>
      <c r="F578" t="s">
        <v>89</v>
      </c>
      <c r="G578">
        <v>2030</v>
      </c>
      <c r="H578" t="s">
        <v>90</v>
      </c>
      <c r="I578" t="s">
        <v>79</v>
      </c>
      <c r="J578" t="s">
        <v>93</v>
      </c>
      <c r="K578">
        <v>1</v>
      </c>
      <c r="L578">
        <v>-14.63693847591904</v>
      </c>
      <c r="M578">
        <v>0</v>
      </c>
      <c r="N578">
        <v>1</v>
      </c>
    </row>
    <row r="579" spans="4:14" x14ac:dyDescent="0.3">
      <c r="D579" t="s">
        <v>120</v>
      </c>
      <c r="E579" t="s">
        <v>57</v>
      </c>
      <c r="F579" t="s">
        <v>89</v>
      </c>
      <c r="G579">
        <v>2017</v>
      </c>
      <c r="H579" t="s">
        <v>90</v>
      </c>
      <c r="I579" t="s">
        <v>79</v>
      </c>
      <c r="J579" t="s">
        <v>93</v>
      </c>
      <c r="K579">
        <v>1</v>
      </c>
      <c r="L579">
        <v>-13.280769681195142</v>
      </c>
      <c r="M579">
        <v>0</v>
      </c>
      <c r="N579">
        <v>1</v>
      </c>
    </row>
    <row r="580" spans="4:14" x14ac:dyDescent="0.3">
      <c r="D580" t="s">
        <v>120</v>
      </c>
      <c r="E580" t="s">
        <v>57</v>
      </c>
      <c r="F580" t="s">
        <v>89</v>
      </c>
      <c r="G580">
        <v>2018</v>
      </c>
      <c r="H580" t="s">
        <v>90</v>
      </c>
      <c r="I580" t="s">
        <v>79</v>
      </c>
      <c r="J580" t="s">
        <v>93</v>
      </c>
      <c r="K580">
        <v>1</v>
      </c>
      <c r="L580">
        <v>-13.271639712966193</v>
      </c>
      <c r="M580">
        <v>0</v>
      </c>
      <c r="N580">
        <v>1</v>
      </c>
    </row>
    <row r="581" spans="4:14" x14ac:dyDescent="0.3">
      <c r="D581" t="s">
        <v>120</v>
      </c>
      <c r="E581" t="s">
        <v>57</v>
      </c>
      <c r="F581" t="s">
        <v>89</v>
      </c>
      <c r="G581">
        <v>2030</v>
      </c>
      <c r="H581" t="s">
        <v>90</v>
      </c>
      <c r="I581" t="s">
        <v>79</v>
      </c>
      <c r="J581" t="s">
        <v>93</v>
      </c>
      <c r="K581">
        <v>1</v>
      </c>
      <c r="L581">
        <v>-13.280769681195142</v>
      </c>
      <c r="M581">
        <v>0</v>
      </c>
      <c r="N581">
        <v>1</v>
      </c>
    </row>
    <row r="582" spans="4:14" x14ac:dyDescent="0.3">
      <c r="D582" t="s">
        <v>120</v>
      </c>
      <c r="E582" t="s">
        <v>58</v>
      </c>
      <c r="F582" t="s">
        <v>89</v>
      </c>
      <c r="G582">
        <v>2017</v>
      </c>
      <c r="H582" t="s">
        <v>90</v>
      </c>
      <c r="I582" t="s">
        <v>79</v>
      </c>
      <c r="J582" t="s">
        <v>93</v>
      </c>
      <c r="K582">
        <v>1</v>
      </c>
      <c r="L582">
        <v>-11.098019931945418</v>
      </c>
      <c r="M582">
        <v>0</v>
      </c>
      <c r="N582">
        <v>1</v>
      </c>
    </row>
    <row r="583" spans="4:14" x14ac:dyDescent="0.3">
      <c r="D583" t="s">
        <v>120</v>
      </c>
      <c r="E583" t="s">
        <v>58</v>
      </c>
      <c r="F583" t="s">
        <v>89</v>
      </c>
      <c r="G583">
        <v>2018</v>
      </c>
      <c r="H583" t="s">
        <v>90</v>
      </c>
      <c r="I583" t="s">
        <v>79</v>
      </c>
      <c r="J583" t="s">
        <v>93</v>
      </c>
      <c r="K583">
        <v>1</v>
      </c>
      <c r="L583">
        <v>-13.139420793024625</v>
      </c>
      <c r="M583">
        <v>0</v>
      </c>
      <c r="N583">
        <v>1</v>
      </c>
    </row>
    <row r="584" spans="4:14" x14ac:dyDescent="0.3">
      <c r="D584" t="s">
        <v>120</v>
      </c>
      <c r="E584" t="s">
        <v>58</v>
      </c>
      <c r="F584" t="s">
        <v>89</v>
      </c>
      <c r="G584">
        <v>2030</v>
      </c>
      <c r="H584" t="s">
        <v>90</v>
      </c>
      <c r="I584" t="s">
        <v>79</v>
      </c>
      <c r="J584" t="s">
        <v>93</v>
      </c>
      <c r="K584">
        <v>1</v>
      </c>
      <c r="L584">
        <v>-13.139420793024625</v>
      </c>
      <c r="M584">
        <v>0</v>
      </c>
      <c r="N584">
        <v>1</v>
      </c>
    </row>
    <row r="585" spans="4:14" x14ac:dyDescent="0.3">
      <c r="D585" t="s">
        <v>120</v>
      </c>
      <c r="E585" t="s">
        <v>59</v>
      </c>
      <c r="F585" t="s">
        <v>89</v>
      </c>
      <c r="G585">
        <v>2017</v>
      </c>
      <c r="H585" t="s">
        <v>90</v>
      </c>
      <c r="I585" t="s">
        <v>79</v>
      </c>
      <c r="J585" t="s">
        <v>93</v>
      </c>
      <c r="K585">
        <v>1</v>
      </c>
      <c r="L585">
        <v>-14.63239136779168</v>
      </c>
      <c r="M585">
        <v>0</v>
      </c>
      <c r="N585">
        <v>1</v>
      </c>
    </row>
    <row r="586" spans="4:14" x14ac:dyDescent="0.3">
      <c r="D586" t="s">
        <v>120</v>
      </c>
      <c r="E586" t="s">
        <v>59</v>
      </c>
      <c r="F586" t="s">
        <v>89</v>
      </c>
      <c r="G586">
        <v>2018</v>
      </c>
      <c r="H586" t="s">
        <v>90</v>
      </c>
      <c r="I586" t="s">
        <v>79</v>
      </c>
      <c r="J586" t="s">
        <v>93</v>
      </c>
      <c r="K586">
        <v>1</v>
      </c>
      <c r="L586">
        <v>-15.732964865159095</v>
      </c>
      <c r="M586">
        <v>0</v>
      </c>
      <c r="N586">
        <v>1</v>
      </c>
    </row>
    <row r="587" spans="4:14" x14ac:dyDescent="0.3">
      <c r="D587" t="s">
        <v>120</v>
      </c>
      <c r="E587" t="s">
        <v>59</v>
      </c>
      <c r="F587" t="s">
        <v>89</v>
      </c>
      <c r="G587">
        <v>2030</v>
      </c>
      <c r="H587" t="s">
        <v>90</v>
      </c>
      <c r="I587" t="s">
        <v>79</v>
      </c>
      <c r="J587" t="s">
        <v>93</v>
      </c>
      <c r="K587">
        <v>1</v>
      </c>
      <c r="L587">
        <v>-15.732964865159095</v>
      </c>
      <c r="M587">
        <v>0</v>
      </c>
      <c r="N587">
        <v>1</v>
      </c>
    </row>
    <row r="588" spans="4:14" x14ac:dyDescent="0.3">
      <c r="D588" t="s">
        <v>120</v>
      </c>
      <c r="E588" t="s">
        <v>60</v>
      </c>
      <c r="F588" t="s">
        <v>89</v>
      </c>
      <c r="G588">
        <v>2017</v>
      </c>
      <c r="H588" t="s">
        <v>90</v>
      </c>
      <c r="I588" t="s">
        <v>79</v>
      </c>
      <c r="J588" t="s">
        <v>93</v>
      </c>
      <c r="K588">
        <v>1</v>
      </c>
      <c r="L588">
        <v>-9.6096647746513426</v>
      </c>
      <c r="M588">
        <v>0</v>
      </c>
      <c r="N588">
        <v>1</v>
      </c>
    </row>
    <row r="589" spans="4:14" x14ac:dyDescent="0.3">
      <c r="D589" t="s">
        <v>120</v>
      </c>
      <c r="E589" t="s">
        <v>60</v>
      </c>
      <c r="F589" t="s">
        <v>89</v>
      </c>
      <c r="G589">
        <v>2018</v>
      </c>
      <c r="H589" t="s">
        <v>90</v>
      </c>
      <c r="I589" t="s">
        <v>79</v>
      </c>
      <c r="J589" t="s">
        <v>93</v>
      </c>
      <c r="K589">
        <v>1</v>
      </c>
      <c r="L589">
        <v>-10.706706291642906</v>
      </c>
      <c r="M589">
        <v>0</v>
      </c>
      <c r="N589">
        <v>1</v>
      </c>
    </row>
    <row r="590" spans="4:14" x14ac:dyDescent="0.3">
      <c r="D590" t="s">
        <v>120</v>
      </c>
      <c r="E590" t="s">
        <v>60</v>
      </c>
      <c r="F590" t="s">
        <v>89</v>
      </c>
      <c r="G590">
        <v>2030</v>
      </c>
      <c r="H590" t="s">
        <v>90</v>
      </c>
      <c r="I590" t="s">
        <v>79</v>
      </c>
      <c r="J590" t="s">
        <v>93</v>
      </c>
      <c r="K590">
        <v>1</v>
      </c>
      <c r="L590">
        <v>-10.706706291642906</v>
      </c>
      <c r="M590">
        <v>0</v>
      </c>
      <c r="N590">
        <v>1</v>
      </c>
    </row>
    <row r="591" spans="4:14" x14ac:dyDescent="0.3">
      <c r="D591" t="s">
        <v>121</v>
      </c>
      <c r="E591" t="s">
        <v>33</v>
      </c>
      <c r="F591" t="s">
        <v>89</v>
      </c>
      <c r="G591">
        <v>2017</v>
      </c>
      <c r="H591" t="s">
        <v>95</v>
      </c>
      <c r="I591" t="s">
        <v>79</v>
      </c>
      <c r="J591" t="s">
        <v>73</v>
      </c>
      <c r="K591">
        <v>1</v>
      </c>
      <c r="L591">
        <v>-10.730899423428932</v>
      </c>
      <c r="M591">
        <v>0</v>
      </c>
      <c r="N591">
        <v>1</v>
      </c>
    </row>
    <row r="592" spans="4:14" x14ac:dyDescent="0.3">
      <c r="D592" t="s">
        <v>121</v>
      </c>
      <c r="E592" t="s">
        <v>33</v>
      </c>
      <c r="F592" t="s">
        <v>89</v>
      </c>
      <c r="G592">
        <v>2018</v>
      </c>
      <c r="H592" t="s">
        <v>95</v>
      </c>
      <c r="I592" t="s">
        <v>79</v>
      </c>
      <c r="J592" t="s">
        <v>73</v>
      </c>
      <c r="K592">
        <v>1</v>
      </c>
      <c r="L592">
        <v>-9.961943788555077</v>
      </c>
      <c r="M592">
        <v>0</v>
      </c>
      <c r="N592">
        <v>1</v>
      </c>
    </row>
    <row r="593" spans="4:14" x14ac:dyDescent="0.3">
      <c r="D593" t="s">
        <v>121</v>
      </c>
      <c r="E593" t="s">
        <v>41</v>
      </c>
      <c r="F593" t="s">
        <v>89</v>
      </c>
      <c r="G593">
        <v>2017</v>
      </c>
      <c r="H593" t="s">
        <v>95</v>
      </c>
      <c r="I593" t="s">
        <v>79</v>
      </c>
      <c r="J593" t="s">
        <v>73</v>
      </c>
      <c r="K593">
        <v>1</v>
      </c>
      <c r="L593">
        <v>-10.730899423428925</v>
      </c>
      <c r="M593">
        <v>0</v>
      </c>
      <c r="N593">
        <v>1</v>
      </c>
    </row>
    <row r="594" spans="4:14" x14ac:dyDescent="0.3">
      <c r="D594" t="s">
        <v>121</v>
      </c>
      <c r="E594" t="s">
        <v>41</v>
      </c>
      <c r="F594" t="s">
        <v>89</v>
      </c>
      <c r="G594">
        <v>2018</v>
      </c>
      <c r="H594" t="s">
        <v>95</v>
      </c>
      <c r="I594" t="s">
        <v>79</v>
      </c>
      <c r="J594" t="s">
        <v>73</v>
      </c>
      <c r="K594">
        <v>1</v>
      </c>
      <c r="L594">
        <v>-9.9619437885550717</v>
      </c>
      <c r="M594">
        <v>0</v>
      </c>
      <c r="N594">
        <v>1</v>
      </c>
    </row>
    <row r="595" spans="4:14" x14ac:dyDescent="0.3">
      <c r="D595" t="s">
        <v>121</v>
      </c>
      <c r="E595" t="s">
        <v>42</v>
      </c>
      <c r="F595" t="s">
        <v>89</v>
      </c>
      <c r="G595">
        <v>2017</v>
      </c>
      <c r="H595" t="s">
        <v>95</v>
      </c>
      <c r="I595" t="s">
        <v>79</v>
      </c>
      <c r="J595" t="s">
        <v>73</v>
      </c>
      <c r="K595">
        <v>1</v>
      </c>
      <c r="L595">
        <v>-8.5200480390157907</v>
      </c>
      <c r="M595">
        <v>0</v>
      </c>
      <c r="N595">
        <v>1</v>
      </c>
    </row>
    <row r="596" spans="4:14" x14ac:dyDescent="0.3">
      <c r="D596" t="s">
        <v>121</v>
      </c>
      <c r="E596" t="s">
        <v>42</v>
      </c>
      <c r="F596" t="s">
        <v>89</v>
      </c>
      <c r="G596">
        <v>2018</v>
      </c>
      <c r="H596" t="s">
        <v>95</v>
      </c>
      <c r="I596" t="s">
        <v>79</v>
      </c>
      <c r="J596" t="s">
        <v>73</v>
      </c>
      <c r="K596">
        <v>1</v>
      </c>
      <c r="L596">
        <v>-8.7909530551142314</v>
      </c>
      <c r="M596">
        <v>0</v>
      </c>
      <c r="N596">
        <v>1</v>
      </c>
    </row>
    <row r="597" spans="4:14" x14ac:dyDescent="0.3">
      <c r="D597" t="s">
        <v>121</v>
      </c>
      <c r="E597" t="s">
        <v>44</v>
      </c>
      <c r="F597" t="s">
        <v>89</v>
      </c>
      <c r="G597">
        <v>2017</v>
      </c>
      <c r="H597" t="s">
        <v>95</v>
      </c>
      <c r="I597" t="s">
        <v>79</v>
      </c>
      <c r="J597" t="s">
        <v>73</v>
      </c>
      <c r="K597">
        <v>1</v>
      </c>
      <c r="L597">
        <v>-15.120166017902156</v>
      </c>
      <c r="M597">
        <v>0</v>
      </c>
      <c r="N597">
        <v>1</v>
      </c>
    </row>
    <row r="598" spans="4:14" x14ac:dyDescent="0.3">
      <c r="D598" t="s">
        <v>121</v>
      </c>
      <c r="E598" t="s">
        <v>44</v>
      </c>
      <c r="F598" t="s">
        <v>89</v>
      </c>
      <c r="G598">
        <v>2018</v>
      </c>
      <c r="H598" t="s">
        <v>95</v>
      </c>
      <c r="I598" t="s">
        <v>79</v>
      </c>
      <c r="J598" t="s">
        <v>73</v>
      </c>
      <c r="K598">
        <v>1</v>
      </c>
      <c r="L598">
        <v>-13.229260393006063</v>
      </c>
      <c r="M598">
        <v>0</v>
      </c>
      <c r="N598">
        <v>1</v>
      </c>
    </row>
    <row r="599" spans="4:14" x14ac:dyDescent="0.3">
      <c r="D599" t="s">
        <v>121</v>
      </c>
      <c r="E599" t="s">
        <v>45</v>
      </c>
      <c r="F599" t="s">
        <v>89</v>
      </c>
      <c r="G599">
        <v>2017</v>
      </c>
      <c r="H599" t="s">
        <v>95</v>
      </c>
      <c r="I599" t="s">
        <v>79</v>
      </c>
      <c r="J599" t="s">
        <v>73</v>
      </c>
      <c r="K599">
        <v>1</v>
      </c>
      <c r="L599">
        <v>-7.7175910135126529</v>
      </c>
      <c r="M599">
        <v>0</v>
      </c>
      <c r="N599">
        <v>1</v>
      </c>
    </row>
    <row r="600" spans="4:14" x14ac:dyDescent="0.3">
      <c r="D600" t="s">
        <v>121</v>
      </c>
      <c r="E600" t="s">
        <v>45</v>
      </c>
      <c r="F600" t="s">
        <v>89</v>
      </c>
      <c r="G600">
        <v>2018</v>
      </c>
      <c r="H600" t="s">
        <v>95</v>
      </c>
      <c r="I600" t="s">
        <v>79</v>
      </c>
      <c r="J600" t="s">
        <v>73</v>
      </c>
      <c r="K600">
        <v>1</v>
      </c>
      <c r="L600">
        <v>-8.9797742951954778</v>
      </c>
      <c r="M600">
        <v>0</v>
      </c>
      <c r="N600">
        <v>1</v>
      </c>
    </row>
    <row r="601" spans="4:14" x14ac:dyDescent="0.3">
      <c r="D601" t="s">
        <v>121</v>
      </c>
      <c r="E601" t="s">
        <v>46</v>
      </c>
      <c r="F601" t="s">
        <v>89</v>
      </c>
      <c r="G601">
        <v>2017</v>
      </c>
      <c r="H601" t="s">
        <v>95</v>
      </c>
      <c r="I601" t="s">
        <v>79</v>
      </c>
      <c r="J601" t="s">
        <v>73</v>
      </c>
      <c r="K601">
        <v>1</v>
      </c>
      <c r="L601">
        <v>-7.8286234550404643</v>
      </c>
      <c r="M601">
        <v>0</v>
      </c>
      <c r="N601">
        <v>1</v>
      </c>
    </row>
    <row r="602" spans="4:14" x14ac:dyDescent="0.3">
      <c r="D602" t="s">
        <v>121</v>
      </c>
      <c r="E602" t="s">
        <v>46</v>
      </c>
      <c r="F602" t="s">
        <v>89</v>
      </c>
      <c r="G602">
        <v>2018</v>
      </c>
      <c r="H602" t="s">
        <v>95</v>
      </c>
      <c r="I602" t="s">
        <v>79</v>
      </c>
      <c r="J602" t="s">
        <v>73</v>
      </c>
      <c r="K602">
        <v>1</v>
      </c>
      <c r="L602">
        <v>-8.6688417970168246</v>
      </c>
      <c r="M602">
        <v>0</v>
      </c>
      <c r="N602">
        <v>1</v>
      </c>
    </row>
    <row r="603" spans="4:14" x14ac:dyDescent="0.3">
      <c r="D603" t="s">
        <v>121</v>
      </c>
      <c r="E603" t="s">
        <v>49</v>
      </c>
      <c r="F603" t="s">
        <v>89</v>
      </c>
      <c r="G603">
        <v>2017</v>
      </c>
      <c r="H603" t="s">
        <v>95</v>
      </c>
      <c r="I603" t="s">
        <v>79</v>
      </c>
      <c r="J603" t="s">
        <v>73</v>
      </c>
      <c r="K603">
        <v>1</v>
      </c>
      <c r="L603">
        <v>-10.38715630635101</v>
      </c>
      <c r="M603">
        <v>0</v>
      </c>
      <c r="N603">
        <v>1</v>
      </c>
    </row>
    <row r="604" spans="4:14" x14ac:dyDescent="0.3">
      <c r="D604" t="s">
        <v>121</v>
      </c>
      <c r="E604" t="s">
        <v>49</v>
      </c>
      <c r="F604" t="s">
        <v>89</v>
      </c>
      <c r="G604">
        <v>2018</v>
      </c>
      <c r="H604" t="s">
        <v>95</v>
      </c>
      <c r="I604" t="s">
        <v>79</v>
      </c>
      <c r="J604" t="s">
        <v>73</v>
      </c>
      <c r="K604">
        <v>1</v>
      </c>
      <c r="L604">
        <v>-9.9816825906521078</v>
      </c>
      <c r="M604">
        <v>0</v>
      </c>
      <c r="N604">
        <v>1</v>
      </c>
    </row>
    <row r="605" spans="4:14" x14ac:dyDescent="0.3">
      <c r="D605" t="s">
        <v>121</v>
      </c>
      <c r="E605" t="s">
        <v>50</v>
      </c>
      <c r="F605" t="s">
        <v>89</v>
      </c>
      <c r="G605">
        <v>2017</v>
      </c>
      <c r="H605" t="s">
        <v>95</v>
      </c>
      <c r="I605" t="s">
        <v>79</v>
      </c>
      <c r="J605" t="s">
        <v>73</v>
      </c>
      <c r="K605">
        <v>1</v>
      </c>
      <c r="L605">
        <v>-9.7165815156192981</v>
      </c>
      <c r="M605">
        <v>0</v>
      </c>
      <c r="N605">
        <v>1</v>
      </c>
    </row>
    <row r="606" spans="4:14" x14ac:dyDescent="0.3">
      <c r="D606" t="s">
        <v>121</v>
      </c>
      <c r="E606" t="s">
        <v>50</v>
      </c>
      <c r="F606" t="s">
        <v>89</v>
      </c>
      <c r="G606">
        <v>2018</v>
      </c>
      <c r="H606" t="s">
        <v>95</v>
      </c>
      <c r="I606" t="s">
        <v>79</v>
      </c>
      <c r="J606" t="s">
        <v>73</v>
      </c>
      <c r="K606">
        <v>1</v>
      </c>
      <c r="L606">
        <v>-9.0454816934943825</v>
      </c>
      <c r="M606">
        <v>0</v>
      </c>
      <c r="N606">
        <v>1</v>
      </c>
    </row>
    <row r="607" spans="4:14" x14ac:dyDescent="0.3">
      <c r="D607" t="s">
        <v>121</v>
      </c>
      <c r="E607" t="s">
        <v>51</v>
      </c>
      <c r="F607" t="s">
        <v>89</v>
      </c>
      <c r="G607">
        <v>2017</v>
      </c>
      <c r="H607" t="s">
        <v>95</v>
      </c>
      <c r="I607" t="s">
        <v>79</v>
      </c>
      <c r="J607" t="s">
        <v>73</v>
      </c>
      <c r="K607">
        <v>1</v>
      </c>
      <c r="L607">
        <v>-8.5922469652741462</v>
      </c>
      <c r="M607">
        <v>0</v>
      </c>
      <c r="N607">
        <v>1</v>
      </c>
    </row>
    <row r="608" spans="4:14" x14ac:dyDescent="0.3">
      <c r="D608" t="s">
        <v>121</v>
      </c>
      <c r="E608" t="s">
        <v>51</v>
      </c>
      <c r="F608" t="s">
        <v>89</v>
      </c>
      <c r="G608">
        <v>2018</v>
      </c>
      <c r="H608" t="s">
        <v>95</v>
      </c>
      <c r="I608" t="s">
        <v>79</v>
      </c>
      <c r="J608" t="s">
        <v>73</v>
      </c>
      <c r="K608">
        <v>1</v>
      </c>
      <c r="L608">
        <v>-8.3202276564810038</v>
      </c>
      <c r="M608">
        <v>0</v>
      </c>
      <c r="N608">
        <v>1</v>
      </c>
    </row>
    <row r="609" spans="4:14" x14ac:dyDescent="0.3">
      <c r="D609" t="s">
        <v>121</v>
      </c>
      <c r="E609" t="s">
        <v>53</v>
      </c>
      <c r="F609" t="s">
        <v>89</v>
      </c>
      <c r="G609">
        <v>2017</v>
      </c>
      <c r="H609" t="s">
        <v>95</v>
      </c>
      <c r="I609" t="s">
        <v>79</v>
      </c>
      <c r="J609" t="s">
        <v>73</v>
      </c>
      <c r="K609">
        <v>1</v>
      </c>
      <c r="L609">
        <v>-12.88220660615076</v>
      </c>
      <c r="M609">
        <v>0</v>
      </c>
      <c r="N609">
        <v>1</v>
      </c>
    </row>
    <row r="610" spans="4:14" x14ac:dyDescent="0.3">
      <c r="D610" t="s">
        <v>121</v>
      </c>
      <c r="E610" t="s">
        <v>53</v>
      </c>
      <c r="F610" t="s">
        <v>89</v>
      </c>
      <c r="G610">
        <v>2018</v>
      </c>
      <c r="H610" t="s">
        <v>95</v>
      </c>
      <c r="I610" t="s">
        <v>79</v>
      </c>
      <c r="J610" t="s">
        <v>73</v>
      </c>
      <c r="K610">
        <v>1</v>
      </c>
      <c r="L610">
        <v>-12.104836652839071</v>
      </c>
      <c r="M610">
        <v>0</v>
      </c>
      <c r="N610">
        <v>1</v>
      </c>
    </row>
    <row r="611" spans="4:14" x14ac:dyDescent="0.3">
      <c r="D611" t="s">
        <v>121</v>
      </c>
      <c r="E611" t="s">
        <v>54</v>
      </c>
      <c r="F611" t="s">
        <v>89</v>
      </c>
      <c r="G611">
        <v>2017</v>
      </c>
      <c r="H611" t="s">
        <v>95</v>
      </c>
      <c r="I611" t="s">
        <v>79</v>
      </c>
      <c r="J611" t="s">
        <v>73</v>
      </c>
      <c r="K611">
        <v>1</v>
      </c>
      <c r="L611">
        <v>-12.00810141031657</v>
      </c>
      <c r="M611">
        <v>0</v>
      </c>
      <c r="N611">
        <v>1</v>
      </c>
    </row>
    <row r="612" spans="4:14" x14ac:dyDescent="0.3">
      <c r="D612" t="s">
        <v>121</v>
      </c>
      <c r="E612" t="s">
        <v>54</v>
      </c>
      <c r="F612" t="s">
        <v>89</v>
      </c>
      <c r="G612">
        <v>2018</v>
      </c>
      <c r="H612" t="s">
        <v>95</v>
      </c>
      <c r="I612" t="s">
        <v>79</v>
      </c>
      <c r="J612" t="s">
        <v>73</v>
      </c>
      <c r="K612">
        <v>1</v>
      </c>
      <c r="L612">
        <v>-12.198187763554973</v>
      </c>
      <c r="M612">
        <v>0</v>
      </c>
      <c r="N612">
        <v>1</v>
      </c>
    </row>
    <row r="613" spans="4:14" x14ac:dyDescent="0.3">
      <c r="D613" t="s">
        <v>121</v>
      </c>
      <c r="E613" t="s">
        <v>55</v>
      </c>
      <c r="F613" t="s">
        <v>89</v>
      </c>
      <c r="G613">
        <v>2017</v>
      </c>
      <c r="H613" t="s">
        <v>95</v>
      </c>
      <c r="I613" t="s">
        <v>79</v>
      </c>
      <c r="J613" t="s">
        <v>73</v>
      </c>
      <c r="K613">
        <v>1</v>
      </c>
      <c r="L613">
        <v>-14.447153366507495</v>
      </c>
      <c r="M613">
        <v>0</v>
      </c>
      <c r="N613">
        <v>1</v>
      </c>
    </row>
    <row r="614" spans="4:14" x14ac:dyDescent="0.3">
      <c r="D614" t="s">
        <v>121</v>
      </c>
      <c r="E614" t="s">
        <v>55</v>
      </c>
      <c r="F614" t="s">
        <v>89</v>
      </c>
      <c r="G614">
        <v>2018</v>
      </c>
      <c r="H614" t="s">
        <v>95</v>
      </c>
      <c r="I614" t="s">
        <v>79</v>
      </c>
      <c r="J614" t="s">
        <v>73</v>
      </c>
      <c r="K614">
        <v>1</v>
      </c>
      <c r="L614">
        <v>-15.317592038417816</v>
      </c>
      <c r="M614">
        <v>0</v>
      </c>
      <c r="N614">
        <v>1</v>
      </c>
    </row>
    <row r="615" spans="4:14" x14ac:dyDescent="0.3">
      <c r="D615" t="s">
        <v>121</v>
      </c>
      <c r="E615" t="s">
        <v>56</v>
      </c>
      <c r="F615" t="s">
        <v>89</v>
      </c>
      <c r="G615">
        <v>2017</v>
      </c>
      <c r="H615" t="s">
        <v>95</v>
      </c>
      <c r="I615" t="s">
        <v>79</v>
      </c>
      <c r="J615" t="s">
        <v>73</v>
      </c>
      <c r="K615">
        <v>1</v>
      </c>
      <c r="L615">
        <v>-13.661142577524435</v>
      </c>
      <c r="M615">
        <v>0</v>
      </c>
      <c r="N615">
        <v>1</v>
      </c>
    </row>
    <row r="616" spans="4:14" x14ac:dyDescent="0.3">
      <c r="D616" t="s">
        <v>121</v>
      </c>
      <c r="E616" t="s">
        <v>56</v>
      </c>
      <c r="F616" t="s">
        <v>89</v>
      </c>
      <c r="G616">
        <v>2018</v>
      </c>
      <c r="H616" t="s">
        <v>95</v>
      </c>
      <c r="I616" t="s">
        <v>79</v>
      </c>
      <c r="J616" t="s">
        <v>73</v>
      </c>
      <c r="K616">
        <v>1</v>
      </c>
      <c r="L616">
        <v>-13.29787648025763</v>
      </c>
      <c r="M616">
        <v>0</v>
      </c>
      <c r="N616">
        <v>1</v>
      </c>
    </row>
    <row r="617" spans="4:14" x14ac:dyDescent="0.3">
      <c r="D617" t="s">
        <v>121</v>
      </c>
      <c r="E617" t="s">
        <v>57</v>
      </c>
      <c r="F617" t="s">
        <v>89</v>
      </c>
      <c r="G617">
        <v>2017</v>
      </c>
      <c r="H617" t="s">
        <v>95</v>
      </c>
      <c r="I617" t="s">
        <v>79</v>
      </c>
      <c r="J617" t="s">
        <v>73</v>
      </c>
      <c r="K617">
        <v>1</v>
      </c>
      <c r="L617">
        <v>-12.39538503578213</v>
      </c>
      <c r="M617">
        <v>0</v>
      </c>
      <c r="N617">
        <v>1</v>
      </c>
    </row>
    <row r="618" spans="4:14" x14ac:dyDescent="0.3">
      <c r="D618" t="s">
        <v>121</v>
      </c>
      <c r="E618" t="s">
        <v>57</v>
      </c>
      <c r="F618" t="s">
        <v>89</v>
      </c>
      <c r="G618">
        <v>2018</v>
      </c>
      <c r="H618" t="s">
        <v>95</v>
      </c>
      <c r="I618" t="s">
        <v>79</v>
      </c>
      <c r="J618" t="s">
        <v>73</v>
      </c>
      <c r="K618">
        <v>1</v>
      </c>
      <c r="L618">
        <v>-12.386863732101778</v>
      </c>
      <c r="M618">
        <v>0</v>
      </c>
      <c r="N618">
        <v>1</v>
      </c>
    </row>
    <row r="619" spans="4:14" x14ac:dyDescent="0.3">
      <c r="D619" t="s">
        <v>121</v>
      </c>
      <c r="E619" t="s">
        <v>58</v>
      </c>
      <c r="F619" t="s">
        <v>89</v>
      </c>
      <c r="G619">
        <v>2017</v>
      </c>
      <c r="H619" t="s">
        <v>95</v>
      </c>
      <c r="I619" t="s">
        <v>79</v>
      </c>
      <c r="J619" t="s">
        <v>73</v>
      </c>
      <c r="K619">
        <v>1</v>
      </c>
      <c r="L619">
        <v>-10.358151936482392</v>
      </c>
      <c r="M619">
        <v>0</v>
      </c>
      <c r="N619">
        <v>1</v>
      </c>
    </row>
    <row r="620" spans="4:14" x14ac:dyDescent="0.3">
      <c r="D620" t="s">
        <v>121</v>
      </c>
      <c r="E620" t="s">
        <v>58</v>
      </c>
      <c r="F620" t="s">
        <v>89</v>
      </c>
      <c r="G620">
        <v>2018</v>
      </c>
      <c r="H620" t="s">
        <v>95</v>
      </c>
      <c r="I620" t="s">
        <v>79</v>
      </c>
      <c r="J620" t="s">
        <v>73</v>
      </c>
      <c r="K620">
        <v>1</v>
      </c>
      <c r="L620">
        <v>-12.263459406822982</v>
      </c>
      <c r="M620">
        <v>0</v>
      </c>
      <c r="N620">
        <v>1</v>
      </c>
    </row>
    <row r="621" spans="4:14" x14ac:dyDescent="0.3">
      <c r="D621" t="s">
        <v>121</v>
      </c>
      <c r="E621" t="s">
        <v>59</v>
      </c>
      <c r="F621" t="s">
        <v>89</v>
      </c>
      <c r="G621">
        <v>2017</v>
      </c>
      <c r="H621" t="s">
        <v>95</v>
      </c>
      <c r="I621" t="s">
        <v>79</v>
      </c>
      <c r="J621" t="s">
        <v>73</v>
      </c>
      <c r="K621">
        <v>1</v>
      </c>
      <c r="L621">
        <v>-13.656898609938903</v>
      </c>
      <c r="M621">
        <v>0</v>
      </c>
      <c r="N621">
        <v>1</v>
      </c>
    </row>
    <row r="622" spans="4:14" x14ac:dyDescent="0.3">
      <c r="D622" t="s">
        <v>121</v>
      </c>
      <c r="E622" t="s">
        <v>59</v>
      </c>
      <c r="F622" t="s">
        <v>89</v>
      </c>
      <c r="G622">
        <v>2018</v>
      </c>
      <c r="H622" t="s">
        <v>95</v>
      </c>
      <c r="I622" t="s">
        <v>79</v>
      </c>
      <c r="J622" t="s">
        <v>73</v>
      </c>
      <c r="K622">
        <v>1</v>
      </c>
      <c r="L622">
        <v>-14.684100540815155</v>
      </c>
      <c r="M622">
        <v>0</v>
      </c>
      <c r="N622">
        <v>1</v>
      </c>
    </row>
    <row r="623" spans="4:14" x14ac:dyDescent="0.3">
      <c r="D623" t="s">
        <v>121</v>
      </c>
      <c r="E623" t="s">
        <v>60</v>
      </c>
      <c r="F623" t="s">
        <v>89</v>
      </c>
      <c r="G623">
        <v>2017</v>
      </c>
      <c r="H623" t="s">
        <v>95</v>
      </c>
      <c r="I623" t="s">
        <v>79</v>
      </c>
      <c r="J623" t="s">
        <v>73</v>
      </c>
      <c r="K623">
        <v>1</v>
      </c>
      <c r="L623">
        <v>-10.856521170988453</v>
      </c>
      <c r="M623">
        <v>0</v>
      </c>
      <c r="N623">
        <v>1</v>
      </c>
    </row>
    <row r="624" spans="4:14" x14ac:dyDescent="0.3">
      <c r="D624" t="s">
        <v>121</v>
      </c>
      <c r="E624" t="s">
        <v>60</v>
      </c>
      <c r="F624" t="s">
        <v>89</v>
      </c>
      <c r="G624">
        <v>2018</v>
      </c>
      <c r="H624" t="s">
        <v>95</v>
      </c>
      <c r="I624" t="s">
        <v>79</v>
      </c>
      <c r="J624" t="s">
        <v>73</v>
      </c>
      <c r="K624">
        <v>1</v>
      </c>
      <c r="L624">
        <v>-11.781612493555158</v>
      </c>
      <c r="M624">
        <v>0</v>
      </c>
      <c r="N624">
        <v>1</v>
      </c>
    </row>
    <row r="625" spans="4:14" x14ac:dyDescent="0.3">
      <c r="D625" t="s">
        <v>122</v>
      </c>
      <c r="E625" t="s">
        <v>33</v>
      </c>
      <c r="F625" t="s">
        <v>89</v>
      </c>
      <c r="G625">
        <v>2017</v>
      </c>
      <c r="H625" t="s">
        <v>95</v>
      </c>
      <c r="I625" t="s">
        <v>79</v>
      </c>
      <c r="J625" t="s">
        <v>93</v>
      </c>
      <c r="K625">
        <v>1</v>
      </c>
      <c r="L625">
        <v>-11.497392239388141</v>
      </c>
      <c r="M625">
        <v>0</v>
      </c>
      <c r="N625">
        <v>1</v>
      </c>
    </row>
    <row r="626" spans="4:14" x14ac:dyDescent="0.3">
      <c r="D626" t="s">
        <v>122</v>
      </c>
      <c r="E626" t="s">
        <v>33</v>
      </c>
      <c r="F626" t="s">
        <v>89</v>
      </c>
      <c r="G626">
        <v>2018</v>
      </c>
      <c r="H626" t="s">
        <v>95</v>
      </c>
      <c r="I626" t="s">
        <v>79</v>
      </c>
      <c r="J626" t="s">
        <v>93</v>
      </c>
      <c r="K626">
        <v>1</v>
      </c>
      <c r="L626">
        <v>-10.673511202023297</v>
      </c>
      <c r="M626">
        <v>0</v>
      </c>
      <c r="N626">
        <v>1</v>
      </c>
    </row>
    <row r="627" spans="4:14" x14ac:dyDescent="0.3">
      <c r="D627" t="s">
        <v>122</v>
      </c>
      <c r="E627" t="s">
        <v>33</v>
      </c>
      <c r="F627" t="s">
        <v>89</v>
      </c>
      <c r="G627">
        <v>2030</v>
      </c>
      <c r="H627" t="s">
        <v>95</v>
      </c>
      <c r="I627" t="s">
        <v>79</v>
      </c>
      <c r="J627" t="s">
        <v>93</v>
      </c>
      <c r="K627">
        <v>1</v>
      </c>
      <c r="L627">
        <v>-11.497392239388141</v>
      </c>
      <c r="M627">
        <v>0</v>
      </c>
      <c r="N627">
        <v>1</v>
      </c>
    </row>
    <row r="628" spans="4:14" x14ac:dyDescent="0.3">
      <c r="D628" t="s">
        <v>122</v>
      </c>
      <c r="E628" t="s">
        <v>41</v>
      </c>
      <c r="F628" t="s">
        <v>89</v>
      </c>
      <c r="G628">
        <v>2017</v>
      </c>
      <c r="H628" t="s">
        <v>95</v>
      </c>
      <c r="I628" t="s">
        <v>79</v>
      </c>
      <c r="J628" t="s">
        <v>93</v>
      </c>
      <c r="K628">
        <v>1</v>
      </c>
      <c r="L628">
        <v>-11.497392239388134</v>
      </c>
      <c r="M628">
        <v>0</v>
      </c>
      <c r="N628">
        <v>1</v>
      </c>
    </row>
    <row r="629" spans="4:14" x14ac:dyDescent="0.3">
      <c r="D629" t="s">
        <v>122</v>
      </c>
      <c r="E629" t="s">
        <v>41</v>
      </c>
      <c r="F629" t="s">
        <v>89</v>
      </c>
      <c r="G629">
        <v>2018</v>
      </c>
      <c r="H629" t="s">
        <v>95</v>
      </c>
      <c r="I629" t="s">
        <v>79</v>
      </c>
      <c r="J629" t="s">
        <v>93</v>
      </c>
      <c r="K629">
        <v>1</v>
      </c>
      <c r="L629">
        <v>-10.673511202023292</v>
      </c>
      <c r="M629">
        <v>0</v>
      </c>
      <c r="N629">
        <v>1</v>
      </c>
    </row>
    <row r="630" spans="4:14" x14ac:dyDescent="0.3">
      <c r="D630" t="s">
        <v>122</v>
      </c>
      <c r="E630" t="s">
        <v>41</v>
      </c>
      <c r="F630" t="s">
        <v>89</v>
      </c>
      <c r="G630">
        <v>2030</v>
      </c>
      <c r="H630" t="s">
        <v>95</v>
      </c>
      <c r="I630" t="s">
        <v>79</v>
      </c>
      <c r="J630" t="s">
        <v>93</v>
      </c>
      <c r="K630">
        <v>1</v>
      </c>
      <c r="L630">
        <v>-11.497392239388134</v>
      </c>
      <c r="M630">
        <v>0</v>
      </c>
      <c r="N630">
        <v>1</v>
      </c>
    </row>
    <row r="631" spans="4:14" x14ac:dyDescent="0.3">
      <c r="D631" t="s">
        <v>122</v>
      </c>
      <c r="E631" t="s">
        <v>42</v>
      </c>
      <c r="F631" t="s">
        <v>89</v>
      </c>
      <c r="G631">
        <v>2017</v>
      </c>
      <c r="H631" t="s">
        <v>95</v>
      </c>
      <c r="I631" t="s">
        <v>79</v>
      </c>
      <c r="J631" t="s">
        <v>93</v>
      </c>
      <c r="K631">
        <v>1</v>
      </c>
      <c r="L631">
        <v>-9.1286228989454905</v>
      </c>
      <c r="M631">
        <v>0</v>
      </c>
      <c r="N631">
        <v>1</v>
      </c>
    </row>
    <row r="632" spans="4:14" x14ac:dyDescent="0.3">
      <c r="D632" t="s">
        <v>122</v>
      </c>
      <c r="E632" t="s">
        <v>42</v>
      </c>
      <c r="F632" t="s">
        <v>89</v>
      </c>
      <c r="G632">
        <v>2018</v>
      </c>
      <c r="H632" t="s">
        <v>95</v>
      </c>
      <c r="I632" t="s">
        <v>79</v>
      </c>
      <c r="J632" t="s">
        <v>93</v>
      </c>
      <c r="K632">
        <v>1</v>
      </c>
      <c r="L632">
        <v>-9.4188782733366772</v>
      </c>
      <c r="M632">
        <v>0</v>
      </c>
      <c r="N632">
        <v>1</v>
      </c>
    </row>
    <row r="633" spans="4:14" x14ac:dyDescent="0.3">
      <c r="D633" t="s">
        <v>122</v>
      </c>
      <c r="E633" t="s">
        <v>42</v>
      </c>
      <c r="F633" t="s">
        <v>89</v>
      </c>
      <c r="G633">
        <v>2030</v>
      </c>
      <c r="H633" t="s">
        <v>95</v>
      </c>
      <c r="I633" t="s">
        <v>79</v>
      </c>
      <c r="J633" t="s">
        <v>93</v>
      </c>
      <c r="K633">
        <v>1</v>
      </c>
      <c r="L633">
        <v>-9.4188782733366772</v>
      </c>
      <c r="M633">
        <v>0</v>
      </c>
      <c r="N633">
        <v>1</v>
      </c>
    </row>
    <row r="634" spans="4:14" x14ac:dyDescent="0.3">
      <c r="D634" t="s">
        <v>122</v>
      </c>
      <c r="E634" t="s">
        <v>44</v>
      </c>
      <c r="F634" t="s">
        <v>89</v>
      </c>
      <c r="G634">
        <v>2017</v>
      </c>
      <c r="H634" t="s">
        <v>95</v>
      </c>
      <c r="I634" t="s">
        <v>79</v>
      </c>
      <c r="J634" t="s">
        <v>93</v>
      </c>
      <c r="K634">
        <v>1</v>
      </c>
      <c r="L634">
        <v>-16.200177876323739</v>
      </c>
      <c r="M634">
        <v>0</v>
      </c>
      <c r="N634">
        <v>1</v>
      </c>
    </row>
    <row r="635" spans="4:14" x14ac:dyDescent="0.3">
      <c r="D635" t="s">
        <v>122</v>
      </c>
      <c r="E635" t="s">
        <v>44</v>
      </c>
      <c r="F635" t="s">
        <v>89</v>
      </c>
      <c r="G635">
        <v>2018</v>
      </c>
      <c r="H635" t="s">
        <v>95</v>
      </c>
      <c r="I635" t="s">
        <v>79</v>
      </c>
      <c r="J635" t="s">
        <v>93</v>
      </c>
      <c r="K635">
        <v>1</v>
      </c>
      <c r="L635">
        <v>-14.174207563935068</v>
      </c>
      <c r="M635">
        <v>0</v>
      </c>
      <c r="N635">
        <v>1</v>
      </c>
    </row>
    <row r="636" spans="4:14" x14ac:dyDescent="0.3">
      <c r="D636" t="s">
        <v>122</v>
      </c>
      <c r="E636" t="s">
        <v>44</v>
      </c>
      <c r="F636" t="s">
        <v>89</v>
      </c>
      <c r="G636">
        <v>2030</v>
      </c>
      <c r="H636" t="s">
        <v>95</v>
      </c>
      <c r="I636" t="s">
        <v>79</v>
      </c>
      <c r="J636" t="s">
        <v>93</v>
      </c>
      <c r="K636">
        <v>1</v>
      </c>
      <c r="L636">
        <v>-16.200177876323739</v>
      </c>
      <c r="M636">
        <v>0</v>
      </c>
      <c r="N636">
        <v>1</v>
      </c>
    </row>
    <row r="637" spans="4:14" x14ac:dyDescent="0.3">
      <c r="D637" t="s">
        <v>122</v>
      </c>
      <c r="E637" t="s">
        <v>45</v>
      </c>
      <c r="F637" t="s">
        <v>89</v>
      </c>
      <c r="G637">
        <v>2017</v>
      </c>
      <c r="H637" t="s">
        <v>95</v>
      </c>
      <c r="I637" t="s">
        <v>79</v>
      </c>
      <c r="J637" t="s">
        <v>93</v>
      </c>
      <c r="K637">
        <v>1</v>
      </c>
      <c r="L637">
        <v>-8.2688475144778426</v>
      </c>
      <c r="M637">
        <v>0</v>
      </c>
      <c r="N637">
        <v>1</v>
      </c>
    </row>
    <row r="638" spans="4:14" x14ac:dyDescent="0.3">
      <c r="D638" t="s">
        <v>122</v>
      </c>
      <c r="E638" t="s">
        <v>45</v>
      </c>
      <c r="F638" t="s">
        <v>89</v>
      </c>
      <c r="G638">
        <v>2018</v>
      </c>
      <c r="H638" t="s">
        <v>95</v>
      </c>
      <c r="I638" t="s">
        <v>79</v>
      </c>
      <c r="J638" t="s">
        <v>93</v>
      </c>
      <c r="K638">
        <v>1</v>
      </c>
      <c r="L638">
        <v>-9.6211867448522987</v>
      </c>
      <c r="M638">
        <v>0</v>
      </c>
      <c r="N638">
        <v>1</v>
      </c>
    </row>
    <row r="639" spans="4:14" x14ac:dyDescent="0.3">
      <c r="D639" t="s">
        <v>122</v>
      </c>
      <c r="E639" t="s">
        <v>45</v>
      </c>
      <c r="F639" t="s">
        <v>89</v>
      </c>
      <c r="G639">
        <v>2030</v>
      </c>
      <c r="H639" t="s">
        <v>95</v>
      </c>
      <c r="I639" t="s">
        <v>79</v>
      </c>
      <c r="J639" t="s">
        <v>93</v>
      </c>
      <c r="K639">
        <v>1</v>
      </c>
      <c r="L639">
        <v>-9.6211867448522987</v>
      </c>
      <c r="M639">
        <v>0</v>
      </c>
      <c r="N639">
        <v>1</v>
      </c>
    </row>
    <row r="640" spans="4:14" x14ac:dyDescent="0.3">
      <c r="D640" t="s">
        <v>122</v>
      </c>
      <c r="E640" t="s">
        <v>46</v>
      </c>
      <c r="F640" t="s">
        <v>89</v>
      </c>
      <c r="G640">
        <v>2017</v>
      </c>
      <c r="H640" t="s">
        <v>95</v>
      </c>
      <c r="I640" t="s">
        <v>79</v>
      </c>
      <c r="J640" t="s">
        <v>93</v>
      </c>
      <c r="K640">
        <v>1</v>
      </c>
      <c r="L640">
        <v>-8.3878108446862125</v>
      </c>
      <c r="M640">
        <v>0</v>
      </c>
      <c r="N640">
        <v>1</v>
      </c>
    </row>
    <row r="641" spans="4:14" x14ac:dyDescent="0.3">
      <c r="D641" t="s">
        <v>122</v>
      </c>
      <c r="E641" t="s">
        <v>46</v>
      </c>
      <c r="F641" t="s">
        <v>89</v>
      </c>
      <c r="G641">
        <v>2018</v>
      </c>
      <c r="H641" t="s">
        <v>95</v>
      </c>
      <c r="I641" t="s">
        <v>79</v>
      </c>
      <c r="J641" t="s">
        <v>93</v>
      </c>
      <c r="K641">
        <v>1</v>
      </c>
      <c r="L641">
        <v>-9.2880447825180266</v>
      </c>
      <c r="M641">
        <v>0</v>
      </c>
      <c r="N641">
        <v>1</v>
      </c>
    </row>
    <row r="642" spans="4:14" x14ac:dyDescent="0.3">
      <c r="D642" t="s">
        <v>122</v>
      </c>
      <c r="E642" t="s">
        <v>46</v>
      </c>
      <c r="F642" t="s">
        <v>89</v>
      </c>
      <c r="G642">
        <v>2030</v>
      </c>
      <c r="H642" t="s">
        <v>95</v>
      </c>
      <c r="I642" t="s">
        <v>79</v>
      </c>
      <c r="J642" t="s">
        <v>93</v>
      </c>
      <c r="K642">
        <v>1</v>
      </c>
      <c r="L642">
        <v>-18</v>
      </c>
      <c r="M642">
        <v>0</v>
      </c>
      <c r="N642">
        <v>1</v>
      </c>
    </row>
    <row r="643" spans="4:14" x14ac:dyDescent="0.3">
      <c r="D643" t="s">
        <v>122</v>
      </c>
      <c r="E643" t="s">
        <v>49</v>
      </c>
      <c r="F643" t="s">
        <v>89</v>
      </c>
      <c r="G643">
        <v>2017</v>
      </c>
      <c r="H643" t="s">
        <v>95</v>
      </c>
      <c r="I643" t="s">
        <v>79</v>
      </c>
      <c r="J643" t="s">
        <v>93</v>
      </c>
      <c r="K643">
        <v>1</v>
      </c>
      <c r="L643">
        <v>-11.12909604251894</v>
      </c>
      <c r="M643">
        <v>0</v>
      </c>
      <c r="N643">
        <v>1</v>
      </c>
    </row>
    <row r="644" spans="4:14" x14ac:dyDescent="0.3">
      <c r="D644" t="s">
        <v>122</v>
      </c>
      <c r="E644" t="s">
        <v>49</v>
      </c>
      <c r="F644" t="s">
        <v>89</v>
      </c>
      <c r="G644">
        <v>2018</v>
      </c>
      <c r="H644" t="s">
        <v>95</v>
      </c>
      <c r="I644" t="s">
        <v>79</v>
      </c>
      <c r="J644" t="s">
        <v>93</v>
      </c>
      <c r="K644">
        <v>1</v>
      </c>
      <c r="L644">
        <v>-10.69465991855583</v>
      </c>
      <c r="M644">
        <v>0</v>
      </c>
      <c r="N644">
        <v>1</v>
      </c>
    </row>
    <row r="645" spans="4:14" x14ac:dyDescent="0.3">
      <c r="D645" t="s">
        <v>122</v>
      </c>
      <c r="E645" t="s">
        <v>49</v>
      </c>
      <c r="F645" t="s">
        <v>89</v>
      </c>
      <c r="G645">
        <v>2030</v>
      </c>
      <c r="H645" t="s">
        <v>95</v>
      </c>
      <c r="I645" t="s">
        <v>79</v>
      </c>
      <c r="J645" t="s">
        <v>93</v>
      </c>
      <c r="K645">
        <v>1</v>
      </c>
      <c r="L645">
        <v>-11.12909604251894</v>
      </c>
      <c r="M645">
        <v>0</v>
      </c>
      <c r="N645">
        <v>1</v>
      </c>
    </row>
    <row r="646" spans="4:14" x14ac:dyDescent="0.3">
      <c r="D646" t="s">
        <v>122</v>
      </c>
      <c r="E646" t="s">
        <v>50</v>
      </c>
      <c r="F646" t="s">
        <v>89</v>
      </c>
      <c r="G646">
        <v>2017</v>
      </c>
      <c r="H646" t="s">
        <v>95</v>
      </c>
      <c r="I646" t="s">
        <v>79</v>
      </c>
      <c r="J646" t="s">
        <v>93</v>
      </c>
      <c r="K646">
        <v>1</v>
      </c>
      <c r="L646">
        <v>-10.41062305244925</v>
      </c>
      <c r="M646">
        <v>0</v>
      </c>
      <c r="N646">
        <v>1</v>
      </c>
    </row>
    <row r="647" spans="4:14" x14ac:dyDescent="0.3">
      <c r="D647" t="s">
        <v>122</v>
      </c>
      <c r="E647" t="s">
        <v>50</v>
      </c>
      <c r="F647" t="s">
        <v>89</v>
      </c>
      <c r="G647">
        <v>2018</v>
      </c>
      <c r="H647" t="s">
        <v>95</v>
      </c>
      <c r="I647" t="s">
        <v>79</v>
      </c>
      <c r="J647" t="s">
        <v>93</v>
      </c>
      <c r="K647">
        <v>1</v>
      </c>
      <c r="L647">
        <v>-9.6915875287439821</v>
      </c>
      <c r="M647">
        <v>0</v>
      </c>
      <c r="N647">
        <v>1</v>
      </c>
    </row>
    <row r="648" spans="4:14" x14ac:dyDescent="0.3">
      <c r="D648" t="s">
        <v>122</v>
      </c>
      <c r="E648" t="s">
        <v>50</v>
      </c>
      <c r="F648" t="s">
        <v>89</v>
      </c>
      <c r="G648">
        <v>2030</v>
      </c>
      <c r="H648" t="s">
        <v>95</v>
      </c>
      <c r="I648" t="s">
        <v>79</v>
      </c>
      <c r="J648" t="s">
        <v>93</v>
      </c>
      <c r="K648">
        <v>1</v>
      </c>
      <c r="L648">
        <v>-10.41062305244925</v>
      </c>
      <c r="M648">
        <v>0</v>
      </c>
      <c r="N648">
        <v>1</v>
      </c>
    </row>
    <row r="649" spans="4:14" x14ac:dyDescent="0.3">
      <c r="D649" t="s">
        <v>122</v>
      </c>
      <c r="E649" t="s">
        <v>51</v>
      </c>
      <c r="F649" t="s">
        <v>89</v>
      </c>
      <c r="G649">
        <v>2017</v>
      </c>
      <c r="H649" t="s">
        <v>95</v>
      </c>
      <c r="I649" t="s">
        <v>79</v>
      </c>
      <c r="J649" t="s">
        <v>93</v>
      </c>
      <c r="K649">
        <v>1</v>
      </c>
      <c r="L649">
        <v>-9.2059788913651577</v>
      </c>
      <c r="M649">
        <v>0</v>
      </c>
      <c r="N649">
        <v>1</v>
      </c>
    </row>
    <row r="650" spans="4:14" x14ac:dyDescent="0.3">
      <c r="D650" t="s">
        <v>122</v>
      </c>
      <c r="E650" t="s">
        <v>51</v>
      </c>
      <c r="F650" t="s">
        <v>89</v>
      </c>
      <c r="G650">
        <v>2018</v>
      </c>
      <c r="H650" t="s">
        <v>95</v>
      </c>
      <c r="I650" t="s">
        <v>79</v>
      </c>
      <c r="J650" t="s">
        <v>93</v>
      </c>
      <c r="K650">
        <v>1</v>
      </c>
      <c r="L650">
        <v>-8.9145296319439336</v>
      </c>
      <c r="M650">
        <v>0</v>
      </c>
      <c r="N650">
        <v>1</v>
      </c>
    </row>
    <row r="651" spans="4:14" x14ac:dyDescent="0.3">
      <c r="D651" t="s">
        <v>122</v>
      </c>
      <c r="E651" t="s">
        <v>51</v>
      </c>
      <c r="F651" t="s">
        <v>89</v>
      </c>
      <c r="G651">
        <v>2030</v>
      </c>
      <c r="H651" t="s">
        <v>95</v>
      </c>
      <c r="I651" t="s">
        <v>79</v>
      </c>
      <c r="J651" t="s">
        <v>93</v>
      </c>
      <c r="K651">
        <v>1</v>
      </c>
      <c r="L651">
        <v>-9.2059788913651577</v>
      </c>
      <c r="M651">
        <v>0</v>
      </c>
      <c r="N651">
        <v>1</v>
      </c>
    </row>
    <row r="652" spans="4:14" x14ac:dyDescent="0.3">
      <c r="D652" t="s">
        <v>122</v>
      </c>
      <c r="E652" t="s">
        <v>53</v>
      </c>
      <c r="F652" t="s">
        <v>89</v>
      </c>
      <c r="G652">
        <v>2017</v>
      </c>
      <c r="H652" t="s">
        <v>95</v>
      </c>
      <c r="I652" t="s">
        <v>79</v>
      </c>
      <c r="J652" t="s">
        <v>93</v>
      </c>
      <c r="K652">
        <v>1</v>
      </c>
      <c r="L652">
        <v>-13.802364220875816</v>
      </c>
      <c r="M652">
        <v>0</v>
      </c>
      <c r="N652">
        <v>1</v>
      </c>
    </row>
    <row r="653" spans="4:14" x14ac:dyDescent="0.3">
      <c r="D653" t="s">
        <v>122</v>
      </c>
      <c r="E653" t="s">
        <v>53</v>
      </c>
      <c r="F653" t="s">
        <v>89</v>
      </c>
      <c r="G653">
        <v>2018</v>
      </c>
      <c r="H653" t="s">
        <v>95</v>
      </c>
      <c r="I653" t="s">
        <v>79</v>
      </c>
      <c r="J653" t="s">
        <v>93</v>
      </c>
      <c r="K653">
        <v>1</v>
      </c>
      <c r="L653">
        <v>-12.969467842327576</v>
      </c>
      <c r="M653">
        <v>0</v>
      </c>
      <c r="N653">
        <v>1</v>
      </c>
    </row>
    <row r="654" spans="4:14" x14ac:dyDescent="0.3">
      <c r="D654" t="s">
        <v>122</v>
      </c>
      <c r="E654" t="s">
        <v>53</v>
      </c>
      <c r="F654" t="s">
        <v>89</v>
      </c>
      <c r="G654">
        <v>2030</v>
      </c>
      <c r="H654" t="s">
        <v>95</v>
      </c>
      <c r="I654" t="s">
        <v>79</v>
      </c>
      <c r="J654" t="s">
        <v>93</v>
      </c>
      <c r="K654">
        <v>1</v>
      </c>
      <c r="L654">
        <v>-13.802364220875816</v>
      </c>
      <c r="M654">
        <v>0</v>
      </c>
      <c r="N654">
        <v>1</v>
      </c>
    </row>
    <row r="655" spans="4:14" x14ac:dyDescent="0.3">
      <c r="D655" t="s">
        <v>122</v>
      </c>
      <c r="E655" t="s">
        <v>54</v>
      </c>
      <c r="F655" t="s">
        <v>89</v>
      </c>
      <c r="G655">
        <v>2017</v>
      </c>
      <c r="H655" t="s">
        <v>95</v>
      </c>
      <c r="I655" t="s">
        <v>79</v>
      </c>
      <c r="J655" t="s">
        <v>93</v>
      </c>
      <c r="K655">
        <v>1</v>
      </c>
      <c r="L655">
        <v>-12.865822939624898</v>
      </c>
      <c r="M655">
        <v>0</v>
      </c>
      <c r="N655">
        <v>1</v>
      </c>
    </row>
    <row r="656" spans="4:14" x14ac:dyDescent="0.3">
      <c r="D656" t="s">
        <v>122</v>
      </c>
      <c r="E656" t="s">
        <v>54</v>
      </c>
      <c r="F656" t="s">
        <v>89</v>
      </c>
      <c r="G656">
        <v>2018</v>
      </c>
      <c r="H656" t="s">
        <v>95</v>
      </c>
      <c r="I656" t="s">
        <v>79</v>
      </c>
      <c r="J656" t="s">
        <v>93</v>
      </c>
      <c r="K656">
        <v>1</v>
      </c>
      <c r="L656">
        <v>-13.069486889523187</v>
      </c>
      <c r="M656">
        <v>0</v>
      </c>
      <c r="N656">
        <v>1</v>
      </c>
    </row>
    <row r="657" spans="4:14" x14ac:dyDescent="0.3">
      <c r="D657" t="s">
        <v>122</v>
      </c>
      <c r="E657" t="s">
        <v>54</v>
      </c>
      <c r="F657" t="s">
        <v>89</v>
      </c>
      <c r="G657">
        <v>2030</v>
      </c>
      <c r="H657" t="s">
        <v>95</v>
      </c>
      <c r="I657" t="s">
        <v>79</v>
      </c>
      <c r="J657" t="s">
        <v>93</v>
      </c>
      <c r="K657">
        <v>1</v>
      </c>
      <c r="L657">
        <v>-13.069486889523187</v>
      </c>
      <c r="M657">
        <v>0</v>
      </c>
      <c r="N657">
        <v>1</v>
      </c>
    </row>
    <row r="658" spans="4:14" x14ac:dyDescent="0.3">
      <c r="D658" t="s">
        <v>122</v>
      </c>
      <c r="E658" t="s">
        <v>55</v>
      </c>
      <c r="F658" t="s">
        <v>89</v>
      </c>
      <c r="G658">
        <v>2017</v>
      </c>
      <c r="H658" t="s">
        <v>95</v>
      </c>
      <c r="I658" t="s">
        <v>79</v>
      </c>
      <c r="J658" t="s">
        <v>93</v>
      </c>
      <c r="K658">
        <v>1</v>
      </c>
      <c r="L658">
        <v>-15.479092892686603</v>
      </c>
      <c r="M658">
        <v>0</v>
      </c>
      <c r="N658">
        <v>1</v>
      </c>
    </row>
    <row r="659" spans="4:14" x14ac:dyDescent="0.3">
      <c r="D659" t="s">
        <v>122</v>
      </c>
      <c r="E659" t="s">
        <v>55</v>
      </c>
      <c r="F659" t="s">
        <v>89</v>
      </c>
      <c r="G659">
        <v>2018</v>
      </c>
      <c r="H659" t="s">
        <v>95</v>
      </c>
      <c r="I659" t="s">
        <v>79</v>
      </c>
      <c r="J659" t="s">
        <v>93</v>
      </c>
      <c r="K659">
        <v>1</v>
      </c>
      <c r="L659">
        <v>-16.41170575544766</v>
      </c>
      <c r="M659">
        <v>0</v>
      </c>
      <c r="N659">
        <v>1</v>
      </c>
    </row>
    <row r="660" spans="4:14" x14ac:dyDescent="0.3">
      <c r="D660" t="s">
        <v>122</v>
      </c>
      <c r="E660" t="s">
        <v>55</v>
      </c>
      <c r="F660" t="s">
        <v>89</v>
      </c>
      <c r="G660">
        <v>2030</v>
      </c>
      <c r="H660" t="s">
        <v>95</v>
      </c>
      <c r="I660" t="s">
        <v>79</v>
      </c>
      <c r="J660" t="s">
        <v>93</v>
      </c>
      <c r="K660">
        <v>1</v>
      </c>
      <c r="L660">
        <v>-16.41170575544766</v>
      </c>
      <c r="M660">
        <v>0</v>
      </c>
      <c r="N660">
        <v>1</v>
      </c>
    </row>
    <row r="661" spans="4:14" x14ac:dyDescent="0.3">
      <c r="D661" t="s">
        <v>122</v>
      </c>
      <c r="E661" t="s">
        <v>56</v>
      </c>
      <c r="F661" t="s">
        <v>89</v>
      </c>
      <c r="G661">
        <v>2017</v>
      </c>
      <c r="H661" t="s">
        <v>95</v>
      </c>
      <c r="I661" t="s">
        <v>79</v>
      </c>
      <c r="J661" t="s">
        <v>93</v>
      </c>
      <c r="K661">
        <v>1</v>
      </c>
      <c r="L661">
        <v>-14.63693847591904</v>
      </c>
      <c r="M661">
        <v>0</v>
      </c>
      <c r="N661">
        <v>1</v>
      </c>
    </row>
    <row r="662" spans="4:14" x14ac:dyDescent="0.3">
      <c r="D662" t="s">
        <v>122</v>
      </c>
      <c r="E662" t="s">
        <v>56</v>
      </c>
      <c r="F662" t="s">
        <v>89</v>
      </c>
      <c r="G662">
        <v>2018</v>
      </c>
      <c r="H662" t="s">
        <v>95</v>
      </c>
      <c r="I662" t="s">
        <v>79</v>
      </c>
      <c r="J662" t="s">
        <v>93</v>
      </c>
      <c r="K662">
        <v>1</v>
      </c>
      <c r="L662">
        <v>-14.247724800276034</v>
      </c>
      <c r="M662">
        <v>0</v>
      </c>
      <c r="N662">
        <v>1</v>
      </c>
    </row>
    <row r="663" spans="4:14" x14ac:dyDescent="0.3">
      <c r="D663" t="s">
        <v>122</v>
      </c>
      <c r="E663" t="s">
        <v>56</v>
      </c>
      <c r="F663" t="s">
        <v>89</v>
      </c>
      <c r="G663">
        <v>2030</v>
      </c>
      <c r="H663" t="s">
        <v>95</v>
      </c>
      <c r="I663" t="s">
        <v>79</v>
      </c>
      <c r="J663" t="s">
        <v>93</v>
      </c>
      <c r="K663">
        <v>1</v>
      </c>
      <c r="L663">
        <v>-14.63693847591904</v>
      </c>
      <c r="M663">
        <v>0</v>
      </c>
      <c r="N663">
        <v>1</v>
      </c>
    </row>
    <row r="664" spans="4:14" x14ac:dyDescent="0.3">
      <c r="D664" t="s">
        <v>122</v>
      </c>
      <c r="E664" t="s">
        <v>57</v>
      </c>
      <c r="F664" t="s">
        <v>89</v>
      </c>
      <c r="G664">
        <v>2017</v>
      </c>
      <c r="H664" t="s">
        <v>95</v>
      </c>
      <c r="I664" t="s">
        <v>79</v>
      </c>
      <c r="J664" t="s">
        <v>93</v>
      </c>
      <c r="K664">
        <v>1</v>
      </c>
      <c r="L664">
        <v>-13.280769681195141</v>
      </c>
      <c r="M664">
        <v>0</v>
      </c>
      <c r="N664">
        <v>1</v>
      </c>
    </row>
    <row r="665" spans="4:14" x14ac:dyDescent="0.3">
      <c r="D665" t="s">
        <v>122</v>
      </c>
      <c r="E665" t="s">
        <v>57</v>
      </c>
      <c r="F665" t="s">
        <v>89</v>
      </c>
      <c r="G665">
        <v>2018</v>
      </c>
      <c r="H665" t="s">
        <v>95</v>
      </c>
      <c r="I665" t="s">
        <v>79</v>
      </c>
      <c r="J665" t="s">
        <v>93</v>
      </c>
      <c r="K665">
        <v>1</v>
      </c>
      <c r="L665">
        <v>-13.271639712966193</v>
      </c>
      <c r="M665">
        <v>0</v>
      </c>
      <c r="N665">
        <v>1</v>
      </c>
    </row>
    <row r="666" spans="4:14" x14ac:dyDescent="0.3">
      <c r="D666" t="s">
        <v>122</v>
      </c>
      <c r="E666" t="s">
        <v>57</v>
      </c>
      <c r="F666" t="s">
        <v>89</v>
      </c>
      <c r="G666">
        <v>2030</v>
      </c>
      <c r="H666" t="s">
        <v>95</v>
      </c>
      <c r="I666" t="s">
        <v>79</v>
      </c>
      <c r="J666" t="s">
        <v>93</v>
      </c>
      <c r="K666">
        <v>1</v>
      </c>
      <c r="L666">
        <v>-13.280769681195141</v>
      </c>
      <c r="M666">
        <v>0</v>
      </c>
      <c r="N666">
        <v>1</v>
      </c>
    </row>
    <row r="667" spans="4:14" x14ac:dyDescent="0.3">
      <c r="D667" t="s">
        <v>122</v>
      </c>
      <c r="E667" t="s">
        <v>58</v>
      </c>
      <c r="F667" t="s">
        <v>89</v>
      </c>
      <c r="G667">
        <v>2017</v>
      </c>
      <c r="H667" t="s">
        <v>95</v>
      </c>
      <c r="I667" t="s">
        <v>79</v>
      </c>
      <c r="J667" t="s">
        <v>93</v>
      </c>
      <c r="K667">
        <v>1</v>
      </c>
      <c r="L667">
        <v>-11.098019931945419</v>
      </c>
      <c r="M667">
        <v>0</v>
      </c>
      <c r="N667">
        <v>1</v>
      </c>
    </row>
    <row r="668" spans="4:14" x14ac:dyDescent="0.3">
      <c r="D668" t="s">
        <v>122</v>
      </c>
      <c r="E668" t="s">
        <v>58</v>
      </c>
      <c r="F668" t="s">
        <v>89</v>
      </c>
      <c r="G668">
        <v>2018</v>
      </c>
      <c r="H668" t="s">
        <v>95</v>
      </c>
      <c r="I668" t="s">
        <v>79</v>
      </c>
      <c r="J668" t="s">
        <v>93</v>
      </c>
      <c r="K668">
        <v>1</v>
      </c>
      <c r="L668">
        <v>-13.139420793024625</v>
      </c>
      <c r="M668">
        <v>0</v>
      </c>
      <c r="N668">
        <v>1</v>
      </c>
    </row>
    <row r="669" spans="4:14" x14ac:dyDescent="0.3">
      <c r="D669" t="s">
        <v>122</v>
      </c>
      <c r="E669" t="s">
        <v>58</v>
      </c>
      <c r="F669" t="s">
        <v>89</v>
      </c>
      <c r="G669">
        <v>2030</v>
      </c>
      <c r="H669" t="s">
        <v>95</v>
      </c>
      <c r="I669" t="s">
        <v>79</v>
      </c>
      <c r="J669" t="s">
        <v>93</v>
      </c>
      <c r="K669">
        <v>1</v>
      </c>
      <c r="L669">
        <v>-13.139420793024625</v>
      </c>
      <c r="M669">
        <v>0</v>
      </c>
      <c r="N669">
        <v>1</v>
      </c>
    </row>
    <row r="670" spans="4:14" x14ac:dyDescent="0.3">
      <c r="D670" t="s">
        <v>122</v>
      </c>
      <c r="E670" t="s">
        <v>59</v>
      </c>
      <c r="F670" t="s">
        <v>89</v>
      </c>
      <c r="G670">
        <v>2017</v>
      </c>
      <c r="H670" t="s">
        <v>95</v>
      </c>
      <c r="I670" t="s">
        <v>79</v>
      </c>
      <c r="J670" t="s">
        <v>93</v>
      </c>
      <c r="K670">
        <v>1</v>
      </c>
      <c r="L670">
        <v>-14.632391367791682</v>
      </c>
      <c r="M670">
        <v>0</v>
      </c>
      <c r="N670">
        <v>1</v>
      </c>
    </row>
    <row r="671" spans="4:14" x14ac:dyDescent="0.3">
      <c r="D671" t="s">
        <v>122</v>
      </c>
      <c r="E671" t="s">
        <v>59</v>
      </c>
      <c r="F671" t="s">
        <v>89</v>
      </c>
      <c r="G671">
        <v>2018</v>
      </c>
      <c r="H671" t="s">
        <v>95</v>
      </c>
      <c r="I671" t="s">
        <v>79</v>
      </c>
      <c r="J671" t="s">
        <v>93</v>
      </c>
      <c r="K671">
        <v>1</v>
      </c>
      <c r="L671">
        <v>-15.732964865159095</v>
      </c>
      <c r="M671">
        <v>0</v>
      </c>
      <c r="N671">
        <v>1</v>
      </c>
    </row>
    <row r="672" spans="4:14" x14ac:dyDescent="0.3">
      <c r="D672" t="s">
        <v>122</v>
      </c>
      <c r="E672" t="s">
        <v>59</v>
      </c>
      <c r="F672" t="s">
        <v>89</v>
      </c>
      <c r="G672">
        <v>2030</v>
      </c>
      <c r="H672" t="s">
        <v>95</v>
      </c>
      <c r="I672" t="s">
        <v>79</v>
      </c>
      <c r="J672" t="s">
        <v>93</v>
      </c>
      <c r="K672">
        <v>1</v>
      </c>
      <c r="L672">
        <v>-15.732964865159095</v>
      </c>
      <c r="M672">
        <v>0</v>
      </c>
      <c r="N672">
        <v>1</v>
      </c>
    </row>
    <row r="673" spans="4:14" x14ac:dyDescent="0.3">
      <c r="D673" t="s">
        <v>122</v>
      </c>
      <c r="E673" t="s">
        <v>60</v>
      </c>
      <c r="F673" t="s">
        <v>89</v>
      </c>
      <c r="G673">
        <v>2017</v>
      </c>
      <c r="H673" t="s">
        <v>95</v>
      </c>
      <c r="I673" t="s">
        <v>79</v>
      </c>
      <c r="J673" t="s">
        <v>93</v>
      </c>
      <c r="K673">
        <v>1</v>
      </c>
      <c r="L673">
        <v>-11.6319869689162</v>
      </c>
      <c r="M673">
        <v>0</v>
      </c>
      <c r="N673">
        <v>1</v>
      </c>
    </row>
    <row r="674" spans="4:14" x14ac:dyDescent="0.3">
      <c r="D674" t="s">
        <v>122</v>
      </c>
      <c r="E674" t="s">
        <v>60</v>
      </c>
      <c r="F674" t="s">
        <v>89</v>
      </c>
      <c r="G674">
        <v>2018</v>
      </c>
      <c r="H674" t="s">
        <v>95</v>
      </c>
      <c r="I674" t="s">
        <v>79</v>
      </c>
      <c r="J674" t="s">
        <v>93</v>
      </c>
      <c r="K674">
        <v>1</v>
      </c>
      <c r="L674">
        <v>-12.623156243094813</v>
      </c>
      <c r="M674">
        <v>0</v>
      </c>
      <c r="N674">
        <v>1</v>
      </c>
    </row>
    <row r="675" spans="4:14" x14ac:dyDescent="0.3">
      <c r="D675" t="s">
        <v>122</v>
      </c>
      <c r="E675" t="s">
        <v>60</v>
      </c>
      <c r="F675" t="s">
        <v>89</v>
      </c>
      <c r="G675">
        <v>2030</v>
      </c>
      <c r="H675" t="s">
        <v>95</v>
      </c>
      <c r="I675" t="s">
        <v>79</v>
      </c>
      <c r="J675" t="s">
        <v>93</v>
      </c>
      <c r="K675">
        <v>1</v>
      </c>
      <c r="L675">
        <v>-12.623156243094813</v>
      </c>
      <c r="M675">
        <v>0</v>
      </c>
      <c r="N675">
        <v>1</v>
      </c>
    </row>
    <row r="676" spans="4:14" x14ac:dyDescent="0.3">
      <c r="D676" t="s">
        <v>123</v>
      </c>
      <c r="E676" t="s">
        <v>42</v>
      </c>
      <c r="F676" t="s">
        <v>89</v>
      </c>
      <c r="G676">
        <v>2017</v>
      </c>
      <c r="H676" t="s">
        <v>90</v>
      </c>
      <c r="I676" t="s">
        <v>81</v>
      </c>
      <c r="J676" t="s">
        <v>73</v>
      </c>
      <c r="K676">
        <v>1</v>
      </c>
      <c r="L676">
        <v>-10.290723202761443</v>
      </c>
      <c r="M676">
        <v>0</v>
      </c>
      <c r="N676">
        <v>1</v>
      </c>
    </row>
    <row r="677" spans="4:14" x14ac:dyDescent="0.3">
      <c r="D677" t="s">
        <v>123</v>
      </c>
      <c r="E677" t="s">
        <v>42</v>
      </c>
      <c r="F677" t="s">
        <v>89</v>
      </c>
      <c r="G677">
        <v>2018</v>
      </c>
      <c r="H677" t="s">
        <v>90</v>
      </c>
      <c r="I677" t="s">
        <v>81</v>
      </c>
      <c r="J677" t="s">
        <v>73</v>
      </c>
      <c r="K677">
        <v>1</v>
      </c>
      <c r="L677">
        <v>-9.2707511771577344</v>
      </c>
      <c r="M677">
        <v>0</v>
      </c>
      <c r="N677">
        <v>1</v>
      </c>
    </row>
    <row r="678" spans="4:14" x14ac:dyDescent="0.3">
      <c r="D678" t="s">
        <v>123</v>
      </c>
      <c r="E678" t="s">
        <v>44</v>
      </c>
      <c r="F678" t="s">
        <v>89</v>
      </c>
      <c r="G678">
        <v>2017</v>
      </c>
      <c r="H678" t="s">
        <v>90</v>
      </c>
      <c r="I678" t="s">
        <v>81</v>
      </c>
      <c r="J678" t="s">
        <v>73</v>
      </c>
      <c r="K678">
        <v>1</v>
      </c>
      <c r="L678">
        <v>-5.1773365510821652</v>
      </c>
      <c r="M678">
        <v>0</v>
      </c>
      <c r="N678">
        <v>1</v>
      </c>
    </row>
    <row r="679" spans="4:14" x14ac:dyDescent="0.3">
      <c r="D679" t="s">
        <v>123</v>
      </c>
      <c r="E679" t="s">
        <v>44</v>
      </c>
      <c r="F679" t="s">
        <v>89</v>
      </c>
      <c r="G679">
        <v>2018</v>
      </c>
      <c r="H679" t="s">
        <v>90</v>
      </c>
      <c r="I679" t="s">
        <v>81</v>
      </c>
      <c r="J679" t="s">
        <v>73</v>
      </c>
      <c r="K679">
        <v>1</v>
      </c>
      <c r="L679">
        <v>-4.3583642071993207</v>
      </c>
      <c r="M679">
        <v>0</v>
      </c>
      <c r="N679">
        <v>1</v>
      </c>
    </row>
    <row r="680" spans="4:14" x14ac:dyDescent="0.3">
      <c r="D680" t="s">
        <v>123</v>
      </c>
      <c r="E680" t="s">
        <v>45</v>
      </c>
      <c r="F680" t="s">
        <v>89</v>
      </c>
      <c r="G680">
        <v>2017</v>
      </c>
      <c r="H680" t="s">
        <v>90</v>
      </c>
      <c r="I680" t="s">
        <v>81</v>
      </c>
      <c r="J680" t="s">
        <v>73</v>
      </c>
      <c r="K680">
        <v>1</v>
      </c>
      <c r="L680">
        <v>-4.5162883326327057</v>
      </c>
      <c r="M680">
        <v>0</v>
      </c>
      <c r="N680">
        <v>1</v>
      </c>
    </row>
    <row r="681" spans="4:14" x14ac:dyDescent="0.3">
      <c r="D681" t="s">
        <v>123</v>
      </c>
      <c r="E681" t="s">
        <v>45</v>
      </c>
      <c r="F681" t="s">
        <v>89</v>
      </c>
      <c r="G681">
        <v>2018</v>
      </c>
      <c r="H681" t="s">
        <v>90</v>
      </c>
      <c r="I681" t="s">
        <v>81</v>
      </c>
      <c r="J681" t="s">
        <v>73</v>
      </c>
      <c r="K681">
        <v>1</v>
      </c>
      <c r="L681">
        <v>-4.7045285016588272</v>
      </c>
      <c r="M681">
        <v>0</v>
      </c>
      <c r="N681">
        <v>1</v>
      </c>
    </row>
    <row r="682" spans="4:14" x14ac:dyDescent="0.3">
      <c r="D682" t="s">
        <v>123</v>
      </c>
      <c r="E682" t="s">
        <v>50</v>
      </c>
      <c r="F682" t="s">
        <v>89</v>
      </c>
      <c r="G682">
        <v>2017</v>
      </c>
      <c r="H682" t="s">
        <v>90</v>
      </c>
      <c r="I682" t="s">
        <v>81</v>
      </c>
      <c r="J682" t="s">
        <v>73</v>
      </c>
      <c r="K682">
        <v>1</v>
      </c>
      <c r="L682">
        <v>-5.9696755219359314</v>
      </c>
      <c r="M682">
        <v>0</v>
      </c>
      <c r="N682">
        <v>1</v>
      </c>
    </row>
    <row r="683" spans="4:14" x14ac:dyDescent="0.3">
      <c r="D683" t="s">
        <v>123</v>
      </c>
      <c r="E683" t="s">
        <v>50</v>
      </c>
      <c r="F683" t="s">
        <v>89</v>
      </c>
      <c r="G683">
        <v>2018</v>
      </c>
      <c r="H683" t="s">
        <v>90</v>
      </c>
      <c r="I683" t="s">
        <v>81</v>
      </c>
      <c r="J683" t="s">
        <v>73</v>
      </c>
      <c r="K683">
        <v>1</v>
      </c>
      <c r="L683">
        <v>-5.4330585187202196</v>
      </c>
      <c r="M683">
        <v>0</v>
      </c>
      <c r="N683">
        <v>1</v>
      </c>
    </row>
    <row r="684" spans="4:14" x14ac:dyDescent="0.3">
      <c r="D684" t="s">
        <v>123</v>
      </c>
      <c r="E684" t="s">
        <v>55</v>
      </c>
      <c r="F684" t="s">
        <v>89</v>
      </c>
      <c r="G684">
        <v>2017</v>
      </c>
      <c r="H684" t="s">
        <v>90</v>
      </c>
      <c r="I684" t="s">
        <v>81</v>
      </c>
      <c r="J684" t="s">
        <v>73</v>
      </c>
      <c r="K684">
        <v>1</v>
      </c>
      <c r="L684">
        <v>-7.4414347285074944</v>
      </c>
      <c r="M684">
        <v>0</v>
      </c>
      <c r="N684">
        <v>1</v>
      </c>
    </row>
    <row r="685" spans="4:14" x14ac:dyDescent="0.3">
      <c r="D685" t="s">
        <v>123</v>
      </c>
      <c r="E685" t="s">
        <v>55</v>
      </c>
      <c r="F685" t="s">
        <v>89</v>
      </c>
      <c r="G685">
        <v>2018</v>
      </c>
      <c r="H685" t="s">
        <v>90</v>
      </c>
      <c r="I685" t="s">
        <v>81</v>
      </c>
      <c r="J685" t="s">
        <v>73</v>
      </c>
      <c r="K685">
        <v>1</v>
      </c>
      <c r="L685">
        <v>-6.9272386522975848</v>
      </c>
      <c r="M685">
        <v>0</v>
      </c>
      <c r="N685">
        <v>1</v>
      </c>
    </row>
    <row r="686" spans="4:14" x14ac:dyDescent="0.3">
      <c r="D686" t="s">
        <v>123</v>
      </c>
      <c r="E686" t="s">
        <v>56</v>
      </c>
      <c r="F686" t="s">
        <v>89</v>
      </c>
      <c r="G686">
        <v>2017</v>
      </c>
      <c r="H686" t="s">
        <v>90</v>
      </c>
      <c r="I686" t="s">
        <v>81</v>
      </c>
      <c r="J686" t="s">
        <v>73</v>
      </c>
      <c r="K686">
        <v>1</v>
      </c>
      <c r="L686">
        <v>-7.932426451409877</v>
      </c>
      <c r="M686">
        <v>0</v>
      </c>
      <c r="N686">
        <v>1</v>
      </c>
    </row>
    <row r="687" spans="4:14" x14ac:dyDescent="0.3">
      <c r="D687" t="s">
        <v>123</v>
      </c>
      <c r="E687" t="s">
        <v>56</v>
      </c>
      <c r="F687" t="s">
        <v>89</v>
      </c>
      <c r="G687">
        <v>2018</v>
      </c>
      <c r="H687" t="s">
        <v>90</v>
      </c>
      <c r="I687" t="s">
        <v>81</v>
      </c>
      <c r="J687" t="s">
        <v>73</v>
      </c>
      <c r="K687">
        <v>1</v>
      </c>
      <c r="L687">
        <v>-7.0407869013636502</v>
      </c>
      <c r="M687">
        <v>0</v>
      </c>
      <c r="N687">
        <v>1</v>
      </c>
    </row>
    <row r="688" spans="4:14" x14ac:dyDescent="0.3">
      <c r="D688" t="s">
        <v>123</v>
      </c>
      <c r="E688" t="s">
        <v>57</v>
      </c>
      <c r="F688" t="s">
        <v>89</v>
      </c>
      <c r="G688">
        <v>2017</v>
      </c>
      <c r="H688" t="s">
        <v>90</v>
      </c>
      <c r="I688" t="s">
        <v>81</v>
      </c>
      <c r="J688" t="s">
        <v>73</v>
      </c>
      <c r="K688">
        <v>1</v>
      </c>
      <c r="L688">
        <v>-7.0326348156696268</v>
      </c>
      <c r="M688">
        <v>0</v>
      </c>
      <c r="N688">
        <v>1</v>
      </c>
    </row>
    <row r="689" spans="4:14" x14ac:dyDescent="0.3">
      <c r="D689" t="s">
        <v>123</v>
      </c>
      <c r="E689" t="s">
        <v>57</v>
      </c>
      <c r="F689" t="s">
        <v>89</v>
      </c>
      <c r="G689">
        <v>2018</v>
      </c>
      <c r="H689" t="s">
        <v>90</v>
      </c>
      <c r="I689" t="s">
        <v>81</v>
      </c>
      <c r="J689" t="s">
        <v>73</v>
      </c>
      <c r="K689">
        <v>1</v>
      </c>
      <c r="L689">
        <v>-8.0625432645377142</v>
      </c>
      <c r="M689">
        <v>0</v>
      </c>
      <c r="N689">
        <v>1</v>
      </c>
    </row>
    <row r="690" spans="4:14" x14ac:dyDescent="0.3">
      <c r="D690" t="s">
        <v>123</v>
      </c>
      <c r="E690" t="s">
        <v>58</v>
      </c>
      <c r="F690" t="s">
        <v>89</v>
      </c>
      <c r="G690">
        <v>2017</v>
      </c>
      <c r="H690" t="s">
        <v>90</v>
      </c>
      <c r="I690" t="s">
        <v>81</v>
      </c>
      <c r="J690" t="s">
        <v>73</v>
      </c>
      <c r="K690">
        <v>1</v>
      </c>
      <c r="L690">
        <v>-7.0669686532190035</v>
      </c>
      <c r="M690">
        <v>0</v>
      </c>
      <c r="N690">
        <v>1</v>
      </c>
    </row>
    <row r="691" spans="4:14" x14ac:dyDescent="0.3">
      <c r="D691" t="s">
        <v>123</v>
      </c>
      <c r="E691" t="s">
        <v>58</v>
      </c>
      <c r="F691" t="s">
        <v>89</v>
      </c>
      <c r="G691">
        <v>2018</v>
      </c>
      <c r="H691" t="s">
        <v>90</v>
      </c>
      <c r="I691" t="s">
        <v>81</v>
      </c>
      <c r="J691" t="s">
        <v>73</v>
      </c>
      <c r="K691">
        <v>1</v>
      </c>
      <c r="L691">
        <v>-7.5221827373575776</v>
      </c>
      <c r="M691">
        <v>0</v>
      </c>
      <c r="N691">
        <v>1</v>
      </c>
    </row>
    <row r="692" spans="4:14" x14ac:dyDescent="0.3">
      <c r="D692" t="s">
        <v>123</v>
      </c>
      <c r="E692" t="s">
        <v>59</v>
      </c>
      <c r="F692" t="s">
        <v>89</v>
      </c>
      <c r="G692">
        <v>2017</v>
      </c>
      <c r="H692" t="s">
        <v>90</v>
      </c>
      <c r="I692" t="s">
        <v>81</v>
      </c>
      <c r="J692" t="s">
        <v>73</v>
      </c>
      <c r="K692">
        <v>1</v>
      </c>
      <c r="L692">
        <v>-2.3944063983670811</v>
      </c>
      <c r="M692">
        <v>0</v>
      </c>
      <c r="N692">
        <v>1</v>
      </c>
    </row>
    <row r="693" spans="4:14" x14ac:dyDescent="0.3">
      <c r="D693" t="s">
        <v>123</v>
      </c>
      <c r="E693" t="s">
        <v>59</v>
      </c>
      <c r="F693" t="s">
        <v>89</v>
      </c>
      <c r="G693">
        <v>2018</v>
      </c>
      <c r="H693" t="s">
        <v>90</v>
      </c>
      <c r="I693" t="s">
        <v>81</v>
      </c>
      <c r="J693" t="s">
        <v>73</v>
      </c>
      <c r="K693">
        <v>1</v>
      </c>
      <c r="L693">
        <v>-1.9290291795480667</v>
      </c>
      <c r="M693">
        <v>0</v>
      </c>
      <c r="N693">
        <v>1</v>
      </c>
    </row>
    <row r="694" spans="4:14" x14ac:dyDescent="0.3">
      <c r="D694" t="s">
        <v>123</v>
      </c>
      <c r="E694" t="s">
        <v>60</v>
      </c>
      <c r="F694" t="s">
        <v>89</v>
      </c>
      <c r="G694">
        <v>2017</v>
      </c>
      <c r="H694" t="s">
        <v>90</v>
      </c>
      <c r="I694" t="s">
        <v>81</v>
      </c>
      <c r="J694" t="s">
        <v>73</v>
      </c>
      <c r="K694">
        <v>1</v>
      </c>
      <c r="L694">
        <v>-2.8877107095373642</v>
      </c>
      <c r="M694">
        <v>0</v>
      </c>
      <c r="N694">
        <v>1</v>
      </c>
    </row>
    <row r="695" spans="4:14" x14ac:dyDescent="0.3">
      <c r="D695" t="s">
        <v>123</v>
      </c>
      <c r="E695" t="s">
        <v>60</v>
      </c>
      <c r="F695" t="s">
        <v>89</v>
      </c>
      <c r="G695">
        <v>2018</v>
      </c>
      <c r="H695" t="s">
        <v>90</v>
      </c>
      <c r="I695" t="s">
        <v>81</v>
      </c>
      <c r="J695" t="s">
        <v>73</v>
      </c>
      <c r="K695">
        <v>1</v>
      </c>
      <c r="L695">
        <v>-3.9012501483300253</v>
      </c>
      <c r="M695">
        <v>0</v>
      </c>
      <c r="N695">
        <v>1</v>
      </c>
    </row>
    <row r="696" spans="4:14" x14ac:dyDescent="0.3">
      <c r="D696" t="s">
        <v>124</v>
      </c>
      <c r="E696" t="s">
        <v>42</v>
      </c>
      <c r="F696" t="s">
        <v>89</v>
      </c>
      <c r="G696">
        <v>2017</v>
      </c>
      <c r="H696" t="s">
        <v>90</v>
      </c>
      <c r="I696" t="s">
        <v>81</v>
      </c>
      <c r="J696" t="s">
        <v>93</v>
      </c>
      <c r="K696">
        <v>1</v>
      </c>
      <c r="L696">
        <v>-11.025774860101548</v>
      </c>
      <c r="M696">
        <v>0</v>
      </c>
      <c r="N696">
        <v>1</v>
      </c>
    </row>
    <row r="697" spans="4:14" x14ac:dyDescent="0.3">
      <c r="D697" t="s">
        <v>124</v>
      </c>
      <c r="E697" t="s">
        <v>42</v>
      </c>
      <c r="F697" t="s">
        <v>89</v>
      </c>
      <c r="G697">
        <v>2018</v>
      </c>
      <c r="H697" t="s">
        <v>90</v>
      </c>
      <c r="I697" t="s">
        <v>81</v>
      </c>
      <c r="J697" t="s">
        <v>93</v>
      </c>
      <c r="K697">
        <v>1</v>
      </c>
      <c r="L697">
        <v>-9.9329476898118578</v>
      </c>
      <c r="M697">
        <v>0</v>
      </c>
      <c r="N697">
        <v>1</v>
      </c>
    </row>
    <row r="698" spans="4:14" x14ac:dyDescent="0.3">
      <c r="D698" t="s">
        <v>124</v>
      </c>
      <c r="E698" t="s">
        <v>42</v>
      </c>
      <c r="F698" t="s">
        <v>89</v>
      </c>
      <c r="G698">
        <v>2030</v>
      </c>
      <c r="H698" t="s">
        <v>90</v>
      </c>
      <c r="I698" t="s">
        <v>81</v>
      </c>
      <c r="J698" t="s">
        <v>93</v>
      </c>
      <c r="K698">
        <v>1</v>
      </c>
      <c r="L698">
        <v>-11.025774860101548</v>
      </c>
      <c r="M698">
        <v>0</v>
      </c>
      <c r="N698">
        <v>1</v>
      </c>
    </row>
    <row r="699" spans="4:14" x14ac:dyDescent="0.3">
      <c r="D699" t="s">
        <v>124</v>
      </c>
      <c r="E699" t="s">
        <v>44</v>
      </c>
      <c r="F699" t="s">
        <v>89</v>
      </c>
      <c r="G699">
        <v>2017</v>
      </c>
      <c r="H699" t="s">
        <v>90</v>
      </c>
      <c r="I699" t="s">
        <v>81</v>
      </c>
      <c r="J699" t="s">
        <v>93</v>
      </c>
      <c r="K699">
        <v>1</v>
      </c>
      <c r="L699">
        <v>-5.5471463047308918</v>
      </c>
      <c r="M699">
        <v>0</v>
      </c>
      <c r="N699">
        <v>1</v>
      </c>
    </row>
    <row r="700" spans="4:14" x14ac:dyDescent="0.3">
      <c r="D700" t="s">
        <v>124</v>
      </c>
      <c r="E700" t="s">
        <v>44</v>
      </c>
      <c r="F700" t="s">
        <v>89</v>
      </c>
      <c r="G700">
        <v>2018</v>
      </c>
      <c r="H700" t="s">
        <v>90</v>
      </c>
      <c r="I700" t="s">
        <v>81</v>
      </c>
      <c r="J700" t="s">
        <v>93</v>
      </c>
      <c r="K700">
        <v>1</v>
      </c>
      <c r="L700">
        <v>-4.6696759362849871</v>
      </c>
      <c r="M700">
        <v>0</v>
      </c>
      <c r="N700">
        <v>1</v>
      </c>
    </row>
    <row r="701" spans="4:14" x14ac:dyDescent="0.3">
      <c r="D701" t="s">
        <v>124</v>
      </c>
      <c r="E701" t="s">
        <v>44</v>
      </c>
      <c r="F701" t="s">
        <v>89</v>
      </c>
      <c r="G701">
        <v>2030</v>
      </c>
      <c r="H701" t="s">
        <v>90</v>
      </c>
      <c r="I701" t="s">
        <v>81</v>
      </c>
      <c r="J701" t="s">
        <v>93</v>
      </c>
      <c r="K701">
        <v>1</v>
      </c>
      <c r="L701">
        <v>-5.5471463047308918</v>
      </c>
      <c r="M701">
        <v>0</v>
      </c>
      <c r="N701">
        <v>1</v>
      </c>
    </row>
    <row r="702" spans="4:14" x14ac:dyDescent="0.3">
      <c r="D702" t="s">
        <v>124</v>
      </c>
      <c r="E702" t="s">
        <v>45</v>
      </c>
      <c r="F702" t="s">
        <v>89</v>
      </c>
      <c r="G702">
        <v>2017</v>
      </c>
      <c r="H702" t="s">
        <v>90</v>
      </c>
      <c r="I702" t="s">
        <v>81</v>
      </c>
      <c r="J702" t="s">
        <v>93</v>
      </c>
      <c r="K702">
        <v>1</v>
      </c>
      <c r="L702">
        <v>-4.8388803563921847</v>
      </c>
      <c r="M702">
        <v>0</v>
      </c>
      <c r="N702">
        <v>1</v>
      </c>
    </row>
    <row r="703" spans="4:14" x14ac:dyDescent="0.3">
      <c r="D703" t="s">
        <v>124</v>
      </c>
      <c r="E703" t="s">
        <v>45</v>
      </c>
      <c r="F703" t="s">
        <v>89</v>
      </c>
      <c r="G703">
        <v>2018</v>
      </c>
      <c r="H703" t="s">
        <v>90</v>
      </c>
      <c r="I703" t="s">
        <v>81</v>
      </c>
      <c r="J703" t="s">
        <v>93</v>
      </c>
      <c r="K703">
        <v>1</v>
      </c>
      <c r="L703">
        <v>-5.0405662517773147</v>
      </c>
      <c r="M703">
        <v>0</v>
      </c>
      <c r="N703">
        <v>1</v>
      </c>
    </row>
    <row r="704" spans="4:14" x14ac:dyDescent="0.3">
      <c r="D704" t="s">
        <v>124</v>
      </c>
      <c r="E704" t="s">
        <v>45</v>
      </c>
      <c r="F704" t="s">
        <v>89</v>
      </c>
      <c r="G704">
        <v>2030</v>
      </c>
      <c r="H704" t="s">
        <v>90</v>
      </c>
      <c r="I704" t="s">
        <v>81</v>
      </c>
      <c r="J704" t="s">
        <v>93</v>
      </c>
      <c r="K704">
        <v>1</v>
      </c>
      <c r="L704">
        <v>-5.0405662517773147</v>
      </c>
      <c r="M704">
        <v>0</v>
      </c>
      <c r="N704">
        <v>1</v>
      </c>
    </row>
    <row r="705" spans="4:14" x14ac:dyDescent="0.3">
      <c r="D705" t="s">
        <v>124</v>
      </c>
      <c r="E705" t="s">
        <v>50</v>
      </c>
      <c r="F705" t="s">
        <v>89</v>
      </c>
      <c r="G705">
        <v>2017</v>
      </c>
      <c r="H705" t="s">
        <v>90</v>
      </c>
      <c r="I705" t="s">
        <v>81</v>
      </c>
      <c r="J705" t="s">
        <v>93</v>
      </c>
      <c r="K705">
        <v>1</v>
      </c>
      <c r="L705">
        <v>-6.396080916359927</v>
      </c>
      <c r="M705">
        <v>0</v>
      </c>
      <c r="N705">
        <v>1</v>
      </c>
    </row>
    <row r="706" spans="4:14" x14ac:dyDescent="0.3">
      <c r="D706" t="s">
        <v>124</v>
      </c>
      <c r="E706" t="s">
        <v>50</v>
      </c>
      <c r="F706" t="s">
        <v>89</v>
      </c>
      <c r="G706">
        <v>2018</v>
      </c>
      <c r="H706" t="s">
        <v>90</v>
      </c>
      <c r="I706" t="s">
        <v>81</v>
      </c>
      <c r="J706" t="s">
        <v>93</v>
      </c>
      <c r="K706">
        <v>1</v>
      </c>
      <c r="L706">
        <v>-5.821134127200235</v>
      </c>
      <c r="M706">
        <v>0</v>
      </c>
      <c r="N706">
        <v>1</v>
      </c>
    </row>
    <row r="707" spans="4:14" x14ac:dyDescent="0.3">
      <c r="D707" t="s">
        <v>124</v>
      </c>
      <c r="E707" t="s">
        <v>50</v>
      </c>
      <c r="F707" t="s">
        <v>89</v>
      </c>
      <c r="G707">
        <v>2030</v>
      </c>
      <c r="H707" t="s">
        <v>90</v>
      </c>
      <c r="I707" t="s">
        <v>81</v>
      </c>
      <c r="J707" t="s">
        <v>93</v>
      </c>
      <c r="K707">
        <v>1</v>
      </c>
      <c r="L707">
        <v>-6.396080916359927</v>
      </c>
      <c r="M707">
        <v>0</v>
      </c>
      <c r="N707">
        <v>1</v>
      </c>
    </row>
    <row r="708" spans="4:14" x14ac:dyDescent="0.3">
      <c r="D708" t="s">
        <v>124</v>
      </c>
      <c r="E708" t="s">
        <v>55</v>
      </c>
      <c r="F708" t="s">
        <v>89</v>
      </c>
      <c r="G708">
        <v>2017</v>
      </c>
      <c r="H708" t="s">
        <v>90</v>
      </c>
      <c r="I708" t="s">
        <v>81</v>
      </c>
      <c r="J708" t="s">
        <v>93</v>
      </c>
      <c r="K708">
        <v>1</v>
      </c>
      <c r="L708">
        <v>-7.9729657805437446</v>
      </c>
      <c r="M708">
        <v>0</v>
      </c>
      <c r="N708">
        <v>1</v>
      </c>
    </row>
    <row r="709" spans="4:14" x14ac:dyDescent="0.3">
      <c r="D709" t="s">
        <v>124</v>
      </c>
      <c r="E709" t="s">
        <v>55</v>
      </c>
      <c r="F709" t="s">
        <v>89</v>
      </c>
      <c r="G709">
        <v>2018</v>
      </c>
      <c r="H709" t="s">
        <v>90</v>
      </c>
      <c r="I709" t="s">
        <v>81</v>
      </c>
      <c r="J709" t="s">
        <v>93</v>
      </c>
      <c r="K709">
        <v>1</v>
      </c>
      <c r="L709">
        <v>-7.4220414131759842</v>
      </c>
      <c r="M709">
        <v>0</v>
      </c>
      <c r="N709">
        <v>1</v>
      </c>
    </row>
    <row r="710" spans="4:14" x14ac:dyDescent="0.3">
      <c r="D710" t="s">
        <v>124</v>
      </c>
      <c r="E710" t="s">
        <v>55</v>
      </c>
      <c r="F710" t="s">
        <v>89</v>
      </c>
      <c r="G710">
        <v>2030</v>
      </c>
      <c r="H710" t="s">
        <v>90</v>
      </c>
      <c r="I710" t="s">
        <v>81</v>
      </c>
      <c r="J710" t="s">
        <v>93</v>
      </c>
      <c r="K710">
        <v>1</v>
      </c>
      <c r="L710">
        <v>-7.9729657805437446</v>
      </c>
      <c r="M710">
        <v>0</v>
      </c>
      <c r="N710">
        <v>1</v>
      </c>
    </row>
    <row r="711" spans="4:14" x14ac:dyDescent="0.3">
      <c r="D711" t="s">
        <v>124</v>
      </c>
      <c r="E711" t="s">
        <v>56</v>
      </c>
      <c r="F711" t="s">
        <v>89</v>
      </c>
      <c r="G711">
        <v>2017</v>
      </c>
      <c r="H711" t="s">
        <v>90</v>
      </c>
      <c r="I711" t="s">
        <v>81</v>
      </c>
      <c r="J711" t="s">
        <v>93</v>
      </c>
      <c r="K711">
        <v>1</v>
      </c>
      <c r="L711">
        <v>-8.499028340796297</v>
      </c>
      <c r="M711">
        <v>0</v>
      </c>
      <c r="N711">
        <v>1</v>
      </c>
    </row>
    <row r="712" spans="4:14" x14ac:dyDescent="0.3">
      <c r="D712" t="s">
        <v>124</v>
      </c>
      <c r="E712" t="s">
        <v>56</v>
      </c>
      <c r="F712" t="s">
        <v>89</v>
      </c>
      <c r="G712">
        <v>2018</v>
      </c>
      <c r="H712" t="s">
        <v>90</v>
      </c>
      <c r="I712" t="s">
        <v>81</v>
      </c>
      <c r="J712" t="s">
        <v>93</v>
      </c>
      <c r="K712">
        <v>1</v>
      </c>
      <c r="L712">
        <v>-7.5437002514610541</v>
      </c>
      <c r="M712">
        <v>0</v>
      </c>
      <c r="N712">
        <v>1</v>
      </c>
    </row>
    <row r="713" spans="4:14" x14ac:dyDescent="0.3">
      <c r="D713" t="s">
        <v>124</v>
      </c>
      <c r="E713" t="s">
        <v>56</v>
      </c>
      <c r="F713" t="s">
        <v>89</v>
      </c>
      <c r="G713">
        <v>2030</v>
      </c>
      <c r="H713" t="s">
        <v>90</v>
      </c>
      <c r="I713" t="s">
        <v>81</v>
      </c>
      <c r="J713" t="s">
        <v>93</v>
      </c>
      <c r="K713">
        <v>1</v>
      </c>
      <c r="L713">
        <v>-8.499028340796297</v>
      </c>
      <c r="M713">
        <v>0</v>
      </c>
      <c r="N713">
        <v>1</v>
      </c>
    </row>
    <row r="714" spans="4:14" x14ac:dyDescent="0.3">
      <c r="D714" t="s">
        <v>124</v>
      </c>
      <c r="E714" t="s">
        <v>57</v>
      </c>
      <c r="F714" t="s">
        <v>89</v>
      </c>
      <c r="G714">
        <v>2017</v>
      </c>
      <c r="H714" t="s">
        <v>90</v>
      </c>
      <c r="I714" t="s">
        <v>81</v>
      </c>
      <c r="J714" t="s">
        <v>93</v>
      </c>
      <c r="K714">
        <v>1</v>
      </c>
      <c r="L714">
        <v>-7.5349658739317436</v>
      </c>
      <c r="M714">
        <v>0</v>
      </c>
      <c r="N714">
        <v>1</v>
      </c>
    </row>
    <row r="715" spans="4:14" x14ac:dyDescent="0.3">
      <c r="D715" t="s">
        <v>124</v>
      </c>
      <c r="E715" t="s">
        <v>57</v>
      </c>
      <c r="F715" t="s">
        <v>89</v>
      </c>
      <c r="G715">
        <v>2018</v>
      </c>
      <c r="H715" t="s">
        <v>90</v>
      </c>
      <c r="I715" t="s">
        <v>81</v>
      </c>
      <c r="J715" t="s">
        <v>93</v>
      </c>
      <c r="K715">
        <v>1</v>
      </c>
      <c r="L715">
        <v>-8.6384392120046929</v>
      </c>
      <c r="M715">
        <v>0</v>
      </c>
      <c r="N715">
        <v>1</v>
      </c>
    </row>
    <row r="716" spans="4:14" x14ac:dyDescent="0.3">
      <c r="D716" t="s">
        <v>124</v>
      </c>
      <c r="E716" t="s">
        <v>57</v>
      </c>
      <c r="F716" t="s">
        <v>89</v>
      </c>
      <c r="G716">
        <v>2030</v>
      </c>
      <c r="H716" t="s">
        <v>90</v>
      </c>
      <c r="I716" t="s">
        <v>81</v>
      </c>
      <c r="J716" t="s">
        <v>93</v>
      </c>
      <c r="K716">
        <v>1</v>
      </c>
      <c r="L716">
        <v>-8.6384392120046929</v>
      </c>
      <c r="M716">
        <v>0</v>
      </c>
      <c r="N716">
        <v>1</v>
      </c>
    </row>
    <row r="717" spans="4:14" x14ac:dyDescent="0.3">
      <c r="D717" t="s">
        <v>124</v>
      </c>
      <c r="E717" t="s">
        <v>58</v>
      </c>
      <c r="F717" t="s">
        <v>89</v>
      </c>
      <c r="G717">
        <v>2017</v>
      </c>
      <c r="H717" t="s">
        <v>90</v>
      </c>
      <c r="I717" t="s">
        <v>81</v>
      </c>
      <c r="J717" t="s">
        <v>93</v>
      </c>
      <c r="K717">
        <v>1</v>
      </c>
      <c r="L717">
        <v>-7.5717521284489333</v>
      </c>
      <c r="M717">
        <v>0</v>
      </c>
      <c r="N717">
        <v>1</v>
      </c>
    </row>
    <row r="718" spans="4:14" x14ac:dyDescent="0.3">
      <c r="D718" t="s">
        <v>124</v>
      </c>
      <c r="E718" t="s">
        <v>58</v>
      </c>
      <c r="F718" t="s">
        <v>89</v>
      </c>
      <c r="G718">
        <v>2018</v>
      </c>
      <c r="H718" t="s">
        <v>90</v>
      </c>
      <c r="I718" t="s">
        <v>81</v>
      </c>
      <c r="J718" t="s">
        <v>93</v>
      </c>
      <c r="K718">
        <v>1</v>
      </c>
      <c r="L718">
        <v>-8.059481504311691</v>
      </c>
      <c r="M718">
        <v>0</v>
      </c>
      <c r="N718">
        <v>1</v>
      </c>
    </row>
    <row r="719" spans="4:14" x14ac:dyDescent="0.3">
      <c r="D719" t="s">
        <v>124</v>
      </c>
      <c r="E719" t="s">
        <v>58</v>
      </c>
      <c r="F719" t="s">
        <v>89</v>
      </c>
      <c r="G719">
        <v>2030</v>
      </c>
      <c r="H719" t="s">
        <v>90</v>
      </c>
      <c r="I719" t="s">
        <v>81</v>
      </c>
      <c r="J719" t="s">
        <v>93</v>
      </c>
      <c r="K719">
        <v>1</v>
      </c>
      <c r="L719">
        <v>-8.059481504311691</v>
      </c>
      <c r="M719">
        <v>0</v>
      </c>
      <c r="N719">
        <v>1</v>
      </c>
    </row>
    <row r="720" spans="4:14" x14ac:dyDescent="0.3">
      <c r="D720" t="s">
        <v>124</v>
      </c>
      <c r="E720" t="s">
        <v>59</v>
      </c>
      <c r="F720" t="s">
        <v>89</v>
      </c>
      <c r="G720">
        <v>2017</v>
      </c>
      <c r="H720" t="s">
        <v>90</v>
      </c>
      <c r="I720" t="s">
        <v>81</v>
      </c>
      <c r="J720" t="s">
        <v>93</v>
      </c>
      <c r="K720">
        <v>1</v>
      </c>
      <c r="L720">
        <v>-2.5654354268218729</v>
      </c>
      <c r="M720">
        <v>0</v>
      </c>
      <c r="N720">
        <v>1</v>
      </c>
    </row>
    <row r="721" spans="4:14" x14ac:dyDescent="0.3">
      <c r="D721" t="s">
        <v>124</v>
      </c>
      <c r="E721" t="s">
        <v>59</v>
      </c>
      <c r="F721" t="s">
        <v>89</v>
      </c>
      <c r="G721">
        <v>2018</v>
      </c>
      <c r="H721" t="s">
        <v>90</v>
      </c>
      <c r="I721" t="s">
        <v>81</v>
      </c>
      <c r="J721" t="s">
        <v>93</v>
      </c>
      <c r="K721">
        <v>1</v>
      </c>
      <c r="L721">
        <v>-2.0668169780872145</v>
      </c>
      <c r="M721">
        <v>0</v>
      </c>
      <c r="N721">
        <v>1</v>
      </c>
    </row>
    <row r="722" spans="4:14" x14ac:dyDescent="0.3">
      <c r="D722" t="s">
        <v>124</v>
      </c>
      <c r="E722" t="s">
        <v>59</v>
      </c>
      <c r="F722" t="s">
        <v>89</v>
      </c>
      <c r="G722">
        <v>2030</v>
      </c>
      <c r="H722" t="s">
        <v>90</v>
      </c>
      <c r="I722" t="s">
        <v>81</v>
      </c>
      <c r="J722" t="s">
        <v>93</v>
      </c>
      <c r="K722">
        <v>1</v>
      </c>
      <c r="L722">
        <v>-2.5654354268218729</v>
      </c>
      <c r="M722">
        <v>0</v>
      </c>
      <c r="N722">
        <v>1</v>
      </c>
    </row>
    <row r="723" spans="4:14" x14ac:dyDescent="0.3">
      <c r="D723" t="s">
        <v>124</v>
      </c>
      <c r="E723" t="s">
        <v>60</v>
      </c>
      <c r="F723" t="s">
        <v>89</v>
      </c>
      <c r="G723">
        <v>2017</v>
      </c>
      <c r="H723" t="s">
        <v>90</v>
      </c>
      <c r="I723" t="s">
        <v>81</v>
      </c>
      <c r="J723" t="s">
        <v>93</v>
      </c>
      <c r="K723">
        <v>1</v>
      </c>
      <c r="L723">
        <v>-3.0939757602186044</v>
      </c>
      <c r="M723">
        <v>0</v>
      </c>
      <c r="N723">
        <v>1</v>
      </c>
    </row>
    <row r="724" spans="4:14" x14ac:dyDescent="0.3">
      <c r="D724" t="s">
        <v>124</v>
      </c>
      <c r="E724" t="s">
        <v>60</v>
      </c>
      <c r="F724" t="s">
        <v>89</v>
      </c>
      <c r="G724">
        <v>2018</v>
      </c>
      <c r="H724" t="s">
        <v>90</v>
      </c>
      <c r="I724" t="s">
        <v>81</v>
      </c>
      <c r="J724" t="s">
        <v>93</v>
      </c>
      <c r="K724">
        <v>1</v>
      </c>
      <c r="L724">
        <v>-4.1799108732107415</v>
      </c>
      <c r="M724">
        <v>0</v>
      </c>
      <c r="N724">
        <v>1</v>
      </c>
    </row>
    <row r="725" spans="4:14" x14ac:dyDescent="0.3">
      <c r="D725" t="s">
        <v>124</v>
      </c>
      <c r="E725" t="s">
        <v>60</v>
      </c>
      <c r="F725" t="s">
        <v>89</v>
      </c>
      <c r="G725">
        <v>2030</v>
      </c>
      <c r="H725" t="s">
        <v>90</v>
      </c>
      <c r="I725" t="s">
        <v>81</v>
      </c>
      <c r="J725" t="s">
        <v>93</v>
      </c>
      <c r="K725">
        <v>1</v>
      </c>
      <c r="L725">
        <v>-4.1799108732107415</v>
      </c>
      <c r="M725">
        <v>0</v>
      </c>
      <c r="N725">
        <v>1</v>
      </c>
    </row>
    <row r="726" spans="4:14" x14ac:dyDescent="0.3">
      <c r="D726" t="s">
        <v>125</v>
      </c>
      <c r="E726" t="s">
        <v>33</v>
      </c>
      <c r="F726" t="s">
        <v>89</v>
      </c>
      <c r="G726">
        <v>2017</v>
      </c>
      <c r="H726" t="s">
        <v>95</v>
      </c>
      <c r="I726" t="s">
        <v>81</v>
      </c>
      <c r="J726" t="s">
        <v>73</v>
      </c>
      <c r="K726">
        <v>1</v>
      </c>
      <c r="L726">
        <v>-10.869164803410904</v>
      </c>
      <c r="M726">
        <v>0</v>
      </c>
      <c r="N726">
        <v>1</v>
      </c>
    </row>
    <row r="727" spans="4:14" x14ac:dyDescent="0.3">
      <c r="D727" t="s">
        <v>125</v>
      </c>
      <c r="E727" t="s">
        <v>33</v>
      </c>
      <c r="F727" t="s">
        <v>89</v>
      </c>
      <c r="G727">
        <v>2018</v>
      </c>
      <c r="H727" t="s">
        <v>95</v>
      </c>
      <c r="I727" t="s">
        <v>81</v>
      </c>
      <c r="J727" t="s">
        <v>73</v>
      </c>
      <c r="K727">
        <v>1</v>
      </c>
      <c r="L727">
        <v>-10.539200629752331</v>
      </c>
      <c r="M727">
        <v>0</v>
      </c>
      <c r="N727">
        <v>1</v>
      </c>
    </row>
    <row r="728" spans="4:14" x14ac:dyDescent="0.3">
      <c r="D728" t="s">
        <v>125</v>
      </c>
      <c r="E728" t="s">
        <v>41</v>
      </c>
      <c r="F728" t="s">
        <v>89</v>
      </c>
      <c r="G728">
        <v>2017</v>
      </c>
      <c r="H728" t="s">
        <v>95</v>
      </c>
      <c r="I728" t="s">
        <v>81</v>
      </c>
      <c r="J728" t="s">
        <v>73</v>
      </c>
      <c r="K728">
        <v>1</v>
      </c>
      <c r="L728">
        <v>-10.869164803410902</v>
      </c>
      <c r="M728">
        <v>0</v>
      </c>
      <c r="N728">
        <v>1</v>
      </c>
    </row>
    <row r="729" spans="4:14" x14ac:dyDescent="0.3">
      <c r="D729" t="s">
        <v>125</v>
      </c>
      <c r="E729" t="s">
        <v>41</v>
      </c>
      <c r="F729" t="s">
        <v>89</v>
      </c>
      <c r="G729">
        <v>2018</v>
      </c>
      <c r="H729" t="s">
        <v>95</v>
      </c>
      <c r="I729" t="s">
        <v>81</v>
      </c>
      <c r="J729" t="s">
        <v>73</v>
      </c>
      <c r="K729">
        <v>1</v>
      </c>
      <c r="L729">
        <v>-10.53920062975233</v>
      </c>
      <c r="M729">
        <v>0</v>
      </c>
      <c r="N729">
        <v>1</v>
      </c>
    </row>
    <row r="730" spans="4:14" x14ac:dyDescent="0.3">
      <c r="D730" t="s">
        <v>125</v>
      </c>
      <c r="E730" t="s">
        <v>42</v>
      </c>
      <c r="F730" t="s">
        <v>89</v>
      </c>
      <c r="G730">
        <v>2017</v>
      </c>
      <c r="H730" t="s">
        <v>95</v>
      </c>
      <c r="I730" t="s">
        <v>81</v>
      </c>
      <c r="J730" t="s">
        <v>73</v>
      </c>
      <c r="K730">
        <v>1</v>
      </c>
      <c r="L730">
        <v>-10.290723202761447</v>
      </c>
      <c r="M730">
        <v>0</v>
      </c>
      <c r="N730">
        <v>1</v>
      </c>
    </row>
    <row r="731" spans="4:14" x14ac:dyDescent="0.3">
      <c r="D731" t="s">
        <v>125</v>
      </c>
      <c r="E731" t="s">
        <v>42</v>
      </c>
      <c r="F731" t="s">
        <v>89</v>
      </c>
      <c r="G731">
        <v>2018</v>
      </c>
      <c r="H731" t="s">
        <v>95</v>
      </c>
      <c r="I731" t="s">
        <v>81</v>
      </c>
      <c r="J731" t="s">
        <v>73</v>
      </c>
      <c r="K731">
        <v>1</v>
      </c>
      <c r="L731">
        <v>-9.2707511771577327</v>
      </c>
      <c r="M731">
        <v>0</v>
      </c>
      <c r="N731">
        <v>1</v>
      </c>
    </row>
    <row r="732" spans="4:14" x14ac:dyDescent="0.3">
      <c r="D732" t="s">
        <v>125</v>
      </c>
      <c r="E732" t="s">
        <v>44</v>
      </c>
      <c r="F732" t="s">
        <v>89</v>
      </c>
      <c r="G732">
        <v>2017</v>
      </c>
      <c r="H732" t="s">
        <v>95</v>
      </c>
      <c r="I732" t="s">
        <v>81</v>
      </c>
      <c r="J732" t="s">
        <v>73</v>
      </c>
      <c r="K732">
        <v>1</v>
      </c>
      <c r="L732">
        <v>-5.1773365510821652</v>
      </c>
      <c r="M732">
        <v>0</v>
      </c>
      <c r="N732">
        <v>1</v>
      </c>
    </row>
    <row r="733" spans="4:14" x14ac:dyDescent="0.3">
      <c r="D733" t="s">
        <v>125</v>
      </c>
      <c r="E733" t="s">
        <v>44</v>
      </c>
      <c r="F733" t="s">
        <v>89</v>
      </c>
      <c r="G733">
        <v>2018</v>
      </c>
      <c r="H733" t="s">
        <v>95</v>
      </c>
      <c r="I733" t="s">
        <v>81</v>
      </c>
      <c r="J733" t="s">
        <v>73</v>
      </c>
      <c r="K733">
        <v>1</v>
      </c>
      <c r="L733">
        <v>-4.3583642071993198</v>
      </c>
      <c r="M733">
        <v>0</v>
      </c>
      <c r="N733">
        <v>1</v>
      </c>
    </row>
    <row r="734" spans="4:14" x14ac:dyDescent="0.3">
      <c r="D734" t="s">
        <v>125</v>
      </c>
      <c r="E734" t="s">
        <v>45</v>
      </c>
      <c r="F734" t="s">
        <v>89</v>
      </c>
      <c r="G734">
        <v>2017</v>
      </c>
      <c r="H734" t="s">
        <v>95</v>
      </c>
      <c r="I734" t="s">
        <v>81</v>
      </c>
      <c r="J734" t="s">
        <v>73</v>
      </c>
      <c r="K734">
        <v>1</v>
      </c>
      <c r="L734">
        <v>-4.5162883326327057</v>
      </c>
      <c r="M734">
        <v>0</v>
      </c>
      <c r="N734">
        <v>1</v>
      </c>
    </row>
    <row r="735" spans="4:14" x14ac:dyDescent="0.3">
      <c r="D735" t="s">
        <v>125</v>
      </c>
      <c r="E735" t="s">
        <v>45</v>
      </c>
      <c r="F735" t="s">
        <v>89</v>
      </c>
      <c r="G735">
        <v>2018</v>
      </c>
      <c r="H735" t="s">
        <v>95</v>
      </c>
      <c r="I735" t="s">
        <v>81</v>
      </c>
      <c r="J735" t="s">
        <v>73</v>
      </c>
      <c r="K735">
        <v>1</v>
      </c>
      <c r="L735">
        <v>-4.7045285016588272</v>
      </c>
      <c r="M735">
        <v>0</v>
      </c>
      <c r="N735">
        <v>1</v>
      </c>
    </row>
    <row r="736" spans="4:14" x14ac:dyDescent="0.3">
      <c r="D736" t="s">
        <v>125</v>
      </c>
      <c r="E736" t="s">
        <v>46</v>
      </c>
      <c r="F736" t="s">
        <v>89</v>
      </c>
      <c r="G736">
        <v>2017</v>
      </c>
      <c r="H736" t="s">
        <v>95</v>
      </c>
      <c r="I736" t="s">
        <v>81</v>
      </c>
      <c r="J736" t="s">
        <v>73</v>
      </c>
      <c r="K736">
        <v>1</v>
      </c>
      <c r="L736">
        <v>-4.5913493593954762</v>
      </c>
      <c r="M736">
        <v>0</v>
      </c>
      <c r="N736">
        <v>1</v>
      </c>
    </row>
    <row r="737" spans="4:14" x14ac:dyDescent="0.3">
      <c r="D737" t="s">
        <v>125</v>
      </c>
      <c r="E737" t="s">
        <v>46</v>
      </c>
      <c r="F737" t="s">
        <v>89</v>
      </c>
      <c r="G737">
        <v>2018</v>
      </c>
      <c r="H737" t="s">
        <v>95</v>
      </c>
      <c r="I737" t="s">
        <v>81</v>
      </c>
      <c r="J737" t="s">
        <v>73</v>
      </c>
      <c r="K737">
        <v>1</v>
      </c>
      <c r="L737">
        <v>-4.9987294061488958</v>
      </c>
      <c r="M737">
        <v>0</v>
      </c>
      <c r="N737">
        <v>1</v>
      </c>
    </row>
    <row r="738" spans="4:14" x14ac:dyDescent="0.3">
      <c r="D738" t="s">
        <v>125</v>
      </c>
      <c r="E738" t="s">
        <v>49</v>
      </c>
      <c r="F738" t="s">
        <v>89</v>
      </c>
      <c r="G738">
        <v>2017</v>
      </c>
      <c r="H738" t="s">
        <v>95</v>
      </c>
      <c r="I738" t="s">
        <v>81</v>
      </c>
      <c r="J738" t="s">
        <v>73</v>
      </c>
      <c r="K738">
        <v>1</v>
      </c>
      <c r="L738">
        <v>-10.969812276280457</v>
      </c>
      <c r="M738">
        <v>0</v>
      </c>
      <c r="N738">
        <v>1</v>
      </c>
    </row>
    <row r="739" spans="4:14" x14ac:dyDescent="0.3">
      <c r="D739" t="s">
        <v>125</v>
      </c>
      <c r="E739" t="s">
        <v>49</v>
      </c>
      <c r="F739" t="s">
        <v>89</v>
      </c>
      <c r="G739">
        <v>2018</v>
      </c>
      <c r="H739" t="s">
        <v>95</v>
      </c>
      <c r="I739" t="s">
        <v>81</v>
      </c>
      <c r="J739" t="s">
        <v>73</v>
      </c>
      <c r="K739">
        <v>1</v>
      </c>
      <c r="L739">
        <v>-10.360854890394714</v>
      </c>
      <c r="M739">
        <v>0</v>
      </c>
      <c r="N739">
        <v>1</v>
      </c>
    </row>
    <row r="740" spans="4:14" x14ac:dyDescent="0.3">
      <c r="D740" t="s">
        <v>125</v>
      </c>
      <c r="E740" t="s">
        <v>50</v>
      </c>
      <c r="F740" t="s">
        <v>89</v>
      </c>
      <c r="G740">
        <v>2017</v>
      </c>
      <c r="H740" t="s">
        <v>95</v>
      </c>
      <c r="I740" t="s">
        <v>81</v>
      </c>
      <c r="J740" t="s">
        <v>73</v>
      </c>
      <c r="K740">
        <v>1</v>
      </c>
      <c r="L740">
        <v>-5.9696755219359279</v>
      </c>
      <c r="M740">
        <v>0</v>
      </c>
      <c r="N740">
        <v>1</v>
      </c>
    </row>
    <row r="741" spans="4:14" x14ac:dyDescent="0.3">
      <c r="D741" t="s">
        <v>125</v>
      </c>
      <c r="E741" t="s">
        <v>50</v>
      </c>
      <c r="F741" t="s">
        <v>89</v>
      </c>
      <c r="G741">
        <v>2018</v>
      </c>
      <c r="H741" t="s">
        <v>95</v>
      </c>
      <c r="I741" t="s">
        <v>81</v>
      </c>
      <c r="J741" t="s">
        <v>73</v>
      </c>
      <c r="K741">
        <v>1</v>
      </c>
      <c r="L741">
        <v>-5.4330585187202178</v>
      </c>
      <c r="M741">
        <v>0</v>
      </c>
      <c r="N741">
        <v>1</v>
      </c>
    </row>
    <row r="742" spans="4:14" x14ac:dyDescent="0.3">
      <c r="D742" t="s">
        <v>125</v>
      </c>
      <c r="E742" t="s">
        <v>53</v>
      </c>
      <c r="F742" t="s">
        <v>89</v>
      </c>
      <c r="G742">
        <v>2017</v>
      </c>
      <c r="H742" t="s">
        <v>95</v>
      </c>
      <c r="I742" t="s">
        <v>81</v>
      </c>
      <c r="J742" t="s">
        <v>73</v>
      </c>
      <c r="K742">
        <v>1</v>
      </c>
      <c r="L742">
        <v>-5.770556630439688</v>
      </c>
      <c r="M742">
        <v>0</v>
      </c>
      <c r="N742">
        <v>1</v>
      </c>
    </row>
    <row r="743" spans="4:14" x14ac:dyDescent="0.3">
      <c r="D743" t="s">
        <v>125</v>
      </c>
      <c r="E743" t="s">
        <v>53</v>
      </c>
      <c r="F743" t="s">
        <v>89</v>
      </c>
      <c r="G743">
        <v>2018</v>
      </c>
      <c r="H743" t="s">
        <v>95</v>
      </c>
      <c r="I743" t="s">
        <v>81</v>
      </c>
      <c r="J743" t="s">
        <v>73</v>
      </c>
      <c r="K743">
        <v>1</v>
      </c>
      <c r="L743">
        <v>-4.4067073140106396</v>
      </c>
      <c r="M743">
        <v>0</v>
      </c>
      <c r="N743">
        <v>1</v>
      </c>
    </row>
    <row r="744" spans="4:14" x14ac:dyDescent="0.3">
      <c r="D744" t="s">
        <v>125</v>
      </c>
      <c r="E744" t="s">
        <v>54</v>
      </c>
      <c r="F744" t="s">
        <v>89</v>
      </c>
      <c r="G744">
        <v>2017</v>
      </c>
      <c r="H744" t="s">
        <v>95</v>
      </c>
      <c r="I744" t="s">
        <v>81</v>
      </c>
      <c r="J744" t="s">
        <v>73</v>
      </c>
      <c r="K744">
        <v>1</v>
      </c>
      <c r="L744">
        <v>-19.247910098445342</v>
      </c>
      <c r="M744">
        <v>0</v>
      </c>
      <c r="N744">
        <v>1</v>
      </c>
    </row>
    <row r="745" spans="4:14" x14ac:dyDescent="0.3">
      <c r="D745" t="s">
        <v>125</v>
      </c>
      <c r="E745" t="s">
        <v>54</v>
      </c>
      <c r="F745" t="s">
        <v>89</v>
      </c>
      <c r="G745">
        <v>2018</v>
      </c>
      <c r="H745" t="s">
        <v>95</v>
      </c>
      <c r="I745" t="s">
        <v>81</v>
      </c>
      <c r="J745" t="s">
        <v>73</v>
      </c>
      <c r="K745">
        <v>1</v>
      </c>
      <c r="L745">
        <v>-16.550981282977769</v>
      </c>
      <c r="M745">
        <v>0</v>
      </c>
      <c r="N745">
        <v>1</v>
      </c>
    </row>
    <row r="746" spans="4:14" x14ac:dyDescent="0.3">
      <c r="D746" t="s">
        <v>125</v>
      </c>
      <c r="E746" t="s">
        <v>55</v>
      </c>
      <c r="F746" t="s">
        <v>89</v>
      </c>
      <c r="G746">
        <v>2017</v>
      </c>
      <c r="H746" t="s">
        <v>95</v>
      </c>
      <c r="I746" t="s">
        <v>81</v>
      </c>
      <c r="J746" t="s">
        <v>73</v>
      </c>
      <c r="K746">
        <v>1</v>
      </c>
      <c r="L746">
        <v>-7.4414347285074927</v>
      </c>
      <c r="M746">
        <v>0</v>
      </c>
      <c r="N746">
        <v>1</v>
      </c>
    </row>
    <row r="747" spans="4:14" x14ac:dyDescent="0.3">
      <c r="D747" t="s">
        <v>125</v>
      </c>
      <c r="E747" t="s">
        <v>55</v>
      </c>
      <c r="F747" t="s">
        <v>89</v>
      </c>
      <c r="G747">
        <v>2018</v>
      </c>
      <c r="H747" t="s">
        <v>95</v>
      </c>
      <c r="I747" t="s">
        <v>81</v>
      </c>
      <c r="J747" t="s">
        <v>73</v>
      </c>
      <c r="K747">
        <v>1</v>
      </c>
      <c r="L747">
        <v>-6.9272386522975822</v>
      </c>
      <c r="M747">
        <v>0</v>
      </c>
      <c r="N747">
        <v>1</v>
      </c>
    </row>
    <row r="748" spans="4:14" x14ac:dyDescent="0.3">
      <c r="D748" t="s">
        <v>125</v>
      </c>
      <c r="E748" t="s">
        <v>56</v>
      </c>
      <c r="F748" t="s">
        <v>89</v>
      </c>
      <c r="G748">
        <v>2017</v>
      </c>
      <c r="H748" t="s">
        <v>95</v>
      </c>
      <c r="I748" t="s">
        <v>81</v>
      </c>
      <c r="J748" t="s">
        <v>73</v>
      </c>
      <c r="K748">
        <v>1</v>
      </c>
      <c r="L748">
        <v>-7.9324264514098752</v>
      </c>
      <c r="M748">
        <v>0</v>
      </c>
      <c r="N748">
        <v>1</v>
      </c>
    </row>
    <row r="749" spans="4:14" x14ac:dyDescent="0.3">
      <c r="D749" t="s">
        <v>125</v>
      </c>
      <c r="E749" t="s">
        <v>56</v>
      </c>
      <c r="F749" t="s">
        <v>89</v>
      </c>
      <c r="G749">
        <v>2018</v>
      </c>
      <c r="H749" t="s">
        <v>95</v>
      </c>
      <c r="I749" t="s">
        <v>81</v>
      </c>
      <c r="J749" t="s">
        <v>73</v>
      </c>
      <c r="K749">
        <v>1</v>
      </c>
      <c r="L749">
        <v>-7.040786901363651</v>
      </c>
      <c r="M749">
        <v>0</v>
      </c>
      <c r="N749">
        <v>1</v>
      </c>
    </row>
    <row r="750" spans="4:14" x14ac:dyDescent="0.3">
      <c r="D750" t="s">
        <v>125</v>
      </c>
      <c r="E750" t="s">
        <v>58</v>
      </c>
      <c r="F750" t="s">
        <v>89</v>
      </c>
      <c r="G750">
        <v>2017</v>
      </c>
      <c r="H750" t="s">
        <v>95</v>
      </c>
      <c r="I750" t="s">
        <v>81</v>
      </c>
      <c r="J750" t="s">
        <v>73</v>
      </c>
      <c r="K750">
        <v>1</v>
      </c>
      <c r="L750">
        <v>-7.0669686532190035</v>
      </c>
      <c r="M750">
        <v>0</v>
      </c>
      <c r="N750">
        <v>1</v>
      </c>
    </row>
    <row r="751" spans="4:14" x14ac:dyDescent="0.3">
      <c r="D751" t="s">
        <v>125</v>
      </c>
      <c r="E751" t="s">
        <v>58</v>
      </c>
      <c r="F751" t="s">
        <v>89</v>
      </c>
      <c r="G751">
        <v>2018</v>
      </c>
      <c r="H751" t="s">
        <v>95</v>
      </c>
      <c r="I751" t="s">
        <v>81</v>
      </c>
      <c r="J751" t="s">
        <v>73</v>
      </c>
      <c r="K751">
        <v>1</v>
      </c>
      <c r="L751">
        <v>-7.5221827373575794</v>
      </c>
      <c r="M751">
        <v>0</v>
      </c>
      <c r="N751">
        <v>1</v>
      </c>
    </row>
    <row r="752" spans="4:14" x14ac:dyDescent="0.3">
      <c r="D752" t="s">
        <v>125</v>
      </c>
      <c r="E752" t="s">
        <v>59</v>
      </c>
      <c r="F752" t="s">
        <v>89</v>
      </c>
      <c r="G752">
        <v>2017</v>
      </c>
      <c r="H752" t="s">
        <v>95</v>
      </c>
      <c r="I752" t="s">
        <v>81</v>
      </c>
      <c r="J752" t="s">
        <v>73</v>
      </c>
      <c r="K752">
        <v>1</v>
      </c>
      <c r="L752">
        <v>-2.394406398367082</v>
      </c>
      <c r="M752">
        <v>0</v>
      </c>
      <c r="N752">
        <v>1</v>
      </c>
    </row>
    <row r="753" spans="4:14" x14ac:dyDescent="0.3">
      <c r="D753" t="s">
        <v>125</v>
      </c>
      <c r="E753" t="s">
        <v>59</v>
      </c>
      <c r="F753" t="s">
        <v>89</v>
      </c>
      <c r="G753">
        <v>2018</v>
      </c>
      <c r="H753" t="s">
        <v>95</v>
      </c>
      <c r="I753" t="s">
        <v>81</v>
      </c>
      <c r="J753" t="s">
        <v>73</v>
      </c>
      <c r="K753">
        <v>1</v>
      </c>
      <c r="L753">
        <v>-1.9290291795480672</v>
      </c>
      <c r="M753">
        <v>0</v>
      </c>
      <c r="N753">
        <v>1</v>
      </c>
    </row>
    <row r="754" spans="4:14" x14ac:dyDescent="0.3">
      <c r="D754" t="s">
        <v>126</v>
      </c>
      <c r="E754" t="s">
        <v>33</v>
      </c>
      <c r="F754" t="s">
        <v>89</v>
      </c>
      <c r="G754">
        <v>2017</v>
      </c>
      <c r="H754" t="s">
        <v>95</v>
      </c>
      <c r="I754" t="s">
        <v>81</v>
      </c>
      <c r="J754" t="s">
        <v>93</v>
      </c>
      <c r="K754">
        <v>1</v>
      </c>
      <c r="L754">
        <v>-11.645533717940253</v>
      </c>
      <c r="M754">
        <v>0</v>
      </c>
      <c r="N754">
        <v>1</v>
      </c>
    </row>
    <row r="755" spans="4:14" x14ac:dyDescent="0.3">
      <c r="D755" t="s">
        <v>126</v>
      </c>
      <c r="E755" t="s">
        <v>33</v>
      </c>
      <c r="F755" t="s">
        <v>89</v>
      </c>
      <c r="G755">
        <v>2018</v>
      </c>
      <c r="H755" t="s">
        <v>95</v>
      </c>
      <c r="I755" t="s">
        <v>81</v>
      </c>
      <c r="J755" t="s">
        <v>93</v>
      </c>
      <c r="K755">
        <v>1</v>
      </c>
      <c r="L755">
        <v>-11.292000674734641</v>
      </c>
      <c r="M755">
        <v>0</v>
      </c>
      <c r="N755">
        <v>1</v>
      </c>
    </row>
    <row r="756" spans="4:14" x14ac:dyDescent="0.3">
      <c r="D756" t="s">
        <v>126</v>
      </c>
      <c r="E756" t="s">
        <v>33</v>
      </c>
      <c r="F756" t="s">
        <v>89</v>
      </c>
      <c r="G756">
        <v>2030</v>
      </c>
      <c r="H756" t="s">
        <v>95</v>
      </c>
      <c r="I756" t="s">
        <v>81</v>
      </c>
      <c r="J756" t="s">
        <v>93</v>
      </c>
      <c r="K756">
        <v>1</v>
      </c>
      <c r="L756">
        <v>-11.645533717940253</v>
      </c>
      <c r="M756">
        <v>0</v>
      </c>
      <c r="N756">
        <v>1</v>
      </c>
    </row>
    <row r="757" spans="4:14" x14ac:dyDescent="0.3">
      <c r="D757" t="s">
        <v>126</v>
      </c>
      <c r="E757" t="s">
        <v>41</v>
      </c>
      <c r="F757" t="s">
        <v>89</v>
      </c>
      <c r="G757">
        <v>2017</v>
      </c>
      <c r="H757" t="s">
        <v>95</v>
      </c>
      <c r="I757" t="s">
        <v>81</v>
      </c>
      <c r="J757" t="s">
        <v>93</v>
      </c>
      <c r="K757">
        <v>1</v>
      </c>
      <c r="L757">
        <v>-11.645533717940252</v>
      </c>
      <c r="M757">
        <v>0</v>
      </c>
      <c r="N757">
        <v>1</v>
      </c>
    </row>
    <row r="758" spans="4:14" x14ac:dyDescent="0.3">
      <c r="D758" t="s">
        <v>126</v>
      </c>
      <c r="E758" t="s">
        <v>41</v>
      </c>
      <c r="F758" t="s">
        <v>89</v>
      </c>
      <c r="G758">
        <v>2018</v>
      </c>
      <c r="H758" t="s">
        <v>95</v>
      </c>
      <c r="I758" t="s">
        <v>81</v>
      </c>
      <c r="J758" t="s">
        <v>93</v>
      </c>
      <c r="K758">
        <v>1</v>
      </c>
      <c r="L758">
        <v>-11.29200067473464</v>
      </c>
      <c r="M758">
        <v>0</v>
      </c>
      <c r="N758">
        <v>1</v>
      </c>
    </row>
    <row r="759" spans="4:14" x14ac:dyDescent="0.3">
      <c r="D759" t="s">
        <v>126</v>
      </c>
      <c r="E759" t="s">
        <v>41</v>
      </c>
      <c r="F759" t="s">
        <v>89</v>
      </c>
      <c r="G759">
        <v>2030</v>
      </c>
      <c r="H759" t="s">
        <v>95</v>
      </c>
      <c r="I759" t="s">
        <v>81</v>
      </c>
      <c r="J759" t="s">
        <v>93</v>
      </c>
      <c r="K759">
        <v>1</v>
      </c>
      <c r="L759">
        <v>-11.645533717940252</v>
      </c>
      <c r="M759">
        <v>0</v>
      </c>
      <c r="N759">
        <v>1</v>
      </c>
    </row>
    <row r="760" spans="4:14" x14ac:dyDescent="0.3">
      <c r="D760" t="s">
        <v>126</v>
      </c>
      <c r="E760" t="s">
        <v>42</v>
      </c>
      <c r="F760" t="s">
        <v>89</v>
      </c>
      <c r="G760">
        <v>2017</v>
      </c>
      <c r="H760" t="s">
        <v>95</v>
      </c>
      <c r="I760" t="s">
        <v>81</v>
      </c>
      <c r="J760" t="s">
        <v>93</v>
      </c>
      <c r="K760">
        <v>1</v>
      </c>
      <c r="L760">
        <v>-11.025774860101551</v>
      </c>
      <c r="M760">
        <v>0</v>
      </c>
      <c r="N760">
        <v>1</v>
      </c>
    </row>
    <row r="761" spans="4:14" x14ac:dyDescent="0.3">
      <c r="D761" t="s">
        <v>126</v>
      </c>
      <c r="E761" t="s">
        <v>42</v>
      </c>
      <c r="F761" t="s">
        <v>89</v>
      </c>
      <c r="G761">
        <v>2018</v>
      </c>
      <c r="H761" t="s">
        <v>95</v>
      </c>
      <c r="I761" t="s">
        <v>81</v>
      </c>
      <c r="J761" t="s">
        <v>93</v>
      </c>
      <c r="K761">
        <v>1</v>
      </c>
      <c r="L761">
        <v>-9.9329476898118561</v>
      </c>
      <c r="M761">
        <v>0</v>
      </c>
      <c r="N761">
        <v>1</v>
      </c>
    </row>
    <row r="762" spans="4:14" x14ac:dyDescent="0.3">
      <c r="D762" t="s">
        <v>126</v>
      </c>
      <c r="E762" t="s">
        <v>42</v>
      </c>
      <c r="F762" t="s">
        <v>89</v>
      </c>
      <c r="G762">
        <v>2030</v>
      </c>
      <c r="H762" t="s">
        <v>95</v>
      </c>
      <c r="I762" t="s">
        <v>81</v>
      </c>
      <c r="J762" t="s">
        <v>93</v>
      </c>
      <c r="K762">
        <v>1</v>
      </c>
      <c r="L762">
        <v>-11.025774860101551</v>
      </c>
      <c r="M762">
        <v>0</v>
      </c>
      <c r="N762">
        <v>1</v>
      </c>
    </row>
    <row r="763" spans="4:14" x14ac:dyDescent="0.3">
      <c r="D763" t="s">
        <v>126</v>
      </c>
      <c r="E763" t="s">
        <v>44</v>
      </c>
      <c r="F763" t="s">
        <v>89</v>
      </c>
      <c r="G763">
        <v>2017</v>
      </c>
      <c r="H763" t="s">
        <v>95</v>
      </c>
      <c r="I763" t="s">
        <v>81</v>
      </c>
      <c r="J763" t="s">
        <v>93</v>
      </c>
      <c r="K763">
        <v>1</v>
      </c>
      <c r="L763">
        <v>-5.5471463047308918</v>
      </c>
      <c r="M763">
        <v>0</v>
      </c>
      <c r="N763">
        <v>1</v>
      </c>
    </row>
    <row r="764" spans="4:14" x14ac:dyDescent="0.3">
      <c r="D764" t="s">
        <v>126</v>
      </c>
      <c r="E764" t="s">
        <v>44</v>
      </c>
      <c r="F764" t="s">
        <v>89</v>
      </c>
      <c r="G764">
        <v>2018</v>
      </c>
      <c r="H764" t="s">
        <v>95</v>
      </c>
      <c r="I764" t="s">
        <v>81</v>
      </c>
      <c r="J764" t="s">
        <v>93</v>
      </c>
      <c r="K764">
        <v>1</v>
      </c>
      <c r="L764">
        <v>-4.6696759362849862</v>
      </c>
      <c r="M764">
        <v>0</v>
      </c>
      <c r="N764">
        <v>1</v>
      </c>
    </row>
    <row r="765" spans="4:14" x14ac:dyDescent="0.3">
      <c r="D765" t="s">
        <v>126</v>
      </c>
      <c r="E765" t="s">
        <v>44</v>
      </c>
      <c r="F765" t="s">
        <v>89</v>
      </c>
      <c r="G765">
        <v>2030</v>
      </c>
      <c r="H765" t="s">
        <v>95</v>
      </c>
      <c r="I765" t="s">
        <v>81</v>
      </c>
      <c r="J765" t="s">
        <v>93</v>
      </c>
      <c r="K765">
        <v>1</v>
      </c>
      <c r="L765">
        <v>-5.5471463047308918</v>
      </c>
      <c r="M765">
        <v>0</v>
      </c>
      <c r="N765">
        <v>1</v>
      </c>
    </row>
    <row r="766" spans="4:14" x14ac:dyDescent="0.3">
      <c r="D766" t="s">
        <v>126</v>
      </c>
      <c r="E766" t="s">
        <v>45</v>
      </c>
      <c r="F766" t="s">
        <v>89</v>
      </c>
      <c r="G766">
        <v>2017</v>
      </c>
      <c r="H766" t="s">
        <v>95</v>
      </c>
      <c r="I766" t="s">
        <v>81</v>
      </c>
      <c r="J766" t="s">
        <v>93</v>
      </c>
      <c r="K766">
        <v>1</v>
      </c>
      <c r="L766">
        <v>-4.8388803563921847</v>
      </c>
      <c r="M766">
        <v>0</v>
      </c>
      <c r="N766">
        <v>1</v>
      </c>
    </row>
    <row r="767" spans="4:14" x14ac:dyDescent="0.3">
      <c r="D767" t="s">
        <v>126</v>
      </c>
      <c r="E767" t="s">
        <v>45</v>
      </c>
      <c r="F767" t="s">
        <v>89</v>
      </c>
      <c r="G767">
        <v>2018</v>
      </c>
      <c r="H767" t="s">
        <v>95</v>
      </c>
      <c r="I767" t="s">
        <v>81</v>
      </c>
      <c r="J767" t="s">
        <v>93</v>
      </c>
      <c r="K767">
        <v>1</v>
      </c>
      <c r="L767">
        <v>-5.0405662517773147</v>
      </c>
      <c r="M767">
        <v>0</v>
      </c>
      <c r="N767">
        <v>1</v>
      </c>
    </row>
    <row r="768" spans="4:14" x14ac:dyDescent="0.3">
      <c r="D768" t="s">
        <v>126</v>
      </c>
      <c r="E768" t="s">
        <v>45</v>
      </c>
      <c r="F768" t="s">
        <v>89</v>
      </c>
      <c r="G768">
        <v>2030</v>
      </c>
      <c r="H768" t="s">
        <v>95</v>
      </c>
      <c r="I768" t="s">
        <v>81</v>
      </c>
      <c r="J768" t="s">
        <v>93</v>
      </c>
      <c r="K768">
        <v>1</v>
      </c>
      <c r="L768">
        <v>-5.0405662517773147</v>
      </c>
      <c r="M768">
        <v>0</v>
      </c>
      <c r="N768">
        <v>1</v>
      </c>
    </row>
    <row r="769" spans="4:14" x14ac:dyDescent="0.3">
      <c r="D769" t="s">
        <v>126</v>
      </c>
      <c r="E769" t="s">
        <v>46</v>
      </c>
      <c r="F769" t="s">
        <v>89</v>
      </c>
      <c r="G769">
        <v>2017</v>
      </c>
      <c r="H769" t="s">
        <v>95</v>
      </c>
      <c r="I769" t="s">
        <v>81</v>
      </c>
      <c r="J769" t="s">
        <v>93</v>
      </c>
      <c r="K769">
        <v>1</v>
      </c>
      <c r="L769">
        <v>-4.9193028850665819</v>
      </c>
      <c r="M769">
        <v>0</v>
      </c>
      <c r="N769">
        <v>1</v>
      </c>
    </row>
    <row r="770" spans="4:14" x14ac:dyDescent="0.3">
      <c r="D770" t="s">
        <v>126</v>
      </c>
      <c r="E770" t="s">
        <v>46</v>
      </c>
      <c r="F770" t="s">
        <v>89</v>
      </c>
      <c r="G770">
        <v>2018</v>
      </c>
      <c r="H770" t="s">
        <v>95</v>
      </c>
      <c r="I770" t="s">
        <v>81</v>
      </c>
      <c r="J770" t="s">
        <v>93</v>
      </c>
      <c r="K770">
        <v>1</v>
      </c>
      <c r="L770">
        <v>-5.3557815065881034</v>
      </c>
      <c r="M770">
        <v>0</v>
      </c>
      <c r="N770">
        <v>1</v>
      </c>
    </row>
    <row r="771" spans="4:14" x14ac:dyDescent="0.3">
      <c r="D771" t="s">
        <v>126</v>
      </c>
      <c r="E771" t="s">
        <v>46</v>
      </c>
      <c r="F771" t="s">
        <v>89</v>
      </c>
      <c r="G771">
        <v>2030</v>
      </c>
      <c r="H771" t="s">
        <v>95</v>
      </c>
      <c r="I771" t="s">
        <v>81</v>
      </c>
      <c r="J771" t="s">
        <v>93</v>
      </c>
      <c r="K771">
        <v>1</v>
      </c>
      <c r="L771">
        <v>-5.3557815065881034</v>
      </c>
      <c r="M771">
        <v>0</v>
      </c>
      <c r="N771">
        <v>1</v>
      </c>
    </row>
    <row r="772" spans="4:14" x14ac:dyDescent="0.3">
      <c r="D772" t="s">
        <v>126</v>
      </c>
      <c r="E772" t="s">
        <v>49</v>
      </c>
      <c r="F772" t="s">
        <v>89</v>
      </c>
      <c r="G772">
        <v>2017</v>
      </c>
      <c r="H772" t="s">
        <v>95</v>
      </c>
      <c r="I772" t="s">
        <v>81</v>
      </c>
      <c r="J772" t="s">
        <v>93</v>
      </c>
      <c r="K772">
        <v>1</v>
      </c>
      <c r="L772">
        <v>-11.753370296014776</v>
      </c>
      <c r="M772">
        <v>0</v>
      </c>
      <c r="N772">
        <v>1</v>
      </c>
    </row>
    <row r="773" spans="4:14" x14ac:dyDescent="0.3">
      <c r="D773" t="s">
        <v>126</v>
      </c>
      <c r="E773" t="s">
        <v>49</v>
      </c>
      <c r="F773" t="s">
        <v>89</v>
      </c>
      <c r="G773">
        <v>2018</v>
      </c>
      <c r="H773" t="s">
        <v>95</v>
      </c>
      <c r="I773" t="s">
        <v>81</v>
      </c>
      <c r="J773" t="s">
        <v>93</v>
      </c>
      <c r="K773">
        <v>1</v>
      </c>
      <c r="L773">
        <v>-11.100915953994337</v>
      </c>
      <c r="M773">
        <v>0</v>
      </c>
      <c r="N773">
        <v>1</v>
      </c>
    </row>
    <row r="774" spans="4:14" x14ac:dyDescent="0.3">
      <c r="D774" t="s">
        <v>126</v>
      </c>
      <c r="E774" t="s">
        <v>49</v>
      </c>
      <c r="F774" t="s">
        <v>89</v>
      </c>
      <c r="G774">
        <v>2030</v>
      </c>
      <c r="H774" t="s">
        <v>95</v>
      </c>
      <c r="I774" t="s">
        <v>81</v>
      </c>
      <c r="J774" t="s">
        <v>93</v>
      </c>
      <c r="K774">
        <v>1</v>
      </c>
      <c r="L774">
        <v>-11.753370296014776</v>
      </c>
      <c r="M774">
        <v>0</v>
      </c>
      <c r="N774">
        <v>1</v>
      </c>
    </row>
    <row r="775" spans="4:14" x14ac:dyDescent="0.3">
      <c r="D775" t="s">
        <v>126</v>
      </c>
      <c r="E775" t="s">
        <v>50</v>
      </c>
      <c r="F775" t="s">
        <v>89</v>
      </c>
      <c r="G775">
        <v>2017</v>
      </c>
      <c r="H775" t="s">
        <v>95</v>
      </c>
      <c r="I775" t="s">
        <v>81</v>
      </c>
      <c r="J775" t="s">
        <v>93</v>
      </c>
      <c r="K775">
        <v>1</v>
      </c>
      <c r="L775">
        <v>-6.3960809163599235</v>
      </c>
      <c r="M775">
        <v>0</v>
      </c>
      <c r="N775">
        <v>1</v>
      </c>
    </row>
    <row r="776" spans="4:14" x14ac:dyDescent="0.3">
      <c r="D776" t="s">
        <v>126</v>
      </c>
      <c r="E776" t="s">
        <v>50</v>
      </c>
      <c r="F776" t="s">
        <v>89</v>
      </c>
      <c r="G776">
        <v>2018</v>
      </c>
      <c r="H776" t="s">
        <v>95</v>
      </c>
      <c r="I776" t="s">
        <v>81</v>
      </c>
      <c r="J776" t="s">
        <v>93</v>
      </c>
      <c r="K776">
        <v>1</v>
      </c>
      <c r="L776">
        <v>-5.8211341272002333</v>
      </c>
      <c r="M776">
        <v>0</v>
      </c>
      <c r="N776">
        <v>1</v>
      </c>
    </row>
    <row r="777" spans="4:14" x14ac:dyDescent="0.3">
      <c r="D777" t="s">
        <v>126</v>
      </c>
      <c r="E777" t="s">
        <v>50</v>
      </c>
      <c r="F777" t="s">
        <v>89</v>
      </c>
      <c r="G777">
        <v>2030</v>
      </c>
      <c r="H777" t="s">
        <v>95</v>
      </c>
      <c r="I777" t="s">
        <v>81</v>
      </c>
      <c r="J777" t="s">
        <v>93</v>
      </c>
      <c r="K777">
        <v>1</v>
      </c>
      <c r="L777">
        <v>-6.3960809163599235</v>
      </c>
      <c r="M777">
        <v>0</v>
      </c>
      <c r="N777">
        <v>1</v>
      </c>
    </row>
    <row r="778" spans="4:14" x14ac:dyDescent="0.3">
      <c r="D778" t="s">
        <v>126</v>
      </c>
      <c r="E778" t="s">
        <v>53</v>
      </c>
      <c r="F778" t="s">
        <v>89</v>
      </c>
      <c r="G778">
        <v>2017</v>
      </c>
      <c r="H778" t="s">
        <v>95</v>
      </c>
      <c r="I778" t="s">
        <v>81</v>
      </c>
      <c r="J778" t="s">
        <v>93</v>
      </c>
      <c r="K778">
        <v>1</v>
      </c>
      <c r="L778">
        <v>-6.1827392468996658</v>
      </c>
      <c r="M778">
        <v>0</v>
      </c>
      <c r="N778">
        <v>1</v>
      </c>
    </row>
    <row r="779" spans="4:14" x14ac:dyDescent="0.3">
      <c r="D779" t="s">
        <v>126</v>
      </c>
      <c r="E779" t="s">
        <v>53</v>
      </c>
      <c r="F779" t="s">
        <v>89</v>
      </c>
      <c r="G779">
        <v>2018</v>
      </c>
      <c r="H779" t="s">
        <v>95</v>
      </c>
      <c r="I779" t="s">
        <v>81</v>
      </c>
      <c r="J779" t="s">
        <v>93</v>
      </c>
      <c r="K779">
        <v>1</v>
      </c>
      <c r="L779">
        <v>-4.7214721221542568</v>
      </c>
      <c r="M779">
        <v>0</v>
      </c>
      <c r="N779">
        <v>1</v>
      </c>
    </row>
    <row r="780" spans="4:14" x14ac:dyDescent="0.3">
      <c r="D780" t="s">
        <v>126</v>
      </c>
      <c r="E780" t="s">
        <v>53</v>
      </c>
      <c r="F780" t="s">
        <v>89</v>
      </c>
      <c r="G780">
        <v>2030</v>
      </c>
      <c r="H780" t="s">
        <v>95</v>
      </c>
      <c r="I780" t="s">
        <v>81</v>
      </c>
      <c r="J780" t="s">
        <v>93</v>
      </c>
      <c r="K780">
        <v>1</v>
      </c>
      <c r="L780">
        <v>-6.1827392468996658</v>
      </c>
      <c r="M780">
        <v>0</v>
      </c>
      <c r="N780">
        <v>1</v>
      </c>
    </row>
    <row r="781" spans="4:14" x14ac:dyDescent="0.3">
      <c r="D781" t="s">
        <v>126</v>
      </c>
      <c r="E781" t="s">
        <v>54</v>
      </c>
      <c r="F781" t="s">
        <v>89</v>
      </c>
      <c r="G781">
        <v>2017</v>
      </c>
      <c r="H781" t="s">
        <v>95</v>
      </c>
      <c r="I781" t="s">
        <v>81</v>
      </c>
      <c r="J781" t="s">
        <v>93</v>
      </c>
      <c r="K781">
        <v>1</v>
      </c>
      <c r="L781">
        <v>-20.62276081976287</v>
      </c>
      <c r="M781">
        <v>0</v>
      </c>
      <c r="N781">
        <v>1</v>
      </c>
    </row>
    <row r="782" spans="4:14" x14ac:dyDescent="0.3">
      <c r="D782" t="s">
        <v>126</v>
      </c>
      <c r="E782" t="s">
        <v>54</v>
      </c>
      <c r="F782" t="s">
        <v>89</v>
      </c>
      <c r="G782">
        <v>2018</v>
      </c>
      <c r="H782" t="s">
        <v>95</v>
      </c>
      <c r="I782" t="s">
        <v>81</v>
      </c>
      <c r="J782" t="s">
        <v>93</v>
      </c>
      <c r="K782">
        <v>1</v>
      </c>
      <c r="L782">
        <v>-17.7331942317619</v>
      </c>
      <c r="M782">
        <v>0</v>
      </c>
      <c r="N782">
        <v>1</v>
      </c>
    </row>
    <row r="783" spans="4:14" x14ac:dyDescent="0.3">
      <c r="D783" t="s">
        <v>126</v>
      </c>
      <c r="E783" t="s">
        <v>54</v>
      </c>
      <c r="F783" t="s">
        <v>89</v>
      </c>
      <c r="G783">
        <v>2030</v>
      </c>
      <c r="H783" t="s">
        <v>95</v>
      </c>
      <c r="I783" t="s">
        <v>81</v>
      </c>
      <c r="J783" t="s">
        <v>93</v>
      </c>
      <c r="K783">
        <v>1</v>
      </c>
      <c r="L783">
        <v>-20.62276081976287</v>
      </c>
      <c r="M783">
        <v>0</v>
      </c>
      <c r="N783">
        <v>1</v>
      </c>
    </row>
    <row r="784" spans="4:14" x14ac:dyDescent="0.3">
      <c r="D784" t="s">
        <v>126</v>
      </c>
      <c r="E784" t="s">
        <v>55</v>
      </c>
      <c r="F784" t="s">
        <v>89</v>
      </c>
      <c r="G784">
        <v>2017</v>
      </c>
      <c r="H784" t="s">
        <v>95</v>
      </c>
      <c r="I784" t="s">
        <v>81</v>
      </c>
      <c r="J784" t="s">
        <v>93</v>
      </c>
      <c r="K784">
        <v>1</v>
      </c>
      <c r="L784">
        <v>-7.9729657805437428</v>
      </c>
      <c r="M784">
        <v>0</v>
      </c>
      <c r="N784">
        <v>1</v>
      </c>
    </row>
    <row r="785" spans="4:14" x14ac:dyDescent="0.3">
      <c r="D785" t="s">
        <v>126</v>
      </c>
      <c r="E785" t="s">
        <v>55</v>
      </c>
      <c r="F785" t="s">
        <v>89</v>
      </c>
      <c r="G785">
        <v>2018</v>
      </c>
      <c r="H785" t="s">
        <v>95</v>
      </c>
      <c r="I785" t="s">
        <v>81</v>
      </c>
      <c r="J785" t="s">
        <v>93</v>
      </c>
      <c r="K785">
        <v>1</v>
      </c>
      <c r="L785">
        <v>-7.4220414131759815</v>
      </c>
      <c r="M785">
        <v>0</v>
      </c>
      <c r="N785">
        <v>1</v>
      </c>
    </row>
    <row r="786" spans="4:14" x14ac:dyDescent="0.3">
      <c r="D786" t="s">
        <v>126</v>
      </c>
      <c r="E786" t="s">
        <v>55</v>
      </c>
      <c r="F786" t="s">
        <v>89</v>
      </c>
      <c r="G786">
        <v>2030</v>
      </c>
      <c r="H786" t="s">
        <v>95</v>
      </c>
      <c r="I786" t="s">
        <v>81</v>
      </c>
      <c r="J786" t="s">
        <v>93</v>
      </c>
      <c r="K786">
        <v>1</v>
      </c>
      <c r="L786">
        <v>-7.9729657805437428</v>
      </c>
      <c r="M786">
        <v>0</v>
      </c>
      <c r="N786">
        <v>1</v>
      </c>
    </row>
    <row r="787" spans="4:14" x14ac:dyDescent="0.3">
      <c r="D787" t="s">
        <v>126</v>
      </c>
      <c r="E787" t="s">
        <v>56</v>
      </c>
      <c r="F787" t="s">
        <v>89</v>
      </c>
      <c r="G787">
        <v>2017</v>
      </c>
      <c r="H787" t="s">
        <v>95</v>
      </c>
      <c r="I787" t="s">
        <v>81</v>
      </c>
      <c r="J787" t="s">
        <v>93</v>
      </c>
      <c r="K787">
        <v>1</v>
      </c>
      <c r="L787">
        <v>-8.4990283407962952</v>
      </c>
      <c r="M787">
        <v>0</v>
      </c>
      <c r="N787">
        <v>1</v>
      </c>
    </row>
    <row r="788" spans="4:14" x14ac:dyDescent="0.3">
      <c r="D788" t="s">
        <v>126</v>
      </c>
      <c r="E788" t="s">
        <v>56</v>
      </c>
      <c r="F788" t="s">
        <v>89</v>
      </c>
      <c r="G788">
        <v>2018</v>
      </c>
      <c r="H788" t="s">
        <v>95</v>
      </c>
      <c r="I788" t="s">
        <v>81</v>
      </c>
      <c r="J788" t="s">
        <v>93</v>
      </c>
      <c r="K788">
        <v>1</v>
      </c>
      <c r="L788">
        <v>-7.5437002514610549</v>
      </c>
      <c r="M788">
        <v>0</v>
      </c>
      <c r="N788">
        <v>1</v>
      </c>
    </row>
    <row r="789" spans="4:14" x14ac:dyDescent="0.3">
      <c r="D789" t="s">
        <v>126</v>
      </c>
      <c r="E789" t="s">
        <v>56</v>
      </c>
      <c r="F789" t="s">
        <v>89</v>
      </c>
      <c r="G789">
        <v>2030</v>
      </c>
      <c r="H789" t="s">
        <v>95</v>
      </c>
      <c r="I789" t="s">
        <v>81</v>
      </c>
      <c r="J789" t="s">
        <v>93</v>
      </c>
      <c r="K789">
        <v>1</v>
      </c>
      <c r="L789">
        <v>-8.4990283407962952</v>
      </c>
      <c r="M789">
        <v>0</v>
      </c>
      <c r="N789">
        <v>1</v>
      </c>
    </row>
    <row r="790" spans="4:14" x14ac:dyDescent="0.3">
      <c r="D790" t="s">
        <v>126</v>
      </c>
      <c r="E790" t="s">
        <v>58</v>
      </c>
      <c r="F790" t="s">
        <v>89</v>
      </c>
      <c r="G790">
        <v>2017</v>
      </c>
      <c r="H790" t="s">
        <v>95</v>
      </c>
      <c r="I790" t="s">
        <v>81</v>
      </c>
      <c r="J790" t="s">
        <v>93</v>
      </c>
      <c r="K790">
        <v>1</v>
      </c>
      <c r="L790">
        <v>-7.5717521284489333</v>
      </c>
      <c r="M790">
        <v>0</v>
      </c>
      <c r="N790">
        <v>1</v>
      </c>
    </row>
    <row r="791" spans="4:14" x14ac:dyDescent="0.3">
      <c r="D791" t="s">
        <v>126</v>
      </c>
      <c r="E791" t="s">
        <v>58</v>
      </c>
      <c r="F791" t="s">
        <v>89</v>
      </c>
      <c r="G791">
        <v>2018</v>
      </c>
      <c r="H791" t="s">
        <v>95</v>
      </c>
      <c r="I791" t="s">
        <v>81</v>
      </c>
      <c r="J791" t="s">
        <v>93</v>
      </c>
      <c r="K791">
        <v>1</v>
      </c>
      <c r="L791">
        <v>-8.0594815043116927</v>
      </c>
      <c r="M791">
        <v>0</v>
      </c>
      <c r="N791">
        <v>1</v>
      </c>
    </row>
    <row r="792" spans="4:14" x14ac:dyDescent="0.3">
      <c r="D792" t="s">
        <v>126</v>
      </c>
      <c r="E792" t="s">
        <v>58</v>
      </c>
      <c r="F792" t="s">
        <v>89</v>
      </c>
      <c r="G792">
        <v>2030</v>
      </c>
      <c r="H792" t="s">
        <v>95</v>
      </c>
      <c r="I792" t="s">
        <v>81</v>
      </c>
      <c r="J792" t="s">
        <v>93</v>
      </c>
      <c r="K792">
        <v>1</v>
      </c>
      <c r="L792">
        <v>-8.0594815043116927</v>
      </c>
      <c r="M792">
        <v>0</v>
      </c>
      <c r="N792">
        <v>1</v>
      </c>
    </row>
    <row r="793" spans="4:14" x14ac:dyDescent="0.3">
      <c r="D793" t="s">
        <v>126</v>
      </c>
      <c r="E793" t="s">
        <v>59</v>
      </c>
      <c r="F793" t="s">
        <v>89</v>
      </c>
      <c r="G793">
        <v>2017</v>
      </c>
      <c r="H793" t="s">
        <v>95</v>
      </c>
      <c r="I793" t="s">
        <v>81</v>
      </c>
      <c r="J793" t="s">
        <v>93</v>
      </c>
      <c r="K793">
        <v>1</v>
      </c>
      <c r="L793">
        <v>-2.5654354268218738</v>
      </c>
      <c r="M793">
        <v>0</v>
      </c>
      <c r="N793">
        <v>1</v>
      </c>
    </row>
    <row r="794" spans="4:14" x14ac:dyDescent="0.3">
      <c r="D794" t="s">
        <v>126</v>
      </c>
      <c r="E794" t="s">
        <v>59</v>
      </c>
      <c r="F794" t="s">
        <v>89</v>
      </c>
      <c r="G794">
        <v>2018</v>
      </c>
      <c r="H794" t="s">
        <v>95</v>
      </c>
      <c r="I794" t="s">
        <v>81</v>
      </c>
      <c r="J794" t="s">
        <v>93</v>
      </c>
      <c r="K794">
        <v>1</v>
      </c>
      <c r="L794">
        <v>-2.066816978087215</v>
      </c>
      <c r="M794">
        <v>0</v>
      </c>
      <c r="N794">
        <v>1</v>
      </c>
    </row>
    <row r="795" spans="4:14" x14ac:dyDescent="0.3">
      <c r="D795" t="s">
        <v>126</v>
      </c>
      <c r="E795" t="s">
        <v>59</v>
      </c>
      <c r="F795" t="s">
        <v>89</v>
      </c>
      <c r="G795">
        <v>2030</v>
      </c>
      <c r="H795" t="s">
        <v>95</v>
      </c>
      <c r="I795" t="s">
        <v>81</v>
      </c>
      <c r="J795" t="s">
        <v>93</v>
      </c>
      <c r="K795">
        <v>1</v>
      </c>
      <c r="L795">
        <v>-2.5654354268218738</v>
      </c>
      <c r="M795">
        <v>0</v>
      </c>
      <c r="N795">
        <v>1</v>
      </c>
    </row>
    <row r="796" spans="4:14" x14ac:dyDescent="0.3">
      <c r="D796" t="s">
        <v>127</v>
      </c>
      <c r="E796" t="s">
        <v>33</v>
      </c>
      <c r="F796" t="s">
        <v>89</v>
      </c>
      <c r="G796">
        <v>2017</v>
      </c>
      <c r="H796" t="s">
        <v>95</v>
      </c>
      <c r="I796" t="s">
        <v>128</v>
      </c>
      <c r="J796" t="s">
        <v>93</v>
      </c>
      <c r="K796">
        <v>1</v>
      </c>
      <c r="L796">
        <v>-5.6697984686134353</v>
      </c>
      <c r="M796">
        <v>0</v>
      </c>
      <c r="N796">
        <v>1</v>
      </c>
    </row>
    <row r="797" spans="4:14" x14ac:dyDescent="0.3">
      <c r="D797" t="s">
        <v>127</v>
      </c>
      <c r="E797" t="s">
        <v>33</v>
      </c>
      <c r="F797" t="s">
        <v>89</v>
      </c>
      <c r="G797">
        <v>2018</v>
      </c>
      <c r="H797" t="s">
        <v>95</v>
      </c>
      <c r="I797" t="s">
        <v>128</v>
      </c>
      <c r="J797" t="s">
        <v>93</v>
      </c>
      <c r="K797">
        <v>1</v>
      </c>
      <c r="L797">
        <v>-5.12865873240988</v>
      </c>
      <c r="M797">
        <v>0</v>
      </c>
      <c r="N797">
        <v>1</v>
      </c>
    </row>
    <row r="798" spans="4:14" x14ac:dyDescent="0.3">
      <c r="D798" t="s">
        <v>127</v>
      </c>
      <c r="E798" t="s">
        <v>41</v>
      </c>
      <c r="F798" t="s">
        <v>89</v>
      </c>
      <c r="G798">
        <v>2017</v>
      </c>
      <c r="H798" t="s">
        <v>95</v>
      </c>
      <c r="I798" t="s">
        <v>128</v>
      </c>
      <c r="J798" t="s">
        <v>93</v>
      </c>
      <c r="K798">
        <v>1</v>
      </c>
      <c r="L798">
        <v>-5.6697984686134353</v>
      </c>
      <c r="M798">
        <v>0</v>
      </c>
      <c r="N798">
        <v>1</v>
      </c>
    </row>
    <row r="799" spans="4:14" x14ac:dyDescent="0.3">
      <c r="D799" t="s">
        <v>127</v>
      </c>
      <c r="E799" t="s">
        <v>41</v>
      </c>
      <c r="F799" t="s">
        <v>89</v>
      </c>
      <c r="G799">
        <v>2018</v>
      </c>
      <c r="H799" t="s">
        <v>95</v>
      </c>
      <c r="I799" t="s">
        <v>128</v>
      </c>
      <c r="J799" t="s">
        <v>93</v>
      </c>
      <c r="K799">
        <v>1</v>
      </c>
      <c r="L799">
        <v>-5.1286587324098809</v>
      </c>
      <c r="M799">
        <v>0</v>
      </c>
      <c r="N799">
        <v>1</v>
      </c>
    </row>
    <row r="800" spans="4:14" x14ac:dyDescent="0.3">
      <c r="D800" t="s">
        <v>127</v>
      </c>
      <c r="E800" t="s">
        <v>42</v>
      </c>
      <c r="F800" t="s">
        <v>89</v>
      </c>
      <c r="G800">
        <v>2017</v>
      </c>
      <c r="H800" t="s">
        <v>95</v>
      </c>
      <c r="I800" t="s">
        <v>128</v>
      </c>
      <c r="J800" t="s">
        <v>93</v>
      </c>
      <c r="K800">
        <v>1</v>
      </c>
      <c r="L800">
        <v>-3.9313868687694078</v>
      </c>
      <c r="M800">
        <v>0</v>
      </c>
      <c r="N800">
        <v>1</v>
      </c>
    </row>
    <row r="801" spans="4:14" x14ac:dyDescent="0.3">
      <c r="D801" t="s">
        <v>127</v>
      </c>
      <c r="E801" t="s">
        <v>42</v>
      </c>
      <c r="F801" t="s">
        <v>89</v>
      </c>
      <c r="G801">
        <v>2018</v>
      </c>
      <c r="H801" t="s">
        <v>95</v>
      </c>
      <c r="I801" t="s">
        <v>128</v>
      </c>
      <c r="J801" t="s">
        <v>93</v>
      </c>
      <c r="K801">
        <v>1</v>
      </c>
      <c r="L801">
        <v>-3.1527971235409229</v>
      </c>
      <c r="M801">
        <v>0</v>
      </c>
      <c r="N801">
        <v>1</v>
      </c>
    </row>
    <row r="802" spans="4:14" x14ac:dyDescent="0.3">
      <c r="D802" t="s">
        <v>127</v>
      </c>
      <c r="E802" t="s">
        <v>44</v>
      </c>
      <c r="F802" t="s">
        <v>89</v>
      </c>
      <c r="G802">
        <v>2017</v>
      </c>
      <c r="H802" t="s">
        <v>95</v>
      </c>
      <c r="I802" t="s">
        <v>128</v>
      </c>
      <c r="J802" t="s">
        <v>93</v>
      </c>
      <c r="K802">
        <v>1</v>
      </c>
      <c r="L802">
        <v>-2.6996670379750385</v>
      </c>
      <c r="M802">
        <v>0</v>
      </c>
      <c r="N802">
        <v>1</v>
      </c>
    </row>
    <row r="803" spans="4:14" x14ac:dyDescent="0.3">
      <c r="D803" t="s">
        <v>127</v>
      </c>
      <c r="E803" t="s">
        <v>44</v>
      </c>
      <c r="F803" t="s">
        <v>89</v>
      </c>
      <c r="G803">
        <v>2018</v>
      </c>
      <c r="H803" t="s">
        <v>95</v>
      </c>
      <c r="I803" t="s">
        <v>128</v>
      </c>
      <c r="J803" t="s">
        <v>93</v>
      </c>
      <c r="K803">
        <v>1</v>
      </c>
      <c r="L803">
        <v>-5.9676010984871253</v>
      </c>
      <c r="M803">
        <v>0</v>
      </c>
      <c r="N803">
        <v>1</v>
      </c>
    </row>
    <row r="804" spans="4:14" x14ac:dyDescent="0.3">
      <c r="D804" t="s">
        <v>127</v>
      </c>
      <c r="E804" t="s">
        <v>45</v>
      </c>
      <c r="F804" t="s">
        <v>89</v>
      </c>
      <c r="G804">
        <v>2017</v>
      </c>
      <c r="H804" t="s">
        <v>95</v>
      </c>
      <c r="I804" t="s">
        <v>128</v>
      </c>
      <c r="J804" t="s">
        <v>93</v>
      </c>
      <c r="K804">
        <v>1</v>
      </c>
      <c r="L804">
        <v>-4.3234774962337479</v>
      </c>
      <c r="M804">
        <v>0</v>
      </c>
      <c r="N804">
        <v>1</v>
      </c>
    </row>
    <row r="805" spans="4:14" x14ac:dyDescent="0.3">
      <c r="D805" t="s">
        <v>127</v>
      </c>
      <c r="E805" t="s">
        <v>45</v>
      </c>
      <c r="F805" t="s">
        <v>89</v>
      </c>
      <c r="G805">
        <v>2018</v>
      </c>
      <c r="H805" t="s">
        <v>95</v>
      </c>
      <c r="I805" t="s">
        <v>128</v>
      </c>
      <c r="J805" t="s">
        <v>93</v>
      </c>
      <c r="K805">
        <v>1</v>
      </c>
      <c r="L805">
        <v>-4.3516204855714387</v>
      </c>
      <c r="M805">
        <v>0</v>
      </c>
      <c r="N805">
        <v>1</v>
      </c>
    </row>
    <row r="806" spans="4:14" x14ac:dyDescent="0.3">
      <c r="D806" t="s">
        <v>127</v>
      </c>
      <c r="E806" t="s">
        <v>46</v>
      </c>
      <c r="F806" t="s">
        <v>89</v>
      </c>
      <c r="G806">
        <v>2017</v>
      </c>
      <c r="H806" t="s">
        <v>95</v>
      </c>
      <c r="I806" t="s">
        <v>128</v>
      </c>
      <c r="J806" t="s">
        <v>93</v>
      </c>
      <c r="K806">
        <v>1</v>
      </c>
      <c r="L806">
        <v>-3.6078008272217144</v>
      </c>
      <c r="M806">
        <v>0</v>
      </c>
      <c r="N806">
        <v>1</v>
      </c>
    </row>
    <row r="807" spans="4:14" x14ac:dyDescent="0.3">
      <c r="D807" t="s">
        <v>127</v>
      </c>
      <c r="E807" t="s">
        <v>46</v>
      </c>
      <c r="F807" t="s">
        <v>89</v>
      </c>
      <c r="G807">
        <v>2018</v>
      </c>
      <c r="H807" t="s">
        <v>95</v>
      </c>
      <c r="I807" t="s">
        <v>128</v>
      </c>
      <c r="J807" t="s">
        <v>93</v>
      </c>
      <c r="K807">
        <v>1</v>
      </c>
      <c r="L807">
        <v>-3.6356678833216232</v>
      </c>
      <c r="M807">
        <v>0</v>
      </c>
      <c r="N807">
        <v>1</v>
      </c>
    </row>
    <row r="808" spans="4:14" x14ac:dyDescent="0.3">
      <c r="D808" t="s">
        <v>127</v>
      </c>
      <c r="E808" t="s">
        <v>49</v>
      </c>
      <c r="F808" t="s">
        <v>89</v>
      </c>
      <c r="G808">
        <v>2017</v>
      </c>
      <c r="H808" t="s">
        <v>95</v>
      </c>
      <c r="I808" t="s">
        <v>128</v>
      </c>
      <c r="J808" t="s">
        <v>93</v>
      </c>
      <c r="K808">
        <v>1</v>
      </c>
      <c r="L808">
        <v>-5.0003783579544772</v>
      </c>
      <c r="M808">
        <v>0</v>
      </c>
      <c r="N808">
        <v>1</v>
      </c>
    </row>
    <row r="809" spans="4:14" x14ac:dyDescent="0.3">
      <c r="D809" t="s">
        <v>127</v>
      </c>
      <c r="E809" t="s">
        <v>49</v>
      </c>
      <c r="F809" t="s">
        <v>89</v>
      </c>
      <c r="G809">
        <v>2018</v>
      </c>
      <c r="H809" t="s">
        <v>95</v>
      </c>
      <c r="I809" t="s">
        <v>128</v>
      </c>
      <c r="J809" t="s">
        <v>93</v>
      </c>
      <c r="K809">
        <v>1</v>
      </c>
      <c r="L809">
        <v>-5.3798625119134114</v>
      </c>
      <c r="M809">
        <v>0</v>
      </c>
      <c r="N809">
        <v>1</v>
      </c>
    </row>
    <row r="810" spans="4:14" x14ac:dyDescent="0.3">
      <c r="D810" t="s">
        <v>127</v>
      </c>
      <c r="E810" t="s">
        <v>50</v>
      </c>
      <c r="F810" t="s">
        <v>89</v>
      </c>
      <c r="G810">
        <v>2017</v>
      </c>
      <c r="H810" t="s">
        <v>95</v>
      </c>
      <c r="I810" t="s">
        <v>128</v>
      </c>
      <c r="J810" t="s">
        <v>93</v>
      </c>
      <c r="K810">
        <v>1</v>
      </c>
      <c r="L810">
        <v>-3.8371941997144701</v>
      </c>
      <c r="M810">
        <v>0</v>
      </c>
      <c r="N810">
        <v>1</v>
      </c>
    </row>
    <row r="811" spans="4:14" x14ac:dyDescent="0.3">
      <c r="D811" t="s">
        <v>127</v>
      </c>
      <c r="E811" t="s">
        <v>50</v>
      </c>
      <c r="F811" t="s">
        <v>89</v>
      </c>
      <c r="G811">
        <v>2018</v>
      </c>
      <c r="H811" t="s">
        <v>95</v>
      </c>
      <c r="I811" t="s">
        <v>128</v>
      </c>
      <c r="J811" t="s">
        <v>93</v>
      </c>
      <c r="K811">
        <v>1</v>
      </c>
      <c r="L811">
        <v>-3.9210032532586205</v>
      </c>
      <c r="M811">
        <v>0</v>
      </c>
      <c r="N811">
        <v>1</v>
      </c>
    </row>
    <row r="812" spans="4:14" x14ac:dyDescent="0.3">
      <c r="D812" t="s">
        <v>127</v>
      </c>
      <c r="E812" t="s">
        <v>51</v>
      </c>
      <c r="F812" t="s">
        <v>89</v>
      </c>
      <c r="G812">
        <v>2017</v>
      </c>
      <c r="H812" t="s">
        <v>95</v>
      </c>
      <c r="I812" t="s">
        <v>128</v>
      </c>
      <c r="J812" t="s">
        <v>93</v>
      </c>
      <c r="K812">
        <v>1</v>
      </c>
      <c r="L812">
        <v>-5.1389959708508268</v>
      </c>
      <c r="M812">
        <v>0</v>
      </c>
      <c r="N812">
        <v>1</v>
      </c>
    </row>
    <row r="813" spans="4:14" x14ac:dyDescent="0.3">
      <c r="D813" t="s">
        <v>127</v>
      </c>
      <c r="E813" t="s">
        <v>51</v>
      </c>
      <c r="F813" t="s">
        <v>89</v>
      </c>
      <c r="G813">
        <v>2018</v>
      </c>
      <c r="H813" t="s">
        <v>95</v>
      </c>
      <c r="I813" t="s">
        <v>128</v>
      </c>
      <c r="J813" t="s">
        <v>93</v>
      </c>
      <c r="K813">
        <v>1</v>
      </c>
      <c r="L813">
        <v>-5.2034834719310057</v>
      </c>
      <c r="M813">
        <v>0</v>
      </c>
      <c r="N813">
        <v>1</v>
      </c>
    </row>
    <row r="814" spans="4:14" x14ac:dyDescent="0.3">
      <c r="D814" t="s">
        <v>127</v>
      </c>
      <c r="E814" t="s">
        <v>53</v>
      </c>
      <c r="F814" t="s">
        <v>89</v>
      </c>
      <c r="G814">
        <v>2017</v>
      </c>
      <c r="H814" t="s">
        <v>95</v>
      </c>
      <c r="I814" t="s">
        <v>128</v>
      </c>
      <c r="J814" t="s">
        <v>93</v>
      </c>
      <c r="K814">
        <v>1</v>
      </c>
      <c r="L814">
        <v>-3.9860370529944</v>
      </c>
      <c r="M814">
        <v>0</v>
      </c>
      <c r="N814">
        <v>1</v>
      </c>
    </row>
    <row r="815" spans="4:14" x14ac:dyDescent="0.3">
      <c r="D815" t="s">
        <v>127</v>
      </c>
      <c r="E815" t="s">
        <v>53</v>
      </c>
      <c r="F815" t="s">
        <v>89</v>
      </c>
      <c r="G815">
        <v>2018</v>
      </c>
      <c r="H815" t="s">
        <v>95</v>
      </c>
      <c r="I815" t="s">
        <v>128</v>
      </c>
      <c r="J815" t="s">
        <v>93</v>
      </c>
      <c r="K815">
        <v>1</v>
      </c>
      <c r="L815">
        <v>-3.9979983429790367</v>
      </c>
      <c r="M815">
        <v>0</v>
      </c>
      <c r="N815">
        <v>1</v>
      </c>
    </row>
    <row r="816" spans="4:14" x14ac:dyDescent="0.3">
      <c r="D816" t="s">
        <v>127</v>
      </c>
      <c r="E816" t="s">
        <v>54</v>
      </c>
      <c r="F816" t="s">
        <v>89</v>
      </c>
      <c r="G816">
        <v>2017</v>
      </c>
      <c r="H816" t="s">
        <v>95</v>
      </c>
      <c r="I816" t="s">
        <v>128</v>
      </c>
      <c r="J816" t="s">
        <v>93</v>
      </c>
      <c r="K816">
        <v>1</v>
      </c>
      <c r="L816">
        <v>-6.1256105323401879</v>
      </c>
      <c r="M816">
        <v>0</v>
      </c>
      <c r="N816">
        <v>1</v>
      </c>
    </row>
    <row r="817" spans="4:14" x14ac:dyDescent="0.3">
      <c r="D817" t="s">
        <v>127</v>
      </c>
      <c r="E817" t="s">
        <v>54</v>
      </c>
      <c r="F817" t="s">
        <v>89</v>
      </c>
      <c r="G817">
        <v>2018</v>
      </c>
      <c r="H817" t="s">
        <v>95</v>
      </c>
      <c r="I817" t="s">
        <v>128</v>
      </c>
      <c r="J817" t="s">
        <v>93</v>
      </c>
      <c r="K817">
        <v>1</v>
      </c>
      <c r="L817">
        <v>-5.8008783433616742</v>
      </c>
      <c r="M817">
        <v>0</v>
      </c>
      <c r="N817">
        <v>1</v>
      </c>
    </row>
    <row r="818" spans="4:14" x14ac:dyDescent="0.3">
      <c r="D818" t="s">
        <v>127</v>
      </c>
      <c r="E818" t="s">
        <v>55</v>
      </c>
      <c r="F818" t="s">
        <v>89</v>
      </c>
      <c r="G818">
        <v>2017</v>
      </c>
      <c r="H818" t="s">
        <v>95</v>
      </c>
      <c r="I818" t="s">
        <v>128</v>
      </c>
      <c r="J818" t="s">
        <v>93</v>
      </c>
      <c r="K818">
        <v>1</v>
      </c>
      <c r="L818">
        <v>-6.9026116493861505</v>
      </c>
      <c r="M818">
        <v>0</v>
      </c>
      <c r="N818">
        <v>1</v>
      </c>
    </row>
    <row r="819" spans="4:14" x14ac:dyDescent="0.3">
      <c r="D819" t="s">
        <v>127</v>
      </c>
      <c r="E819" t="s">
        <v>55</v>
      </c>
      <c r="F819" t="s">
        <v>89</v>
      </c>
      <c r="G819">
        <v>2018</v>
      </c>
      <c r="H819" t="s">
        <v>95</v>
      </c>
      <c r="I819" t="s">
        <v>128</v>
      </c>
      <c r="J819" t="s">
        <v>93</v>
      </c>
      <c r="K819">
        <v>1</v>
      </c>
      <c r="L819">
        <v>-5.3089348994204792</v>
      </c>
      <c r="M819">
        <v>0</v>
      </c>
      <c r="N819">
        <v>1</v>
      </c>
    </row>
    <row r="820" spans="4:14" x14ac:dyDescent="0.3">
      <c r="D820" t="s">
        <v>127</v>
      </c>
      <c r="E820" t="s">
        <v>56</v>
      </c>
      <c r="F820" t="s">
        <v>89</v>
      </c>
      <c r="G820">
        <v>2017</v>
      </c>
      <c r="H820" t="s">
        <v>95</v>
      </c>
      <c r="I820" t="s">
        <v>128</v>
      </c>
      <c r="J820" t="s">
        <v>93</v>
      </c>
      <c r="K820">
        <v>1</v>
      </c>
      <c r="L820">
        <v>-4.4766450221105183</v>
      </c>
      <c r="M820">
        <v>0</v>
      </c>
      <c r="N820">
        <v>1</v>
      </c>
    </row>
    <row r="821" spans="4:14" x14ac:dyDescent="0.3">
      <c r="D821" t="s">
        <v>127</v>
      </c>
      <c r="E821" t="s">
        <v>56</v>
      </c>
      <c r="F821" t="s">
        <v>89</v>
      </c>
      <c r="G821">
        <v>2018</v>
      </c>
      <c r="H821" t="s">
        <v>95</v>
      </c>
      <c r="I821" t="s">
        <v>128</v>
      </c>
      <c r="J821" t="s">
        <v>93</v>
      </c>
      <c r="K821">
        <v>1</v>
      </c>
      <c r="L821">
        <v>-4.2428584156680991</v>
      </c>
      <c r="M821">
        <v>0</v>
      </c>
      <c r="N821">
        <v>1</v>
      </c>
    </row>
    <row r="822" spans="4:14" x14ac:dyDescent="0.3">
      <c r="D822" t="s">
        <v>127</v>
      </c>
      <c r="E822" t="s">
        <v>57</v>
      </c>
      <c r="F822" t="s">
        <v>89</v>
      </c>
      <c r="G822">
        <v>2017</v>
      </c>
      <c r="H822" t="s">
        <v>95</v>
      </c>
      <c r="I822" t="s">
        <v>128</v>
      </c>
      <c r="J822" t="s">
        <v>93</v>
      </c>
      <c r="K822">
        <v>1</v>
      </c>
      <c r="L822">
        <v>-7.2961654459284802</v>
      </c>
      <c r="M822">
        <v>0</v>
      </c>
      <c r="N822">
        <v>1</v>
      </c>
    </row>
    <row r="823" spans="4:14" x14ac:dyDescent="0.3">
      <c r="D823" t="s">
        <v>127</v>
      </c>
      <c r="E823" t="s">
        <v>57</v>
      </c>
      <c r="F823" t="s">
        <v>89</v>
      </c>
      <c r="G823">
        <v>2018</v>
      </c>
      <c r="H823" t="s">
        <v>95</v>
      </c>
      <c r="I823" t="s">
        <v>128</v>
      </c>
      <c r="J823" t="s">
        <v>93</v>
      </c>
      <c r="K823">
        <v>1</v>
      </c>
      <c r="L823">
        <v>-4.8190159900814962</v>
      </c>
      <c r="M823">
        <v>0</v>
      </c>
      <c r="N823">
        <v>1</v>
      </c>
    </row>
    <row r="824" spans="4:14" x14ac:dyDescent="0.3">
      <c r="D824" t="s">
        <v>127</v>
      </c>
      <c r="E824" t="s">
        <v>58</v>
      </c>
      <c r="F824" t="s">
        <v>89</v>
      </c>
      <c r="G824">
        <v>2017</v>
      </c>
      <c r="H824" t="s">
        <v>95</v>
      </c>
      <c r="I824" t="s">
        <v>128</v>
      </c>
      <c r="J824" t="s">
        <v>93</v>
      </c>
      <c r="K824">
        <v>1</v>
      </c>
      <c r="L824">
        <v>-4.339071361143251</v>
      </c>
      <c r="M824">
        <v>0</v>
      </c>
      <c r="N824">
        <v>1</v>
      </c>
    </row>
    <row r="825" spans="4:14" x14ac:dyDescent="0.3">
      <c r="D825" t="s">
        <v>127</v>
      </c>
      <c r="E825" t="s">
        <v>58</v>
      </c>
      <c r="F825" t="s">
        <v>89</v>
      </c>
      <c r="G825">
        <v>2018</v>
      </c>
      <c r="H825" t="s">
        <v>95</v>
      </c>
      <c r="I825" t="s">
        <v>128</v>
      </c>
      <c r="J825" t="s">
        <v>93</v>
      </c>
      <c r="K825">
        <v>1</v>
      </c>
      <c r="L825">
        <v>-4.0829767694282868</v>
      </c>
      <c r="M825">
        <v>0</v>
      </c>
      <c r="N825">
        <v>1</v>
      </c>
    </row>
    <row r="826" spans="4:14" x14ac:dyDescent="0.3">
      <c r="D826" t="s">
        <v>127</v>
      </c>
      <c r="E826" t="s">
        <v>59</v>
      </c>
      <c r="F826" t="s">
        <v>89</v>
      </c>
      <c r="G826">
        <v>2017</v>
      </c>
      <c r="H826" t="s">
        <v>95</v>
      </c>
      <c r="I826" t="s">
        <v>128</v>
      </c>
      <c r="J826" t="s">
        <v>93</v>
      </c>
      <c r="K826">
        <v>1</v>
      </c>
      <c r="L826">
        <v>-4.0810962768825387</v>
      </c>
      <c r="M826">
        <v>0</v>
      </c>
      <c r="N826">
        <v>1</v>
      </c>
    </row>
    <row r="827" spans="4:14" x14ac:dyDescent="0.3">
      <c r="D827" t="s">
        <v>127</v>
      </c>
      <c r="E827" t="s">
        <v>59</v>
      </c>
      <c r="F827" t="s">
        <v>89</v>
      </c>
      <c r="G827">
        <v>2018</v>
      </c>
      <c r="H827" t="s">
        <v>95</v>
      </c>
      <c r="I827" t="s">
        <v>128</v>
      </c>
      <c r="J827" t="s">
        <v>93</v>
      </c>
      <c r="K827">
        <v>1</v>
      </c>
      <c r="L827">
        <v>-3.6917987682842921</v>
      </c>
      <c r="M827">
        <v>0</v>
      </c>
      <c r="N827">
        <v>1</v>
      </c>
    </row>
    <row r="828" spans="4:14" x14ac:dyDescent="0.3">
      <c r="D828" t="s">
        <v>127</v>
      </c>
      <c r="E828" t="s">
        <v>60</v>
      </c>
      <c r="F828" t="s">
        <v>89</v>
      </c>
      <c r="G828">
        <v>2017</v>
      </c>
      <c r="H828" t="s">
        <v>95</v>
      </c>
      <c r="I828" t="s">
        <v>128</v>
      </c>
      <c r="J828" t="s">
        <v>93</v>
      </c>
      <c r="K828">
        <v>1</v>
      </c>
      <c r="L828">
        <v>-6.174600688422422</v>
      </c>
      <c r="M828">
        <v>0</v>
      </c>
      <c r="N828">
        <v>1</v>
      </c>
    </row>
    <row r="829" spans="4:14" x14ac:dyDescent="0.3">
      <c r="D829" t="s">
        <v>127</v>
      </c>
      <c r="E829" t="s">
        <v>60</v>
      </c>
      <c r="F829" t="s">
        <v>89</v>
      </c>
      <c r="G829">
        <v>2018</v>
      </c>
      <c r="H829" t="s">
        <v>95</v>
      </c>
      <c r="I829" t="s">
        <v>128</v>
      </c>
      <c r="J829" t="s">
        <v>93</v>
      </c>
      <c r="K829">
        <v>1</v>
      </c>
      <c r="L829">
        <v>-6.1936355079014849</v>
      </c>
      <c r="M829">
        <v>0</v>
      </c>
      <c r="N829">
        <v>1</v>
      </c>
    </row>
    <row r="830" spans="4:14" x14ac:dyDescent="0.3">
      <c r="D830" t="s">
        <v>129</v>
      </c>
      <c r="E830" t="s">
        <v>33</v>
      </c>
      <c r="F830" t="s">
        <v>89</v>
      </c>
      <c r="G830">
        <v>2017</v>
      </c>
      <c r="H830" t="s">
        <v>95</v>
      </c>
      <c r="I830" t="s">
        <v>130</v>
      </c>
      <c r="J830" t="s">
        <v>93</v>
      </c>
      <c r="K830">
        <v>1</v>
      </c>
      <c r="L830">
        <v>-9.0502431718338503</v>
      </c>
      <c r="M830">
        <v>0</v>
      </c>
      <c r="N830">
        <v>1</v>
      </c>
    </row>
    <row r="831" spans="4:14" x14ac:dyDescent="0.3">
      <c r="D831" t="s">
        <v>129</v>
      </c>
      <c r="E831" t="s">
        <v>33</v>
      </c>
      <c r="F831" t="s">
        <v>89</v>
      </c>
      <c r="G831">
        <v>2018</v>
      </c>
      <c r="H831" t="s">
        <v>95</v>
      </c>
      <c r="I831" t="s">
        <v>130</v>
      </c>
      <c r="J831" t="s">
        <v>93</v>
      </c>
      <c r="K831">
        <v>1</v>
      </c>
      <c r="L831">
        <v>-9.353732742741359</v>
      </c>
      <c r="M831">
        <v>0</v>
      </c>
      <c r="N831">
        <v>1</v>
      </c>
    </row>
    <row r="832" spans="4:14" x14ac:dyDescent="0.3">
      <c r="D832" t="s">
        <v>129</v>
      </c>
      <c r="E832" t="s">
        <v>41</v>
      </c>
      <c r="F832" t="s">
        <v>89</v>
      </c>
      <c r="G832">
        <v>2017</v>
      </c>
      <c r="H832" t="s">
        <v>95</v>
      </c>
      <c r="I832" t="s">
        <v>130</v>
      </c>
      <c r="J832" t="s">
        <v>93</v>
      </c>
      <c r="K832">
        <v>1</v>
      </c>
      <c r="L832">
        <v>-9.0502431718338467</v>
      </c>
      <c r="M832">
        <v>0</v>
      </c>
      <c r="N832">
        <v>1</v>
      </c>
    </row>
    <row r="833" spans="4:14" x14ac:dyDescent="0.3">
      <c r="D833" t="s">
        <v>129</v>
      </c>
      <c r="E833" t="s">
        <v>41</v>
      </c>
      <c r="F833" t="s">
        <v>89</v>
      </c>
      <c r="G833">
        <v>2018</v>
      </c>
      <c r="H833" t="s">
        <v>95</v>
      </c>
      <c r="I833" t="s">
        <v>130</v>
      </c>
      <c r="J833" t="s">
        <v>93</v>
      </c>
      <c r="K833">
        <v>1</v>
      </c>
      <c r="L833">
        <v>-9.3537327427413555</v>
      </c>
      <c r="M833">
        <v>0</v>
      </c>
      <c r="N833">
        <v>1</v>
      </c>
    </row>
    <row r="834" spans="4:14" x14ac:dyDescent="0.3">
      <c r="D834" t="s">
        <v>129</v>
      </c>
      <c r="E834" t="s">
        <v>42</v>
      </c>
      <c r="F834" t="s">
        <v>89</v>
      </c>
      <c r="G834">
        <v>2017</v>
      </c>
      <c r="H834" t="s">
        <v>95</v>
      </c>
      <c r="I834" t="s">
        <v>130</v>
      </c>
      <c r="J834" t="s">
        <v>93</v>
      </c>
      <c r="K834">
        <v>1</v>
      </c>
      <c r="L834">
        <v>-9.543437891447244</v>
      </c>
      <c r="M834">
        <v>0</v>
      </c>
      <c r="N834">
        <v>1</v>
      </c>
    </row>
    <row r="835" spans="4:14" x14ac:dyDescent="0.3">
      <c r="D835" t="s">
        <v>129</v>
      </c>
      <c r="E835" t="s">
        <v>42</v>
      </c>
      <c r="F835" t="s">
        <v>89</v>
      </c>
      <c r="G835">
        <v>2018</v>
      </c>
      <c r="H835" t="s">
        <v>95</v>
      </c>
      <c r="I835" t="s">
        <v>130</v>
      </c>
      <c r="J835" t="s">
        <v>93</v>
      </c>
      <c r="K835">
        <v>1</v>
      </c>
      <c r="L835">
        <v>-9.6837237133534995</v>
      </c>
      <c r="M835">
        <v>0</v>
      </c>
      <c r="N835">
        <v>1</v>
      </c>
    </row>
    <row r="836" spans="4:14" x14ac:dyDescent="0.3">
      <c r="D836" t="s">
        <v>129</v>
      </c>
      <c r="E836" t="s">
        <v>44</v>
      </c>
      <c r="F836" t="s">
        <v>89</v>
      </c>
      <c r="G836">
        <v>2017</v>
      </c>
      <c r="H836" t="s">
        <v>95</v>
      </c>
      <c r="I836" t="s">
        <v>130</v>
      </c>
      <c r="J836" t="s">
        <v>93</v>
      </c>
      <c r="K836">
        <v>1</v>
      </c>
      <c r="L836">
        <v>-12.348226738739738</v>
      </c>
      <c r="M836">
        <v>0</v>
      </c>
      <c r="N836">
        <v>1</v>
      </c>
    </row>
    <row r="837" spans="4:14" x14ac:dyDescent="0.3">
      <c r="D837" t="s">
        <v>129</v>
      </c>
      <c r="E837" t="s">
        <v>44</v>
      </c>
      <c r="F837" t="s">
        <v>89</v>
      </c>
      <c r="G837">
        <v>2018</v>
      </c>
      <c r="H837" t="s">
        <v>95</v>
      </c>
      <c r="I837" t="s">
        <v>130</v>
      </c>
      <c r="J837" t="s">
        <v>93</v>
      </c>
      <c r="K837">
        <v>1</v>
      </c>
      <c r="L837">
        <v>-12.069696899834998</v>
      </c>
      <c r="M837">
        <v>0</v>
      </c>
      <c r="N837">
        <v>1</v>
      </c>
    </row>
    <row r="838" spans="4:14" x14ac:dyDescent="0.3">
      <c r="D838" t="s">
        <v>129</v>
      </c>
      <c r="E838" t="s">
        <v>45</v>
      </c>
      <c r="F838" t="s">
        <v>89</v>
      </c>
      <c r="G838">
        <v>2017</v>
      </c>
      <c r="H838" t="s">
        <v>95</v>
      </c>
      <c r="I838" t="s">
        <v>130</v>
      </c>
      <c r="J838" t="s">
        <v>93</v>
      </c>
      <c r="K838">
        <v>1</v>
      </c>
      <c r="L838">
        <v>-9.1249397427217342</v>
      </c>
      <c r="M838">
        <v>0</v>
      </c>
      <c r="N838">
        <v>1</v>
      </c>
    </row>
    <row r="839" spans="4:14" x14ac:dyDescent="0.3">
      <c r="D839" t="s">
        <v>129</v>
      </c>
      <c r="E839" t="s">
        <v>45</v>
      </c>
      <c r="F839" t="s">
        <v>89</v>
      </c>
      <c r="G839">
        <v>2018</v>
      </c>
      <c r="H839" t="s">
        <v>95</v>
      </c>
      <c r="I839" t="s">
        <v>130</v>
      </c>
      <c r="J839" t="s">
        <v>93</v>
      </c>
      <c r="K839">
        <v>1</v>
      </c>
      <c r="L839">
        <v>-9.1849139996804947</v>
      </c>
      <c r="M839">
        <v>0</v>
      </c>
      <c r="N839">
        <v>1</v>
      </c>
    </row>
    <row r="840" spans="4:14" x14ac:dyDescent="0.3">
      <c r="D840" t="s">
        <v>129</v>
      </c>
      <c r="E840" t="s">
        <v>46</v>
      </c>
      <c r="F840" t="s">
        <v>89</v>
      </c>
      <c r="G840">
        <v>2017</v>
      </c>
      <c r="H840" t="s">
        <v>95</v>
      </c>
      <c r="I840" t="s">
        <v>130</v>
      </c>
      <c r="J840" t="s">
        <v>93</v>
      </c>
      <c r="K840">
        <v>1</v>
      </c>
      <c r="L840">
        <v>-6.4454221477285882</v>
      </c>
      <c r="M840">
        <v>0</v>
      </c>
      <c r="N840">
        <v>1</v>
      </c>
    </row>
    <row r="841" spans="4:14" x14ac:dyDescent="0.3">
      <c r="D841" t="s">
        <v>129</v>
      </c>
      <c r="E841" t="s">
        <v>46</v>
      </c>
      <c r="F841" t="s">
        <v>89</v>
      </c>
      <c r="G841">
        <v>2018</v>
      </c>
      <c r="H841" t="s">
        <v>95</v>
      </c>
      <c r="I841" t="s">
        <v>130</v>
      </c>
      <c r="J841" t="s">
        <v>93</v>
      </c>
      <c r="K841">
        <v>1</v>
      </c>
      <c r="L841">
        <v>-7.1129863375623676</v>
      </c>
      <c r="M841">
        <v>0</v>
      </c>
      <c r="N841">
        <v>1</v>
      </c>
    </row>
    <row r="842" spans="4:14" x14ac:dyDescent="0.3">
      <c r="D842" t="s">
        <v>129</v>
      </c>
      <c r="E842" t="s">
        <v>49</v>
      </c>
      <c r="F842" t="s">
        <v>89</v>
      </c>
      <c r="G842">
        <v>2017</v>
      </c>
      <c r="H842" t="s">
        <v>95</v>
      </c>
      <c r="I842" t="s">
        <v>130</v>
      </c>
      <c r="J842" t="s">
        <v>93</v>
      </c>
      <c r="K842">
        <v>1</v>
      </c>
      <c r="L842">
        <v>-9.9844329480546268</v>
      </c>
      <c r="M842">
        <v>0</v>
      </c>
      <c r="N842">
        <v>1</v>
      </c>
    </row>
    <row r="843" spans="4:14" x14ac:dyDescent="0.3">
      <c r="D843" t="s">
        <v>129</v>
      </c>
      <c r="E843" t="s">
        <v>49</v>
      </c>
      <c r="F843" t="s">
        <v>89</v>
      </c>
      <c r="G843">
        <v>2018</v>
      </c>
      <c r="H843" t="s">
        <v>95</v>
      </c>
      <c r="I843" t="s">
        <v>130</v>
      </c>
      <c r="J843" t="s">
        <v>93</v>
      </c>
      <c r="K843">
        <v>1</v>
      </c>
      <c r="L843">
        <v>-11.149747190341436</v>
      </c>
      <c r="M843">
        <v>0</v>
      </c>
      <c r="N843">
        <v>1</v>
      </c>
    </row>
    <row r="844" spans="4:14" x14ac:dyDescent="0.3">
      <c r="D844" t="s">
        <v>129</v>
      </c>
      <c r="E844" t="s">
        <v>50</v>
      </c>
      <c r="F844" t="s">
        <v>89</v>
      </c>
      <c r="G844">
        <v>2017</v>
      </c>
      <c r="H844" t="s">
        <v>95</v>
      </c>
      <c r="I844" t="s">
        <v>130</v>
      </c>
      <c r="J844" t="s">
        <v>93</v>
      </c>
      <c r="K844">
        <v>1</v>
      </c>
      <c r="L844">
        <v>-7.6739610460190599</v>
      </c>
      <c r="M844">
        <v>0</v>
      </c>
      <c r="N844">
        <v>1</v>
      </c>
    </row>
    <row r="845" spans="4:14" x14ac:dyDescent="0.3">
      <c r="D845" t="s">
        <v>129</v>
      </c>
      <c r="E845" t="s">
        <v>50</v>
      </c>
      <c r="F845" t="s">
        <v>89</v>
      </c>
      <c r="G845">
        <v>2018</v>
      </c>
      <c r="H845" t="s">
        <v>95</v>
      </c>
      <c r="I845" t="s">
        <v>130</v>
      </c>
      <c r="J845" t="s">
        <v>93</v>
      </c>
      <c r="K845">
        <v>1</v>
      </c>
      <c r="L845">
        <v>-7.5748012167049792</v>
      </c>
      <c r="M845">
        <v>0</v>
      </c>
      <c r="N845">
        <v>1</v>
      </c>
    </row>
    <row r="846" spans="4:14" x14ac:dyDescent="0.3">
      <c r="D846" t="s">
        <v>129</v>
      </c>
      <c r="E846" t="s">
        <v>51</v>
      </c>
      <c r="F846" t="s">
        <v>89</v>
      </c>
      <c r="G846">
        <v>2017</v>
      </c>
      <c r="H846" t="s">
        <v>95</v>
      </c>
      <c r="I846" t="s">
        <v>130</v>
      </c>
      <c r="J846" t="s">
        <v>93</v>
      </c>
      <c r="K846">
        <v>1</v>
      </c>
      <c r="L846">
        <v>-5.9928864546998346</v>
      </c>
      <c r="M846">
        <v>0</v>
      </c>
      <c r="N846">
        <v>1</v>
      </c>
    </row>
    <row r="847" spans="4:14" x14ac:dyDescent="0.3">
      <c r="D847" t="s">
        <v>129</v>
      </c>
      <c r="E847" t="s">
        <v>51</v>
      </c>
      <c r="F847" t="s">
        <v>89</v>
      </c>
      <c r="G847">
        <v>2018</v>
      </c>
      <c r="H847" t="s">
        <v>95</v>
      </c>
      <c r="I847" t="s">
        <v>130</v>
      </c>
      <c r="J847" t="s">
        <v>93</v>
      </c>
      <c r="K847">
        <v>1</v>
      </c>
      <c r="L847">
        <v>-6.5258198515097421</v>
      </c>
      <c r="M847">
        <v>0</v>
      </c>
      <c r="N847">
        <v>1</v>
      </c>
    </row>
    <row r="848" spans="4:14" x14ac:dyDescent="0.3">
      <c r="D848" t="s">
        <v>129</v>
      </c>
      <c r="E848" t="s">
        <v>53</v>
      </c>
      <c r="F848" t="s">
        <v>89</v>
      </c>
      <c r="G848">
        <v>2017</v>
      </c>
      <c r="H848" t="s">
        <v>95</v>
      </c>
      <c r="I848" t="s">
        <v>130</v>
      </c>
      <c r="J848" t="s">
        <v>93</v>
      </c>
      <c r="K848">
        <v>1</v>
      </c>
      <c r="L848">
        <v>-6.6762188177376105</v>
      </c>
      <c r="M848">
        <v>0</v>
      </c>
      <c r="N848">
        <v>1</v>
      </c>
    </row>
    <row r="849" spans="4:14" x14ac:dyDescent="0.3">
      <c r="D849" t="s">
        <v>129</v>
      </c>
      <c r="E849" t="s">
        <v>53</v>
      </c>
      <c r="F849" t="s">
        <v>89</v>
      </c>
      <c r="G849">
        <v>2018</v>
      </c>
      <c r="H849" t="s">
        <v>95</v>
      </c>
      <c r="I849" t="s">
        <v>130</v>
      </c>
      <c r="J849" t="s">
        <v>93</v>
      </c>
      <c r="K849">
        <v>1</v>
      </c>
      <c r="L849">
        <v>-7.3095069771770005</v>
      </c>
      <c r="M849">
        <v>0</v>
      </c>
      <c r="N849">
        <v>1</v>
      </c>
    </row>
    <row r="850" spans="4:14" x14ac:dyDescent="0.3">
      <c r="D850" t="s">
        <v>129</v>
      </c>
      <c r="E850" t="s">
        <v>54</v>
      </c>
      <c r="F850" t="s">
        <v>89</v>
      </c>
      <c r="G850">
        <v>2017</v>
      </c>
      <c r="H850" t="s">
        <v>95</v>
      </c>
      <c r="I850" t="s">
        <v>130</v>
      </c>
      <c r="J850" t="s">
        <v>93</v>
      </c>
      <c r="K850">
        <v>1</v>
      </c>
      <c r="L850">
        <v>-5.8795400886426927</v>
      </c>
      <c r="M850">
        <v>0</v>
      </c>
      <c r="N850">
        <v>1</v>
      </c>
    </row>
    <row r="851" spans="4:14" x14ac:dyDescent="0.3">
      <c r="D851" t="s">
        <v>129</v>
      </c>
      <c r="E851" t="s">
        <v>54</v>
      </c>
      <c r="F851" t="s">
        <v>89</v>
      </c>
      <c r="G851">
        <v>2018</v>
      </c>
      <c r="H851" t="s">
        <v>95</v>
      </c>
      <c r="I851" t="s">
        <v>130</v>
      </c>
      <c r="J851" t="s">
        <v>93</v>
      </c>
      <c r="K851">
        <v>1</v>
      </c>
      <c r="L851">
        <v>-6.8144351367519116</v>
      </c>
      <c r="M851">
        <v>0</v>
      </c>
      <c r="N851">
        <v>1</v>
      </c>
    </row>
    <row r="852" spans="4:14" x14ac:dyDescent="0.3">
      <c r="D852" t="s">
        <v>129</v>
      </c>
      <c r="E852" t="s">
        <v>55</v>
      </c>
      <c r="F852" t="s">
        <v>89</v>
      </c>
      <c r="G852">
        <v>2017</v>
      </c>
      <c r="H852" t="s">
        <v>95</v>
      </c>
      <c r="I852" t="s">
        <v>130</v>
      </c>
      <c r="J852" t="s">
        <v>93</v>
      </c>
      <c r="K852">
        <v>1</v>
      </c>
      <c r="L852">
        <v>-8.6932937387307216</v>
      </c>
      <c r="M852">
        <v>0</v>
      </c>
      <c r="N852">
        <v>1</v>
      </c>
    </row>
    <row r="853" spans="4:14" x14ac:dyDescent="0.3">
      <c r="D853" t="s">
        <v>129</v>
      </c>
      <c r="E853" t="s">
        <v>55</v>
      </c>
      <c r="F853" t="s">
        <v>89</v>
      </c>
      <c r="G853">
        <v>2018</v>
      </c>
      <c r="H853" t="s">
        <v>95</v>
      </c>
      <c r="I853" t="s">
        <v>130</v>
      </c>
      <c r="J853" t="s">
        <v>93</v>
      </c>
      <c r="K853">
        <v>1</v>
      </c>
      <c r="L853">
        <v>-9.0652113488959536</v>
      </c>
      <c r="M853">
        <v>0</v>
      </c>
      <c r="N853">
        <v>1</v>
      </c>
    </row>
    <row r="854" spans="4:14" x14ac:dyDescent="0.3">
      <c r="D854" t="s">
        <v>129</v>
      </c>
      <c r="E854" t="s">
        <v>56</v>
      </c>
      <c r="F854" t="s">
        <v>89</v>
      </c>
      <c r="G854">
        <v>2017</v>
      </c>
      <c r="H854" t="s">
        <v>95</v>
      </c>
      <c r="I854" t="s">
        <v>130</v>
      </c>
      <c r="J854" t="s">
        <v>93</v>
      </c>
      <c r="K854">
        <v>1</v>
      </c>
      <c r="L854">
        <v>-8.3865219647613447</v>
      </c>
      <c r="M854">
        <v>0</v>
      </c>
      <c r="N854">
        <v>1</v>
      </c>
    </row>
    <row r="855" spans="4:14" x14ac:dyDescent="0.3">
      <c r="D855" t="s">
        <v>129</v>
      </c>
      <c r="E855" t="s">
        <v>56</v>
      </c>
      <c r="F855" t="s">
        <v>89</v>
      </c>
      <c r="G855">
        <v>2018</v>
      </c>
      <c r="H855" t="s">
        <v>95</v>
      </c>
      <c r="I855" t="s">
        <v>130</v>
      </c>
      <c r="J855" t="s">
        <v>93</v>
      </c>
      <c r="K855">
        <v>1</v>
      </c>
      <c r="L855">
        <v>-7.9513062730093118</v>
      </c>
      <c r="M855">
        <v>0</v>
      </c>
      <c r="N855">
        <v>1</v>
      </c>
    </row>
    <row r="856" spans="4:14" x14ac:dyDescent="0.3">
      <c r="D856" t="s">
        <v>129</v>
      </c>
      <c r="E856" t="s">
        <v>57</v>
      </c>
      <c r="F856" t="s">
        <v>89</v>
      </c>
      <c r="G856">
        <v>2017</v>
      </c>
      <c r="H856" t="s">
        <v>95</v>
      </c>
      <c r="I856" t="s">
        <v>130</v>
      </c>
      <c r="J856" t="s">
        <v>93</v>
      </c>
      <c r="K856">
        <v>1</v>
      </c>
      <c r="L856">
        <v>-24.5</v>
      </c>
      <c r="M856">
        <v>0</v>
      </c>
      <c r="N856">
        <v>1</v>
      </c>
    </row>
    <row r="857" spans="4:14" x14ac:dyDescent="0.3">
      <c r="D857" t="s">
        <v>129</v>
      </c>
      <c r="E857" t="s">
        <v>57</v>
      </c>
      <c r="F857" t="s">
        <v>89</v>
      </c>
      <c r="G857">
        <v>2018</v>
      </c>
      <c r="H857" t="s">
        <v>95</v>
      </c>
      <c r="I857" t="s">
        <v>130</v>
      </c>
      <c r="J857" t="s">
        <v>93</v>
      </c>
      <c r="K857">
        <v>1</v>
      </c>
      <c r="L857">
        <v>-16.016217845108624</v>
      </c>
      <c r="M857">
        <v>0</v>
      </c>
      <c r="N857">
        <v>1</v>
      </c>
    </row>
    <row r="858" spans="4:14" x14ac:dyDescent="0.3">
      <c r="D858" t="s">
        <v>129</v>
      </c>
      <c r="E858" t="s">
        <v>58</v>
      </c>
      <c r="F858" t="s">
        <v>89</v>
      </c>
      <c r="G858">
        <v>2017</v>
      </c>
      <c r="H858" t="s">
        <v>95</v>
      </c>
      <c r="I858" t="s">
        <v>130</v>
      </c>
      <c r="J858" t="s">
        <v>93</v>
      </c>
      <c r="K858">
        <v>1</v>
      </c>
      <c r="L858">
        <v>-6.3918129036969287</v>
      </c>
      <c r="M858">
        <v>0</v>
      </c>
      <c r="N858">
        <v>1</v>
      </c>
    </row>
    <row r="859" spans="4:14" x14ac:dyDescent="0.3">
      <c r="D859" t="s">
        <v>129</v>
      </c>
      <c r="E859" t="s">
        <v>58</v>
      </c>
      <c r="F859" t="s">
        <v>89</v>
      </c>
      <c r="G859">
        <v>2018</v>
      </c>
      <c r="H859" t="s">
        <v>95</v>
      </c>
      <c r="I859" t="s">
        <v>130</v>
      </c>
      <c r="J859" t="s">
        <v>93</v>
      </c>
      <c r="K859">
        <v>1</v>
      </c>
      <c r="L859">
        <v>-6.2159512697002075</v>
      </c>
      <c r="M859">
        <v>0</v>
      </c>
      <c r="N859">
        <v>1</v>
      </c>
    </row>
    <row r="860" spans="4:14" x14ac:dyDescent="0.3">
      <c r="D860" t="s">
        <v>129</v>
      </c>
      <c r="E860" t="s">
        <v>59</v>
      </c>
      <c r="F860" t="s">
        <v>89</v>
      </c>
      <c r="G860">
        <v>2017</v>
      </c>
      <c r="H860" t="s">
        <v>95</v>
      </c>
      <c r="I860" t="s">
        <v>130</v>
      </c>
      <c r="J860" t="s">
        <v>93</v>
      </c>
      <c r="K860">
        <v>1</v>
      </c>
      <c r="L860">
        <v>-8.0621010059537159</v>
      </c>
      <c r="M860">
        <v>0</v>
      </c>
      <c r="N860">
        <v>1</v>
      </c>
    </row>
    <row r="861" spans="4:14" x14ac:dyDescent="0.3">
      <c r="D861" t="s">
        <v>129</v>
      </c>
      <c r="E861" t="s">
        <v>59</v>
      </c>
      <c r="F861" t="s">
        <v>89</v>
      </c>
      <c r="G861">
        <v>2018</v>
      </c>
      <c r="H861" t="s">
        <v>95</v>
      </c>
      <c r="I861" t="s">
        <v>130</v>
      </c>
      <c r="J861" t="s">
        <v>93</v>
      </c>
      <c r="K861">
        <v>1</v>
      </c>
      <c r="L861">
        <v>-7.3659193722985297</v>
      </c>
      <c r="M861">
        <v>0</v>
      </c>
      <c r="N861">
        <v>1</v>
      </c>
    </row>
    <row r="862" spans="4:14" x14ac:dyDescent="0.3">
      <c r="D862" t="s">
        <v>129</v>
      </c>
      <c r="E862" t="s">
        <v>60</v>
      </c>
      <c r="F862" t="s">
        <v>89</v>
      </c>
      <c r="G862">
        <v>2017</v>
      </c>
      <c r="H862" t="s">
        <v>95</v>
      </c>
      <c r="I862" t="s">
        <v>130</v>
      </c>
      <c r="J862" t="s">
        <v>93</v>
      </c>
      <c r="K862">
        <v>1</v>
      </c>
      <c r="L862">
        <v>-10.417132448316201</v>
      </c>
      <c r="M862">
        <v>0</v>
      </c>
      <c r="N862">
        <v>1</v>
      </c>
    </row>
    <row r="863" spans="4:14" x14ac:dyDescent="0.3">
      <c r="D863" t="s">
        <v>129</v>
      </c>
      <c r="E863" t="s">
        <v>60</v>
      </c>
      <c r="F863" t="s">
        <v>89</v>
      </c>
      <c r="G863">
        <v>2018</v>
      </c>
      <c r="H863" t="s">
        <v>95</v>
      </c>
      <c r="I863" t="s">
        <v>130</v>
      </c>
      <c r="J863" t="s">
        <v>93</v>
      </c>
      <c r="K863">
        <v>1</v>
      </c>
      <c r="L863">
        <v>-10.355630375852659</v>
      </c>
      <c r="M863">
        <v>0</v>
      </c>
      <c r="N863">
        <v>1</v>
      </c>
    </row>
    <row r="864" spans="4:14" x14ac:dyDescent="0.3">
      <c r="D864" t="s">
        <v>131</v>
      </c>
      <c r="E864" t="s">
        <v>42</v>
      </c>
      <c r="F864" t="s">
        <v>89</v>
      </c>
      <c r="G864">
        <v>2017</v>
      </c>
      <c r="H864" t="s">
        <v>90</v>
      </c>
      <c r="I864" t="s">
        <v>132</v>
      </c>
      <c r="J864" t="s">
        <v>73</v>
      </c>
      <c r="K864">
        <v>1</v>
      </c>
      <c r="L864">
        <v>-13.325268979929177</v>
      </c>
      <c r="M864">
        <v>0</v>
      </c>
      <c r="N864">
        <v>1</v>
      </c>
    </row>
    <row r="865" spans="4:14" x14ac:dyDescent="0.3">
      <c r="D865" t="s">
        <v>131</v>
      </c>
      <c r="E865" t="s">
        <v>42</v>
      </c>
      <c r="F865" t="s">
        <v>89</v>
      </c>
      <c r="G865">
        <v>2018</v>
      </c>
      <c r="H865" t="s">
        <v>90</v>
      </c>
      <c r="I865" t="s">
        <v>132</v>
      </c>
      <c r="J865" t="s">
        <v>73</v>
      </c>
      <c r="K865">
        <v>1</v>
      </c>
      <c r="L865">
        <v>-14.142643346205046</v>
      </c>
      <c r="M865">
        <v>0</v>
      </c>
      <c r="N865">
        <v>1</v>
      </c>
    </row>
    <row r="866" spans="4:14" x14ac:dyDescent="0.3">
      <c r="D866" t="s">
        <v>131</v>
      </c>
      <c r="E866" t="s">
        <v>44</v>
      </c>
      <c r="F866" t="s">
        <v>89</v>
      </c>
      <c r="G866">
        <v>2017</v>
      </c>
      <c r="H866" t="s">
        <v>90</v>
      </c>
      <c r="I866" t="s">
        <v>132</v>
      </c>
      <c r="J866" t="s">
        <v>73</v>
      </c>
      <c r="K866">
        <v>1</v>
      </c>
      <c r="L866">
        <v>-1.8929972762650185</v>
      </c>
      <c r="M866">
        <v>0</v>
      </c>
      <c r="N866">
        <v>1</v>
      </c>
    </row>
    <row r="867" spans="4:14" x14ac:dyDescent="0.3">
      <c r="D867" t="s">
        <v>131</v>
      </c>
      <c r="E867" t="s">
        <v>44</v>
      </c>
      <c r="F867" t="s">
        <v>89</v>
      </c>
      <c r="G867">
        <v>2018</v>
      </c>
      <c r="H867" t="s">
        <v>90</v>
      </c>
      <c r="I867" t="s">
        <v>132</v>
      </c>
      <c r="J867" t="s">
        <v>73</v>
      </c>
      <c r="K867">
        <v>1</v>
      </c>
      <c r="L867">
        <v>-2.0117645282368848</v>
      </c>
      <c r="M867">
        <v>0</v>
      </c>
      <c r="N867">
        <v>1</v>
      </c>
    </row>
    <row r="868" spans="4:14" x14ac:dyDescent="0.3">
      <c r="D868" t="s">
        <v>131</v>
      </c>
      <c r="E868" t="s">
        <v>45</v>
      </c>
      <c r="F868" t="s">
        <v>89</v>
      </c>
      <c r="G868">
        <v>2017</v>
      </c>
      <c r="H868" t="s">
        <v>90</v>
      </c>
      <c r="I868" t="s">
        <v>132</v>
      </c>
      <c r="J868" t="s">
        <v>73</v>
      </c>
      <c r="K868">
        <v>1</v>
      </c>
      <c r="L868">
        <v>-3.5053737157121589</v>
      </c>
      <c r="M868">
        <v>0</v>
      </c>
      <c r="N868">
        <v>1</v>
      </c>
    </row>
    <row r="869" spans="4:14" x14ac:dyDescent="0.3">
      <c r="D869" t="s">
        <v>131</v>
      </c>
      <c r="E869" t="s">
        <v>45</v>
      </c>
      <c r="F869" t="s">
        <v>89</v>
      </c>
      <c r="G869">
        <v>2018</v>
      </c>
      <c r="H869" t="s">
        <v>90</v>
      </c>
      <c r="I869" t="s">
        <v>132</v>
      </c>
      <c r="J869" t="s">
        <v>73</v>
      </c>
      <c r="K869">
        <v>1</v>
      </c>
      <c r="L869">
        <v>-3.5415423244807873</v>
      </c>
      <c r="M869">
        <v>0</v>
      </c>
      <c r="N869">
        <v>1</v>
      </c>
    </row>
    <row r="870" spans="4:14" x14ac:dyDescent="0.3">
      <c r="D870" t="s">
        <v>131</v>
      </c>
      <c r="E870" t="s">
        <v>49</v>
      </c>
      <c r="F870" t="s">
        <v>89</v>
      </c>
      <c r="G870">
        <v>2017</v>
      </c>
      <c r="H870" t="s">
        <v>90</v>
      </c>
      <c r="I870" t="s">
        <v>132</v>
      </c>
      <c r="J870" t="s">
        <v>73</v>
      </c>
      <c r="K870">
        <v>1</v>
      </c>
      <c r="L870">
        <v>-1.2830612950631017</v>
      </c>
      <c r="M870">
        <v>0</v>
      </c>
      <c r="N870">
        <v>1</v>
      </c>
    </row>
    <row r="871" spans="4:14" x14ac:dyDescent="0.3">
      <c r="D871" t="s">
        <v>131</v>
      </c>
      <c r="E871" t="s">
        <v>49</v>
      </c>
      <c r="F871" t="s">
        <v>89</v>
      </c>
      <c r="G871">
        <v>2018</v>
      </c>
      <c r="H871" t="s">
        <v>90</v>
      </c>
      <c r="I871" t="s">
        <v>132</v>
      </c>
      <c r="J871" t="s">
        <v>73</v>
      </c>
      <c r="K871">
        <v>1</v>
      </c>
      <c r="L871">
        <v>-1.9726586617952839</v>
      </c>
      <c r="M871">
        <v>0</v>
      </c>
      <c r="N871">
        <v>1</v>
      </c>
    </row>
    <row r="872" spans="4:14" x14ac:dyDescent="0.3">
      <c r="D872" t="s">
        <v>131</v>
      </c>
      <c r="E872" t="s">
        <v>50</v>
      </c>
      <c r="F872" t="s">
        <v>89</v>
      </c>
      <c r="G872">
        <v>2017</v>
      </c>
      <c r="H872" t="s">
        <v>90</v>
      </c>
      <c r="I872" t="s">
        <v>132</v>
      </c>
      <c r="J872" t="s">
        <v>73</v>
      </c>
      <c r="K872">
        <v>1</v>
      </c>
      <c r="L872">
        <v>-16.529817174927597</v>
      </c>
      <c r="M872">
        <v>0</v>
      </c>
      <c r="N872">
        <v>1</v>
      </c>
    </row>
    <row r="873" spans="4:14" x14ac:dyDescent="0.3">
      <c r="D873" t="s">
        <v>131</v>
      </c>
      <c r="E873" t="s">
        <v>50</v>
      </c>
      <c r="F873" t="s">
        <v>89</v>
      </c>
      <c r="G873">
        <v>2018</v>
      </c>
      <c r="H873" t="s">
        <v>90</v>
      </c>
      <c r="I873" t="s">
        <v>132</v>
      </c>
      <c r="J873" t="s">
        <v>73</v>
      </c>
      <c r="K873">
        <v>1</v>
      </c>
      <c r="L873">
        <v>-15.988575737199321</v>
      </c>
      <c r="M873">
        <v>0</v>
      </c>
      <c r="N873">
        <v>1</v>
      </c>
    </row>
    <row r="874" spans="4:14" x14ac:dyDescent="0.3">
      <c r="D874" t="s">
        <v>131</v>
      </c>
      <c r="E874" t="s">
        <v>55</v>
      </c>
      <c r="F874" t="s">
        <v>89</v>
      </c>
      <c r="G874">
        <v>2017</v>
      </c>
      <c r="H874" t="s">
        <v>90</v>
      </c>
      <c r="I874" t="s">
        <v>132</v>
      </c>
      <c r="J874" t="s">
        <v>73</v>
      </c>
      <c r="K874">
        <v>1</v>
      </c>
      <c r="L874">
        <v>-1.7085320086992106</v>
      </c>
      <c r="M874">
        <v>0</v>
      </c>
      <c r="N874">
        <v>1</v>
      </c>
    </row>
    <row r="875" spans="4:14" x14ac:dyDescent="0.3">
      <c r="D875" t="s">
        <v>131</v>
      </c>
      <c r="E875" t="s">
        <v>55</v>
      </c>
      <c r="F875" t="s">
        <v>89</v>
      </c>
      <c r="G875">
        <v>2018</v>
      </c>
      <c r="H875" t="s">
        <v>90</v>
      </c>
      <c r="I875" t="s">
        <v>132</v>
      </c>
      <c r="J875" t="s">
        <v>73</v>
      </c>
      <c r="K875">
        <v>1</v>
      </c>
      <c r="L875">
        <v>-2.5142576065834068</v>
      </c>
      <c r="M875">
        <v>0</v>
      </c>
      <c r="N875">
        <v>1</v>
      </c>
    </row>
    <row r="876" spans="4:14" x14ac:dyDescent="0.3">
      <c r="D876" t="s">
        <v>131</v>
      </c>
      <c r="E876" t="s">
        <v>56</v>
      </c>
      <c r="F876" t="s">
        <v>89</v>
      </c>
      <c r="G876">
        <v>2017</v>
      </c>
      <c r="H876" t="s">
        <v>90</v>
      </c>
      <c r="I876" t="s">
        <v>132</v>
      </c>
      <c r="J876" t="s">
        <v>73</v>
      </c>
      <c r="K876">
        <v>1</v>
      </c>
      <c r="L876">
        <v>-5.8695152929602878</v>
      </c>
      <c r="M876">
        <v>0</v>
      </c>
      <c r="N876">
        <v>1</v>
      </c>
    </row>
    <row r="877" spans="4:14" x14ac:dyDescent="0.3">
      <c r="D877" t="s">
        <v>131</v>
      </c>
      <c r="E877" t="s">
        <v>56</v>
      </c>
      <c r="F877" t="s">
        <v>89</v>
      </c>
      <c r="G877">
        <v>2018</v>
      </c>
      <c r="H877" t="s">
        <v>90</v>
      </c>
      <c r="I877" t="s">
        <v>132</v>
      </c>
      <c r="J877" t="s">
        <v>73</v>
      </c>
      <c r="K877">
        <v>1</v>
      </c>
      <c r="L877">
        <v>-6.879226168781102</v>
      </c>
      <c r="M877">
        <v>0</v>
      </c>
      <c r="N877">
        <v>1</v>
      </c>
    </row>
    <row r="878" spans="4:14" x14ac:dyDescent="0.3">
      <c r="D878" t="s">
        <v>131</v>
      </c>
      <c r="E878" t="s">
        <v>57</v>
      </c>
      <c r="F878" t="s">
        <v>89</v>
      </c>
      <c r="G878">
        <v>2017</v>
      </c>
      <c r="H878" t="s">
        <v>90</v>
      </c>
      <c r="I878" t="s">
        <v>132</v>
      </c>
      <c r="J878" t="s">
        <v>73</v>
      </c>
      <c r="K878">
        <v>1</v>
      </c>
      <c r="L878">
        <v>-6.4981706177709713</v>
      </c>
      <c r="M878">
        <v>0</v>
      </c>
      <c r="N878">
        <v>1</v>
      </c>
    </row>
    <row r="879" spans="4:14" x14ac:dyDescent="0.3">
      <c r="D879" t="s">
        <v>131</v>
      </c>
      <c r="E879" t="s">
        <v>57</v>
      </c>
      <c r="F879" t="s">
        <v>89</v>
      </c>
      <c r="G879">
        <v>2018</v>
      </c>
      <c r="H879" t="s">
        <v>90</v>
      </c>
      <c r="I879" t="s">
        <v>132</v>
      </c>
      <c r="J879" t="s">
        <v>73</v>
      </c>
      <c r="K879">
        <v>1</v>
      </c>
      <c r="L879">
        <v>-6.3759644400621571</v>
      </c>
      <c r="M879">
        <v>0</v>
      </c>
      <c r="N879">
        <v>1</v>
      </c>
    </row>
    <row r="880" spans="4:14" x14ac:dyDescent="0.3">
      <c r="D880" t="s">
        <v>131</v>
      </c>
      <c r="E880" t="s">
        <v>58</v>
      </c>
      <c r="F880" t="s">
        <v>89</v>
      </c>
      <c r="G880">
        <v>2017</v>
      </c>
      <c r="H880" t="s">
        <v>90</v>
      </c>
      <c r="I880" t="s">
        <v>132</v>
      </c>
      <c r="J880" t="s">
        <v>73</v>
      </c>
      <c r="K880">
        <v>1</v>
      </c>
      <c r="L880">
        <v>-2.6467838157933907</v>
      </c>
      <c r="M880">
        <v>0</v>
      </c>
      <c r="N880">
        <v>1</v>
      </c>
    </row>
    <row r="881" spans="4:14" x14ac:dyDescent="0.3">
      <c r="D881" t="s">
        <v>131</v>
      </c>
      <c r="E881" t="s">
        <v>58</v>
      </c>
      <c r="F881" t="s">
        <v>89</v>
      </c>
      <c r="G881">
        <v>2018</v>
      </c>
      <c r="H881" t="s">
        <v>90</v>
      </c>
      <c r="I881" t="s">
        <v>132</v>
      </c>
      <c r="J881" t="s">
        <v>73</v>
      </c>
      <c r="K881">
        <v>1</v>
      </c>
      <c r="L881">
        <v>-2.8822471842078206</v>
      </c>
      <c r="M881">
        <v>0</v>
      </c>
      <c r="N881">
        <v>1</v>
      </c>
    </row>
    <row r="882" spans="4:14" x14ac:dyDescent="0.3">
      <c r="D882" t="s">
        <v>131</v>
      </c>
      <c r="E882" t="s">
        <v>59</v>
      </c>
      <c r="F882" t="s">
        <v>89</v>
      </c>
      <c r="G882">
        <v>2017</v>
      </c>
      <c r="H882" t="s">
        <v>90</v>
      </c>
      <c r="I882" t="s">
        <v>132</v>
      </c>
      <c r="J882" t="s">
        <v>73</v>
      </c>
      <c r="K882">
        <v>1</v>
      </c>
      <c r="L882">
        <v>-8.9857201284058732</v>
      </c>
      <c r="M882">
        <v>0</v>
      </c>
      <c r="N882">
        <v>1</v>
      </c>
    </row>
    <row r="883" spans="4:14" x14ac:dyDescent="0.3">
      <c r="D883" t="s">
        <v>131</v>
      </c>
      <c r="E883" t="s">
        <v>59</v>
      </c>
      <c r="F883" t="s">
        <v>89</v>
      </c>
      <c r="G883">
        <v>2018</v>
      </c>
      <c r="H883" t="s">
        <v>90</v>
      </c>
      <c r="I883" t="s">
        <v>132</v>
      </c>
      <c r="J883" t="s">
        <v>73</v>
      </c>
      <c r="K883">
        <v>1</v>
      </c>
      <c r="L883">
        <v>-8.2225616585796377</v>
      </c>
      <c r="M883">
        <v>0</v>
      </c>
      <c r="N883">
        <v>1</v>
      </c>
    </row>
    <row r="884" spans="4:14" x14ac:dyDescent="0.3">
      <c r="D884" t="s">
        <v>131</v>
      </c>
      <c r="E884" t="s">
        <v>60</v>
      </c>
      <c r="F884" t="s">
        <v>89</v>
      </c>
      <c r="G884">
        <v>2017</v>
      </c>
      <c r="H884" t="s">
        <v>90</v>
      </c>
      <c r="I884" t="s">
        <v>132</v>
      </c>
      <c r="J884" t="s">
        <v>73</v>
      </c>
      <c r="K884">
        <v>1</v>
      </c>
      <c r="L884">
        <v>-8.2305331498790579</v>
      </c>
      <c r="M884">
        <v>0</v>
      </c>
      <c r="N884">
        <v>1</v>
      </c>
    </row>
    <row r="885" spans="4:14" x14ac:dyDescent="0.3">
      <c r="D885" t="s">
        <v>131</v>
      </c>
      <c r="E885" t="s">
        <v>60</v>
      </c>
      <c r="F885" t="s">
        <v>89</v>
      </c>
      <c r="G885">
        <v>2018</v>
      </c>
      <c r="H885" t="s">
        <v>90</v>
      </c>
      <c r="I885" t="s">
        <v>132</v>
      </c>
      <c r="J885" t="s">
        <v>73</v>
      </c>
      <c r="K885">
        <v>1</v>
      </c>
      <c r="L885">
        <v>-8.5885568043165481</v>
      </c>
      <c r="M885">
        <v>0</v>
      </c>
      <c r="N885">
        <v>1</v>
      </c>
    </row>
    <row r="886" spans="4:14" x14ac:dyDescent="0.3">
      <c r="D886" t="s">
        <v>133</v>
      </c>
      <c r="E886" t="s">
        <v>42</v>
      </c>
      <c r="F886" t="s">
        <v>89</v>
      </c>
      <c r="G886">
        <v>2017</v>
      </c>
      <c r="H886" t="s">
        <v>90</v>
      </c>
      <c r="I886" t="s">
        <v>132</v>
      </c>
      <c r="J886" t="s">
        <v>93</v>
      </c>
      <c r="K886">
        <v>1</v>
      </c>
      <c r="L886">
        <v>-14.277073907066978</v>
      </c>
      <c r="M886">
        <v>0</v>
      </c>
      <c r="N886">
        <v>1</v>
      </c>
    </row>
    <row r="887" spans="4:14" x14ac:dyDescent="0.3">
      <c r="D887" t="s">
        <v>133</v>
      </c>
      <c r="E887" t="s">
        <v>42</v>
      </c>
      <c r="F887" t="s">
        <v>89</v>
      </c>
      <c r="G887">
        <v>2018</v>
      </c>
      <c r="H887" t="s">
        <v>90</v>
      </c>
      <c r="I887" t="s">
        <v>132</v>
      </c>
      <c r="J887" t="s">
        <v>93</v>
      </c>
      <c r="K887">
        <v>1</v>
      </c>
      <c r="L887">
        <v>-15.152832156648264</v>
      </c>
      <c r="M887">
        <v>0</v>
      </c>
      <c r="N887">
        <v>1</v>
      </c>
    </row>
    <row r="888" spans="4:14" x14ac:dyDescent="0.3">
      <c r="D888" t="s">
        <v>133</v>
      </c>
      <c r="E888" t="s">
        <v>44</v>
      </c>
      <c r="F888" t="s">
        <v>89</v>
      </c>
      <c r="G888">
        <v>2017</v>
      </c>
      <c r="H888" t="s">
        <v>90</v>
      </c>
      <c r="I888" t="s">
        <v>132</v>
      </c>
      <c r="J888" t="s">
        <v>93</v>
      </c>
      <c r="K888">
        <v>1</v>
      </c>
      <c r="L888">
        <v>-2.0282113674268056</v>
      </c>
      <c r="M888">
        <v>0</v>
      </c>
      <c r="N888">
        <v>1</v>
      </c>
    </row>
    <row r="889" spans="4:14" x14ac:dyDescent="0.3">
      <c r="D889" t="s">
        <v>133</v>
      </c>
      <c r="E889" t="s">
        <v>44</v>
      </c>
      <c r="F889" t="s">
        <v>89</v>
      </c>
      <c r="G889">
        <v>2018</v>
      </c>
      <c r="H889" t="s">
        <v>90</v>
      </c>
      <c r="I889" t="s">
        <v>132</v>
      </c>
      <c r="J889" t="s">
        <v>93</v>
      </c>
      <c r="K889">
        <v>1</v>
      </c>
      <c r="L889">
        <v>-2.1554619945395195</v>
      </c>
      <c r="M889">
        <v>0</v>
      </c>
      <c r="N889">
        <v>1</v>
      </c>
    </row>
    <row r="890" spans="4:14" x14ac:dyDescent="0.3">
      <c r="D890" t="s">
        <v>133</v>
      </c>
      <c r="E890" t="s">
        <v>45</v>
      </c>
      <c r="F890" t="s">
        <v>89</v>
      </c>
      <c r="G890">
        <v>2017</v>
      </c>
      <c r="H890" t="s">
        <v>90</v>
      </c>
      <c r="I890" t="s">
        <v>132</v>
      </c>
      <c r="J890" t="s">
        <v>93</v>
      </c>
      <c r="K890">
        <v>1</v>
      </c>
      <c r="L890">
        <v>-3.7557575525487423</v>
      </c>
      <c r="M890">
        <v>0</v>
      </c>
      <c r="N890">
        <v>1</v>
      </c>
    </row>
    <row r="891" spans="4:14" x14ac:dyDescent="0.3">
      <c r="D891" t="s">
        <v>133</v>
      </c>
      <c r="E891" t="s">
        <v>45</v>
      </c>
      <c r="F891" t="s">
        <v>89</v>
      </c>
      <c r="G891">
        <v>2018</v>
      </c>
      <c r="H891" t="s">
        <v>90</v>
      </c>
      <c r="I891" t="s">
        <v>132</v>
      </c>
      <c r="J891" t="s">
        <v>93</v>
      </c>
      <c r="K891">
        <v>1</v>
      </c>
      <c r="L891">
        <v>-3.7945096333722725</v>
      </c>
      <c r="M891">
        <v>0</v>
      </c>
      <c r="N891">
        <v>1</v>
      </c>
    </row>
    <row r="892" spans="4:14" x14ac:dyDescent="0.3">
      <c r="D892" t="s">
        <v>133</v>
      </c>
      <c r="E892" t="s">
        <v>49</v>
      </c>
      <c r="F892" t="s">
        <v>89</v>
      </c>
      <c r="G892">
        <v>2017</v>
      </c>
      <c r="H892" t="s">
        <v>90</v>
      </c>
      <c r="I892" t="s">
        <v>132</v>
      </c>
      <c r="J892" t="s">
        <v>93</v>
      </c>
      <c r="K892">
        <v>1</v>
      </c>
      <c r="L892">
        <v>-1.3747085304247519</v>
      </c>
      <c r="M892">
        <v>0</v>
      </c>
      <c r="N892">
        <v>1</v>
      </c>
    </row>
    <row r="893" spans="4:14" x14ac:dyDescent="0.3">
      <c r="D893" t="s">
        <v>133</v>
      </c>
      <c r="E893" t="s">
        <v>49</v>
      </c>
      <c r="F893" t="s">
        <v>89</v>
      </c>
      <c r="G893">
        <v>2018</v>
      </c>
      <c r="H893" t="s">
        <v>90</v>
      </c>
      <c r="I893" t="s">
        <v>132</v>
      </c>
      <c r="J893" t="s">
        <v>93</v>
      </c>
      <c r="K893">
        <v>1</v>
      </c>
      <c r="L893">
        <v>-2.1135628519235188</v>
      </c>
      <c r="M893">
        <v>0</v>
      </c>
      <c r="N893">
        <v>1</v>
      </c>
    </row>
    <row r="894" spans="4:14" x14ac:dyDescent="0.3">
      <c r="D894" t="s">
        <v>133</v>
      </c>
      <c r="E894" t="s">
        <v>50</v>
      </c>
      <c r="F894" t="s">
        <v>89</v>
      </c>
      <c r="G894">
        <v>2017</v>
      </c>
      <c r="H894" t="s">
        <v>90</v>
      </c>
      <c r="I894" t="s">
        <v>132</v>
      </c>
      <c r="J894" t="s">
        <v>93</v>
      </c>
      <c r="K894">
        <v>1</v>
      </c>
      <c r="L894">
        <v>-17.710518401708143</v>
      </c>
      <c r="M894">
        <v>0</v>
      </c>
      <c r="N894">
        <v>1</v>
      </c>
    </row>
    <row r="895" spans="4:14" x14ac:dyDescent="0.3">
      <c r="D895" t="s">
        <v>133</v>
      </c>
      <c r="E895" t="s">
        <v>50</v>
      </c>
      <c r="F895" t="s">
        <v>89</v>
      </c>
      <c r="G895">
        <v>2018</v>
      </c>
      <c r="H895" t="s">
        <v>90</v>
      </c>
      <c r="I895" t="s">
        <v>132</v>
      </c>
      <c r="J895" t="s">
        <v>93</v>
      </c>
      <c r="K895">
        <v>1</v>
      </c>
      <c r="L895">
        <v>-17.130616861284988</v>
      </c>
      <c r="M895">
        <v>0</v>
      </c>
      <c r="N895">
        <v>1</v>
      </c>
    </row>
    <row r="896" spans="4:14" x14ac:dyDescent="0.3">
      <c r="D896" t="s">
        <v>133</v>
      </c>
      <c r="E896" t="s">
        <v>55</v>
      </c>
      <c r="F896" t="s">
        <v>89</v>
      </c>
      <c r="G896">
        <v>2017</v>
      </c>
      <c r="H896" t="s">
        <v>90</v>
      </c>
      <c r="I896" t="s">
        <v>132</v>
      </c>
      <c r="J896" t="s">
        <v>93</v>
      </c>
      <c r="K896">
        <v>1</v>
      </c>
      <c r="L896">
        <v>-1.830570009320583</v>
      </c>
      <c r="M896">
        <v>0</v>
      </c>
      <c r="N896">
        <v>1</v>
      </c>
    </row>
    <row r="897" spans="4:14" x14ac:dyDescent="0.3">
      <c r="D897" t="s">
        <v>133</v>
      </c>
      <c r="E897" t="s">
        <v>55</v>
      </c>
      <c r="F897" t="s">
        <v>89</v>
      </c>
      <c r="G897">
        <v>2018</v>
      </c>
      <c r="H897" t="s">
        <v>90</v>
      </c>
      <c r="I897" t="s">
        <v>132</v>
      </c>
      <c r="J897" t="s">
        <v>93</v>
      </c>
      <c r="K897">
        <v>1</v>
      </c>
      <c r="L897">
        <v>-2.693847435625079</v>
      </c>
      <c r="M897">
        <v>0</v>
      </c>
      <c r="N897">
        <v>1</v>
      </c>
    </row>
    <row r="898" spans="4:14" x14ac:dyDescent="0.3">
      <c r="D898" t="s">
        <v>133</v>
      </c>
      <c r="E898" t="s">
        <v>56</v>
      </c>
      <c r="F898" t="s">
        <v>89</v>
      </c>
      <c r="G898">
        <v>2017</v>
      </c>
      <c r="H898" t="s">
        <v>90</v>
      </c>
      <c r="I898" t="s">
        <v>132</v>
      </c>
      <c r="J898" t="s">
        <v>93</v>
      </c>
      <c r="K898">
        <v>1</v>
      </c>
      <c r="L898">
        <v>-6.2887663853145943</v>
      </c>
      <c r="M898">
        <v>0</v>
      </c>
      <c r="N898">
        <v>1</v>
      </c>
    </row>
    <row r="899" spans="4:14" x14ac:dyDescent="0.3">
      <c r="D899" t="s">
        <v>133</v>
      </c>
      <c r="E899" t="s">
        <v>56</v>
      </c>
      <c r="F899" t="s">
        <v>89</v>
      </c>
      <c r="G899">
        <v>2018</v>
      </c>
      <c r="H899" t="s">
        <v>90</v>
      </c>
      <c r="I899" t="s">
        <v>132</v>
      </c>
      <c r="J899" t="s">
        <v>93</v>
      </c>
      <c r="K899">
        <v>1</v>
      </c>
      <c r="L899">
        <v>-7.3705994665511811</v>
      </c>
      <c r="M899">
        <v>0</v>
      </c>
      <c r="N899">
        <v>1</v>
      </c>
    </row>
    <row r="900" spans="4:14" x14ac:dyDescent="0.3">
      <c r="D900" t="s">
        <v>133</v>
      </c>
      <c r="E900" t="s">
        <v>57</v>
      </c>
      <c r="F900" t="s">
        <v>89</v>
      </c>
      <c r="G900">
        <v>2017</v>
      </c>
      <c r="H900" t="s">
        <v>90</v>
      </c>
      <c r="I900" t="s">
        <v>132</v>
      </c>
      <c r="J900" t="s">
        <v>93</v>
      </c>
      <c r="K900">
        <v>1</v>
      </c>
      <c r="L900">
        <v>-6.96232566189747</v>
      </c>
      <c r="M900">
        <v>0</v>
      </c>
      <c r="N900">
        <v>1</v>
      </c>
    </row>
    <row r="901" spans="4:14" x14ac:dyDescent="0.3">
      <c r="D901" t="s">
        <v>133</v>
      </c>
      <c r="E901" t="s">
        <v>57</v>
      </c>
      <c r="F901" t="s">
        <v>89</v>
      </c>
      <c r="G901">
        <v>2018</v>
      </c>
      <c r="H901" t="s">
        <v>90</v>
      </c>
      <c r="I901" t="s">
        <v>132</v>
      </c>
      <c r="J901" t="s">
        <v>93</v>
      </c>
      <c r="K901">
        <v>1</v>
      </c>
      <c r="L901">
        <v>-6.831390471495169</v>
      </c>
      <c r="M901">
        <v>0</v>
      </c>
      <c r="N901">
        <v>1</v>
      </c>
    </row>
    <row r="902" spans="4:14" x14ac:dyDescent="0.3">
      <c r="D902" t="s">
        <v>133</v>
      </c>
      <c r="E902" t="s">
        <v>58</v>
      </c>
      <c r="F902" t="s">
        <v>89</v>
      </c>
      <c r="G902">
        <v>2017</v>
      </c>
      <c r="H902" t="s">
        <v>90</v>
      </c>
      <c r="I902" t="s">
        <v>132</v>
      </c>
      <c r="J902" t="s">
        <v>93</v>
      </c>
      <c r="K902">
        <v>1</v>
      </c>
      <c r="L902">
        <v>-2.8358398026357761</v>
      </c>
      <c r="M902">
        <v>0</v>
      </c>
      <c r="N902">
        <v>1</v>
      </c>
    </row>
    <row r="903" spans="4:14" x14ac:dyDescent="0.3">
      <c r="D903" t="s">
        <v>133</v>
      </c>
      <c r="E903" t="s">
        <v>58</v>
      </c>
      <c r="F903" t="s">
        <v>89</v>
      </c>
      <c r="G903">
        <v>2018</v>
      </c>
      <c r="H903" t="s">
        <v>90</v>
      </c>
      <c r="I903" t="s">
        <v>132</v>
      </c>
      <c r="J903" t="s">
        <v>93</v>
      </c>
      <c r="K903">
        <v>1</v>
      </c>
      <c r="L903">
        <v>-3.0881219830798079</v>
      </c>
      <c r="M903">
        <v>0</v>
      </c>
      <c r="N903">
        <v>1</v>
      </c>
    </row>
    <row r="904" spans="4:14" x14ac:dyDescent="0.3">
      <c r="D904" t="s">
        <v>133</v>
      </c>
      <c r="E904" t="s">
        <v>59</v>
      </c>
      <c r="F904" t="s">
        <v>89</v>
      </c>
      <c r="G904">
        <v>2017</v>
      </c>
      <c r="H904" t="s">
        <v>90</v>
      </c>
      <c r="I904" t="s">
        <v>132</v>
      </c>
      <c r="J904" t="s">
        <v>93</v>
      </c>
      <c r="K904">
        <v>1</v>
      </c>
      <c r="L904">
        <v>-9.6275572804348641</v>
      </c>
      <c r="M904">
        <v>0</v>
      </c>
      <c r="N904">
        <v>1</v>
      </c>
    </row>
    <row r="905" spans="4:14" x14ac:dyDescent="0.3">
      <c r="D905" t="s">
        <v>133</v>
      </c>
      <c r="E905" t="s">
        <v>59</v>
      </c>
      <c r="F905" t="s">
        <v>89</v>
      </c>
      <c r="G905">
        <v>2018</v>
      </c>
      <c r="H905" t="s">
        <v>90</v>
      </c>
      <c r="I905" t="s">
        <v>132</v>
      </c>
      <c r="J905" t="s">
        <v>93</v>
      </c>
      <c r="K905">
        <v>1</v>
      </c>
      <c r="L905">
        <v>-8.809887491335326</v>
      </c>
      <c r="M905">
        <v>0</v>
      </c>
      <c r="N905">
        <v>1</v>
      </c>
    </row>
    <row r="906" spans="4:14" x14ac:dyDescent="0.3">
      <c r="D906" t="s">
        <v>133</v>
      </c>
      <c r="E906" t="s">
        <v>60</v>
      </c>
      <c r="F906" t="s">
        <v>89</v>
      </c>
      <c r="G906">
        <v>2017</v>
      </c>
      <c r="H906" t="s">
        <v>90</v>
      </c>
      <c r="I906" t="s">
        <v>132</v>
      </c>
      <c r="J906" t="s">
        <v>93</v>
      </c>
      <c r="K906">
        <v>1</v>
      </c>
      <c r="L906">
        <v>-8.81842837487042</v>
      </c>
      <c r="M906">
        <v>0</v>
      </c>
      <c r="N906">
        <v>1</v>
      </c>
    </row>
    <row r="907" spans="4:14" x14ac:dyDescent="0.3">
      <c r="D907" t="s">
        <v>133</v>
      </c>
      <c r="E907" t="s">
        <v>60</v>
      </c>
      <c r="F907" t="s">
        <v>89</v>
      </c>
      <c r="G907">
        <v>2018</v>
      </c>
      <c r="H907" t="s">
        <v>90</v>
      </c>
      <c r="I907" t="s">
        <v>132</v>
      </c>
      <c r="J907" t="s">
        <v>93</v>
      </c>
      <c r="K907">
        <v>1</v>
      </c>
      <c r="L907">
        <v>-9.2020251474820149</v>
      </c>
      <c r="M907">
        <v>0</v>
      </c>
      <c r="N907">
        <v>1</v>
      </c>
    </row>
    <row r="908" spans="4:14" x14ac:dyDescent="0.3">
      <c r="D908" t="s">
        <v>134</v>
      </c>
      <c r="E908" t="s">
        <v>33</v>
      </c>
      <c r="F908" t="s">
        <v>89</v>
      </c>
      <c r="G908">
        <v>2017</v>
      </c>
      <c r="H908" t="s">
        <v>95</v>
      </c>
      <c r="I908" t="s">
        <v>132</v>
      </c>
      <c r="J908" t="s">
        <v>73</v>
      </c>
      <c r="K908">
        <v>1</v>
      </c>
      <c r="L908">
        <v>-0.32647162053255413</v>
      </c>
      <c r="M908">
        <v>0</v>
      </c>
      <c r="N908">
        <v>1</v>
      </c>
    </row>
    <row r="909" spans="4:14" x14ac:dyDescent="0.3">
      <c r="D909" t="s">
        <v>134</v>
      </c>
      <c r="E909" t="s">
        <v>33</v>
      </c>
      <c r="F909" t="s">
        <v>89</v>
      </c>
      <c r="G909">
        <v>2018</v>
      </c>
      <c r="H909" t="s">
        <v>95</v>
      </c>
      <c r="I909" t="s">
        <v>132</v>
      </c>
      <c r="J909" t="s">
        <v>73</v>
      </c>
      <c r="K909">
        <v>1</v>
      </c>
      <c r="L909">
        <v>-0.3818557382227894</v>
      </c>
      <c r="M909">
        <v>0</v>
      </c>
      <c r="N909">
        <v>1</v>
      </c>
    </row>
    <row r="910" spans="4:14" x14ac:dyDescent="0.3">
      <c r="D910" t="s">
        <v>134</v>
      </c>
      <c r="E910" t="s">
        <v>41</v>
      </c>
      <c r="F910" t="s">
        <v>89</v>
      </c>
      <c r="G910">
        <v>2017</v>
      </c>
      <c r="H910" t="s">
        <v>95</v>
      </c>
      <c r="I910" t="s">
        <v>132</v>
      </c>
      <c r="J910" t="s">
        <v>73</v>
      </c>
      <c r="K910">
        <v>1</v>
      </c>
      <c r="L910">
        <v>-0.32647162053255402</v>
      </c>
      <c r="M910">
        <v>0</v>
      </c>
      <c r="N910">
        <v>1</v>
      </c>
    </row>
    <row r="911" spans="4:14" x14ac:dyDescent="0.3">
      <c r="D911" t="s">
        <v>134</v>
      </c>
      <c r="E911" t="s">
        <v>41</v>
      </c>
      <c r="F911" t="s">
        <v>89</v>
      </c>
      <c r="G911">
        <v>2018</v>
      </c>
      <c r="H911" t="s">
        <v>95</v>
      </c>
      <c r="I911" t="s">
        <v>132</v>
      </c>
      <c r="J911" t="s">
        <v>73</v>
      </c>
      <c r="K911">
        <v>1</v>
      </c>
      <c r="L911">
        <v>-0.38185573822278951</v>
      </c>
      <c r="M911">
        <v>0</v>
      </c>
      <c r="N911">
        <v>1</v>
      </c>
    </row>
    <row r="912" spans="4:14" x14ac:dyDescent="0.3">
      <c r="D912" t="s">
        <v>134</v>
      </c>
      <c r="E912" t="s">
        <v>42</v>
      </c>
      <c r="F912" t="s">
        <v>89</v>
      </c>
      <c r="G912">
        <v>2017</v>
      </c>
      <c r="H912" t="s">
        <v>95</v>
      </c>
      <c r="I912" t="s">
        <v>132</v>
      </c>
      <c r="J912" t="s">
        <v>73</v>
      </c>
      <c r="K912">
        <v>1</v>
      </c>
      <c r="L912">
        <v>-13.325268979929175</v>
      </c>
      <c r="M912">
        <v>0</v>
      </c>
      <c r="N912">
        <v>1</v>
      </c>
    </row>
    <row r="913" spans="4:14" x14ac:dyDescent="0.3">
      <c r="D913" t="s">
        <v>134</v>
      </c>
      <c r="E913" t="s">
        <v>42</v>
      </c>
      <c r="F913" t="s">
        <v>89</v>
      </c>
      <c r="G913">
        <v>2018</v>
      </c>
      <c r="H913" t="s">
        <v>95</v>
      </c>
      <c r="I913" t="s">
        <v>132</v>
      </c>
      <c r="J913" t="s">
        <v>73</v>
      </c>
      <c r="K913">
        <v>1</v>
      </c>
      <c r="L913">
        <v>-14.142643346205046</v>
      </c>
      <c r="M913">
        <v>0</v>
      </c>
      <c r="N913">
        <v>1</v>
      </c>
    </row>
    <row r="914" spans="4:14" x14ac:dyDescent="0.3">
      <c r="D914" t="s">
        <v>134</v>
      </c>
      <c r="E914" t="s">
        <v>44</v>
      </c>
      <c r="F914" t="s">
        <v>89</v>
      </c>
      <c r="G914">
        <v>2017</v>
      </c>
      <c r="H914" t="s">
        <v>95</v>
      </c>
      <c r="I914" t="s">
        <v>132</v>
      </c>
      <c r="J914" t="s">
        <v>73</v>
      </c>
      <c r="K914">
        <v>1</v>
      </c>
      <c r="L914">
        <v>-1.8929972762650185</v>
      </c>
      <c r="M914">
        <v>0</v>
      </c>
      <c r="N914">
        <v>1</v>
      </c>
    </row>
    <row r="915" spans="4:14" x14ac:dyDescent="0.3">
      <c r="D915" t="s">
        <v>134</v>
      </c>
      <c r="E915" t="s">
        <v>44</v>
      </c>
      <c r="F915" t="s">
        <v>89</v>
      </c>
      <c r="G915">
        <v>2018</v>
      </c>
      <c r="H915" t="s">
        <v>95</v>
      </c>
      <c r="I915" t="s">
        <v>132</v>
      </c>
      <c r="J915" t="s">
        <v>73</v>
      </c>
      <c r="K915">
        <v>1</v>
      </c>
      <c r="L915">
        <v>-2.0117645282368848</v>
      </c>
      <c r="M915">
        <v>0</v>
      </c>
      <c r="N915">
        <v>1</v>
      </c>
    </row>
    <row r="916" spans="4:14" x14ac:dyDescent="0.3">
      <c r="D916" t="s">
        <v>134</v>
      </c>
      <c r="E916" t="s">
        <v>45</v>
      </c>
      <c r="F916" t="s">
        <v>89</v>
      </c>
      <c r="G916">
        <v>2017</v>
      </c>
      <c r="H916" t="s">
        <v>95</v>
      </c>
      <c r="I916" t="s">
        <v>132</v>
      </c>
      <c r="J916" t="s">
        <v>73</v>
      </c>
      <c r="K916">
        <v>1</v>
      </c>
      <c r="L916">
        <v>-3.5053737157121589</v>
      </c>
      <c r="M916">
        <v>0</v>
      </c>
      <c r="N916">
        <v>1</v>
      </c>
    </row>
    <row r="917" spans="4:14" x14ac:dyDescent="0.3">
      <c r="D917" t="s">
        <v>134</v>
      </c>
      <c r="E917" t="s">
        <v>45</v>
      </c>
      <c r="F917" t="s">
        <v>89</v>
      </c>
      <c r="G917">
        <v>2018</v>
      </c>
      <c r="H917" t="s">
        <v>95</v>
      </c>
      <c r="I917" t="s">
        <v>132</v>
      </c>
      <c r="J917" t="s">
        <v>73</v>
      </c>
      <c r="K917">
        <v>1</v>
      </c>
      <c r="L917">
        <v>-3.5415423244807873</v>
      </c>
      <c r="M917">
        <v>0</v>
      </c>
      <c r="N917">
        <v>1</v>
      </c>
    </row>
    <row r="918" spans="4:14" x14ac:dyDescent="0.3">
      <c r="D918" t="s">
        <v>134</v>
      </c>
      <c r="E918" t="s">
        <v>46</v>
      </c>
      <c r="F918" t="s">
        <v>89</v>
      </c>
      <c r="G918">
        <v>2017</v>
      </c>
      <c r="H918" t="s">
        <v>95</v>
      </c>
      <c r="I918" t="s">
        <v>132</v>
      </c>
      <c r="J918" t="s">
        <v>73</v>
      </c>
      <c r="K918">
        <v>1</v>
      </c>
      <c r="L918">
        <v>-5.0009839489827543</v>
      </c>
      <c r="M918">
        <v>0</v>
      </c>
      <c r="N918">
        <v>1</v>
      </c>
    </row>
    <row r="919" spans="4:14" x14ac:dyDescent="0.3">
      <c r="D919" t="s">
        <v>134</v>
      </c>
      <c r="E919" t="s">
        <v>46</v>
      </c>
      <c r="F919" t="s">
        <v>89</v>
      </c>
      <c r="G919">
        <v>2018</v>
      </c>
      <c r="H919" t="s">
        <v>95</v>
      </c>
      <c r="I919" t="s">
        <v>132</v>
      </c>
      <c r="J919" t="s">
        <v>73</v>
      </c>
      <c r="K919">
        <v>1</v>
      </c>
      <c r="L919">
        <v>-4.1886433163432191</v>
      </c>
      <c r="M919">
        <v>0</v>
      </c>
      <c r="N919">
        <v>1</v>
      </c>
    </row>
    <row r="920" spans="4:14" x14ac:dyDescent="0.3">
      <c r="D920" t="s">
        <v>134</v>
      </c>
      <c r="E920" t="s">
        <v>49</v>
      </c>
      <c r="F920" t="s">
        <v>89</v>
      </c>
      <c r="G920">
        <v>2017</v>
      </c>
      <c r="H920" t="s">
        <v>95</v>
      </c>
      <c r="I920" t="s">
        <v>132</v>
      </c>
      <c r="J920" t="s">
        <v>73</v>
      </c>
      <c r="K920">
        <v>1</v>
      </c>
      <c r="L920">
        <v>-1.2830612950631033</v>
      </c>
      <c r="M920">
        <v>0</v>
      </c>
      <c r="N920">
        <v>1</v>
      </c>
    </row>
    <row r="921" spans="4:14" x14ac:dyDescent="0.3">
      <c r="D921" t="s">
        <v>134</v>
      </c>
      <c r="E921" t="s">
        <v>49</v>
      </c>
      <c r="F921" t="s">
        <v>89</v>
      </c>
      <c r="G921">
        <v>2018</v>
      </c>
      <c r="H921" t="s">
        <v>95</v>
      </c>
      <c r="I921" t="s">
        <v>132</v>
      </c>
      <c r="J921" t="s">
        <v>73</v>
      </c>
      <c r="K921">
        <v>1</v>
      </c>
      <c r="L921">
        <v>-1.9726586617952822</v>
      </c>
      <c r="M921">
        <v>0</v>
      </c>
      <c r="N921">
        <v>1</v>
      </c>
    </row>
    <row r="922" spans="4:14" x14ac:dyDescent="0.3">
      <c r="D922" t="s">
        <v>134</v>
      </c>
      <c r="E922" t="s">
        <v>50</v>
      </c>
      <c r="F922" t="s">
        <v>89</v>
      </c>
      <c r="G922">
        <v>2017</v>
      </c>
      <c r="H922" t="s">
        <v>95</v>
      </c>
      <c r="I922" t="s">
        <v>132</v>
      </c>
      <c r="J922" t="s">
        <v>73</v>
      </c>
      <c r="K922">
        <v>1</v>
      </c>
      <c r="L922">
        <v>-16.529817174927601</v>
      </c>
      <c r="M922">
        <v>0</v>
      </c>
      <c r="N922">
        <v>1</v>
      </c>
    </row>
    <row r="923" spans="4:14" x14ac:dyDescent="0.3">
      <c r="D923" t="s">
        <v>134</v>
      </c>
      <c r="E923" t="s">
        <v>50</v>
      </c>
      <c r="F923" t="s">
        <v>89</v>
      </c>
      <c r="G923">
        <v>2018</v>
      </c>
      <c r="H923" t="s">
        <v>95</v>
      </c>
      <c r="I923" t="s">
        <v>132</v>
      </c>
      <c r="J923" t="s">
        <v>73</v>
      </c>
      <c r="K923">
        <v>1</v>
      </c>
      <c r="L923">
        <v>-15.98857573719931</v>
      </c>
      <c r="M923">
        <v>0</v>
      </c>
      <c r="N923">
        <v>1</v>
      </c>
    </row>
    <row r="924" spans="4:14" x14ac:dyDescent="0.3">
      <c r="D924" t="s">
        <v>134</v>
      </c>
      <c r="E924" t="s">
        <v>51</v>
      </c>
      <c r="F924" t="s">
        <v>89</v>
      </c>
      <c r="G924">
        <v>2017</v>
      </c>
      <c r="H924" t="s">
        <v>95</v>
      </c>
      <c r="I924" t="s">
        <v>132</v>
      </c>
      <c r="J924" t="s">
        <v>73</v>
      </c>
      <c r="K924">
        <v>1</v>
      </c>
      <c r="L924">
        <v>-3.1203280544477172</v>
      </c>
      <c r="M924">
        <v>0</v>
      </c>
      <c r="N924">
        <v>1</v>
      </c>
    </row>
    <row r="925" spans="4:14" x14ac:dyDescent="0.3">
      <c r="D925" t="s">
        <v>134</v>
      </c>
      <c r="E925" t="s">
        <v>51</v>
      </c>
      <c r="F925" t="s">
        <v>89</v>
      </c>
      <c r="G925">
        <v>2018</v>
      </c>
      <c r="H925" t="s">
        <v>95</v>
      </c>
      <c r="I925" t="s">
        <v>132</v>
      </c>
      <c r="J925" t="s">
        <v>73</v>
      </c>
      <c r="K925">
        <v>1</v>
      </c>
      <c r="L925">
        <v>-2.7127375384981836</v>
      </c>
      <c r="M925">
        <v>0</v>
      </c>
      <c r="N925">
        <v>1</v>
      </c>
    </row>
    <row r="926" spans="4:14" x14ac:dyDescent="0.3">
      <c r="D926" t="s">
        <v>134</v>
      </c>
      <c r="E926" t="s">
        <v>53</v>
      </c>
      <c r="F926" t="s">
        <v>89</v>
      </c>
      <c r="G926">
        <v>2017</v>
      </c>
      <c r="H926" t="s">
        <v>95</v>
      </c>
      <c r="I926" t="s">
        <v>132</v>
      </c>
      <c r="J926" t="s">
        <v>73</v>
      </c>
      <c r="K926">
        <v>1</v>
      </c>
      <c r="L926">
        <v>-24.5</v>
      </c>
      <c r="M926">
        <v>0</v>
      </c>
      <c r="N926">
        <v>1</v>
      </c>
    </row>
    <row r="927" spans="4:14" x14ac:dyDescent="0.3">
      <c r="D927" t="s">
        <v>134</v>
      </c>
      <c r="E927" t="s">
        <v>53</v>
      </c>
      <c r="F927" t="s">
        <v>89</v>
      </c>
      <c r="G927">
        <v>2018</v>
      </c>
      <c r="H927" t="s">
        <v>95</v>
      </c>
      <c r="I927" t="s">
        <v>132</v>
      </c>
      <c r="J927" t="s">
        <v>73</v>
      </c>
      <c r="K927">
        <v>1</v>
      </c>
      <c r="L927">
        <v>-24.5</v>
      </c>
      <c r="M927">
        <v>0</v>
      </c>
      <c r="N927">
        <v>1</v>
      </c>
    </row>
    <row r="928" spans="4:14" x14ac:dyDescent="0.3">
      <c r="D928" t="s">
        <v>134</v>
      </c>
      <c r="E928" t="s">
        <v>54</v>
      </c>
      <c r="F928" t="s">
        <v>89</v>
      </c>
      <c r="G928">
        <v>2017</v>
      </c>
      <c r="H928" t="s">
        <v>95</v>
      </c>
      <c r="I928" t="s">
        <v>132</v>
      </c>
      <c r="J928" t="s">
        <v>73</v>
      </c>
      <c r="K928">
        <v>1</v>
      </c>
      <c r="L928">
        <v>-7.6606487178792078</v>
      </c>
      <c r="M928">
        <v>0</v>
      </c>
      <c r="N928">
        <v>1</v>
      </c>
    </row>
    <row r="929" spans="4:14" x14ac:dyDescent="0.3">
      <c r="D929" t="s">
        <v>134</v>
      </c>
      <c r="E929" t="s">
        <v>54</v>
      </c>
      <c r="F929" t="s">
        <v>89</v>
      </c>
      <c r="G929">
        <v>2018</v>
      </c>
      <c r="H929" t="s">
        <v>95</v>
      </c>
      <c r="I929" t="s">
        <v>132</v>
      </c>
      <c r="J929" t="s">
        <v>73</v>
      </c>
      <c r="K929">
        <v>1</v>
      </c>
      <c r="L929">
        <v>-7.6392561161920902</v>
      </c>
      <c r="M929">
        <v>0</v>
      </c>
      <c r="N929">
        <v>1</v>
      </c>
    </row>
    <row r="930" spans="4:14" x14ac:dyDescent="0.3">
      <c r="D930" t="s">
        <v>134</v>
      </c>
      <c r="E930" t="s">
        <v>55</v>
      </c>
      <c r="F930" t="s">
        <v>89</v>
      </c>
      <c r="G930">
        <v>2017</v>
      </c>
      <c r="H930" t="s">
        <v>95</v>
      </c>
      <c r="I930" t="s">
        <v>132</v>
      </c>
      <c r="J930" t="s">
        <v>73</v>
      </c>
      <c r="K930">
        <v>1</v>
      </c>
      <c r="L930">
        <v>-1.7085320086992106</v>
      </c>
      <c r="M930">
        <v>0</v>
      </c>
      <c r="N930">
        <v>1</v>
      </c>
    </row>
    <row r="931" spans="4:14" x14ac:dyDescent="0.3">
      <c r="D931" t="s">
        <v>134</v>
      </c>
      <c r="E931" t="s">
        <v>55</v>
      </c>
      <c r="F931" t="s">
        <v>89</v>
      </c>
      <c r="G931">
        <v>2018</v>
      </c>
      <c r="H931" t="s">
        <v>95</v>
      </c>
      <c r="I931" t="s">
        <v>132</v>
      </c>
      <c r="J931" t="s">
        <v>73</v>
      </c>
      <c r="K931">
        <v>1</v>
      </c>
      <c r="L931">
        <v>-2.5142576065834072</v>
      </c>
      <c r="M931">
        <v>0</v>
      </c>
      <c r="N931">
        <v>1</v>
      </c>
    </row>
    <row r="932" spans="4:14" x14ac:dyDescent="0.3">
      <c r="D932" t="s">
        <v>134</v>
      </c>
      <c r="E932" t="s">
        <v>56</v>
      </c>
      <c r="F932" t="s">
        <v>89</v>
      </c>
      <c r="G932">
        <v>2017</v>
      </c>
      <c r="H932" t="s">
        <v>95</v>
      </c>
      <c r="I932" t="s">
        <v>132</v>
      </c>
      <c r="J932" t="s">
        <v>73</v>
      </c>
      <c r="K932">
        <v>1</v>
      </c>
      <c r="L932">
        <v>-5.8695152929602914</v>
      </c>
      <c r="M932">
        <v>0</v>
      </c>
      <c r="N932">
        <v>1</v>
      </c>
    </row>
    <row r="933" spans="4:14" x14ac:dyDescent="0.3">
      <c r="D933" t="s">
        <v>134</v>
      </c>
      <c r="E933" t="s">
        <v>56</v>
      </c>
      <c r="F933" t="s">
        <v>89</v>
      </c>
      <c r="G933">
        <v>2018</v>
      </c>
      <c r="H933" t="s">
        <v>95</v>
      </c>
      <c r="I933" t="s">
        <v>132</v>
      </c>
      <c r="J933" t="s">
        <v>73</v>
      </c>
      <c r="K933">
        <v>1</v>
      </c>
      <c r="L933">
        <v>-6.8792261687811038</v>
      </c>
      <c r="M933">
        <v>0</v>
      </c>
      <c r="N933">
        <v>1</v>
      </c>
    </row>
    <row r="934" spans="4:14" x14ac:dyDescent="0.3">
      <c r="D934" t="s">
        <v>134</v>
      </c>
      <c r="E934" t="s">
        <v>58</v>
      </c>
      <c r="F934" t="s">
        <v>89</v>
      </c>
      <c r="G934">
        <v>2017</v>
      </c>
      <c r="H934" t="s">
        <v>95</v>
      </c>
      <c r="I934" t="s">
        <v>132</v>
      </c>
      <c r="J934" t="s">
        <v>73</v>
      </c>
      <c r="K934">
        <v>1</v>
      </c>
      <c r="L934">
        <v>-2.6467838157933903</v>
      </c>
      <c r="M934">
        <v>0</v>
      </c>
      <c r="N934">
        <v>1</v>
      </c>
    </row>
    <row r="935" spans="4:14" x14ac:dyDescent="0.3">
      <c r="D935" t="s">
        <v>134</v>
      </c>
      <c r="E935" t="s">
        <v>58</v>
      </c>
      <c r="F935" t="s">
        <v>89</v>
      </c>
      <c r="G935">
        <v>2018</v>
      </c>
      <c r="H935" t="s">
        <v>95</v>
      </c>
      <c r="I935" t="s">
        <v>132</v>
      </c>
      <c r="J935" t="s">
        <v>73</v>
      </c>
      <c r="K935">
        <v>1</v>
      </c>
      <c r="L935">
        <v>-2.8822471842078206</v>
      </c>
      <c r="M935">
        <v>0</v>
      </c>
      <c r="N935">
        <v>1</v>
      </c>
    </row>
    <row r="936" spans="4:14" x14ac:dyDescent="0.3">
      <c r="D936" t="s">
        <v>134</v>
      </c>
      <c r="E936" t="s">
        <v>59</v>
      </c>
      <c r="F936" t="s">
        <v>89</v>
      </c>
      <c r="G936">
        <v>2017</v>
      </c>
      <c r="H936" t="s">
        <v>95</v>
      </c>
      <c r="I936" t="s">
        <v>132</v>
      </c>
      <c r="J936" t="s">
        <v>73</v>
      </c>
      <c r="K936">
        <v>1</v>
      </c>
      <c r="L936">
        <v>-8.9857201284058554</v>
      </c>
      <c r="M936">
        <v>0</v>
      </c>
      <c r="N936">
        <v>1</v>
      </c>
    </row>
    <row r="937" spans="4:14" x14ac:dyDescent="0.3">
      <c r="D937" t="s">
        <v>134</v>
      </c>
      <c r="E937" t="s">
        <v>59</v>
      </c>
      <c r="F937" t="s">
        <v>89</v>
      </c>
      <c r="G937">
        <v>2018</v>
      </c>
      <c r="H937" t="s">
        <v>95</v>
      </c>
      <c r="I937" t="s">
        <v>132</v>
      </c>
      <c r="J937" t="s">
        <v>73</v>
      </c>
      <c r="K937">
        <v>1</v>
      </c>
      <c r="L937">
        <v>-8.2225616585796484</v>
      </c>
      <c r="M937">
        <v>0</v>
      </c>
      <c r="N937">
        <v>1</v>
      </c>
    </row>
    <row r="938" spans="4:14" x14ac:dyDescent="0.3">
      <c r="D938" t="s">
        <v>134</v>
      </c>
      <c r="E938" t="s">
        <v>60</v>
      </c>
      <c r="F938" t="s">
        <v>89</v>
      </c>
      <c r="G938">
        <v>2017</v>
      </c>
      <c r="H938" t="s">
        <v>95</v>
      </c>
      <c r="I938" t="s">
        <v>132</v>
      </c>
      <c r="J938" t="s">
        <v>73</v>
      </c>
      <c r="K938">
        <v>1</v>
      </c>
      <c r="L938">
        <v>-17.129968709779732</v>
      </c>
      <c r="M938">
        <v>0</v>
      </c>
      <c r="N938">
        <v>1</v>
      </c>
    </row>
    <row r="939" spans="4:14" x14ac:dyDescent="0.3">
      <c r="D939" t="s">
        <v>134</v>
      </c>
      <c r="E939" t="s">
        <v>60</v>
      </c>
      <c r="F939" t="s">
        <v>89</v>
      </c>
      <c r="G939">
        <v>2018</v>
      </c>
      <c r="H939" t="s">
        <v>95</v>
      </c>
      <c r="I939" t="s">
        <v>132</v>
      </c>
      <c r="J939" t="s">
        <v>73</v>
      </c>
      <c r="K939">
        <v>1</v>
      </c>
      <c r="L939">
        <v>-17.183636423140392</v>
      </c>
      <c r="M939">
        <v>0</v>
      </c>
      <c r="N939">
        <v>1</v>
      </c>
    </row>
    <row r="940" spans="4:14" x14ac:dyDescent="0.3">
      <c r="D940" t="s">
        <v>135</v>
      </c>
      <c r="E940" t="s">
        <v>33</v>
      </c>
      <c r="F940" t="s">
        <v>89</v>
      </c>
      <c r="G940">
        <v>2017</v>
      </c>
      <c r="H940" t="s">
        <v>95</v>
      </c>
      <c r="I940" t="s">
        <v>132</v>
      </c>
      <c r="J940" t="s">
        <v>93</v>
      </c>
      <c r="K940">
        <v>1</v>
      </c>
      <c r="L940">
        <v>-0.34979102199916517</v>
      </c>
      <c r="M940">
        <v>0</v>
      </c>
      <c r="N940">
        <v>1</v>
      </c>
    </row>
    <row r="941" spans="4:14" x14ac:dyDescent="0.3">
      <c r="D941" t="s">
        <v>135</v>
      </c>
      <c r="E941" t="s">
        <v>33</v>
      </c>
      <c r="F941" t="s">
        <v>89</v>
      </c>
      <c r="G941">
        <v>2018</v>
      </c>
      <c r="H941" t="s">
        <v>95</v>
      </c>
      <c r="I941" t="s">
        <v>132</v>
      </c>
      <c r="J941" t="s">
        <v>93</v>
      </c>
      <c r="K941">
        <v>1</v>
      </c>
      <c r="L941">
        <v>-0.40913114809584583</v>
      </c>
      <c r="M941">
        <v>0</v>
      </c>
      <c r="N941">
        <v>1</v>
      </c>
    </row>
    <row r="942" spans="4:14" x14ac:dyDescent="0.3">
      <c r="D942" t="s">
        <v>135</v>
      </c>
      <c r="E942" t="s">
        <v>41</v>
      </c>
      <c r="F942" t="s">
        <v>89</v>
      </c>
      <c r="G942">
        <v>2017</v>
      </c>
      <c r="H942" t="s">
        <v>95</v>
      </c>
      <c r="I942" t="s">
        <v>132</v>
      </c>
      <c r="J942" t="s">
        <v>93</v>
      </c>
      <c r="K942">
        <v>1</v>
      </c>
      <c r="L942">
        <v>-0.34979102199916506</v>
      </c>
      <c r="M942">
        <v>0</v>
      </c>
      <c r="N942">
        <v>1</v>
      </c>
    </row>
    <row r="943" spans="4:14" x14ac:dyDescent="0.3">
      <c r="D943" t="s">
        <v>135</v>
      </c>
      <c r="E943" t="s">
        <v>41</v>
      </c>
      <c r="F943" t="s">
        <v>89</v>
      </c>
      <c r="G943">
        <v>2018</v>
      </c>
      <c r="H943" t="s">
        <v>95</v>
      </c>
      <c r="I943" t="s">
        <v>132</v>
      </c>
      <c r="J943" t="s">
        <v>93</v>
      </c>
      <c r="K943">
        <v>1</v>
      </c>
      <c r="L943">
        <v>-0.40913114809584594</v>
      </c>
      <c r="M943">
        <v>0</v>
      </c>
      <c r="N943">
        <v>1</v>
      </c>
    </row>
    <row r="944" spans="4:14" x14ac:dyDescent="0.3">
      <c r="D944" t="s">
        <v>135</v>
      </c>
      <c r="E944" t="s">
        <v>42</v>
      </c>
      <c r="F944" t="s">
        <v>89</v>
      </c>
      <c r="G944">
        <v>2017</v>
      </c>
      <c r="H944" t="s">
        <v>95</v>
      </c>
      <c r="I944" t="s">
        <v>132</v>
      </c>
      <c r="J944" t="s">
        <v>93</v>
      </c>
      <c r="K944">
        <v>1</v>
      </c>
      <c r="L944">
        <v>-14.277073907066974</v>
      </c>
      <c r="M944">
        <v>0</v>
      </c>
      <c r="N944">
        <v>1</v>
      </c>
    </row>
    <row r="945" spans="4:14" x14ac:dyDescent="0.3">
      <c r="D945" t="s">
        <v>135</v>
      </c>
      <c r="E945" t="s">
        <v>42</v>
      </c>
      <c r="F945" t="s">
        <v>89</v>
      </c>
      <c r="G945">
        <v>2018</v>
      </c>
      <c r="H945" t="s">
        <v>95</v>
      </c>
      <c r="I945" t="s">
        <v>132</v>
      </c>
      <c r="J945" t="s">
        <v>93</v>
      </c>
      <c r="K945">
        <v>1</v>
      </c>
      <c r="L945">
        <v>-15.152832156648264</v>
      </c>
      <c r="M945">
        <v>0</v>
      </c>
      <c r="N945">
        <v>1</v>
      </c>
    </row>
    <row r="946" spans="4:14" x14ac:dyDescent="0.3">
      <c r="D946" t="s">
        <v>135</v>
      </c>
      <c r="E946" t="s">
        <v>44</v>
      </c>
      <c r="F946" t="s">
        <v>89</v>
      </c>
      <c r="G946">
        <v>2017</v>
      </c>
      <c r="H946" t="s">
        <v>95</v>
      </c>
      <c r="I946" t="s">
        <v>132</v>
      </c>
      <c r="J946" t="s">
        <v>93</v>
      </c>
      <c r="K946">
        <v>1</v>
      </c>
      <c r="L946">
        <v>-2.0282113674268056</v>
      </c>
      <c r="M946">
        <v>0</v>
      </c>
      <c r="N946">
        <v>1</v>
      </c>
    </row>
    <row r="947" spans="4:14" x14ac:dyDescent="0.3">
      <c r="D947" t="s">
        <v>135</v>
      </c>
      <c r="E947" t="s">
        <v>44</v>
      </c>
      <c r="F947" t="s">
        <v>89</v>
      </c>
      <c r="G947">
        <v>2018</v>
      </c>
      <c r="H947" t="s">
        <v>95</v>
      </c>
      <c r="I947" t="s">
        <v>132</v>
      </c>
      <c r="J947" t="s">
        <v>93</v>
      </c>
      <c r="K947">
        <v>1</v>
      </c>
      <c r="L947">
        <v>-2.1554619945395195</v>
      </c>
      <c r="M947">
        <v>0</v>
      </c>
      <c r="N947">
        <v>1</v>
      </c>
    </row>
    <row r="948" spans="4:14" x14ac:dyDescent="0.3">
      <c r="D948" t="s">
        <v>135</v>
      </c>
      <c r="E948" t="s">
        <v>45</v>
      </c>
      <c r="F948" t="s">
        <v>89</v>
      </c>
      <c r="G948">
        <v>2017</v>
      </c>
      <c r="H948" t="s">
        <v>95</v>
      </c>
      <c r="I948" t="s">
        <v>132</v>
      </c>
      <c r="J948" t="s">
        <v>93</v>
      </c>
      <c r="K948">
        <v>1</v>
      </c>
      <c r="L948">
        <v>-3.7557575525487423</v>
      </c>
      <c r="M948">
        <v>0</v>
      </c>
      <c r="N948">
        <v>1</v>
      </c>
    </row>
    <row r="949" spans="4:14" x14ac:dyDescent="0.3">
      <c r="D949" t="s">
        <v>135</v>
      </c>
      <c r="E949" t="s">
        <v>45</v>
      </c>
      <c r="F949" t="s">
        <v>89</v>
      </c>
      <c r="G949">
        <v>2018</v>
      </c>
      <c r="H949" t="s">
        <v>95</v>
      </c>
      <c r="I949" t="s">
        <v>132</v>
      </c>
      <c r="J949" t="s">
        <v>93</v>
      </c>
      <c r="K949">
        <v>1</v>
      </c>
      <c r="L949">
        <v>-3.7945096333722725</v>
      </c>
      <c r="M949">
        <v>0</v>
      </c>
      <c r="N949">
        <v>1</v>
      </c>
    </row>
    <row r="950" spans="4:14" x14ac:dyDescent="0.3">
      <c r="D950" t="s">
        <v>135</v>
      </c>
      <c r="E950" t="s">
        <v>46</v>
      </c>
      <c r="F950" t="s">
        <v>89</v>
      </c>
      <c r="G950">
        <v>2017</v>
      </c>
      <c r="H950" t="s">
        <v>95</v>
      </c>
      <c r="I950" t="s">
        <v>132</v>
      </c>
      <c r="J950" t="s">
        <v>93</v>
      </c>
      <c r="K950">
        <v>1</v>
      </c>
      <c r="L950">
        <v>-5.3581970881958085</v>
      </c>
      <c r="M950">
        <v>0</v>
      </c>
      <c r="N950">
        <v>1</v>
      </c>
    </row>
    <row r="951" spans="4:14" x14ac:dyDescent="0.3">
      <c r="D951" t="s">
        <v>135</v>
      </c>
      <c r="E951" t="s">
        <v>46</v>
      </c>
      <c r="F951" t="s">
        <v>89</v>
      </c>
      <c r="G951">
        <v>2018</v>
      </c>
      <c r="H951" t="s">
        <v>95</v>
      </c>
      <c r="I951" t="s">
        <v>132</v>
      </c>
      <c r="J951" t="s">
        <v>93</v>
      </c>
      <c r="K951">
        <v>1</v>
      </c>
      <c r="L951">
        <v>-4.4878321246534494</v>
      </c>
      <c r="M951">
        <v>0</v>
      </c>
      <c r="N951">
        <v>1</v>
      </c>
    </row>
    <row r="952" spans="4:14" x14ac:dyDescent="0.3">
      <c r="D952" t="s">
        <v>135</v>
      </c>
      <c r="E952" t="s">
        <v>49</v>
      </c>
      <c r="F952" t="s">
        <v>89</v>
      </c>
      <c r="G952">
        <v>2017</v>
      </c>
      <c r="H952" t="s">
        <v>95</v>
      </c>
      <c r="I952" t="s">
        <v>132</v>
      </c>
      <c r="J952" t="s">
        <v>93</v>
      </c>
      <c r="K952">
        <v>1</v>
      </c>
      <c r="L952">
        <v>-1.3747085304247535</v>
      </c>
      <c r="M952">
        <v>0</v>
      </c>
      <c r="N952">
        <v>1</v>
      </c>
    </row>
    <row r="953" spans="4:14" x14ac:dyDescent="0.3">
      <c r="D953" t="s">
        <v>135</v>
      </c>
      <c r="E953" t="s">
        <v>49</v>
      </c>
      <c r="F953" t="s">
        <v>89</v>
      </c>
      <c r="G953">
        <v>2018</v>
      </c>
      <c r="H953" t="s">
        <v>95</v>
      </c>
      <c r="I953" t="s">
        <v>132</v>
      </c>
      <c r="J953" t="s">
        <v>93</v>
      </c>
      <c r="K953">
        <v>1</v>
      </c>
      <c r="L953">
        <v>-2.113562851923517</v>
      </c>
      <c r="M953">
        <v>0</v>
      </c>
      <c r="N953">
        <v>1</v>
      </c>
    </row>
    <row r="954" spans="4:14" x14ac:dyDescent="0.3">
      <c r="D954" t="s">
        <v>135</v>
      </c>
      <c r="E954" t="s">
        <v>50</v>
      </c>
      <c r="F954" t="s">
        <v>89</v>
      </c>
      <c r="G954">
        <v>2017</v>
      </c>
      <c r="H954" t="s">
        <v>95</v>
      </c>
      <c r="I954" t="s">
        <v>132</v>
      </c>
      <c r="J954" t="s">
        <v>93</v>
      </c>
      <c r="K954">
        <v>1</v>
      </c>
      <c r="L954">
        <v>-17.710518401708146</v>
      </c>
      <c r="M954">
        <v>0</v>
      </c>
      <c r="N954">
        <v>1</v>
      </c>
    </row>
    <row r="955" spans="4:14" x14ac:dyDescent="0.3">
      <c r="D955" t="s">
        <v>135</v>
      </c>
      <c r="E955" t="s">
        <v>50</v>
      </c>
      <c r="F955" t="s">
        <v>89</v>
      </c>
      <c r="G955">
        <v>2018</v>
      </c>
      <c r="H955" t="s">
        <v>95</v>
      </c>
      <c r="I955" t="s">
        <v>132</v>
      </c>
      <c r="J955" t="s">
        <v>93</v>
      </c>
      <c r="K955">
        <v>1</v>
      </c>
      <c r="L955">
        <v>-17.130616861284977</v>
      </c>
      <c r="M955">
        <v>0</v>
      </c>
      <c r="N955">
        <v>1</v>
      </c>
    </row>
    <row r="956" spans="4:14" x14ac:dyDescent="0.3">
      <c r="D956" t="s">
        <v>135</v>
      </c>
      <c r="E956" t="s">
        <v>51</v>
      </c>
      <c r="F956" t="s">
        <v>89</v>
      </c>
      <c r="G956">
        <v>2017</v>
      </c>
      <c r="H956" t="s">
        <v>95</v>
      </c>
      <c r="I956" t="s">
        <v>132</v>
      </c>
      <c r="J956" t="s">
        <v>93</v>
      </c>
      <c r="K956">
        <v>1</v>
      </c>
      <c r="L956">
        <v>-3.3432086297654116</v>
      </c>
      <c r="M956">
        <v>0</v>
      </c>
      <c r="N956">
        <v>1</v>
      </c>
    </row>
    <row r="957" spans="4:14" x14ac:dyDescent="0.3">
      <c r="D957" t="s">
        <v>135</v>
      </c>
      <c r="E957" t="s">
        <v>51</v>
      </c>
      <c r="F957" t="s">
        <v>89</v>
      </c>
      <c r="G957">
        <v>2018</v>
      </c>
      <c r="H957" t="s">
        <v>95</v>
      </c>
      <c r="I957" t="s">
        <v>132</v>
      </c>
      <c r="J957" t="s">
        <v>93</v>
      </c>
      <c r="K957">
        <v>1</v>
      </c>
      <c r="L957">
        <v>-2.9065045055337682</v>
      </c>
      <c r="M957">
        <v>0</v>
      </c>
      <c r="N957">
        <v>1</v>
      </c>
    </row>
    <row r="958" spans="4:14" x14ac:dyDescent="0.3">
      <c r="D958" t="s">
        <v>135</v>
      </c>
      <c r="E958" t="s">
        <v>53</v>
      </c>
      <c r="F958" t="s">
        <v>89</v>
      </c>
      <c r="G958">
        <v>2017</v>
      </c>
      <c r="H958" t="s">
        <v>95</v>
      </c>
      <c r="I958" t="s">
        <v>132</v>
      </c>
      <c r="J958" t="s">
        <v>93</v>
      </c>
      <c r="K958">
        <v>1</v>
      </c>
      <c r="L958">
        <v>-24.5</v>
      </c>
      <c r="M958">
        <v>0</v>
      </c>
      <c r="N958">
        <v>1</v>
      </c>
    </row>
    <row r="959" spans="4:14" x14ac:dyDescent="0.3">
      <c r="D959" t="s">
        <v>135</v>
      </c>
      <c r="E959" t="s">
        <v>53</v>
      </c>
      <c r="F959" t="s">
        <v>89</v>
      </c>
      <c r="G959">
        <v>2018</v>
      </c>
      <c r="H959" t="s">
        <v>95</v>
      </c>
      <c r="I959" t="s">
        <v>132</v>
      </c>
      <c r="J959" t="s">
        <v>93</v>
      </c>
      <c r="K959">
        <v>1</v>
      </c>
      <c r="L959">
        <v>-24.5</v>
      </c>
      <c r="M959">
        <v>0</v>
      </c>
      <c r="N959">
        <v>1</v>
      </c>
    </row>
    <row r="960" spans="4:14" x14ac:dyDescent="0.3">
      <c r="D960" t="s">
        <v>135</v>
      </c>
      <c r="E960" t="s">
        <v>54</v>
      </c>
      <c r="F960" t="s">
        <v>89</v>
      </c>
      <c r="G960">
        <v>2017</v>
      </c>
      <c r="H960" t="s">
        <v>95</v>
      </c>
      <c r="I960" t="s">
        <v>132</v>
      </c>
      <c r="J960" t="s">
        <v>93</v>
      </c>
      <c r="K960">
        <v>1</v>
      </c>
      <c r="L960">
        <v>-8.2078379120134368</v>
      </c>
      <c r="M960">
        <v>0</v>
      </c>
      <c r="N960">
        <v>1</v>
      </c>
    </row>
    <row r="961" spans="4:14" x14ac:dyDescent="0.3">
      <c r="D961" t="s">
        <v>135</v>
      </c>
      <c r="E961" t="s">
        <v>54</v>
      </c>
      <c r="F961" t="s">
        <v>89</v>
      </c>
      <c r="G961">
        <v>2018</v>
      </c>
      <c r="H961" t="s">
        <v>95</v>
      </c>
      <c r="I961" t="s">
        <v>132</v>
      </c>
      <c r="J961" t="s">
        <v>93</v>
      </c>
      <c r="K961">
        <v>1</v>
      </c>
      <c r="L961">
        <v>-8.1849172673486681</v>
      </c>
      <c r="M961">
        <v>0</v>
      </c>
      <c r="N961">
        <v>1</v>
      </c>
    </row>
    <row r="962" spans="4:14" x14ac:dyDescent="0.3">
      <c r="D962" t="s">
        <v>135</v>
      </c>
      <c r="E962" t="s">
        <v>55</v>
      </c>
      <c r="F962" t="s">
        <v>89</v>
      </c>
      <c r="G962">
        <v>2017</v>
      </c>
      <c r="H962" t="s">
        <v>95</v>
      </c>
      <c r="I962" t="s">
        <v>132</v>
      </c>
      <c r="J962" t="s">
        <v>93</v>
      </c>
      <c r="K962">
        <v>1</v>
      </c>
      <c r="L962">
        <v>-1.830570009320583</v>
      </c>
      <c r="M962">
        <v>0</v>
      </c>
      <c r="N962">
        <v>1</v>
      </c>
    </row>
    <row r="963" spans="4:14" x14ac:dyDescent="0.3">
      <c r="D963" t="s">
        <v>135</v>
      </c>
      <c r="E963" t="s">
        <v>55</v>
      </c>
      <c r="F963" t="s">
        <v>89</v>
      </c>
      <c r="G963">
        <v>2018</v>
      </c>
      <c r="H963" t="s">
        <v>95</v>
      </c>
      <c r="I963" t="s">
        <v>132</v>
      </c>
      <c r="J963" t="s">
        <v>93</v>
      </c>
      <c r="K963">
        <v>1</v>
      </c>
      <c r="L963">
        <v>-2.6938474356250794</v>
      </c>
      <c r="M963">
        <v>0</v>
      </c>
      <c r="N963">
        <v>1</v>
      </c>
    </row>
    <row r="964" spans="4:14" x14ac:dyDescent="0.3">
      <c r="D964" t="s">
        <v>135</v>
      </c>
      <c r="E964" t="s">
        <v>56</v>
      </c>
      <c r="F964" t="s">
        <v>89</v>
      </c>
      <c r="G964">
        <v>2017</v>
      </c>
      <c r="H964" t="s">
        <v>95</v>
      </c>
      <c r="I964" t="s">
        <v>132</v>
      </c>
      <c r="J964" t="s">
        <v>93</v>
      </c>
      <c r="K964">
        <v>1</v>
      </c>
      <c r="L964">
        <v>-6.2887663853145979</v>
      </c>
      <c r="M964">
        <v>0</v>
      </c>
      <c r="N964">
        <v>1</v>
      </c>
    </row>
    <row r="965" spans="4:14" x14ac:dyDescent="0.3">
      <c r="D965" t="s">
        <v>135</v>
      </c>
      <c r="E965" t="s">
        <v>56</v>
      </c>
      <c r="F965" t="s">
        <v>89</v>
      </c>
      <c r="G965">
        <v>2018</v>
      </c>
      <c r="H965" t="s">
        <v>95</v>
      </c>
      <c r="I965" t="s">
        <v>132</v>
      </c>
      <c r="J965" t="s">
        <v>93</v>
      </c>
      <c r="K965">
        <v>1</v>
      </c>
      <c r="L965">
        <v>-7.3705994665511829</v>
      </c>
      <c r="M965">
        <v>0</v>
      </c>
      <c r="N965">
        <v>1</v>
      </c>
    </row>
    <row r="966" spans="4:14" x14ac:dyDescent="0.3">
      <c r="D966" t="s">
        <v>135</v>
      </c>
      <c r="E966" t="s">
        <v>58</v>
      </c>
      <c r="F966" t="s">
        <v>89</v>
      </c>
      <c r="G966">
        <v>2017</v>
      </c>
      <c r="H966" t="s">
        <v>95</v>
      </c>
      <c r="I966" t="s">
        <v>132</v>
      </c>
      <c r="J966" t="s">
        <v>93</v>
      </c>
      <c r="K966">
        <v>1</v>
      </c>
      <c r="L966">
        <v>-2.8358398026357756</v>
      </c>
      <c r="M966">
        <v>0</v>
      </c>
      <c r="N966">
        <v>1</v>
      </c>
    </row>
    <row r="967" spans="4:14" x14ac:dyDescent="0.3">
      <c r="D967" t="s">
        <v>135</v>
      </c>
      <c r="E967" t="s">
        <v>58</v>
      </c>
      <c r="F967" t="s">
        <v>89</v>
      </c>
      <c r="G967">
        <v>2018</v>
      </c>
      <c r="H967" t="s">
        <v>95</v>
      </c>
      <c r="I967" t="s">
        <v>132</v>
      </c>
      <c r="J967" t="s">
        <v>93</v>
      </c>
      <c r="K967">
        <v>1</v>
      </c>
      <c r="L967">
        <v>-3.0881219830798079</v>
      </c>
      <c r="M967">
        <v>0</v>
      </c>
      <c r="N967">
        <v>1</v>
      </c>
    </row>
    <row r="968" spans="4:14" x14ac:dyDescent="0.3">
      <c r="D968" t="s">
        <v>135</v>
      </c>
      <c r="E968" t="s">
        <v>59</v>
      </c>
      <c r="F968" t="s">
        <v>89</v>
      </c>
      <c r="G968">
        <v>2017</v>
      </c>
      <c r="H968" t="s">
        <v>95</v>
      </c>
      <c r="I968" t="s">
        <v>132</v>
      </c>
      <c r="J968" t="s">
        <v>93</v>
      </c>
      <c r="K968">
        <v>1</v>
      </c>
      <c r="L968">
        <v>-9.6275572804348446</v>
      </c>
      <c r="M968">
        <v>0</v>
      </c>
      <c r="N968">
        <v>1</v>
      </c>
    </row>
    <row r="969" spans="4:14" x14ac:dyDescent="0.3">
      <c r="D969" t="s">
        <v>135</v>
      </c>
      <c r="E969" t="s">
        <v>59</v>
      </c>
      <c r="F969" t="s">
        <v>89</v>
      </c>
      <c r="G969">
        <v>2018</v>
      </c>
      <c r="H969" t="s">
        <v>95</v>
      </c>
      <c r="I969" t="s">
        <v>132</v>
      </c>
      <c r="J969" t="s">
        <v>93</v>
      </c>
      <c r="K969">
        <v>1</v>
      </c>
      <c r="L969">
        <v>-8.8098874913353367</v>
      </c>
      <c r="M969">
        <v>0</v>
      </c>
      <c r="N969">
        <v>1</v>
      </c>
    </row>
    <row r="970" spans="4:14" x14ac:dyDescent="0.3">
      <c r="D970" t="s">
        <v>135</v>
      </c>
      <c r="E970" t="s">
        <v>60</v>
      </c>
      <c r="F970" t="s">
        <v>89</v>
      </c>
      <c r="G970">
        <v>2017</v>
      </c>
      <c r="H970" t="s">
        <v>95</v>
      </c>
      <c r="I970" t="s">
        <v>132</v>
      </c>
      <c r="J970" t="s">
        <v>93</v>
      </c>
      <c r="K970">
        <v>1</v>
      </c>
      <c r="L970">
        <v>-18.353537903335429</v>
      </c>
      <c r="M970">
        <v>0</v>
      </c>
      <c r="N970">
        <v>1</v>
      </c>
    </row>
    <row r="971" spans="4:14" x14ac:dyDescent="0.3">
      <c r="D971" t="s">
        <v>135</v>
      </c>
      <c r="E971" t="s">
        <v>60</v>
      </c>
      <c r="F971" t="s">
        <v>89</v>
      </c>
      <c r="G971">
        <v>2018</v>
      </c>
      <c r="H971" t="s">
        <v>95</v>
      </c>
      <c r="I971" t="s">
        <v>132</v>
      </c>
      <c r="J971" t="s">
        <v>93</v>
      </c>
      <c r="K971">
        <v>1</v>
      </c>
      <c r="L971">
        <v>-18.411039024793279</v>
      </c>
      <c r="M971">
        <v>0</v>
      </c>
      <c r="N971">
        <v>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766FB-26F7-4F03-AE42-EFE22B0F4EC5}">
  <dimension ref="A1:AD283"/>
  <sheetViews>
    <sheetView workbookViewId="0"/>
  </sheetViews>
  <sheetFormatPr defaultRowHeight="14.4" x14ac:dyDescent="0.3"/>
  <cols>
    <col min="1" max="1" width="10.33203125" bestFit="1" customWidth="1"/>
    <col min="2" max="2" width="15.44140625" bestFit="1" customWidth="1"/>
    <col min="3" max="11" width="6.88671875" bestFit="1" customWidth="1"/>
    <col min="12" max="12" width="5.5546875" bestFit="1" customWidth="1"/>
    <col min="13" max="19" width="6.88671875" bestFit="1" customWidth="1"/>
    <col min="20" max="21" width="6.88671875" customWidth="1"/>
    <col min="22" max="22" width="13.88671875" bestFit="1" customWidth="1"/>
    <col min="23" max="23" width="7.109375" bestFit="1" customWidth="1"/>
    <col min="24" max="24" width="15.6640625" bestFit="1" customWidth="1"/>
    <col min="25" max="25" width="12" bestFit="1" customWidth="1"/>
    <col min="26" max="26" width="8" bestFit="1" customWidth="1"/>
    <col min="27" max="27" width="5" bestFit="1" customWidth="1"/>
  </cols>
  <sheetData>
    <row r="1" spans="1:30" x14ac:dyDescent="0.3">
      <c r="A1" s="5" t="s">
        <v>26</v>
      </c>
      <c r="AC1" s="6">
        <v>0.8</v>
      </c>
      <c r="AD1" t="s">
        <v>27</v>
      </c>
    </row>
    <row r="2" spans="1:30" x14ac:dyDescent="0.3">
      <c r="V2" t="s">
        <v>28</v>
      </c>
    </row>
    <row r="3" spans="1:30" x14ac:dyDescent="0.3">
      <c r="A3" t="s">
        <v>12</v>
      </c>
      <c r="B3" t="s">
        <v>13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V3" t="s">
        <v>15</v>
      </c>
      <c r="W3" t="s">
        <v>12</v>
      </c>
      <c r="X3" t="s">
        <v>61</v>
      </c>
      <c r="Y3" t="s">
        <v>62</v>
      </c>
      <c r="Z3" t="s">
        <v>29</v>
      </c>
      <c r="AA3">
        <v>2020</v>
      </c>
    </row>
    <row r="4" spans="1:30" x14ac:dyDescent="0.3">
      <c r="A4" t="s">
        <v>33</v>
      </c>
      <c r="B4" t="s">
        <v>34</v>
      </c>
      <c r="C4" s="4"/>
      <c r="D4" s="4"/>
      <c r="E4" s="4"/>
      <c r="F4" s="4"/>
      <c r="G4" s="4"/>
      <c r="H4" s="4"/>
      <c r="I4" s="4"/>
      <c r="J4" s="4"/>
      <c r="K4" s="4"/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/>
      <c r="U4" s="4"/>
      <c r="V4" s="4" t="s">
        <v>63</v>
      </c>
      <c r="W4" s="4" t="s">
        <v>33</v>
      </c>
      <c r="X4" s="4" t="s">
        <v>34</v>
      </c>
      <c r="Y4" s="4">
        <v>0.30304838709677429</v>
      </c>
      <c r="Z4">
        <v>0</v>
      </c>
      <c r="AA4" s="4" t="str">
        <f>IF(SUMIFS(CHP_CHPR!$AA$4:$AA$283,CHP_CHPR!$Y$4:$Y$283,CHP_elecEFF!$W4,CHP_CHPR!$Z$4:$Z$283,CHP_elecEFF!$X4)*Y4+Y4&lt;=$AC$1,"",Y4*$AC$1/(SUMIFS(CHP_CHPR!$AA$4:$AA$283,CHP_CHPR!$Y$4:$Y$283,CHP_elecEFF!$W4,CHP_CHPR!$Z$4:$Z$283,CHP_elecEFF!$X4)*Y4+Y4))</f>
        <v/>
      </c>
      <c r="AB4" s="4"/>
    </row>
    <row r="5" spans="1:30" x14ac:dyDescent="0.3">
      <c r="A5" t="s">
        <v>33</v>
      </c>
      <c r="B5" t="s">
        <v>35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>
        <v>0.33</v>
      </c>
      <c r="T5" s="4"/>
      <c r="U5" s="4"/>
      <c r="V5" s="4" t="s">
        <v>63</v>
      </c>
      <c r="W5" s="4" t="s">
        <v>33</v>
      </c>
      <c r="X5" s="4" t="s">
        <v>35</v>
      </c>
      <c r="Y5" s="4"/>
      <c r="Z5">
        <v>0</v>
      </c>
      <c r="AA5" s="4" t="str">
        <f>IF(SUMIFS(CHP_CHPR!$AA$4:$AA$283,CHP_CHPR!$Y$4:$Y$283,CHP_elecEFF!$W5,CHP_CHPR!$Z$4:$Z$283,CHP_elecEFF!$X5)*Y5+Y5&lt;=$AC$1,"",Y5*$AC$1/(SUMIFS(CHP_CHPR!$AA$4:$AA$283,CHP_CHPR!$Y$4:$Y$283,CHP_elecEFF!$W5,CHP_CHPR!$Z$4:$Z$283,CHP_elecEFF!$X5)*Y5+Y5))</f>
        <v/>
      </c>
      <c r="AB5" s="4"/>
    </row>
    <row r="6" spans="1:30" x14ac:dyDescent="0.3">
      <c r="A6" t="s">
        <v>33</v>
      </c>
      <c r="B6" t="s">
        <v>36</v>
      </c>
      <c r="C6" s="4"/>
      <c r="D6" s="4"/>
      <c r="E6" s="4"/>
      <c r="F6" s="4"/>
      <c r="G6" s="4"/>
      <c r="H6" s="4"/>
      <c r="I6" s="4"/>
      <c r="J6" s="4"/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/>
      <c r="U6" s="4"/>
      <c r="V6" s="4" t="s">
        <v>63</v>
      </c>
      <c r="W6" s="4" t="s">
        <v>33</v>
      </c>
      <c r="X6" s="4" t="s">
        <v>36</v>
      </c>
      <c r="Y6" s="4">
        <v>0.31358536585365859</v>
      </c>
      <c r="Z6">
        <v>0</v>
      </c>
      <c r="AA6" s="4" t="str">
        <f>IF(SUMIFS(CHP_CHPR!$AA$4:$AA$283,CHP_CHPR!$Y$4:$Y$283,CHP_elecEFF!$W6,CHP_CHPR!$Z$4:$Z$283,CHP_elecEFF!$X6)*Y6+Y6&lt;=$AC$1,"",Y6*$AC$1/(SUMIFS(CHP_CHPR!$AA$4:$AA$283,CHP_CHPR!$Y$4:$Y$283,CHP_elecEFF!$W6,CHP_CHPR!$Z$4:$Z$283,CHP_elecEFF!$X6)*Y6+Y6))</f>
        <v/>
      </c>
      <c r="AB6" s="4"/>
    </row>
    <row r="7" spans="1:30" x14ac:dyDescent="0.3">
      <c r="A7" t="s">
        <v>33</v>
      </c>
      <c r="B7" t="s">
        <v>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>
        <v>0.33</v>
      </c>
      <c r="T7" s="4"/>
      <c r="U7" s="4"/>
      <c r="V7" s="4" t="s">
        <v>63</v>
      </c>
      <c r="W7" s="4" t="s">
        <v>33</v>
      </c>
      <c r="X7" s="4" t="s">
        <v>37</v>
      </c>
      <c r="Y7" s="4"/>
      <c r="Z7">
        <v>0</v>
      </c>
      <c r="AA7" s="4" t="str">
        <f>IF(SUMIFS(CHP_CHPR!$AA$4:$AA$283,CHP_CHPR!$Y$4:$Y$283,CHP_elecEFF!$W7,CHP_CHPR!$Z$4:$Z$283,CHP_elecEFF!$X7)*Y7+Y7&lt;=$AC$1,"",Y7*$AC$1/(SUMIFS(CHP_CHPR!$AA$4:$AA$283,CHP_CHPR!$Y$4:$Y$283,CHP_elecEFF!$W7,CHP_CHPR!$Z$4:$Z$283,CHP_elecEFF!$X7)*Y7+Y7))</f>
        <v/>
      </c>
      <c r="AB7" s="4"/>
    </row>
    <row r="8" spans="1:30" x14ac:dyDescent="0.3">
      <c r="A8" t="s">
        <v>33</v>
      </c>
      <c r="B8" t="s">
        <v>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0.33</v>
      </c>
      <c r="T8" s="4"/>
      <c r="U8" s="4"/>
      <c r="V8" s="4" t="s">
        <v>63</v>
      </c>
      <c r="W8" s="4" t="s">
        <v>33</v>
      </c>
      <c r="X8" s="4" t="s">
        <v>38</v>
      </c>
      <c r="Y8" s="4"/>
      <c r="Z8">
        <v>0</v>
      </c>
      <c r="AA8" s="4" t="str">
        <f>IF(SUMIFS(CHP_CHPR!$AA$4:$AA$283,CHP_CHPR!$Y$4:$Y$283,CHP_elecEFF!$W8,CHP_CHPR!$Z$4:$Z$283,CHP_elecEFF!$X8)*Y8+Y8&lt;=$AC$1,"",Y8*$AC$1/(SUMIFS(CHP_CHPR!$AA$4:$AA$283,CHP_CHPR!$Y$4:$Y$283,CHP_elecEFF!$W8,CHP_CHPR!$Z$4:$Z$283,CHP_elecEFF!$X8)*Y8+Y8))</f>
        <v/>
      </c>
      <c r="AB8" s="4"/>
    </row>
    <row r="9" spans="1:30" x14ac:dyDescent="0.3">
      <c r="A9" t="s">
        <v>33</v>
      </c>
      <c r="B9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0.33</v>
      </c>
      <c r="T9" s="4"/>
      <c r="U9" s="4"/>
      <c r="V9" s="4" t="s">
        <v>63</v>
      </c>
      <c r="W9" s="4" t="s">
        <v>33</v>
      </c>
      <c r="X9" s="4" t="s">
        <v>39</v>
      </c>
      <c r="Y9" s="4"/>
      <c r="Z9">
        <v>0</v>
      </c>
      <c r="AA9" s="4" t="str">
        <f>IF(SUMIFS(CHP_CHPR!$AA$4:$AA$283,CHP_CHPR!$Y$4:$Y$283,CHP_elecEFF!$W9,CHP_CHPR!$Z$4:$Z$283,CHP_elecEFF!$X9)*Y9+Y9&lt;=$AC$1,"",Y9*$AC$1/(SUMIFS(CHP_CHPR!$AA$4:$AA$283,CHP_CHPR!$Y$4:$Y$283,CHP_elecEFF!$W9,CHP_CHPR!$Z$4:$Z$283,CHP_elecEFF!$X9)*Y9+Y9))</f>
        <v/>
      </c>
      <c r="AB9" s="4"/>
    </row>
    <row r="10" spans="1:30" x14ac:dyDescent="0.3">
      <c r="A10" t="s">
        <v>33</v>
      </c>
      <c r="B10" t="s">
        <v>40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0.33</v>
      </c>
      <c r="T10" s="4"/>
      <c r="U10" s="4"/>
      <c r="V10" s="4" t="s">
        <v>63</v>
      </c>
      <c r="W10" s="4" t="s">
        <v>33</v>
      </c>
      <c r="X10" s="4" t="s">
        <v>40</v>
      </c>
      <c r="Y10" s="4"/>
      <c r="Z10">
        <v>0</v>
      </c>
      <c r="AA10" s="4" t="str">
        <f>IF(SUMIFS(CHP_CHPR!$AA$4:$AA$283,CHP_CHPR!$Y$4:$Y$283,CHP_elecEFF!$W10,CHP_CHPR!$Z$4:$Z$283,CHP_elecEFF!$X10)*Y10+Y10&lt;=$AC$1,"",Y10*$AC$1/(SUMIFS(CHP_CHPR!$AA$4:$AA$283,CHP_CHPR!$Y$4:$Y$283,CHP_elecEFF!$W10,CHP_CHPR!$Z$4:$Z$283,CHP_elecEFF!$X10)*Y10+Y10))</f>
        <v/>
      </c>
      <c r="AB10" s="4"/>
    </row>
    <row r="11" spans="1:30" x14ac:dyDescent="0.3">
      <c r="A11" t="s">
        <v>41</v>
      </c>
      <c r="B11" t="s">
        <v>34</v>
      </c>
      <c r="C11" s="4"/>
      <c r="D11" s="4"/>
      <c r="E11" s="4"/>
      <c r="F11" s="4"/>
      <c r="G11" s="4"/>
      <c r="H11" s="4"/>
      <c r="I11" s="4"/>
      <c r="J11" s="4"/>
      <c r="K11" s="4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/>
      <c r="U11" s="4"/>
      <c r="V11" s="4" t="s">
        <v>63</v>
      </c>
      <c r="W11" s="4" t="s">
        <v>41</v>
      </c>
      <c r="X11" s="4" t="s">
        <v>34</v>
      </c>
      <c r="Y11" s="4">
        <v>0.29894519519519519</v>
      </c>
      <c r="Z11">
        <v>0</v>
      </c>
      <c r="AA11" s="4" t="str">
        <f>IF(SUMIFS(CHP_CHPR!$AA$4:$AA$283,CHP_CHPR!$Y$4:$Y$283,CHP_elecEFF!$W11,CHP_CHPR!$Z$4:$Z$283,CHP_elecEFF!$X11)*Y11+Y11&lt;=$AC$1,"",Y11*$AC$1/(SUMIFS(CHP_CHPR!$AA$4:$AA$283,CHP_CHPR!$Y$4:$Y$283,CHP_elecEFF!$W11,CHP_CHPR!$Z$4:$Z$283,CHP_elecEFF!$X11)*Y11+Y11))</f>
        <v/>
      </c>
      <c r="AB11" s="4"/>
    </row>
    <row r="12" spans="1:30" x14ac:dyDescent="0.3">
      <c r="A12" t="s">
        <v>41</v>
      </c>
      <c r="B12" t="s">
        <v>35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0.33</v>
      </c>
      <c r="T12" s="4"/>
      <c r="U12" s="4"/>
      <c r="V12" s="4" t="s">
        <v>63</v>
      </c>
      <c r="W12" s="4" t="s">
        <v>41</v>
      </c>
      <c r="X12" s="4" t="s">
        <v>35</v>
      </c>
      <c r="Y12" s="4"/>
      <c r="Z12">
        <v>0</v>
      </c>
      <c r="AA12" s="4" t="str">
        <f>IF(SUMIFS(CHP_CHPR!$AA$4:$AA$283,CHP_CHPR!$Y$4:$Y$283,CHP_elecEFF!$W12,CHP_CHPR!$Z$4:$Z$283,CHP_elecEFF!$X12)*Y12+Y12&lt;=$AC$1,"",Y12*$AC$1/(SUMIFS(CHP_CHPR!$AA$4:$AA$283,CHP_CHPR!$Y$4:$Y$283,CHP_elecEFF!$W12,CHP_CHPR!$Z$4:$Z$283,CHP_elecEFF!$X12)*Y12+Y12))</f>
        <v/>
      </c>
      <c r="AB12" s="4"/>
    </row>
    <row r="13" spans="1:30" x14ac:dyDescent="0.3">
      <c r="A13" t="s">
        <v>41</v>
      </c>
      <c r="B13" t="s">
        <v>36</v>
      </c>
      <c r="C13" s="4"/>
      <c r="D13" s="4"/>
      <c r="E13" s="4"/>
      <c r="F13" s="4"/>
      <c r="G13" s="4"/>
      <c r="H13" s="4"/>
      <c r="I13" s="4"/>
      <c r="J13" s="4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/>
      <c r="U13" s="4"/>
      <c r="V13" s="4" t="s">
        <v>63</v>
      </c>
      <c r="W13" s="4" t="s">
        <v>41</v>
      </c>
      <c r="X13" s="4" t="s">
        <v>36</v>
      </c>
      <c r="Y13" s="4">
        <v>0.28532782719186789</v>
      </c>
      <c r="Z13">
        <v>0</v>
      </c>
      <c r="AA13" s="4" t="str">
        <f>IF(SUMIFS(CHP_CHPR!$AA$4:$AA$283,CHP_CHPR!$Y$4:$Y$283,CHP_elecEFF!$W13,CHP_CHPR!$Z$4:$Z$283,CHP_elecEFF!$X13)*Y13+Y13&lt;=$AC$1,"",Y13*$AC$1/(SUMIFS(CHP_CHPR!$AA$4:$AA$283,CHP_CHPR!$Y$4:$Y$283,CHP_elecEFF!$W13,CHP_CHPR!$Z$4:$Z$283,CHP_elecEFF!$X13)*Y13+Y13))</f>
        <v/>
      </c>
      <c r="AB13" s="4"/>
    </row>
    <row r="14" spans="1:30" x14ac:dyDescent="0.3">
      <c r="A14" t="s">
        <v>41</v>
      </c>
      <c r="B14" t="s">
        <v>37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0.33</v>
      </c>
      <c r="T14" s="4"/>
      <c r="U14" s="4"/>
      <c r="V14" s="4" t="s">
        <v>63</v>
      </c>
      <c r="W14" s="4" t="s">
        <v>41</v>
      </c>
      <c r="X14" s="4" t="s">
        <v>37</v>
      </c>
      <c r="Y14" s="4"/>
      <c r="Z14">
        <v>0</v>
      </c>
      <c r="AA14" s="4" t="str">
        <f>IF(SUMIFS(CHP_CHPR!$AA$4:$AA$283,CHP_CHPR!$Y$4:$Y$283,CHP_elecEFF!$W14,CHP_CHPR!$Z$4:$Z$283,CHP_elecEFF!$X14)*Y14+Y14&lt;=$AC$1,"",Y14*$AC$1/(SUMIFS(CHP_CHPR!$AA$4:$AA$283,CHP_CHPR!$Y$4:$Y$283,CHP_elecEFF!$W14,CHP_CHPR!$Z$4:$Z$283,CHP_elecEFF!$X14)*Y14+Y14))</f>
        <v/>
      </c>
      <c r="AB14" s="4"/>
    </row>
    <row r="15" spans="1:30" x14ac:dyDescent="0.3">
      <c r="A15" t="s">
        <v>41</v>
      </c>
      <c r="B15" t="s">
        <v>39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0.33</v>
      </c>
      <c r="T15" s="4"/>
      <c r="U15" s="4"/>
      <c r="V15" s="4" t="s">
        <v>63</v>
      </c>
      <c r="W15" s="4" t="s">
        <v>41</v>
      </c>
      <c r="X15" s="4" t="s">
        <v>39</v>
      </c>
      <c r="Y15" s="4"/>
      <c r="Z15">
        <v>0</v>
      </c>
      <c r="AA15" s="4" t="str">
        <f>IF(SUMIFS(CHP_CHPR!$AA$4:$AA$283,CHP_CHPR!$Y$4:$Y$283,CHP_elecEFF!$W15,CHP_CHPR!$Z$4:$Z$283,CHP_elecEFF!$X15)*Y15+Y15&lt;=$AC$1,"",Y15*$AC$1/(SUMIFS(CHP_CHPR!$AA$4:$AA$283,CHP_CHPR!$Y$4:$Y$283,CHP_elecEFF!$W15,CHP_CHPR!$Z$4:$Z$283,CHP_elecEFF!$X15)*Y15+Y15))</f>
        <v/>
      </c>
      <c r="AB15" s="4"/>
    </row>
    <row r="16" spans="1:30" x14ac:dyDescent="0.3">
      <c r="A16" t="s">
        <v>41</v>
      </c>
      <c r="B16" t="s">
        <v>40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0.33</v>
      </c>
      <c r="T16" s="4"/>
      <c r="U16" s="4"/>
      <c r="V16" s="4" t="s">
        <v>63</v>
      </c>
      <c r="W16" s="4" t="s">
        <v>41</v>
      </c>
      <c r="X16" s="4" t="s">
        <v>40</v>
      </c>
      <c r="Y16" s="4"/>
      <c r="Z16">
        <v>0</v>
      </c>
      <c r="AA16" s="4" t="str">
        <f>IF(SUMIFS(CHP_CHPR!$AA$4:$AA$283,CHP_CHPR!$Y$4:$Y$283,CHP_elecEFF!$W16,CHP_CHPR!$Z$4:$Z$283,CHP_elecEFF!$X16)*Y16+Y16&lt;=$AC$1,"",Y16*$AC$1/(SUMIFS(CHP_CHPR!$AA$4:$AA$283,CHP_CHPR!$Y$4:$Y$283,CHP_elecEFF!$W16,CHP_CHPR!$Z$4:$Z$283,CHP_elecEFF!$X16)*Y16+Y16))</f>
        <v/>
      </c>
      <c r="AB16" s="4"/>
    </row>
    <row r="17" spans="1:28" x14ac:dyDescent="0.3">
      <c r="A17" t="s">
        <v>42</v>
      </c>
      <c r="B17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/>
      <c r="U17" s="4"/>
      <c r="V17" s="4" t="s">
        <v>63</v>
      </c>
      <c r="W17" s="4" t="s">
        <v>42</v>
      </c>
      <c r="X17" s="4" t="s">
        <v>34</v>
      </c>
      <c r="Y17" s="4">
        <v>0.30884060402684582</v>
      </c>
      <c r="Z17">
        <v>0</v>
      </c>
      <c r="AA17" s="4" t="str">
        <f>IF(SUMIFS(CHP_CHPR!$AA$4:$AA$283,CHP_CHPR!$Y$4:$Y$283,CHP_elecEFF!$W17,CHP_CHPR!$Z$4:$Z$283,CHP_elecEFF!$X17)*Y17+Y17&lt;=$AC$1,"",Y17*$AC$1/(SUMIFS(CHP_CHPR!$AA$4:$AA$283,CHP_CHPR!$Y$4:$Y$283,CHP_elecEFF!$W17,CHP_CHPR!$Z$4:$Z$283,CHP_elecEFF!$X17)*Y17+Y17))</f>
        <v/>
      </c>
      <c r="AB17" s="4"/>
    </row>
    <row r="18" spans="1:28" x14ac:dyDescent="0.3">
      <c r="A18" t="s">
        <v>42</v>
      </c>
      <c r="B18" t="s">
        <v>35</v>
      </c>
      <c r="C18" s="4">
        <v>9.702139667091049E-2</v>
      </c>
      <c r="D18" s="4">
        <v>0.1033637431570107</v>
      </c>
      <c r="E18" s="4">
        <v>0.10140425037164076</v>
      </c>
      <c r="F18" s="4">
        <v>9.7912118442301424E-2</v>
      </c>
      <c r="G18" s="4">
        <v>0.10134814546201015</v>
      </c>
      <c r="H18" s="4">
        <v>9.3295994905567073E-2</v>
      </c>
      <c r="I18" s="4">
        <v>9.184037881867918E-2</v>
      </c>
      <c r="J18" s="4">
        <v>0.10827728182239557</v>
      </c>
      <c r="K18" s="4">
        <v>0.12062904384209992</v>
      </c>
      <c r="L18" s="4">
        <v>0.11841451991866617</v>
      </c>
      <c r="M18" s="4">
        <v>0.12031519528584964</v>
      </c>
      <c r="N18" s="4">
        <v>0.12271427278526409</v>
      </c>
      <c r="O18" s="4">
        <v>0.12382608862862816</v>
      </c>
      <c r="P18" s="4">
        <v>0.12037152850259616</v>
      </c>
      <c r="Q18" s="4">
        <v>0.12174402495456094</v>
      </c>
      <c r="R18" s="4">
        <v>0.13259109105543906</v>
      </c>
      <c r="S18" s="4">
        <v>0.14406675928562959</v>
      </c>
      <c r="T18" s="4"/>
      <c r="U18" s="4"/>
      <c r="V18" s="4" t="s">
        <v>63</v>
      </c>
      <c r="W18" s="4" t="s">
        <v>42</v>
      </c>
      <c r="X18" s="4" t="s">
        <v>35</v>
      </c>
      <c r="Y18" s="4">
        <v>0.28716932907348242</v>
      </c>
      <c r="Z18">
        <v>0</v>
      </c>
      <c r="AA18" s="4" t="str">
        <f>IF(SUMIFS(CHP_CHPR!$AA$4:$AA$283,CHP_CHPR!$Y$4:$Y$283,CHP_elecEFF!$W18,CHP_CHPR!$Z$4:$Z$283,CHP_elecEFF!$X18)*Y18+Y18&lt;=$AC$1,"",Y18*$AC$1/(SUMIFS(CHP_CHPR!$AA$4:$AA$283,CHP_CHPR!$Y$4:$Y$283,CHP_elecEFF!$W18,CHP_CHPR!$Z$4:$Z$283,CHP_elecEFF!$X18)*Y18+Y18))</f>
        <v/>
      </c>
      <c r="AB18" s="4"/>
    </row>
    <row r="19" spans="1:28" x14ac:dyDescent="0.3">
      <c r="A19" t="s">
        <v>42</v>
      </c>
      <c r="B19" t="s">
        <v>36</v>
      </c>
      <c r="C19" s="4">
        <v>0.19765142088029194</v>
      </c>
      <c r="D19" s="4">
        <v>0.21936556135630877</v>
      </c>
      <c r="E19" s="4">
        <v>0.23917643830344931</v>
      </c>
      <c r="F19" s="4">
        <v>0.17167036887045056</v>
      </c>
      <c r="G19" s="4">
        <v>0.18885270539411986</v>
      </c>
      <c r="H19" s="4">
        <v>0.19231065819315571</v>
      </c>
      <c r="I19" s="4">
        <v>0.18361600718877302</v>
      </c>
      <c r="J19" s="4">
        <v>0.18403571484178241</v>
      </c>
      <c r="K19" s="4">
        <v>0.19416966769581068</v>
      </c>
      <c r="L19" s="4">
        <v>0.20945681481399828</v>
      </c>
      <c r="M19" s="4">
        <v>0.19748565244638505</v>
      </c>
      <c r="N19" s="4">
        <v>0.20963987107196461</v>
      </c>
      <c r="O19" s="4">
        <v>0.22029021822146405</v>
      </c>
      <c r="P19" s="4">
        <v>0.20453340698372779</v>
      </c>
      <c r="Q19" s="4">
        <v>0.1910398268792563</v>
      </c>
      <c r="R19" s="4">
        <v>0.22930318128000193</v>
      </c>
      <c r="S19" s="4">
        <v>0.25482334201133283</v>
      </c>
      <c r="T19" s="4"/>
      <c r="U19" s="4"/>
      <c r="V19" s="4" t="s">
        <v>63</v>
      </c>
      <c r="W19" s="4" t="s">
        <v>42</v>
      </c>
      <c r="X19" s="4" t="s">
        <v>36</v>
      </c>
      <c r="Y19" s="4">
        <v>0.30194586894586883</v>
      </c>
      <c r="Z19">
        <v>0</v>
      </c>
      <c r="AA19" s="4" t="str">
        <f>IF(SUMIFS(CHP_CHPR!$AA$4:$AA$283,CHP_CHPR!$Y$4:$Y$283,CHP_elecEFF!$W19,CHP_CHPR!$Z$4:$Z$283,CHP_elecEFF!$X19)*Y19+Y19&lt;=$AC$1,"",Y19*$AC$1/(SUMIFS(CHP_CHPR!$AA$4:$AA$283,CHP_CHPR!$Y$4:$Y$283,CHP_elecEFF!$W19,CHP_CHPR!$Z$4:$Z$283,CHP_elecEFF!$X19)*Y19+Y19))</f>
        <v/>
      </c>
      <c r="AB19" s="4"/>
    </row>
    <row r="20" spans="1:28" x14ac:dyDescent="0.3">
      <c r="A20" t="s">
        <v>42</v>
      </c>
      <c r="B20" t="s">
        <v>43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/>
      <c r="U20" s="4"/>
      <c r="V20" s="4" t="s">
        <v>63</v>
      </c>
      <c r="W20" s="4" t="s">
        <v>42</v>
      </c>
      <c r="X20" s="4" t="s">
        <v>43</v>
      </c>
      <c r="Y20" s="4">
        <v>0.25700000000000001</v>
      </c>
      <c r="Z20">
        <v>0</v>
      </c>
      <c r="AA20" s="4" t="str">
        <f>IF(SUMIFS(CHP_CHPR!$AA$4:$AA$283,CHP_CHPR!$Y$4:$Y$283,CHP_elecEFF!$W20,CHP_CHPR!$Z$4:$Z$283,CHP_elecEFF!$X20)*Y20+Y20&lt;=$AC$1,"",Y20*$AC$1/(SUMIFS(CHP_CHPR!$AA$4:$AA$283,CHP_CHPR!$Y$4:$Y$283,CHP_elecEFF!$W20,CHP_CHPR!$Z$4:$Z$283,CHP_elecEFF!$X20)*Y20+Y20))</f>
        <v/>
      </c>
      <c r="AB20" s="4"/>
    </row>
    <row r="21" spans="1:28" x14ac:dyDescent="0.3">
      <c r="A21" t="s">
        <v>42</v>
      </c>
      <c r="B21" t="s">
        <v>37</v>
      </c>
      <c r="C21" s="4"/>
      <c r="D21" s="4"/>
      <c r="E21" s="4"/>
      <c r="F21" s="4"/>
      <c r="G21" s="4"/>
      <c r="H21" s="4"/>
      <c r="I21" s="4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/>
      <c r="U21" s="4"/>
      <c r="V21" s="4" t="s">
        <v>63</v>
      </c>
      <c r="W21" s="4" t="s">
        <v>42</v>
      </c>
      <c r="X21" s="4" t="s">
        <v>37</v>
      </c>
      <c r="Y21" s="4">
        <v>0.25549206349206349</v>
      </c>
      <c r="Z21">
        <v>0</v>
      </c>
      <c r="AA21" s="4" t="str">
        <f>IF(SUMIFS(CHP_CHPR!$AA$4:$AA$283,CHP_CHPR!$Y$4:$Y$283,CHP_elecEFF!$W21,CHP_CHPR!$Z$4:$Z$283,CHP_elecEFF!$X21)*Y21+Y21&lt;=$AC$1,"",Y21*$AC$1/(SUMIFS(CHP_CHPR!$AA$4:$AA$283,CHP_CHPR!$Y$4:$Y$283,CHP_elecEFF!$W21,CHP_CHPR!$Z$4:$Z$283,CHP_elecEFF!$X21)*Y21+Y21))</f>
        <v/>
      </c>
      <c r="AB21" s="4"/>
    </row>
    <row r="22" spans="1:28" x14ac:dyDescent="0.3">
      <c r="A22" t="s">
        <v>42</v>
      </c>
      <c r="B22" t="s">
        <v>39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0.33</v>
      </c>
      <c r="T22" s="4"/>
      <c r="U22" s="4"/>
      <c r="V22" s="4" t="s">
        <v>63</v>
      </c>
      <c r="W22" s="4" t="s">
        <v>42</v>
      </c>
      <c r="X22" s="4" t="s">
        <v>39</v>
      </c>
      <c r="Y22" s="4"/>
      <c r="Z22">
        <v>0</v>
      </c>
      <c r="AA22" s="4" t="str">
        <f>IF(SUMIFS(CHP_CHPR!$AA$4:$AA$283,CHP_CHPR!$Y$4:$Y$283,CHP_elecEFF!$W22,CHP_CHPR!$Z$4:$Z$283,CHP_elecEFF!$X22)*Y22+Y22&lt;=$AC$1,"",Y22*$AC$1/(SUMIFS(CHP_CHPR!$AA$4:$AA$283,CHP_CHPR!$Y$4:$Y$283,CHP_elecEFF!$W22,CHP_CHPR!$Z$4:$Z$283,CHP_elecEFF!$X22)*Y22+Y22))</f>
        <v/>
      </c>
      <c r="AB22" s="4"/>
    </row>
    <row r="23" spans="1:28" x14ac:dyDescent="0.3">
      <c r="A23" t="s">
        <v>42</v>
      </c>
      <c r="B23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/>
      <c r="U23" s="4"/>
      <c r="V23" s="4" t="s">
        <v>63</v>
      </c>
      <c r="W23" s="4" t="s">
        <v>42</v>
      </c>
      <c r="X23" s="4" t="s">
        <v>40</v>
      </c>
      <c r="Y23" s="4">
        <v>0.25997916666666671</v>
      </c>
      <c r="Z23">
        <v>0</v>
      </c>
      <c r="AA23" s="4" t="str">
        <f>IF(SUMIFS(CHP_CHPR!$AA$4:$AA$283,CHP_CHPR!$Y$4:$Y$283,CHP_elecEFF!$W23,CHP_CHPR!$Z$4:$Z$283,CHP_elecEFF!$X23)*Y23+Y23&lt;=$AC$1,"",Y23*$AC$1/(SUMIFS(CHP_CHPR!$AA$4:$AA$283,CHP_CHPR!$Y$4:$Y$283,CHP_elecEFF!$W23,CHP_CHPR!$Z$4:$Z$283,CHP_elecEFF!$X23)*Y23+Y23))</f>
        <v/>
      </c>
      <c r="AB23" s="4"/>
    </row>
    <row r="24" spans="1:28" x14ac:dyDescent="0.3">
      <c r="A24" t="s">
        <v>44</v>
      </c>
      <c r="B24" t="s">
        <v>34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/>
      <c r="U24" s="4"/>
      <c r="V24" s="4" t="s">
        <v>63</v>
      </c>
      <c r="W24" s="4" t="s">
        <v>44</v>
      </c>
      <c r="X24" s="4" t="s">
        <v>34</v>
      </c>
      <c r="Y24" s="4">
        <v>0.32740002128338841</v>
      </c>
      <c r="Z24">
        <v>0</v>
      </c>
      <c r="AA24" s="4" t="str">
        <f>IF(SUMIFS(CHP_CHPR!$AA$4:$AA$283,CHP_CHPR!$Y$4:$Y$283,CHP_elecEFF!$W24,CHP_CHPR!$Z$4:$Z$283,CHP_elecEFF!$X24)*Y24+Y24&lt;=$AC$1,"",Y24*$AC$1/(SUMIFS(CHP_CHPR!$AA$4:$AA$283,CHP_CHPR!$Y$4:$Y$283,CHP_elecEFF!$W24,CHP_CHPR!$Z$4:$Z$283,CHP_elecEFF!$X24)*Y24+Y24))</f>
        <v/>
      </c>
      <c r="AB24" s="4"/>
    </row>
    <row r="25" spans="1:28" x14ac:dyDescent="0.3">
      <c r="A25" t="s">
        <v>44</v>
      </c>
      <c r="B25" t="s">
        <v>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/>
      <c r="U25" s="4"/>
      <c r="V25" s="4" t="s">
        <v>63</v>
      </c>
      <c r="W25" s="4" t="s">
        <v>44</v>
      </c>
      <c r="X25" s="4" t="s">
        <v>35</v>
      </c>
      <c r="Y25" s="4">
        <v>0.30673832923832922</v>
      </c>
      <c r="Z25">
        <v>0</v>
      </c>
      <c r="AA25" s="4" t="str">
        <f>IF(SUMIFS(CHP_CHPR!$AA$4:$AA$283,CHP_CHPR!$Y$4:$Y$283,CHP_elecEFF!$W25,CHP_CHPR!$Z$4:$Z$283,CHP_elecEFF!$X25)*Y25+Y25&lt;=$AC$1,"",Y25*$AC$1/(SUMIFS(CHP_CHPR!$AA$4:$AA$283,CHP_CHPR!$Y$4:$Y$283,CHP_elecEFF!$W25,CHP_CHPR!$Z$4:$Z$283,CHP_elecEFF!$X25)*Y25+Y25))</f>
        <v/>
      </c>
      <c r="AB25" s="4"/>
    </row>
    <row r="26" spans="1:28" x14ac:dyDescent="0.3">
      <c r="A26" t="s">
        <v>44</v>
      </c>
      <c r="B26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/>
      <c r="U26" s="4"/>
      <c r="V26" s="4" t="s">
        <v>63</v>
      </c>
      <c r="W26" s="4" t="s">
        <v>44</v>
      </c>
      <c r="X26" s="4" t="s">
        <v>36</v>
      </c>
      <c r="Y26" s="4">
        <v>0.38811846405228745</v>
      </c>
      <c r="Z26">
        <v>0</v>
      </c>
      <c r="AA26" s="4" t="str">
        <f>IF(SUMIFS(CHP_CHPR!$AA$4:$AA$283,CHP_CHPR!$Y$4:$Y$283,CHP_elecEFF!$W26,CHP_CHPR!$Z$4:$Z$283,CHP_elecEFF!$X26)*Y26+Y26&lt;=$AC$1,"",Y26*$AC$1/(SUMIFS(CHP_CHPR!$AA$4:$AA$283,CHP_CHPR!$Y$4:$Y$283,CHP_elecEFF!$W26,CHP_CHPR!$Z$4:$Z$283,CHP_elecEFF!$X26)*Y26+Y26))</f>
        <v/>
      </c>
      <c r="AB26" s="4"/>
    </row>
    <row r="27" spans="1:28" x14ac:dyDescent="0.3">
      <c r="A27" t="s">
        <v>44</v>
      </c>
      <c r="B27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/>
      <c r="U27" s="4"/>
      <c r="V27" s="4" t="s">
        <v>63</v>
      </c>
      <c r="W27" s="4" t="s">
        <v>44</v>
      </c>
      <c r="X27" s="4" t="s">
        <v>37</v>
      </c>
      <c r="Y27" s="4">
        <v>0.27140000000000003</v>
      </c>
      <c r="Z27">
        <v>0</v>
      </c>
      <c r="AA27" s="4" t="str">
        <f>IF(SUMIFS(CHP_CHPR!$AA$4:$AA$283,CHP_CHPR!$Y$4:$Y$283,CHP_elecEFF!$W27,CHP_CHPR!$Z$4:$Z$283,CHP_elecEFF!$X27)*Y27+Y27&lt;=$AC$1,"",Y27*$AC$1/(SUMIFS(CHP_CHPR!$AA$4:$AA$283,CHP_CHPR!$Y$4:$Y$283,CHP_elecEFF!$W27,CHP_CHPR!$Z$4:$Z$283,CHP_elecEFF!$X27)*Y27+Y27))</f>
        <v/>
      </c>
      <c r="AB27" s="4"/>
    </row>
    <row r="28" spans="1:28" x14ac:dyDescent="0.3">
      <c r="A28" t="s">
        <v>44</v>
      </c>
      <c r="B28" t="s">
        <v>39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0.33</v>
      </c>
      <c r="T28" s="4"/>
      <c r="U28" s="4"/>
      <c r="V28" s="4" t="s">
        <v>63</v>
      </c>
      <c r="W28" s="4" t="s">
        <v>44</v>
      </c>
      <c r="X28" s="4" t="s">
        <v>39</v>
      </c>
      <c r="Y28" s="4"/>
      <c r="Z28">
        <v>0</v>
      </c>
      <c r="AA28" s="4" t="str">
        <f>IF(SUMIFS(CHP_CHPR!$AA$4:$AA$283,CHP_CHPR!$Y$4:$Y$283,CHP_elecEFF!$W28,CHP_CHPR!$Z$4:$Z$283,CHP_elecEFF!$X28)*Y28+Y28&lt;=$AC$1,"",Y28*$AC$1/(SUMIFS(CHP_CHPR!$AA$4:$AA$283,CHP_CHPR!$Y$4:$Y$283,CHP_elecEFF!$W28,CHP_CHPR!$Z$4:$Z$283,CHP_elecEFF!$X28)*Y28+Y28))</f>
        <v/>
      </c>
      <c r="AB28" s="4"/>
    </row>
    <row r="29" spans="1:28" x14ac:dyDescent="0.3">
      <c r="A29" t="s">
        <v>44</v>
      </c>
      <c r="B29" t="s">
        <v>40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/>
      <c r="U29" s="4"/>
      <c r="V29" s="4" t="s">
        <v>63</v>
      </c>
      <c r="W29" s="4" t="s">
        <v>44</v>
      </c>
      <c r="X29" s="4" t="s">
        <v>40</v>
      </c>
      <c r="Y29" s="4">
        <v>0.26874999999999999</v>
      </c>
      <c r="Z29">
        <v>0</v>
      </c>
      <c r="AA29" s="4" t="str">
        <f>IF(SUMIFS(CHP_CHPR!$AA$4:$AA$283,CHP_CHPR!$Y$4:$Y$283,CHP_elecEFF!$W29,CHP_CHPR!$Z$4:$Z$283,CHP_elecEFF!$X29)*Y29+Y29&lt;=$AC$1,"",Y29*$AC$1/(SUMIFS(CHP_CHPR!$AA$4:$AA$283,CHP_CHPR!$Y$4:$Y$283,CHP_elecEFF!$W29,CHP_CHPR!$Z$4:$Z$283,CHP_elecEFF!$X29)*Y29+Y29))</f>
        <v/>
      </c>
      <c r="AB29" s="4"/>
    </row>
    <row r="30" spans="1:28" x14ac:dyDescent="0.3">
      <c r="A30" t="s">
        <v>45</v>
      </c>
      <c r="B30" t="s">
        <v>34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0.33</v>
      </c>
      <c r="T30" s="4"/>
      <c r="U30" s="4"/>
      <c r="V30" s="4" t="s">
        <v>63</v>
      </c>
      <c r="W30" s="4" t="s">
        <v>45</v>
      </c>
      <c r="X30" s="4" t="s">
        <v>34</v>
      </c>
      <c r="Y30" s="4"/>
      <c r="Z30">
        <v>0</v>
      </c>
      <c r="AA30" s="4" t="str">
        <f>IF(SUMIFS(CHP_CHPR!$AA$4:$AA$283,CHP_CHPR!$Y$4:$Y$283,CHP_elecEFF!$W30,CHP_CHPR!$Z$4:$Z$283,CHP_elecEFF!$X30)*Y30+Y30&lt;=$AC$1,"",Y30*$AC$1/(SUMIFS(CHP_CHPR!$AA$4:$AA$283,CHP_CHPR!$Y$4:$Y$283,CHP_elecEFF!$W30,CHP_CHPR!$Z$4:$Z$283,CHP_elecEFF!$X30)*Y30+Y30))</f>
        <v/>
      </c>
      <c r="AB30" s="4"/>
    </row>
    <row r="31" spans="1:28" x14ac:dyDescent="0.3">
      <c r="A31" t="s">
        <v>45</v>
      </c>
      <c r="B31" t="s">
        <v>35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0.33</v>
      </c>
      <c r="T31" s="4"/>
      <c r="U31" s="4"/>
      <c r="V31" s="4" t="s">
        <v>63</v>
      </c>
      <c r="W31" s="4" t="s">
        <v>45</v>
      </c>
      <c r="X31" s="4" t="s">
        <v>35</v>
      </c>
      <c r="Y31" s="4"/>
      <c r="Z31">
        <v>0</v>
      </c>
      <c r="AA31" s="4" t="str">
        <f>IF(SUMIFS(CHP_CHPR!$AA$4:$AA$283,CHP_CHPR!$Y$4:$Y$283,CHP_elecEFF!$W31,CHP_CHPR!$Z$4:$Z$283,CHP_elecEFF!$X31)*Y31+Y31&lt;=$AC$1,"",Y31*$AC$1/(SUMIFS(CHP_CHPR!$AA$4:$AA$283,CHP_CHPR!$Y$4:$Y$283,CHP_elecEFF!$W31,CHP_CHPR!$Z$4:$Z$283,CHP_elecEFF!$X31)*Y31+Y31))</f>
        <v/>
      </c>
      <c r="AB31" s="4"/>
    </row>
    <row r="32" spans="1:28" x14ac:dyDescent="0.3">
      <c r="A32" t="s">
        <v>45</v>
      </c>
      <c r="B32" t="s">
        <v>36</v>
      </c>
      <c r="C32" s="4">
        <v>8.7368979755775247E-2</v>
      </c>
      <c r="D32" s="4">
        <v>7.2965048616036338E-2</v>
      </c>
      <c r="E32" s="4">
        <v>7.7847402688000944E-2</v>
      </c>
      <c r="F32" s="4">
        <v>7.6132228158436954E-2</v>
      </c>
      <c r="G32" s="4">
        <v>9.4950111825861286E-2</v>
      </c>
      <c r="H32" s="4">
        <v>0.11120079478661235</v>
      </c>
      <c r="I32" s="4">
        <v>0.11329788054568204</v>
      </c>
      <c r="J32" s="4">
        <v>7.5607446204665654E-2</v>
      </c>
      <c r="K32" s="4">
        <v>9.4198788195670194E-2</v>
      </c>
      <c r="L32" s="4">
        <v>0.11522184723204651</v>
      </c>
      <c r="M32" s="4">
        <v>0.12248302395281772</v>
      </c>
      <c r="N32" s="4">
        <v>9.6569148400624222E-2</v>
      </c>
      <c r="O32" s="4">
        <v>9.5108746664167867E-2</v>
      </c>
      <c r="P32" s="4">
        <v>9.6959395043633337E-2</v>
      </c>
      <c r="Q32" s="4">
        <v>9.822648610170262E-2</v>
      </c>
      <c r="R32" s="4">
        <v>9.3768383826034321E-2</v>
      </c>
      <c r="S32" s="4">
        <v>9.6179228048617962E-2</v>
      </c>
      <c r="T32" s="4"/>
      <c r="U32" s="4"/>
      <c r="V32" s="4" t="s">
        <v>63</v>
      </c>
      <c r="W32" s="4" t="s">
        <v>45</v>
      </c>
      <c r="X32" s="4" t="s">
        <v>36</v>
      </c>
      <c r="Y32" s="4">
        <v>0.34027450628366257</v>
      </c>
      <c r="Z32">
        <v>0</v>
      </c>
      <c r="AA32" s="4" t="str">
        <f>IF(SUMIFS(CHP_CHPR!$AA$4:$AA$283,CHP_CHPR!$Y$4:$Y$283,CHP_elecEFF!$W32,CHP_CHPR!$Z$4:$Z$283,CHP_elecEFF!$X32)*Y32+Y32&lt;=$AC$1,"",Y32*$AC$1/(SUMIFS(CHP_CHPR!$AA$4:$AA$283,CHP_CHPR!$Y$4:$Y$283,CHP_elecEFF!$W32,CHP_CHPR!$Z$4:$Z$283,CHP_elecEFF!$X32)*Y32+Y32))</f>
        <v/>
      </c>
      <c r="AB32" s="4"/>
    </row>
    <row r="33" spans="1:28" x14ac:dyDescent="0.3">
      <c r="A33" t="s">
        <v>45</v>
      </c>
      <c r="B33" t="s">
        <v>37</v>
      </c>
      <c r="C33" s="4">
        <v>2.3386858712265983E-3</v>
      </c>
      <c r="D33" s="4">
        <v>1.4596411376804508E-3</v>
      </c>
      <c r="E33" s="4">
        <v>1.3851647128050378E-3</v>
      </c>
      <c r="F33" s="4">
        <v>1.3850179161833006E-3</v>
      </c>
      <c r="G33" s="4">
        <v>1.0600815698125702E-3</v>
      </c>
      <c r="H33" s="4">
        <v>1.6929078444038882E-3</v>
      </c>
      <c r="I33" s="4">
        <v>2.5394031528020557E-3</v>
      </c>
      <c r="J33" s="4">
        <v>3.8471426607067901E-3</v>
      </c>
      <c r="K33" s="4">
        <v>5.1778755541434197E-3</v>
      </c>
      <c r="L33" s="4">
        <v>1.3530585629901592E-2</v>
      </c>
      <c r="M33" s="4">
        <v>4.4003181694703242E-2</v>
      </c>
      <c r="N33" s="4">
        <v>7.3163057308387902E-2</v>
      </c>
      <c r="O33" s="4">
        <v>7.1571107505647477E-2</v>
      </c>
      <c r="P33" s="4">
        <v>6.7964360967822986E-3</v>
      </c>
      <c r="Q33" s="4">
        <v>2.4174676110190359E-2</v>
      </c>
      <c r="R33" s="4">
        <v>0.10877010525664152</v>
      </c>
      <c r="S33" s="4">
        <v>7.2480013258917217E-2</v>
      </c>
      <c r="T33" s="4"/>
      <c r="U33" s="4"/>
      <c r="V33" s="4" t="s">
        <v>63</v>
      </c>
      <c r="W33" s="4" t="s">
        <v>45</v>
      </c>
      <c r="X33" s="4" t="s">
        <v>37</v>
      </c>
      <c r="Y33" s="4">
        <v>0.31447651006711402</v>
      </c>
      <c r="Z33">
        <v>0</v>
      </c>
      <c r="AA33" s="4" t="str">
        <f>IF(SUMIFS(CHP_CHPR!$AA$4:$AA$283,CHP_CHPR!$Y$4:$Y$283,CHP_elecEFF!$W33,CHP_CHPR!$Z$4:$Z$283,CHP_elecEFF!$X33)*Y33+Y33&lt;=$AC$1,"",Y33*$AC$1/(SUMIFS(CHP_CHPR!$AA$4:$AA$283,CHP_CHPR!$Y$4:$Y$283,CHP_elecEFF!$W33,CHP_CHPR!$Z$4:$Z$283,CHP_elecEFF!$X33)*Y33+Y33))</f>
        <v/>
      </c>
      <c r="AB33" s="4"/>
    </row>
    <row r="34" spans="1:28" x14ac:dyDescent="0.3">
      <c r="A34" t="s">
        <v>45</v>
      </c>
      <c r="B34" t="s">
        <v>39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v>0.33</v>
      </c>
      <c r="T34" s="4"/>
      <c r="U34" s="4"/>
      <c r="V34" s="4" t="s">
        <v>63</v>
      </c>
      <c r="W34" s="4" t="s">
        <v>45</v>
      </c>
      <c r="X34" s="4" t="s">
        <v>39</v>
      </c>
      <c r="Y34" s="4"/>
      <c r="Z34">
        <v>0</v>
      </c>
      <c r="AA34" s="4" t="str">
        <f>IF(SUMIFS(CHP_CHPR!$AA$4:$AA$283,CHP_CHPR!$Y$4:$Y$283,CHP_elecEFF!$W34,CHP_CHPR!$Z$4:$Z$283,CHP_elecEFF!$X34)*Y34+Y34&lt;=$AC$1,"",Y34*$AC$1/(SUMIFS(CHP_CHPR!$AA$4:$AA$283,CHP_CHPR!$Y$4:$Y$283,CHP_elecEFF!$W34,CHP_CHPR!$Z$4:$Z$283,CHP_elecEFF!$X34)*Y34+Y34))</f>
        <v/>
      </c>
      <c r="AB34" s="4"/>
    </row>
    <row r="35" spans="1:28" x14ac:dyDescent="0.3">
      <c r="A35" t="s">
        <v>45</v>
      </c>
      <c r="B35" t="s">
        <v>40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/>
      <c r="U35" s="4"/>
      <c r="V35" s="4" t="s">
        <v>63</v>
      </c>
      <c r="W35" s="4" t="s">
        <v>45</v>
      </c>
      <c r="X35" s="4" t="s">
        <v>40</v>
      </c>
      <c r="Y35" s="4">
        <v>0.27605940594059414</v>
      </c>
      <c r="Z35">
        <v>0</v>
      </c>
      <c r="AA35" s="4" t="str">
        <f>IF(SUMIFS(CHP_CHPR!$AA$4:$AA$283,CHP_CHPR!$Y$4:$Y$283,CHP_elecEFF!$W35,CHP_CHPR!$Z$4:$Z$283,CHP_elecEFF!$X35)*Y35+Y35&lt;=$AC$1,"",Y35*$AC$1/(SUMIFS(CHP_CHPR!$AA$4:$AA$283,CHP_CHPR!$Y$4:$Y$283,CHP_elecEFF!$W35,CHP_CHPR!$Z$4:$Z$283,CHP_elecEFF!$X35)*Y35+Y35))</f>
        <v/>
      </c>
      <c r="AB35" s="4"/>
    </row>
    <row r="36" spans="1:28" x14ac:dyDescent="0.3">
      <c r="A36" t="s">
        <v>46</v>
      </c>
      <c r="B36" t="s">
        <v>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v>0.33</v>
      </c>
      <c r="T36" s="4"/>
      <c r="U36" s="4"/>
      <c r="V36" s="4" t="s">
        <v>63</v>
      </c>
      <c r="W36" s="4" t="s">
        <v>46</v>
      </c>
      <c r="X36" s="4" t="s">
        <v>34</v>
      </c>
      <c r="Y36" s="4"/>
      <c r="Z36">
        <v>0</v>
      </c>
      <c r="AA36" s="4" t="str">
        <f>IF(SUMIFS(CHP_CHPR!$AA$4:$AA$283,CHP_CHPR!$Y$4:$Y$283,CHP_elecEFF!$W36,CHP_CHPR!$Z$4:$Z$283,CHP_elecEFF!$X36)*Y36+Y36&lt;=$AC$1,"",Y36*$AC$1/(SUMIFS(CHP_CHPR!$AA$4:$AA$283,CHP_CHPR!$Y$4:$Y$283,CHP_elecEFF!$W36,CHP_CHPR!$Z$4:$Z$283,CHP_elecEFF!$X36)*Y36+Y36))</f>
        <v/>
      </c>
      <c r="AB36" s="4"/>
    </row>
    <row r="37" spans="1:28" x14ac:dyDescent="0.3">
      <c r="A37" t="s">
        <v>46</v>
      </c>
      <c r="B37" t="s">
        <v>35</v>
      </c>
      <c r="C37" s="4"/>
      <c r="D37" s="4"/>
      <c r="E37" s="4"/>
      <c r="F37" s="4">
        <v>6.8557900066597774E-2</v>
      </c>
      <c r="G37" s="4">
        <v>6.9783689162988299E-2</v>
      </c>
      <c r="H37" s="4">
        <v>7.3614180560915898E-2</v>
      </c>
      <c r="I37" s="4">
        <v>7.3355540048026219E-2</v>
      </c>
      <c r="J37" s="4">
        <v>7.3123341168060338E-2</v>
      </c>
      <c r="K37" s="4">
        <v>7.3190338572634364E-2</v>
      </c>
      <c r="L37" s="4">
        <v>7.2344785964045713E-2</v>
      </c>
      <c r="M37" s="4">
        <v>6.7065685079858023E-2</v>
      </c>
      <c r="N37" s="4">
        <v>6.977355309079912E-2</v>
      </c>
      <c r="O37" s="4">
        <v>7.3972235035721853E-2</v>
      </c>
      <c r="P37" s="4">
        <v>7.6447826340660552E-2</v>
      </c>
      <c r="Q37" s="4">
        <v>8.1861566656063312E-2</v>
      </c>
      <c r="R37" s="4">
        <v>7.9092096977255014E-2</v>
      </c>
      <c r="S37" s="4">
        <v>7.5783744186445956E-2</v>
      </c>
      <c r="T37" s="4"/>
      <c r="U37" s="4"/>
      <c r="V37" s="4" t="s">
        <v>63</v>
      </c>
      <c r="W37" s="4" t="s">
        <v>46</v>
      </c>
      <c r="X37" s="4" t="s">
        <v>35</v>
      </c>
      <c r="Y37" s="4">
        <v>0.30060904671700794</v>
      </c>
      <c r="Z37">
        <v>0</v>
      </c>
      <c r="AA37" s="4" t="str">
        <f>IF(SUMIFS(CHP_CHPR!$AA$4:$AA$283,CHP_CHPR!$Y$4:$Y$283,CHP_elecEFF!$W37,CHP_CHPR!$Z$4:$Z$283,CHP_elecEFF!$X37)*Y37+Y37&lt;=$AC$1,"",Y37*$AC$1/(SUMIFS(CHP_CHPR!$AA$4:$AA$283,CHP_CHPR!$Y$4:$Y$283,CHP_elecEFF!$W37,CHP_CHPR!$Z$4:$Z$283,CHP_elecEFF!$X37)*Y37+Y37))</f>
        <v/>
      </c>
      <c r="AB37" s="4"/>
    </row>
    <row r="38" spans="1:28" x14ac:dyDescent="0.3">
      <c r="A38" t="s">
        <v>46</v>
      </c>
      <c r="B38" t="s">
        <v>47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0.33</v>
      </c>
      <c r="T38" s="4"/>
      <c r="U38" s="4"/>
      <c r="V38" s="4" t="s">
        <v>63</v>
      </c>
      <c r="W38" s="4" t="s">
        <v>46</v>
      </c>
      <c r="X38" s="4" t="s">
        <v>47</v>
      </c>
      <c r="Y38" s="4"/>
      <c r="Z38">
        <v>0</v>
      </c>
      <c r="AA38" s="4" t="str">
        <f>IF(SUMIFS(CHP_CHPR!$AA$4:$AA$283,CHP_CHPR!$Y$4:$Y$283,CHP_elecEFF!$W38,CHP_CHPR!$Z$4:$Z$283,CHP_elecEFF!$X38)*Y38+Y38&lt;=$AC$1,"",Y38*$AC$1/(SUMIFS(CHP_CHPR!$AA$4:$AA$283,CHP_CHPR!$Y$4:$Y$283,CHP_elecEFF!$W38,CHP_CHPR!$Z$4:$Z$283,CHP_elecEFF!$X38)*Y38+Y38))</f>
        <v/>
      </c>
      <c r="AB38" s="4"/>
    </row>
    <row r="39" spans="1:28" x14ac:dyDescent="0.3">
      <c r="A39" t="s">
        <v>46</v>
      </c>
      <c r="B39" t="s">
        <v>36</v>
      </c>
      <c r="C39" s="4"/>
      <c r="D39" s="4"/>
      <c r="E39" s="4"/>
      <c r="F39" s="4">
        <v>5.5994832352230274E-2</v>
      </c>
      <c r="G39" s="4">
        <v>5.6414623035289622E-2</v>
      </c>
      <c r="H39" s="4">
        <v>5.1754068931576726E-2</v>
      </c>
      <c r="I39" s="4">
        <v>5.6986944069069664E-2</v>
      </c>
      <c r="J39" s="4">
        <v>5.1670866343707773E-2</v>
      </c>
      <c r="K39" s="4">
        <v>3.4285258049015388E-2</v>
      </c>
      <c r="L39" s="4">
        <v>4.9582720555851341E-2</v>
      </c>
      <c r="M39" s="4">
        <v>5.1240491622873488E-2</v>
      </c>
      <c r="N39" s="4">
        <v>5.9245753427472923E-2</v>
      </c>
      <c r="O39" s="4">
        <v>6.5098118678037289E-2</v>
      </c>
      <c r="P39" s="4">
        <v>6.4446288829017234E-2</v>
      </c>
      <c r="Q39" s="4">
        <v>6.3687162658657009E-2</v>
      </c>
      <c r="R39" s="4">
        <v>6.2145316528595923E-2</v>
      </c>
      <c r="S39" s="4">
        <v>6.2495257463330442E-2</v>
      </c>
      <c r="T39" s="4"/>
      <c r="U39" s="4"/>
      <c r="V39" s="4" t="s">
        <v>63</v>
      </c>
      <c r="W39" s="4" t="s">
        <v>46</v>
      </c>
      <c r="X39" s="4" t="s">
        <v>36</v>
      </c>
      <c r="Y39" s="4">
        <v>0.49302378973315369</v>
      </c>
      <c r="Z39">
        <v>0</v>
      </c>
      <c r="AA39" s="4">
        <f>IF(SUMIFS(CHP_CHPR!$AA$4:$AA$283,CHP_CHPR!$Y$4:$Y$283,CHP_elecEFF!$W39,CHP_CHPR!$Z$4:$Z$283,CHP_elecEFF!$X39)*Y39+Y39&lt;=$AC$1,"",Y39*$AC$1/(SUMIFS(CHP_CHPR!$AA$4:$AA$283,CHP_CHPR!$Y$4:$Y$283,CHP_elecEFF!$W39,CHP_CHPR!$Z$4:$Z$283,CHP_elecEFF!$X39)*Y39+Y39))</f>
        <v>0.23418829184408452</v>
      </c>
      <c r="AB39" s="4"/>
    </row>
    <row r="40" spans="1:28" x14ac:dyDescent="0.3">
      <c r="A40" t="s">
        <v>46</v>
      </c>
      <c r="B40" t="s">
        <v>48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v>0.33</v>
      </c>
      <c r="T40" s="4"/>
      <c r="U40" s="4"/>
      <c r="V40" s="4" t="s">
        <v>63</v>
      </c>
      <c r="W40" s="4" t="s">
        <v>46</v>
      </c>
      <c r="X40" s="4" t="s">
        <v>48</v>
      </c>
      <c r="Y40" s="4"/>
      <c r="Z40">
        <v>0</v>
      </c>
      <c r="AA40" s="4" t="str">
        <f>IF(SUMIFS(CHP_CHPR!$AA$4:$AA$283,CHP_CHPR!$Y$4:$Y$283,CHP_elecEFF!$W40,CHP_CHPR!$Z$4:$Z$283,CHP_elecEFF!$X40)*Y40+Y40&lt;=$AC$1,"",Y40*$AC$1/(SUMIFS(CHP_CHPR!$AA$4:$AA$283,CHP_CHPR!$Y$4:$Y$283,CHP_elecEFF!$W40,CHP_CHPR!$Z$4:$Z$283,CHP_elecEFF!$X40)*Y40+Y40))</f>
        <v/>
      </c>
      <c r="AB40" s="4"/>
    </row>
    <row r="41" spans="1:28" x14ac:dyDescent="0.3">
      <c r="A41" t="s">
        <v>46</v>
      </c>
      <c r="B41" t="s">
        <v>37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0.33</v>
      </c>
      <c r="T41" s="4"/>
      <c r="U41" s="4"/>
      <c r="V41" s="4" t="s">
        <v>63</v>
      </c>
      <c r="W41" s="4" t="s">
        <v>46</v>
      </c>
      <c r="X41" s="4" t="s">
        <v>37</v>
      </c>
      <c r="Y41" s="4"/>
      <c r="Z41">
        <v>0</v>
      </c>
      <c r="AA41" s="4" t="str">
        <f>IF(SUMIFS(CHP_CHPR!$AA$4:$AA$283,CHP_CHPR!$Y$4:$Y$283,CHP_elecEFF!$W41,CHP_CHPR!$Z$4:$Z$283,CHP_elecEFF!$X41)*Y41+Y41&lt;=$AC$1,"",Y41*$AC$1/(SUMIFS(CHP_CHPR!$AA$4:$AA$283,CHP_CHPR!$Y$4:$Y$283,CHP_elecEFF!$W41,CHP_CHPR!$Z$4:$Z$283,CHP_elecEFF!$X41)*Y41+Y41))</f>
        <v/>
      </c>
      <c r="AB41" s="4"/>
    </row>
    <row r="42" spans="1:28" x14ac:dyDescent="0.3">
      <c r="A42" t="s">
        <v>46</v>
      </c>
      <c r="B42" t="s">
        <v>39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>
        <v>0.33</v>
      </c>
      <c r="T42" s="4"/>
      <c r="U42" s="4"/>
      <c r="V42" s="4" t="s">
        <v>63</v>
      </c>
      <c r="W42" s="4" t="s">
        <v>46</v>
      </c>
      <c r="X42" s="4" t="s">
        <v>39</v>
      </c>
      <c r="Y42" s="4"/>
      <c r="Z42">
        <v>0</v>
      </c>
      <c r="AA42" s="4" t="str">
        <f>IF(SUMIFS(CHP_CHPR!$AA$4:$AA$283,CHP_CHPR!$Y$4:$Y$283,CHP_elecEFF!$W42,CHP_CHPR!$Z$4:$Z$283,CHP_elecEFF!$X42)*Y42+Y42&lt;=$AC$1,"",Y42*$AC$1/(SUMIFS(CHP_CHPR!$AA$4:$AA$283,CHP_CHPR!$Y$4:$Y$283,CHP_elecEFF!$W42,CHP_CHPR!$Z$4:$Z$283,CHP_elecEFF!$X42)*Y42+Y42))</f>
        <v/>
      </c>
      <c r="AB42" s="4"/>
    </row>
    <row r="43" spans="1:28" x14ac:dyDescent="0.3">
      <c r="A43" t="s">
        <v>46</v>
      </c>
      <c r="B43" t="s">
        <v>40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>
        <v>0.33</v>
      </c>
      <c r="T43" s="4"/>
      <c r="U43" s="4"/>
      <c r="V43" s="4" t="s">
        <v>63</v>
      </c>
      <c r="W43" s="4" t="s">
        <v>46</v>
      </c>
      <c r="X43" s="4" t="s">
        <v>40</v>
      </c>
      <c r="Y43" s="4"/>
      <c r="Z43">
        <v>0</v>
      </c>
      <c r="AA43" s="4" t="str">
        <f>IF(SUMIFS(CHP_CHPR!$AA$4:$AA$283,CHP_CHPR!$Y$4:$Y$283,CHP_elecEFF!$W43,CHP_CHPR!$Z$4:$Z$283,CHP_elecEFF!$X43)*Y43+Y43&lt;=$AC$1,"",Y43*$AC$1/(SUMIFS(CHP_CHPR!$AA$4:$AA$283,CHP_CHPR!$Y$4:$Y$283,CHP_elecEFF!$W43,CHP_CHPR!$Z$4:$Z$283,CHP_elecEFF!$X43)*Y43+Y43))</f>
        <v/>
      </c>
      <c r="AB43" s="4"/>
    </row>
    <row r="44" spans="1:28" x14ac:dyDescent="0.3">
      <c r="A44" t="s">
        <v>49</v>
      </c>
      <c r="B44" t="s">
        <v>34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/>
      <c r="U44" s="4"/>
      <c r="V44" s="4" t="s">
        <v>63</v>
      </c>
      <c r="W44" s="4" t="s">
        <v>49</v>
      </c>
      <c r="X44" s="4" t="s">
        <v>34</v>
      </c>
      <c r="Y44" s="4">
        <v>0.31975796930342393</v>
      </c>
      <c r="Z44">
        <v>0</v>
      </c>
      <c r="AA44" s="4" t="str">
        <f>IF(SUMIFS(CHP_CHPR!$AA$4:$AA$283,CHP_CHPR!$Y$4:$Y$283,CHP_elecEFF!$W44,CHP_CHPR!$Z$4:$Z$283,CHP_elecEFF!$X44)*Y44+Y44&lt;=$AC$1,"",Y44*$AC$1/(SUMIFS(CHP_CHPR!$AA$4:$AA$283,CHP_CHPR!$Y$4:$Y$283,CHP_elecEFF!$W44,CHP_CHPR!$Z$4:$Z$283,CHP_elecEFF!$X44)*Y44+Y44))</f>
        <v/>
      </c>
      <c r="AB44" s="4"/>
    </row>
    <row r="45" spans="1:28" x14ac:dyDescent="0.3">
      <c r="A45" t="s">
        <v>49</v>
      </c>
      <c r="B45" t="s">
        <v>35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>
        <v>0.33</v>
      </c>
      <c r="T45" s="4"/>
      <c r="U45" s="4"/>
      <c r="V45" s="4" t="s">
        <v>63</v>
      </c>
      <c r="W45" s="4" t="s">
        <v>49</v>
      </c>
      <c r="X45" s="4" t="s">
        <v>35</v>
      </c>
      <c r="Y45" s="4"/>
      <c r="Z45">
        <v>0</v>
      </c>
      <c r="AA45" s="4" t="str">
        <f>IF(SUMIFS(CHP_CHPR!$AA$4:$AA$283,CHP_CHPR!$Y$4:$Y$283,CHP_elecEFF!$W45,CHP_CHPR!$Z$4:$Z$283,CHP_elecEFF!$X45)*Y45+Y45&lt;=$AC$1,"",Y45*$AC$1/(SUMIFS(CHP_CHPR!$AA$4:$AA$283,CHP_CHPR!$Y$4:$Y$283,CHP_elecEFF!$W45,CHP_CHPR!$Z$4:$Z$283,CHP_elecEFF!$X45)*Y45+Y45))</f>
        <v/>
      </c>
      <c r="AB45" s="4"/>
    </row>
    <row r="46" spans="1:28" x14ac:dyDescent="0.3">
      <c r="A46" t="s">
        <v>49</v>
      </c>
      <c r="B46" t="s">
        <v>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>
        <v>0.33</v>
      </c>
      <c r="T46" s="4"/>
      <c r="U46" s="4"/>
      <c r="V46" s="4" t="s">
        <v>63</v>
      </c>
      <c r="W46" s="4" t="s">
        <v>49</v>
      </c>
      <c r="X46" s="4" t="s">
        <v>36</v>
      </c>
      <c r="Y46" s="4"/>
      <c r="Z46">
        <v>0</v>
      </c>
      <c r="AA46" s="4" t="str">
        <f>IF(SUMIFS(CHP_CHPR!$AA$4:$AA$283,CHP_CHPR!$Y$4:$Y$283,CHP_elecEFF!$W46,CHP_CHPR!$Z$4:$Z$283,CHP_elecEFF!$X46)*Y46+Y46&lt;=$AC$1,"",Y46*$AC$1/(SUMIFS(CHP_CHPR!$AA$4:$AA$283,CHP_CHPR!$Y$4:$Y$283,CHP_elecEFF!$W46,CHP_CHPR!$Z$4:$Z$283,CHP_elecEFF!$X46)*Y46+Y46))</f>
        <v/>
      </c>
      <c r="AB46" s="4"/>
    </row>
    <row r="47" spans="1:28" x14ac:dyDescent="0.3">
      <c r="A47" t="s">
        <v>49</v>
      </c>
      <c r="B47" t="s">
        <v>37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0.33</v>
      </c>
      <c r="T47" s="4"/>
      <c r="U47" s="4"/>
      <c r="V47" s="4" t="s">
        <v>63</v>
      </c>
      <c r="W47" s="4" t="s">
        <v>49</v>
      </c>
      <c r="X47" s="4" t="s">
        <v>37</v>
      </c>
      <c r="Y47" s="4"/>
      <c r="Z47">
        <v>0</v>
      </c>
      <c r="AA47" s="4" t="str">
        <f>IF(SUMIFS(CHP_CHPR!$AA$4:$AA$283,CHP_CHPR!$Y$4:$Y$283,CHP_elecEFF!$W47,CHP_CHPR!$Z$4:$Z$283,CHP_elecEFF!$X47)*Y47+Y47&lt;=$AC$1,"",Y47*$AC$1/(SUMIFS(CHP_CHPR!$AA$4:$AA$283,CHP_CHPR!$Y$4:$Y$283,CHP_elecEFF!$W47,CHP_CHPR!$Z$4:$Z$283,CHP_elecEFF!$X47)*Y47+Y47))</f>
        <v/>
      </c>
      <c r="AB47" s="4"/>
    </row>
    <row r="48" spans="1:28" x14ac:dyDescent="0.3">
      <c r="A48" t="s">
        <v>49</v>
      </c>
      <c r="B48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0.33</v>
      </c>
      <c r="T48" s="4"/>
      <c r="U48" s="4"/>
      <c r="V48" s="4" t="s">
        <v>63</v>
      </c>
      <c r="W48" s="4" t="s">
        <v>49</v>
      </c>
      <c r="X48" s="4" t="s">
        <v>38</v>
      </c>
      <c r="Y48" s="4"/>
      <c r="Z48">
        <v>0</v>
      </c>
      <c r="AA48" s="4" t="str">
        <f>IF(SUMIFS(CHP_CHPR!$AA$4:$AA$283,CHP_CHPR!$Y$4:$Y$283,CHP_elecEFF!$W48,CHP_CHPR!$Z$4:$Z$283,CHP_elecEFF!$X48)*Y48+Y48&lt;=$AC$1,"",Y48*$AC$1/(SUMIFS(CHP_CHPR!$AA$4:$AA$283,CHP_CHPR!$Y$4:$Y$283,CHP_elecEFF!$W48,CHP_CHPR!$Z$4:$Z$283,CHP_elecEFF!$X48)*Y48+Y48))</f>
        <v/>
      </c>
      <c r="AB48" s="4"/>
    </row>
    <row r="49" spans="1:28" x14ac:dyDescent="0.3">
      <c r="A49" t="s">
        <v>49</v>
      </c>
      <c r="B49" t="s">
        <v>39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>
        <v>0.33</v>
      </c>
      <c r="T49" s="4"/>
      <c r="U49" s="4"/>
      <c r="V49" s="4" t="s">
        <v>63</v>
      </c>
      <c r="W49" s="4" t="s">
        <v>49</v>
      </c>
      <c r="X49" s="4" t="s">
        <v>39</v>
      </c>
      <c r="Y49" s="4"/>
      <c r="Z49">
        <v>0</v>
      </c>
      <c r="AA49" s="4" t="str">
        <f>IF(SUMIFS(CHP_CHPR!$AA$4:$AA$283,CHP_CHPR!$Y$4:$Y$283,CHP_elecEFF!$W49,CHP_CHPR!$Z$4:$Z$283,CHP_elecEFF!$X49)*Y49+Y49&lt;=$AC$1,"",Y49*$AC$1/(SUMIFS(CHP_CHPR!$AA$4:$AA$283,CHP_CHPR!$Y$4:$Y$283,CHP_elecEFF!$W49,CHP_CHPR!$Z$4:$Z$283,CHP_elecEFF!$X49)*Y49+Y49))</f>
        <v/>
      </c>
      <c r="AB49" s="4"/>
    </row>
    <row r="50" spans="1:28" x14ac:dyDescent="0.3">
      <c r="A50" t="s">
        <v>50</v>
      </c>
      <c r="B50" t="s">
        <v>34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/>
      <c r="U50" s="4"/>
      <c r="V50" s="4" t="s">
        <v>63</v>
      </c>
      <c r="W50" s="4" t="s">
        <v>50</v>
      </c>
      <c r="X50" s="4" t="s">
        <v>34</v>
      </c>
      <c r="Y50" s="4">
        <v>0.31311566648230088</v>
      </c>
      <c r="Z50">
        <v>0</v>
      </c>
      <c r="AA50" s="4" t="str">
        <f>IF(SUMIFS(CHP_CHPR!$AA$4:$AA$283,CHP_CHPR!$Y$4:$Y$283,CHP_elecEFF!$W50,CHP_CHPR!$Z$4:$Z$283,CHP_elecEFF!$X50)*Y50+Y50&lt;=$AC$1,"",Y50*$AC$1/(SUMIFS(CHP_CHPR!$AA$4:$AA$283,CHP_CHPR!$Y$4:$Y$283,CHP_elecEFF!$W50,CHP_CHPR!$Z$4:$Z$283,CHP_elecEFF!$X50)*Y50+Y50))</f>
        <v/>
      </c>
      <c r="AB50" s="4"/>
    </row>
    <row r="51" spans="1:28" x14ac:dyDescent="0.3">
      <c r="A51" t="s">
        <v>50</v>
      </c>
      <c r="B51" t="s">
        <v>35</v>
      </c>
      <c r="C51" s="4">
        <v>9.2614434465919174E-2</v>
      </c>
      <c r="D51" s="4">
        <v>9.6524110938804975E-2</v>
      </c>
      <c r="E51" s="4">
        <v>9.4040824478968124E-2</v>
      </c>
      <c r="F51" s="4">
        <v>9.3312720558250128E-2</v>
      </c>
      <c r="G51" s="4">
        <v>9.5900704896444228E-2</v>
      </c>
      <c r="H51" s="4">
        <v>9.4800343028326323E-2</v>
      </c>
      <c r="I51" s="4">
        <v>9.3730701228612129E-2</v>
      </c>
      <c r="J51" s="4">
        <v>9.204425896622144E-2</v>
      </c>
      <c r="K51" s="4">
        <v>9.3931387583494064E-2</v>
      </c>
      <c r="L51" s="4">
        <v>9.3799457000615344E-2</v>
      </c>
      <c r="M51" s="4">
        <v>9.2073059679818173E-2</v>
      </c>
      <c r="N51" s="4">
        <v>9.1310895155689464E-2</v>
      </c>
      <c r="O51" s="4">
        <v>9.0536019547268823E-2</v>
      </c>
      <c r="P51" s="4">
        <v>9.3541198934888173E-2</v>
      </c>
      <c r="Q51" s="4">
        <v>9.4580666796679064E-2</v>
      </c>
      <c r="R51" s="4">
        <v>9.2856254679921688E-2</v>
      </c>
      <c r="S51" s="4">
        <v>9.2446895519502137E-2</v>
      </c>
      <c r="T51" s="4"/>
      <c r="U51" s="4"/>
      <c r="V51" s="4" t="s">
        <v>63</v>
      </c>
      <c r="W51" s="4" t="s">
        <v>50</v>
      </c>
      <c r="X51" s="4" t="s">
        <v>35</v>
      </c>
      <c r="Y51" s="4">
        <v>0.31431569159240624</v>
      </c>
      <c r="Z51">
        <v>0</v>
      </c>
      <c r="AA51" s="4" t="str">
        <f>IF(SUMIFS(CHP_CHPR!$AA$4:$AA$283,CHP_CHPR!$Y$4:$Y$283,CHP_elecEFF!$W51,CHP_CHPR!$Z$4:$Z$283,CHP_elecEFF!$X51)*Y51+Y51&lt;=$AC$1,"",Y51*$AC$1/(SUMIFS(CHP_CHPR!$AA$4:$AA$283,CHP_CHPR!$Y$4:$Y$283,CHP_elecEFF!$W51,CHP_CHPR!$Z$4:$Z$283,CHP_elecEFF!$X51)*Y51+Y51))</f>
        <v/>
      </c>
      <c r="AB51" s="4"/>
    </row>
    <row r="52" spans="1:28" x14ac:dyDescent="0.3">
      <c r="A52" t="s">
        <v>50</v>
      </c>
      <c r="B52" t="s">
        <v>36</v>
      </c>
      <c r="C52" s="4">
        <v>0.13636924487239102</v>
      </c>
      <c r="D52" s="4">
        <v>0.14498511490205698</v>
      </c>
      <c r="E52" s="4">
        <v>0.1497204153324791</v>
      </c>
      <c r="F52" s="4">
        <v>0.15538405640458061</v>
      </c>
      <c r="G52" s="4">
        <v>0.15301860192630565</v>
      </c>
      <c r="H52" s="4">
        <v>0.15762368905514584</v>
      </c>
      <c r="I52" s="4">
        <v>0.15960392662734349</v>
      </c>
      <c r="J52" s="4">
        <v>0.15413462582783297</v>
      </c>
      <c r="K52" s="4">
        <v>0.16033912594168886</v>
      </c>
      <c r="L52" s="4">
        <v>0.1675326953882687</v>
      </c>
      <c r="M52" s="4">
        <v>0.16745566748656507</v>
      </c>
      <c r="N52" s="4">
        <v>0.1802495267071787</v>
      </c>
      <c r="O52" s="4">
        <v>0.18326586753666138</v>
      </c>
      <c r="P52" s="4">
        <v>0.18519830205503038</v>
      </c>
      <c r="Q52" s="4">
        <v>0.18205286175923147</v>
      </c>
      <c r="R52" s="4">
        <v>0.18722331792616626</v>
      </c>
      <c r="S52" s="4">
        <v>0.20079986099172431</v>
      </c>
      <c r="T52" s="4"/>
      <c r="U52" s="4"/>
      <c r="V52" s="4" t="s">
        <v>63</v>
      </c>
      <c r="W52" s="4" t="s">
        <v>50</v>
      </c>
      <c r="X52" s="4" t="s">
        <v>36</v>
      </c>
      <c r="Y52" s="4">
        <v>0.38129708384804339</v>
      </c>
      <c r="Z52">
        <v>0</v>
      </c>
      <c r="AA52" s="4" t="str">
        <f>IF(SUMIFS(CHP_CHPR!$AA$4:$AA$283,CHP_CHPR!$Y$4:$Y$283,CHP_elecEFF!$W52,CHP_CHPR!$Z$4:$Z$283,CHP_elecEFF!$X52)*Y52+Y52&lt;=$AC$1,"",Y52*$AC$1/(SUMIFS(CHP_CHPR!$AA$4:$AA$283,CHP_CHPR!$Y$4:$Y$283,CHP_elecEFF!$W52,CHP_CHPR!$Z$4:$Z$283,CHP_elecEFF!$X52)*Y52+Y52))</f>
        <v/>
      </c>
      <c r="AB52" s="4"/>
    </row>
    <row r="53" spans="1:28" x14ac:dyDescent="0.3">
      <c r="A53" t="s">
        <v>50</v>
      </c>
      <c r="B53" t="s">
        <v>43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/>
      <c r="U53" s="4"/>
      <c r="V53" s="4" t="s">
        <v>63</v>
      </c>
      <c r="W53" s="4" t="s">
        <v>50</v>
      </c>
      <c r="X53" s="4" t="s">
        <v>43</v>
      </c>
      <c r="Y53" s="4">
        <v>0.33095480225988705</v>
      </c>
      <c r="Z53">
        <v>0</v>
      </c>
      <c r="AA53" s="4" t="str">
        <f>IF(SUMIFS(CHP_CHPR!$AA$4:$AA$283,CHP_CHPR!$Y$4:$Y$283,CHP_elecEFF!$W53,CHP_CHPR!$Z$4:$Z$283,CHP_elecEFF!$X53)*Y53+Y53&lt;=$AC$1,"",Y53*$AC$1/(SUMIFS(CHP_CHPR!$AA$4:$AA$283,CHP_CHPR!$Y$4:$Y$283,CHP_elecEFF!$W53,CHP_CHPR!$Z$4:$Z$283,CHP_elecEFF!$X53)*Y53+Y53))</f>
        <v/>
      </c>
      <c r="AB53" s="4"/>
    </row>
    <row r="54" spans="1:28" x14ac:dyDescent="0.3">
      <c r="A54" t="s">
        <v>50</v>
      </c>
      <c r="B54" t="s">
        <v>48</v>
      </c>
      <c r="C54" s="4">
        <v>9.4583396872087666E-2</v>
      </c>
      <c r="D54" s="4">
        <v>9.5042513682075044E-2</v>
      </c>
      <c r="E54" s="4">
        <v>9.5620249459342402E-2</v>
      </c>
      <c r="F54" s="4">
        <v>9.5809613474480415E-2</v>
      </c>
      <c r="G54" s="4">
        <v>9.5788420662037008E-2</v>
      </c>
      <c r="H54" s="4">
        <v>9.5948328809583705E-2</v>
      </c>
      <c r="I54" s="4">
        <v>9.5954960930562744E-2</v>
      </c>
      <c r="J54" s="4">
        <v>9.5769319400903052E-2</v>
      </c>
      <c r="K54" s="4">
        <v>9.5535332789990782E-2</v>
      </c>
      <c r="L54" s="4">
        <v>9.5946802542052373E-2</v>
      </c>
      <c r="M54" s="4">
        <v>9.6175369844314684E-2</v>
      </c>
      <c r="N54" s="4">
        <v>9.6268231480439115E-2</v>
      </c>
      <c r="O54" s="4">
        <v>9.6254359014404309E-2</v>
      </c>
      <c r="P54" s="4">
        <v>9.6491046842654443E-2</v>
      </c>
      <c r="Q54" s="4">
        <v>9.6463215643942515E-2</v>
      </c>
      <c r="R54" s="4">
        <v>9.4044564407926037E-2</v>
      </c>
      <c r="S54" s="4">
        <v>9.4051754621353706E-2</v>
      </c>
      <c r="T54" s="4"/>
      <c r="U54" s="4"/>
      <c r="V54" s="4" t="s">
        <v>63</v>
      </c>
      <c r="W54" s="4" t="s">
        <v>50</v>
      </c>
      <c r="X54" s="4" t="s">
        <v>48</v>
      </c>
      <c r="Y54" s="4">
        <v>0.33</v>
      </c>
      <c r="Z54">
        <v>0</v>
      </c>
      <c r="AA54" s="4" t="str">
        <f>IF(SUMIFS(CHP_CHPR!$AA$4:$AA$283,CHP_CHPR!$Y$4:$Y$283,CHP_elecEFF!$W54,CHP_CHPR!$Z$4:$Z$283,CHP_elecEFF!$X54)*Y54+Y54&lt;=$AC$1,"",Y54*$AC$1/(SUMIFS(CHP_CHPR!$AA$4:$AA$283,CHP_CHPR!$Y$4:$Y$283,CHP_elecEFF!$W54,CHP_CHPR!$Z$4:$Z$283,CHP_elecEFF!$X54)*Y54+Y54))</f>
        <v/>
      </c>
      <c r="AB54" s="4"/>
    </row>
    <row r="55" spans="1:28" x14ac:dyDescent="0.3">
      <c r="A55" t="s">
        <v>50</v>
      </c>
      <c r="B55" t="s">
        <v>37</v>
      </c>
      <c r="C55">
        <v>0.24572456359821782</v>
      </c>
      <c r="D55">
        <v>0.16957179918726975</v>
      </c>
      <c r="E55">
        <v>0.6196777755202777</v>
      </c>
      <c r="F55">
        <v>0.75918895946796205</v>
      </c>
      <c r="G55">
        <v>0.69323036879499433</v>
      </c>
      <c r="H55">
        <v>0.99146910785975872</v>
      </c>
      <c r="I55">
        <v>0.99089844079284617</v>
      </c>
      <c r="J55">
        <v>0.6611723866886654</v>
      </c>
      <c r="K55">
        <v>0.71007761969360206</v>
      </c>
      <c r="L55">
        <v>0.89117855372610744</v>
      </c>
      <c r="M55">
        <v>0.93860030286210128</v>
      </c>
      <c r="N55">
        <v>0.90122012154971975</v>
      </c>
      <c r="O55">
        <v>1.2069723529141971</v>
      </c>
      <c r="P55">
        <v>0.89200264161333342</v>
      </c>
      <c r="Q55">
        <v>0.82301547016792054</v>
      </c>
      <c r="R55">
        <v>0.81738959384583632</v>
      </c>
      <c r="S55">
        <v>1.791268732471518</v>
      </c>
      <c r="V55" s="4" t="s">
        <v>63</v>
      </c>
      <c r="W55" t="s">
        <v>50</v>
      </c>
      <c r="X55" t="s">
        <v>37</v>
      </c>
      <c r="Y55" s="4">
        <v>0.27304848560388878</v>
      </c>
      <c r="Z55">
        <v>0</v>
      </c>
      <c r="AA55" s="4" t="str">
        <f>IF(SUMIFS(CHP_CHPR!$AA$4:$AA$283,CHP_CHPR!$Y$4:$Y$283,CHP_elecEFF!$W55,CHP_CHPR!$Z$4:$Z$283,CHP_elecEFF!$X55)*Y55+Y55&lt;=$AC$1,"",Y55*$AC$1/(SUMIFS(CHP_CHPR!$AA$4:$AA$283,CHP_CHPR!$Y$4:$Y$283,CHP_elecEFF!$W55,CHP_CHPR!$Z$4:$Z$283,CHP_elecEFF!$X55)*Y55+Y55))</f>
        <v/>
      </c>
      <c r="AB55" s="4"/>
    </row>
    <row r="56" spans="1:28" x14ac:dyDescent="0.3">
      <c r="A56" t="s">
        <v>50</v>
      </c>
      <c r="B56" t="s">
        <v>38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V56" s="4" t="s">
        <v>63</v>
      </c>
      <c r="W56" t="s">
        <v>50</v>
      </c>
      <c r="X56" t="s">
        <v>38</v>
      </c>
      <c r="Y56" s="4">
        <v>0.23</v>
      </c>
      <c r="Z56">
        <v>0</v>
      </c>
      <c r="AA56" s="4" t="str">
        <f>IF(SUMIFS(CHP_CHPR!$AA$4:$AA$283,CHP_CHPR!$Y$4:$Y$283,CHP_elecEFF!$W56,CHP_CHPR!$Z$4:$Z$283,CHP_elecEFF!$X56)*Y56+Y56&lt;=$AC$1,"",Y56*$AC$1/(SUMIFS(CHP_CHPR!$AA$4:$AA$283,CHP_CHPR!$Y$4:$Y$283,CHP_elecEFF!$W56,CHP_CHPR!$Z$4:$Z$283,CHP_elecEFF!$X56)*Y56+Y56))</f>
        <v/>
      </c>
      <c r="AB56" s="4"/>
    </row>
    <row r="57" spans="1:28" x14ac:dyDescent="0.3">
      <c r="A57" t="s">
        <v>50</v>
      </c>
      <c r="B57" t="s">
        <v>39</v>
      </c>
      <c r="C57">
        <v>0.14499192860298066</v>
      </c>
      <c r="D57">
        <v>0.1991635123356503</v>
      </c>
      <c r="E57">
        <v>0.16298303154734228</v>
      </c>
      <c r="F57">
        <v>0.14347380421746284</v>
      </c>
      <c r="G57">
        <v>0.54421039833276585</v>
      </c>
      <c r="H57">
        <v>0.29861242052136555</v>
      </c>
      <c r="I57">
        <v>0.15859774202356786</v>
      </c>
      <c r="J57">
        <v>0.1419851901951466</v>
      </c>
      <c r="K57">
        <v>0.1278081970134072</v>
      </c>
      <c r="L57">
        <v>0.14241949927838962</v>
      </c>
      <c r="M57">
        <v>0.12443222173778587</v>
      </c>
      <c r="N57">
        <v>0.13558438470034109</v>
      </c>
      <c r="O57">
        <v>0.15883829069124847</v>
      </c>
      <c r="P57">
        <v>0.15339117266197527</v>
      </c>
      <c r="Q57">
        <v>0.13467269889819611</v>
      </c>
      <c r="R57">
        <v>0.14657081466953092</v>
      </c>
      <c r="S57">
        <v>0.12326576848179892</v>
      </c>
      <c r="V57" s="4" t="s">
        <v>63</v>
      </c>
      <c r="W57" t="s">
        <v>50</v>
      </c>
      <c r="X57" t="s">
        <v>39</v>
      </c>
      <c r="Y57" s="4">
        <v>0.23525847457627128</v>
      </c>
      <c r="Z57">
        <v>0</v>
      </c>
      <c r="AA57" s="4" t="str">
        <f>IF(SUMIFS(CHP_CHPR!$AA$4:$AA$283,CHP_CHPR!$Y$4:$Y$283,CHP_elecEFF!$W57,CHP_CHPR!$Z$4:$Z$283,CHP_elecEFF!$X57)*Y57+Y57&lt;=$AC$1,"",Y57*$AC$1/(SUMIFS(CHP_CHPR!$AA$4:$AA$283,CHP_CHPR!$Y$4:$Y$283,CHP_elecEFF!$W57,CHP_CHPR!$Z$4:$Z$283,CHP_elecEFF!$X57)*Y57+Y57))</f>
        <v/>
      </c>
      <c r="AB57" s="4"/>
    </row>
    <row r="58" spans="1:28" x14ac:dyDescent="0.3">
      <c r="A58" t="s">
        <v>50</v>
      </c>
      <c r="B58" t="s">
        <v>40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V58" s="4" t="s">
        <v>63</v>
      </c>
      <c r="W58" t="s">
        <v>50</v>
      </c>
      <c r="X58" t="s">
        <v>40</v>
      </c>
      <c r="Y58" s="4">
        <v>0.31056808825950927</v>
      </c>
      <c r="Z58">
        <v>0</v>
      </c>
      <c r="AA58" s="4" t="str">
        <f>IF(SUMIFS(CHP_CHPR!$AA$4:$AA$283,CHP_CHPR!$Y$4:$Y$283,CHP_elecEFF!$W58,CHP_CHPR!$Z$4:$Z$283,CHP_elecEFF!$X58)*Y58+Y58&lt;=$AC$1,"",Y58*$AC$1/(SUMIFS(CHP_CHPR!$AA$4:$AA$283,CHP_CHPR!$Y$4:$Y$283,CHP_elecEFF!$W58,CHP_CHPR!$Z$4:$Z$283,CHP_elecEFF!$X58)*Y58+Y58))</f>
        <v/>
      </c>
      <c r="AB58" s="4"/>
    </row>
    <row r="59" spans="1:28" x14ac:dyDescent="0.3">
      <c r="A59" t="s">
        <v>51</v>
      </c>
      <c r="B59" t="s">
        <v>34</v>
      </c>
      <c r="S59">
        <v>0.33</v>
      </c>
      <c r="V59" s="4" t="s">
        <v>63</v>
      </c>
      <c r="W59" t="s">
        <v>51</v>
      </c>
      <c r="X59" t="s">
        <v>34</v>
      </c>
      <c r="Y59" s="4"/>
      <c r="Z59">
        <v>0</v>
      </c>
      <c r="AA59" s="4" t="str">
        <f>IF(SUMIFS(CHP_CHPR!$AA$4:$AA$283,CHP_CHPR!$Y$4:$Y$283,CHP_elecEFF!$W59,CHP_CHPR!$Z$4:$Z$283,CHP_elecEFF!$X59)*Y59+Y59&lt;=$AC$1,"",Y59*$AC$1/(SUMIFS(CHP_CHPR!$AA$4:$AA$283,CHP_CHPR!$Y$4:$Y$283,CHP_elecEFF!$W59,CHP_CHPR!$Z$4:$Z$283,CHP_elecEFF!$X59)*Y59+Y59))</f>
        <v/>
      </c>
      <c r="AB59" s="4"/>
    </row>
    <row r="60" spans="1:28" x14ac:dyDescent="0.3">
      <c r="A60" t="s">
        <v>51</v>
      </c>
      <c r="B60" t="s">
        <v>35</v>
      </c>
      <c r="S60">
        <v>0.33</v>
      </c>
      <c r="V60" s="4" t="s">
        <v>63</v>
      </c>
      <c r="W60" t="s">
        <v>51</v>
      </c>
      <c r="X60" t="s">
        <v>35</v>
      </c>
      <c r="Y60" s="4"/>
      <c r="Z60">
        <v>0</v>
      </c>
      <c r="AA60" s="4" t="str">
        <f>IF(SUMIFS(CHP_CHPR!$AA$4:$AA$283,CHP_CHPR!$Y$4:$Y$283,CHP_elecEFF!$W60,CHP_CHPR!$Z$4:$Z$283,CHP_elecEFF!$X60)*Y60+Y60&lt;=$AC$1,"",Y60*$AC$1/(SUMIFS(CHP_CHPR!$AA$4:$AA$283,CHP_CHPR!$Y$4:$Y$283,CHP_elecEFF!$W60,CHP_CHPR!$Z$4:$Z$283,CHP_elecEFF!$X60)*Y60+Y60))</f>
        <v/>
      </c>
      <c r="AB60" s="4"/>
    </row>
    <row r="61" spans="1:28" x14ac:dyDescent="0.3">
      <c r="A61" t="s">
        <v>51</v>
      </c>
      <c r="B61" t="s">
        <v>36</v>
      </c>
      <c r="S61">
        <v>0.33</v>
      </c>
      <c r="V61" s="4" t="s">
        <v>63</v>
      </c>
      <c r="W61" t="s">
        <v>51</v>
      </c>
      <c r="X61" t="s">
        <v>36</v>
      </c>
      <c r="Y61" s="4"/>
      <c r="Z61">
        <v>0</v>
      </c>
      <c r="AA61" s="4" t="str">
        <f>IF(SUMIFS(CHP_CHPR!$AA$4:$AA$283,CHP_CHPR!$Y$4:$Y$283,CHP_elecEFF!$W61,CHP_CHPR!$Z$4:$Z$283,CHP_elecEFF!$X61)*Y61+Y61&lt;=$AC$1,"",Y61*$AC$1/(SUMIFS(CHP_CHPR!$AA$4:$AA$283,CHP_CHPR!$Y$4:$Y$283,CHP_elecEFF!$W61,CHP_CHPR!$Z$4:$Z$283,CHP_elecEFF!$X61)*Y61+Y61))</f>
        <v/>
      </c>
      <c r="AB61" s="4"/>
    </row>
    <row r="62" spans="1:28" x14ac:dyDescent="0.3">
      <c r="A62" t="s">
        <v>51</v>
      </c>
      <c r="B62" t="s">
        <v>37</v>
      </c>
      <c r="S62">
        <v>0.33</v>
      </c>
      <c r="V62" s="4" t="s">
        <v>63</v>
      </c>
      <c r="W62" t="s">
        <v>51</v>
      </c>
      <c r="X62" t="s">
        <v>37</v>
      </c>
      <c r="Y62" s="4"/>
      <c r="Z62">
        <v>0</v>
      </c>
      <c r="AA62" s="4" t="str">
        <f>IF(SUMIFS(CHP_CHPR!$AA$4:$AA$283,CHP_CHPR!$Y$4:$Y$283,CHP_elecEFF!$W62,CHP_CHPR!$Z$4:$Z$283,CHP_elecEFF!$X62)*Y62+Y62&lt;=$AC$1,"",Y62*$AC$1/(SUMIFS(CHP_CHPR!$AA$4:$AA$283,CHP_CHPR!$Y$4:$Y$283,CHP_elecEFF!$W62,CHP_CHPR!$Z$4:$Z$283,CHP_elecEFF!$X62)*Y62+Y62))</f>
        <v/>
      </c>
      <c r="AB62" s="4"/>
    </row>
    <row r="63" spans="1:28" x14ac:dyDescent="0.3">
      <c r="A63" t="s">
        <v>51</v>
      </c>
      <c r="B63" t="s">
        <v>39</v>
      </c>
      <c r="S63">
        <v>0.33</v>
      </c>
      <c r="V63" s="4" t="s">
        <v>63</v>
      </c>
      <c r="W63" t="s">
        <v>51</v>
      </c>
      <c r="X63" t="s">
        <v>39</v>
      </c>
      <c r="Y63" s="4"/>
      <c r="Z63">
        <v>0</v>
      </c>
      <c r="AA63" s="4" t="str">
        <f>IF(SUMIFS(CHP_CHPR!$AA$4:$AA$283,CHP_CHPR!$Y$4:$Y$283,CHP_elecEFF!$W63,CHP_CHPR!$Z$4:$Z$283,CHP_elecEFF!$X63)*Y63+Y63&lt;=$AC$1,"",Y63*$AC$1/(SUMIFS(CHP_CHPR!$AA$4:$AA$283,CHP_CHPR!$Y$4:$Y$283,CHP_elecEFF!$W63,CHP_CHPR!$Z$4:$Z$283,CHP_elecEFF!$X63)*Y63+Y63))</f>
        <v/>
      </c>
      <c r="AB63" s="4"/>
    </row>
    <row r="64" spans="1:28" x14ac:dyDescent="0.3">
      <c r="A64" t="s">
        <v>51</v>
      </c>
      <c r="B64" t="s">
        <v>52</v>
      </c>
      <c r="S64">
        <v>0.33</v>
      </c>
      <c r="V64" s="4" t="s">
        <v>63</v>
      </c>
      <c r="W64" t="s">
        <v>51</v>
      </c>
      <c r="X64" t="s">
        <v>52</v>
      </c>
      <c r="Y64" s="4"/>
      <c r="Z64">
        <v>0</v>
      </c>
      <c r="AA64" s="4" t="str">
        <f>IF(SUMIFS(CHP_CHPR!$AA$4:$AA$283,CHP_CHPR!$Y$4:$Y$283,CHP_elecEFF!$W64,CHP_CHPR!$Z$4:$Z$283,CHP_elecEFF!$X64)*Y64+Y64&lt;=$AC$1,"",Y64*$AC$1/(SUMIFS(CHP_CHPR!$AA$4:$AA$283,CHP_CHPR!$Y$4:$Y$283,CHP_elecEFF!$W64,CHP_CHPR!$Z$4:$Z$283,CHP_elecEFF!$X64)*Y64+Y64))</f>
        <v/>
      </c>
      <c r="AB64" s="4"/>
    </row>
    <row r="65" spans="1:28" x14ac:dyDescent="0.3">
      <c r="A65" t="s">
        <v>51</v>
      </c>
      <c r="B65" t="s">
        <v>40</v>
      </c>
      <c r="S65">
        <v>0.33</v>
      </c>
      <c r="V65" s="4" t="s">
        <v>63</v>
      </c>
      <c r="W65" t="s">
        <v>51</v>
      </c>
      <c r="X65" t="s">
        <v>40</v>
      </c>
      <c r="Y65" s="4"/>
      <c r="Z65">
        <v>0</v>
      </c>
      <c r="AA65" s="4" t="str">
        <f>IF(SUMIFS(CHP_CHPR!$AA$4:$AA$283,CHP_CHPR!$Y$4:$Y$283,CHP_elecEFF!$W65,CHP_CHPR!$Z$4:$Z$283,CHP_elecEFF!$X65)*Y65+Y65&lt;=$AC$1,"",Y65*$AC$1/(SUMIFS(CHP_CHPR!$AA$4:$AA$283,CHP_CHPR!$Y$4:$Y$283,CHP_elecEFF!$W65,CHP_CHPR!$Z$4:$Z$283,CHP_elecEFF!$X65)*Y65+Y65))</f>
        <v/>
      </c>
      <c r="AB65" s="4"/>
    </row>
    <row r="66" spans="1:28" x14ac:dyDescent="0.3">
      <c r="A66" t="s">
        <v>53</v>
      </c>
      <c r="B66" t="s">
        <v>34</v>
      </c>
      <c r="S66">
        <v>0.33</v>
      </c>
      <c r="V66" s="4" t="s">
        <v>63</v>
      </c>
      <c r="W66" t="s">
        <v>53</v>
      </c>
      <c r="X66" t="s">
        <v>34</v>
      </c>
      <c r="Y66" s="4"/>
      <c r="Z66">
        <v>0</v>
      </c>
      <c r="AA66" s="4" t="str">
        <f>IF(SUMIFS(CHP_CHPR!$AA$4:$AA$283,CHP_CHPR!$Y$4:$Y$283,CHP_elecEFF!$W66,CHP_CHPR!$Z$4:$Z$283,CHP_elecEFF!$X66)*Y66+Y66&lt;=$AC$1,"",Y66*$AC$1/(SUMIFS(CHP_CHPR!$AA$4:$AA$283,CHP_CHPR!$Y$4:$Y$283,CHP_elecEFF!$W66,CHP_CHPR!$Z$4:$Z$283,CHP_elecEFF!$X66)*Y66+Y66))</f>
        <v/>
      </c>
      <c r="AB66" s="4"/>
    </row>
    <row r="67" spans="1:28" x14ac:dyDescent="0.3">
      <c r="A67" t="s">
        <v>53</v>
      </c>
      <c r="B67" t="s">
        <v>35</v>
      </c>
      <c r="S67">
        <v>0.33</v>
      </c>
      <c r="V67" s="4" t="s">
        <v>63</v>
      </c>
      <c r="W67" t="s">
        <v>53</v>
      </c>
      <c r="X67" t="s">
        <v>35</v>
      </c>
      <c r="Y67" s="4"/>
      <c r="Z67">
        <v>0</v>
      </c>
      <c r="AA67" s="4" t="str">
        <f>IF(SUMIFS(CHP_CHPR!$AA$4:$AA$283,CHP_CHPR!$Y$4:$Y$283,CHP_elecEFF!$W67,CHP_CHPR!$Z$4:$Z$283,CHP_elecEFF!$X67)*Y67+Y67&lt;=$AC$1,"",Y67*$AC$1/(SUMIFS(CHP_CHPR!$AA$4:$AA$283,CHP_CHPR!$Y$4:$Y$283,CHP_elecEFF!$W67,CHP_CHPR!$Z$4:$Z$283,CHP_elecEFF!$X67)*Y67+Y67))</f>
        <v/>
      </c>
      <c r="AB67" s="4"/>
    </row>
    <row r="68" spans="1:28" x14ac:dyDescent="0.3">
      <c r="A68" t="s">
        <v>53</v>
      </c>
      <c r="B68" t="s">
        <v>47</v>
      </c>
      <c r="S68">
        <v>0.33</v>
      </c>
      <c r="V68" s="4" t="s">
        <v>63</v>
      </c>
      <c r="W68" t="s">
        <v>53</v>
      </c>
      <c r="X68" t="s">
        <v>47</v>
      </c>
      <c r="Y68" s="4"/>
      <c r="Z68">
        <v>0</v>
      </c>
      <c r="AA68" s="4" t="str">
        <f>IF(SUMIFS(CHP_CHPR!$AA$4:$AA$283,CHP_CHPR!$Y$4:$Y$283,CHP_elecEFF!$W68,CHP_CHPR!$Z$4:$Z$283,CHP_elecEFF!$X68)*Y68+Y68&lt;=$AC$1,"",Y68*$AC$1/(SUMIFS(CHP_CHPR!$AA$4:$AA$283,CHP_CHPR!$Y$4:$Y$283,CHP_elecEFF!$W68,CHP_CHPR!$Z$4:$Z$283,CHP_elecEFF!$X68)*Y68+Y68))</f>
        <v/>
      </c>
      <c r="AB68" s="4"/>
    </row>
    <row r="69" spans="1:28" x14ac:dyDescent="0.3">
      <c r="A69" t="s">
        <v>53</v>
      </c>
      <c r="B69" t="s">
        <v>36</v>
      </c>
      <c r="S69">
        <v>0.33</v>
      </c>
      <c r="V69" s="4" t="s">
        <v>63</v>
      </c>
      <c r="W69" t="s">
        <v>53</v>
      </c>
      <c r="X69" t="s">
        <v>36</v>
      </c>
      <c r="Y69" s="4"/>
      <c r="Z69">
        <v>0</v>
      </c>
      <c r="AA69" s="4" t="str">
        <f>IF(SUMIFS(CHP_CHPR!$AA$4:$AA$283,CHP_CHPR!$Y$4:$Y$283,CHP_elecEFF!$W69,CHP_CHPR!$Z$4:$Z$283,CHP_elecEFF!$X69)*Y69+Y69&lt;=$AC$1,"",Y69*$AC$1/(SUMIFS(CHP_CHPR!$AA$4:$AA$283,CHP_CHPR!$Y$4:$Y$283,CHP_elecEFF!$W69,CHP_CHPR!$Z$4:$Z$283,CHP_elecEFF!$X69)*Y69+Y69))</f>
        <v/>
      </c>
      <c r="AB69" s="4"/>
    </row>
    <row r="70" spans="1:28" x14ac:dyDescent="0.3">
      <c r="A70" t="s">
        <v>53</v>
      </c>
      <c r="B70" t="s">
        <v>43</v>
      </c>
      <c r="S70">
        <v>0.33</v>
      </c>
      <c r="V70" s="4" t="s">
        <v>63</v>
      </c>
      <c r="W70" t="s">
        <v>53</v>
      </c>
      <c r="X70" t="s">
        <v>43</v>
      </c>
      <c r="Y70" s="4"/>
      <c r="Z70">
        <v>0</v>
      </c>
      <c r="AA70" s="4" t="str">
        <f>IF(SUMIFS(CHP_CHPR!$AA$4:$AA$283,CHP_CHPR!$Y$4:$Y$283,CHP_elecEFF!$W70,CHP_CHPR!$Z$4:$Z$283,CHP_elecEFF!$X70)*Y70+Y70&lt;=$AC$1,"",Y70*$AC$1/(SUMIFS(CHP_CHPR!$AA$4:$AA$283,CHP_CHPR!$Y$4:$Y$283,CHP_elecEFF!$W70,CHP_CHPR!$Z$4:$Z$283,CHP_elecEFF!$X70)*Y70+Y70))</f>
        <v/>
      </c>
      <c r="AB70" s="4"/>
    </row>
    <row r="71" spans="1:28" x14ac:dyDescent="0.3">
      <c r="A71" t="s">
        <v>53</v>
      </c>
      <c r="B71" t="s">
        <v>37</v>
      </c>
      <c r="S71">
        <v>0.33</v>
      </c>
      <c r="V71" s="4" t="s">
        <v>63</v>
      </c>
      <c r="W71" t="s">
        <v>53</v>
      </c>
      <c r="X71" t="s">
        <v>37</v>
      </c>
      <c r="Y71" s="4"/>
      <c r="Z71">
        <v>0</v>
      </c>
      <c r="AA71" s="4" t="str">
        <f>IF(SUMIFS(CHP_CHPR!$AA$4:$AA$283,CHP_CHPR!$Y$4:$Y$283,CHP_elecEFF!$W71,CHP_CHPR!$Z$4:$Z$283,CHP_elecEFF!$X71)*Y71+Y71&lt;=$AC$1,"",Y71*$AC$1/(SUMIFS(CHP_CHPR!$AA$4:$AA$283,CHP_CHPR!$Y$4:$Y$283,CHP_elecEFF!$W71,CHP_CHPR!$Z$4:$Z$283,CHP_elecEFF!$X71)*Y71+Y71))</f>
        <v/>
      </c>
      <c r="AB71" s="4"/>
    </row>
    <row r="72" spans="1:28" x14ac:dyDescent="0.3">
      <c r="A72" t="s">
        <v>53</v>
      </c>
      <c r="B72" t="s">
        <v>39</v>
      </c>
      <c r="S72">
        <v>0.33</v>
      </c>
      <c r="V72" s="4" t="s">
        <v>63</v>
      </c>
      <c r="W72" t="s">
        <v>53</v>
      </c>
      <c r="X72" t="s">
        <v>39</v>
      </c>
      <c r="Y72" s="4"/>
      <c r="Z72">
        <v>0</v>
      </c>
      <c r="AA72" s="4" t="str">
        <f>IF(SUMIFS(CHP_CHPR!$AA$4:$AA$283,CHP_CHPR!$Y$4:$Y$283,CHP_elecEFF!$W72,CHP_CHPR!$Z$4:$Z$283,CHP_elecEFF!$X72)*Y72+Y72&lt;=$AC$1,"",Y72*$AC$1/(SUMIFS(CHP_CHPR!$AA$4:$AA$283,CHP_CHPR!$Y$4:$Y$283,CHP_elecEFF!$W72,CHP_CHPR!$Z$4:$Z$283,CHP_elecEFF!$X72)*Y72+Y72))</f>
        <v/>
      </c>
      <c r="AB72" s="4"/>
    </row>
    <row r="73" spans="1:28" x14ac:dyDescent="0.3">
      <c r="A73" t="s">
        <v>53</v>
      </c>
      <c r="B73" t="s">
        <v>40</v>
      </c>
      <c r="S73">
        <v>0.33</v>
      </c>
      <c r="V73" s="4" t="s">
        <v>63</v>
      </c>
      <c r="W73" t="s">
        <v>53</v>
      </c>
      <c r="X73" t="s">
        <v>40</v>
      </c>
      <c r="Y73" s="4"/>
      <c r="Z73">
        <v>0</v>
      </c>
      <c r="AA73" s="4" t="str">
        <f>IF(SUMIFS(CHP_CHPR!$AA$4:$AA$283,CHP_CHPR!$Y$4:$Y$283,CHP_elecEFF!$W73,CHP_CHPR!$Z$4:$Z$283,CHP_elecEFF!$X73)*Y73+Y73&lt;=$AC$1,"",Y73*$AC$1/(SUMIFS(CHP_CHPR!$AA$4:$AA$283,CHP_CHPR!$Y$4:$Y$283,CHP_elecEFF!$W73,CHP_CHPR!$Z$4:$Z$283,CHP_elecEFF!$X73)*Y73+Y73))</f>
        <v/>
      </c>
      <c r="AB73" s="4"/>
    </row>
    <row r="74" spans="1:28" x14ac:dyDescent="0.3">
      <c r="A74" t="s">
        <v>54</v>
      </c>
      <c r="B74" t="s">
        <v>34</v>
      </c>
      <c r="S74">
        <v>0.33</v>
      </c>
      <c r="V74" s="4" t="s">
        <v>63</v>
      </c>
      <c r="W74" t="s">
        <v>54</v>
      </c>
      <c r="X74" t="s">
        <v>34</v>
      </c>
      <c r="Y74" s="4"/>
      <c r="Z74">
        <v>0</v>
      </c>
      <c r="AA74" s="4" t="str">
        <f>IF(SUMIFS(CHP_CHPR!$AA$4:$AA$283,CHP_CHPR!$Y$4:$Y$283,CHP_elecEFF!$W74,CHP_CHPR!$Z$4:$Z$283,CHP_elecEFF!$X74)*Y74+Y74&lt;=$AC$1,"",Y74*$AC$1/(SUMIFS(CHP_CHPR!$AA$4:$AA$283,CHP_CHPR!$Y$4:$Y$283,CHP_elecEFF!$W74,CHP_CHPR!$Z$4:$Z$283,CHP_elecEFF!$X74)*Y74+Y74))</f>
        <v/>
      </c>
      <c r="AB74" s="4"/>
    </row>
    <row r="75" spans="1:28" x14ac:dyDescent="0.3">
      <c r="A75" t="s">
        <v>54</v>
      </c>
      <c r="B75" t="s">
        <v>35</v>
      </c>
      <c r="S75">
        <v>0.33</v>
      </c>
      <c r="V75" s="4" t="s">
        <v>63</v>
      </c>
      <c r="W75" t="s">
        <v>54</v>
      </c>
      <c r="X75" t="s">
        <v>35</v>
      </c>
      <c r="Y75" s="4"/>
      <c r="Z75">
        <v>0</v>
      </c>
      <c r="AA75" s="4" t="str">
        <f>IF(SUMIFS(CHP_CHPR!$AA$4:$AA$283,CHP_CHPR!$Y$4:$Y$283,CHP_elecEFF!$W75,CHP_CHPR!$Z$4:$Z$283,CHP_elecEFF!$X75)*Y75+Y75&lt;=$AC$1,"",Y75*$AC$1/(SUMIFS(CHP_CHPR!$AA$4:$AA$283,CHP_CHPR!$Y$4:$Y$283,CHP_elecEFF!$W75,CHP_CHPR!$Z$4:$Z$283,CHP_elecEFF!$X75)*Y75+Y75))</f>
        <v/>
      </c>
      <c r="AB75" s="4"/>
    </row>
    <row r="76" spans="1:28" x14ac:dyDescent="0.3">
      <c r="A76" t="s">
        <v>54</v>
      </c>
      <c r="B76" t="s">
        <v>36</v>
      </c>
      <c r="S76">
        <v>0.33</v>
      </c>
      <c r="V76" s="4" t="s">
        <v>63</v>
      </c>
      <c r="W76" t="s">
        <v>54</v>
      </c>
      <c r="X76" t="s">
        <v>36</v>
      </c>
      <c r="Y76" s="4"/>
      <c r="Z76">
        <v>0</v>
      </c>
      <c r="AA76" s="4" t="str">
        <f>IF(SUMIFS(CHP_CHPR!$AA$4:$AA$283,CHP_CHPR!$Y$4:$Y$283,CHP_elecEFF!$W76,CHP_CHPR!$Z$4:$Z$283,CHP_elecEFF!$X76)*Y76+Y76&lt;=$AC$1,"",Y76*$AC$1/(SUMIFS(CHP_CHPR!$AA$4:$AA$283,CHP_CHPR!$Y$4:$Y$283,CHP_elecEFF!$W76,CHP_CHPR!$Z$4:$Z$283,CHP_elecEFF!$X76)*Y76+Y76))</f>
        <v/>
      </c>
      <c r="AB76" s="4"/>
    </row>
    <row r="77" spans="1:28" x14ac:dyDescent="0.3">
      <c r="A77" t="s">
        <v>54</v>
      </c>
      <c r="B77" t="s">
        <v>37</v>
      </c>
      <c r="S77">
        <v>0.33</v>
      </c>
      <c r="V77" s="4" t="s">
        <v>63</v>
      </c>
      <c r="W77" t="s">
        <v>54</v>
      </c>
      <c r="X77" t="s">
        <v>37</v>
      </c>
      <c r="Y77" s="4"/>
      <c r="Z77">
        <v>0</v>
      </c>
      <c r="AA77" s="4" t="str">
        <f>IF(SUMIFS(CHP_CHPR!$AA$4:$AA$283,CHP_CHPR!$Y$4:$Y$283,CHP_elecEFF!$W77,CHP_CHPR!$Z$4:$Z$283,CHP_elecEFF!$X77)*Y77+Y77&lt;=$AC$1,"",Y77*$AC$1/(SUMIFS(CHP_CHPR!$AA$4:$AA$283,CHP_CHPR!$Y$4:$Y$283,CHP_elecEFF!$W77,CHP_CHPR!$Z$4:$Z$283,CHP_elecEFF!$X77)*Y77+Y77))</f>
        <v/>
      </c>
      <c r="AB77" s="4"/>
    </row>
    <row r="78" spans="1:28" x14ac:dyDescent="0.3">
      <c r="A78" t="s">
        <v>54</v>
      </c>
      <c r="B78" t="s">
        <v>38</v>
      </c>
      <c r="S78">
        <v>0.33</v>
      </c>
      <c r="V78" s="4" t="s">
        <v>63</v>
      </c>
      <c r="W78" t="s">
        <v>54</v>
      </c>
      <c r="X78" t="s">
        <v>38</v>
      </c>
      <c r="Y78" s="4"/>
      <c r="Z78">
        <v>0</v>
      </c>
      <c r="AA78" s="4" t="str">
        <f>IF(SUMIFS(CHP_CHPR!$AA$4:$AA$283,CHP_CHPR!$Y$4:$Y$283,CHP_elecEFF!$W78,CHP_CHPR!$Z$4:$Z$283,CHP_elecEFF!$X78)*Y78+Y78&lt;=$AC$1,"",Y78*$AC$1/(SUMIFS(CHP_CHPR!$AA$4:$AA$283,CHP_CHPR!$Y$4:$Y$283,CHP_elecEFF!$W78,CHP_CHPR!$Z$4:$Z$283,CHP_elecEFF!$X78)*Y78+Y78))</f>
        <v/>
      </c>
      <c r="AB78" s="4"/>
    </row>
    <row r="79" spans="1:28" x14ac:dyDescent="0.3">
      <c r="A79" t="s">
        <v>54</v>
      </c>
      <c r="B79" t="s">
        <v>39</v>
      </c>
      <c r="S79">
        <v>0.33</v>
      </c>
      <c r="V79" s="4" t="s">
        <v>63</v>
      </c>
      <c r="W79" t="s">
        <v>54</v>
      </c>
      <c r="X79" t="s">
        <v>39</v>
      </c>
      <c r="Y79" s="4"/>
      <c r="Z79">
        <v>0</v>
      </c>
      <c r="AA79" s="4" t="str">
        <f>IF(SUMIFS(CHP_CHPR!$AA$4:$AA$283,CHP_CHPR!$Y$4:$Y$283,CHP_elecEFF!$W79,CHP_CHPR!$Z$4:$Z$283,CHP_elecEFF!$X79)*Y79+Y79&lt;=$AC$1,"",Y79*$AC$1/(SUMIFS(CHP_CHPR!$AA$4:$AA$283,CHP_CHPR!$Y$4:$Y$283,CHP_elecEFF!$W79,CHP_CHPR!$Z$4:$Z$283,CHP_elecEFF!$X79)*Y79+Y79))</f>
        <v/>
      </c>
      <c r="AB79" s="4"/>
    </row>
    <row r="80" spans="1:28" x14ac:dyDescent="0.3">
      <c r="A80" t="s">
        <v>54</v>
      </c>
      <c r="B80" t="s">
        <v>40</v>
      </c>
      <c r="S80">
        <v>0.33</v>
      </c>
      <c r="V80" s="4" t="s">
        <v>63</v>
      </c>
      <c r="W80" t="s">
        <v>54</v>
      </c>
      <c r="X80" t="s">
        <v>40</v>
      </c>
      <c r="Y80" s="4"/>
      <c r="Z80">
        <v>0</v>
      </c>
      <c r="AA80" s="4" t="str">
        <f>IF(SUMIFS(CHP_CHPR!$AA$4:$AA$283,CHP_CHPR!$Y$4:$Y$283,CHP_elecEFF!$W80,CHP_CHPR!$Z$4:$Z$283,CHP_elecEFF!$X80)*Y80+Y80&lt;=$AC$1,"",Y80*$AC$1/(SUMIFS(CHP_CHPR!$AA$4:$AA$283,CHP_CHPR!$Y$4:$Y$283,CHP_elecEFF!$W80,CHP_CHPR!$Z$4:$Z$283,CHP_elecEFF!$X80)*Y80+Y80))</f>
        <v/>
      </c>
      <c r="AB80" s="4"/>
    </row>
    <row r="81" spans="1:28" x14ac:dyDescent="0.3">
      <c r="A81" t="s">
        <v>55</v>
      </c>
      <c r="B81" t="s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V81" s="4" t="s">
        <v>63</v>
      </c>
      <c r="W81" t="s">
        <v>55</v>
      </c>
      <c r="X81" t="s">
        <v>34</v>
      </c>
      <c r="Y81" s="4">
        <v>0.30053651266766024</v>
      </c>
      <c r="Z81">
        <v>0</v>
      </c>
      <c r="AA81" s="4" t="str">
        <f>IF(SUMIFS(CHP_CHPR!$AA$4:$AA$283,CHP_CHPR!$Y$4:$Y$283,CHP_elecEFF!$W81,CHP_CHPR!$Z$4:$Z$283,CHP_elecEFF!$X81)*Y81+Y81&lt;=$AC$1,"",Y81*$AC$1/(SUMIFS(CHP_CHPR!$AA$4:$AA$283,CHP_CHPR!$Y$4:$Y$283,CHP_elecEFF!$W81,CHP_CHPR!$Z$4:$Z$283,CHP_elecEFF!$X81)*Y81+Y81))</f>
        <v/>
      </c>
      <c r="AB81" s="4"/>
    </row>
    <row r="82" spans="1:28" x14ac:dyDescent="0.3">
      <c r="A82" t="s">
        <v>55</v>
      </c>
      <c r="B82" t="s">
        <v>35</v>
      </c>
      <c r="S82">
        <v>0.33</v>
      </c>
      <c r="V82" s="4" t="s">
        <v>63</v>
      </c>
      <c r="W82" t="s">
        <v>55</v>
      </c>
      <c r="X82" t="s">
        <v>35</v>
      </c>
      <c r="Y82" s="4"/>
      <c r="Z82">
        <v>0</v>
      </c>
      <c r="AA82" s="4" t="str">
        <f>IF(SUMIFS(CHP_CHPR!$AA$4:$AA$283,CHP_CHPR!$Y$4:$Y$283,CHP_elecEFF!$W82,CHP_CHPR!$Z$4:$Z$283,CHP_elecEFF!$X82)*Y82+Y82&lt;=$AC$1,"",Y82*$AC$1/(SUMIFS(CHP_CHPR!$AA$4:$AA$283,CHP_CHPR!$Y$4:$Y$283,CHP_elecEFF!$W82,CHP_CHPR!$Z$4:$Z$283,CHP_elecEFF!$X82)*Y82+Y82))</f>
        <v/>
      </c>
      <c r="AB82" s="4"/>
    </row>
    <row r="83" spans="1:28" x14ac:dyDescent="0.3">
      <c r="A83" t="s">
        <v>55</v>
      </c>
      <c r="B83" t="s">
        <v>36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V83" s="4" t="s">
        <v>63</v>
      </c>
      <c r="W83" t="s">
        <v>55</v>
      </c>
      <c r="X83" t="s">
        <v>36</v>
      </c>
      <c r="Y83" s="4">
        <v>0.35778705728027976</v>
      </c>
      <c r="Z83">
        <v>0</v>
      </c>
      <c r="AA83" s="4" t="str">
        <f>IF(SUMIFS(CHP_CHPR!$AA$4:$AA$283,CHP_CHPR!$Y$4:$Y$283,CHP_elecEFF!$W83,CHP_CHPR!$Z$4:$Z$283,CHP_elecEFF!$X83)*Y83+Y83&lt;=$AC$1,"",Y83*$AC$1/(SUMIFS(CHP_CHPR!$AA$4:$AA$283,CHP_CHPR!$Y$4:$Y$283,CHP_elecEFF!$W83,CHP_CHPR!$Z$4:$Z$283,CHP_elecEFF!$X83)*Y83+Y83))</f>
        <v/>
      </c>
      <c r="AB83" s="4"/>
    </row>
    <row r="84" spans="1:28" x14ac:dyDescent="0.3">
      <c r="A84" t="s">
        <v>55</v>
      </c>
      <c r="B84" t="s">
        <v>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V84" s="4" t="s">
        <v>63</v>
      </c>
      <c r="W84" t="s">
        <v>55</v>
      </c>
      <c r="X84" t="s">
        <v>37</v>
      </c>
      <c r="Y84" s="4">
        <v>0.27146056338028168</v>
      </c>
      <c r="Z84">
        <v>0</v>
      </c>
      <c r="AA84" s="4" t="str">
        <f>IF(SUMIFS(CHP_CHPR!$AA$4:$AA$283,CHP_CHPR!$Y$4:$Y$283,CHP_elecEFF!$W84,CHP_CHPR!$Z$4:$Z$283,CHP_elecEFF!$X84)*Y84+Y84&lt;=$AC$1,"",Y84*$AC$1/(SUMIFS(CHP_CHPR!$AA$4:$AA$283,CHP_CHPR!$Y$4:$Y$283,CHP_elecEFF!$W84,CHP_CHPR!$Z$4:$Z$283,CHP_elecEFF!$X84)*Y84+Y84))</f>
        <v/>
      </c>
      <c r="AB84" s="4"/>
    </row>
    <row r="85" spans="1:28" x14ac:dyDescent="0.3">
      <c r="A85" t="s">
        <v>55</v>
      </c>
      <c r="B85" t="s">
        <v>39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V85" s="4" t="s">
        <v>63</v>
      </c>
      <c r="W85" t="s">
        <v>55</v>
      </c>
      <c r="X85" t="s">
        <v>39</v>
      </c>
      <c r="Y85" s="4">
        <v>0.23818471337579616</v>
      </c>
      <c r="Z85">
        <v>0</v>
      </c>
      <c r="AA85" s="4" t="str">
        <f>IF(SUMIFS(CHP_CHPR!$AA$4:$AA$283,CHP_CHPR!$Y$4:$Y$283,CHP_elecEFF!$W85,CHP_CHPR!$Z$4:$Z$283,CHP_elecEFF!$X85)*Y85+Y85&lt;=$AC$1,"",Y85*$AC$1/(SUMIFS(CHP_CHPR!$AA$4:$AA$283,CHP_CHPR!$Y$4:$Y$283,CHP_elecEFF!$W85,CHP_CHPR!$Z$4:$Z$283,CHP_elecEFF!$X85)*Y85+Y85))</f>
        <v/>
      </c>
      <c r="AB85" s="4"/>
    </row>
    <row r="86" spans="1:28" x14ac:dyDescent="0.3">
      <c r="A86" t="s">
        <v>55</v>
      </c>
      <c r="B86" t="s">
        <v>40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V86" s="4" t="s">
        <v>63</v>
      </c>
      <c r="W86" t="s">
        <v>55</v>
      </c>
      <c r="X86" t="s">
        <v>40</v>
      </c>
      <c r="Y86" s="4">
        <v>0.27310000000000001</v>
      </c>
      <c r="Z86">
        <v>0</v>
      </c>
      <c r="AA86" s="4" t="str">
        <f>IF(SUMIFS(CHP_CHPR!$AA$4:$AA$283,CHP_CHPR!$Y$4:$Y$283,CHP_elecEFF!$W86,CHP_CHPR!$Z$4:$Z$283,CHP_elecEFF!$X86)*Y86+Y86&lt;=$AC$1,"",Y86*$AC$1/(SUMIFS(CHP_CHPR!$AA$4:$AA$283,CHP_CHPR!$Y$4:$Y$283,CHP_elecEFF!$W86,CHP_CHPR!$Z$4:$Z$283,CHP_elecEFF!$X86)*Y86+Y86))</f>
        <v/>
      </c>
      <c r="AB86" s="4"/>
    </row>
    <row r="87" spans="1:28" x14ac:dyDescent="0.3">
      <c r="A87" t="s">
        <v>56</v>
      </c>
      <c r="B87" t="s">
        <v>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V87" s="4" t="s">
        <v>63</v>
      </c>
      <c r="W87" t="s">
        <v>56</v>
      </c>
      <c r="X87" t="s">
        <v>34</v>
      </c>
      <c r="Y87" s="4">
        <v>0.3167517549457563</v>
      </c>
      <c r="Z87">
        <v>0</v>
      </c>
      <c r="AA87" s="4" t="str">
        <f>IF(SUMIFS(CHP_CHPR!$AA$4:$AA$283,CHP_CHPR!$Y$4:$Y$283,CHP_elecEFF!$W87,CHP_CHPR!$Z$4:$Z$283,CHP_elecEFF!$X87)*Y87+Y87&lt;=$AC$1,"",Y87*$AC$1/(SUMIFS(CHP_CHPR!$AA$4:$AA$283,CHP_CHPR!$Y$4:$Y$283,CHP_elecEFF!$W87,CHP_CHPR!$Z$4:$Z$283,CHP_elecEFF!$X87)*Y87+Y87))</f>
        <v/>
      </c>
      <c r="AB87" s="4"/>
    </row>
    <row r="88" spans="1:28" x14ac:dyDescent="0.3">
      <c r="A88" t="s">
        <v>56</v>
      </c>
      <c r="B88" t="s">
        <v>35</v>
      </c>
      <c r="C88">
        <v>0.38534501442652852</v>
      </c>
      <c r="D88">
        <v>0.48158532261422976</v>
      </c>
      <c r="E88">
        <v>0.44266458403481806</v>
      </c>
      <c r="F88">
        <v>0.34553885312111704</v>
      </c>
      <c r="G88">
        <v>0.37933651841729221</v>
      </c>
      <c r="H88">
        <v>0.38241717316027224</v>
      </c>
      <c r="I88">
        <v>0.34351687646272855</v>
      </c>
      <c r="J88">
        <v>0.32729740252050021</v>
      </c>
      <c r="K88">
        <v>0.32330484879324106</v>
      </c>
      <c r="L88">
        <v>0.32615786296770444</v>
      </c>
      <c r="M88">
        <v>0.28311802146223958</v>
      </c>
      <c r="N88">
        <v>0.27881510629984441</v>
      </c>
      <c r="O88">
        <v>0.27934319599099605</v>
      </c>
      <c r="P88">
        <v>0.25909381983999685</v>
      </c>
      <c r="Q88">
        <v>0.24396790340372881</v>
      </c>
      <c r="R88">
        <v>0.22926009134958264</v>
      </c>
      <c r="S88">
        <v>0.2571855339191832</v>
      </c>
      <c r="V88" s="4" t="s">
        <v>63</v>
      </c>
      <c r="W88" t="s">
        <v>56</v>
      </c>
      <c r="X88" t="s">
        <v>35</v>
      </c>
      <c r="Y88" s="4">
        <v>0.29872460409424484</v>
      </c>
      <c r="Z88">
        <v>0</v>
      </c>
      <c r="AA88" s="4" t="str">
        <f>IF(SUMIFS(CHP_CHPR!$AA$4:$AA$283,CHP_CHPR!$Y$4:$Y$283,CHP_elecEFF!$W88,CHP_CHPR!$Z$4:$Z$283,CHP_elecEFF!$X88)*Y88+Y88&lt;=$AC$1,"",Y88*$AC$1/(SUMIFS(CHP_CHPR!$AA$4:$AA$283,CHP_CHPR!$Y$4:$Y$283,CHP_elecEFF!$W88,CHP_CHPR!$Z$4:$Z$283,CHP_elecEFF!$X88)*Y88+Y88))</f>
        <v/>
      </c>
      <c r="AB88" s="4"/>
    </row>
    <row r="89" spans="1:28" x14ac:dyDescent="0.3">
      <c r="A89" t="s">
        <v>56</v>
      </c>
      <c r="B89" t="s">
        <v>36</v>
      </c>
      <c r="C89">
        <v>0.27622731105735049</v>
      </c>
      <c r="D89">
        <v>0.38692186135007584</v>
      </c>
      <c r="E89">
        <v>0.45934266089709824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V89" s="4" t="s">
        <v>63</v>
      </c>
      <c r="W89" t="s">
        <v>56</v>
      </c>
      <c r="X89" t="s">
        <v>36</v>
      </c>
      <c r="Y89" s="4">
        <v>0.40816332043961434</v>
      </c>
      <c r="Z89">
        <v>0</v>
      </c>
      <c r="AA89" s="4" t="str">
        <f>IF(SUMIFS(CHP_CHPR!$AA$4:$AA$283,CHP_CHPR!$Y$4:$Y$283,CHP_elecEFF!$W89,CHP_CHPR!$Z$4:$Z$283,CHP_elecEFF!$X89)*Y89+Y89&lt;=$AC$1,"",Y89*$AC$1/(SUMIFS(CHP_CHPR!$AA$4:$AA$283,CHP_CHPR!$Y$4:$Y$283,CHP_elecEFF!$W89,CHP_CHPR!$Z$4:$Z$283,CHP_elecEFF!$X89)*Y89+Y89))</f>
        <v/>
      </c>
      <c r="AB89" s="4"/>
    </row>
    <row r="90" spans="1:28" x14ac:dyDescent="0.3">
      <c r="A90" t="s">
        <v>56</v>
      </c>
      <c r="B90" t="s">
        <v>37</v>
      </c>
      <c r="C90">
        <v>2.4939166484857931</v>
      </c>
      <c r="D90">
        <v>2.6929382957068291</v>
      </c>
      <c r="E90">
        <v>3.0244751545772424</v>
      </c>
      <c r="F90">
        <v>5.1865732616263429</v>
      </c>
      <c r="G90">
        <v>5.776474160308573</v>
      </c>
      <c r="H90">
        <v>6.7605366766781705</v>
      </c>
      <c r="I90">
        <v>11.048678695588059</v>
      </c>
      <c r="J90">
        <v>4.2281036043048097</v>
      </c>
      <c r="K90">
        <v>4.5348465615356037</v>
      </c>
      <c r="L90">
        <v>3.7529200234778801</v>
      </c>
      <c r="M90">
        <v>7.1683572857256195</v>
      </c>
      <c r="N90">
        <v>4.8389035325673504</v>
      </c>
      <c r="O90">
        <v>5.2876584037699237</v>
      </c>
      <c r="P90">
        <v>4.8491651798422444</v>
      </c>
      <c r="Q90">
        <v>5.2764532768505648</v>
      </c>
      <c r="R90">
        <v>1.5107480731711158</v>
      </c>
      <c r="S90">
        <v>2.1100378560732675</v>
      </c>
      <c r="V90" s="4" t="s">
        <v>63</v>
      </c>
      <c r="W90" t="s">
        <v>56</v>
      </c>
      <c r="X90" t="s">
        <v>37</v>
      </c>
      <c r="Y90" s="4">
        <v>0.28005954198473287</v>
      </c>
      <c r="Z90">
        <v>0</v>
      </c>
      <c r="AA90" s="4" t="str">
        <f>IF(SUMIFS(CHP_CHPR!$AA$4:$AA$283,CHP_CHPR!$Y$4:$Y$283,CHP_elecEFF!$W90,CHP_CHPR!$Z$4:$Z$283,CHP_elecEFF!$X90)*Y90+Y90&lt;=$AC$1,"",Y90*$AC$1/(SUMIFS(CHP_CHPR!$AA$4:$AA$283,CHP_CHPR!$Y$4:$Y$283,CHP_elecEFF!$W90,CHP_CHPR!$Z$4:$Z$283,CHP_elecEFF!$X90)*Y90+Y90))</f>
        <v/>
      </c>
      <c r="AB90" s="4"/>
    </row>
    <row r="91" spans="1:28" x14ac:dyDescent="0.3">
      <c r="A91" t="s">
        <v>56</v>
      </c>
      <c r="B91" t="s">
        <v>39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V91" s="4" t="s">
        <v>63</v>
      </c>
      <c r="W91" t="s">
        <v>56</v>
      </c>
      <c r="X91" t="s">
        <v>39</v>
      </c>
      <c r="Y91" s="4">
        <v>0.24006624605678234</v>
      </c>
      <c r="Z91">
        <v>0</v>
      </c>
      <c r="AA91" s="4" t="str">
        <f>IF(SUMIFS(CHP_CHPR!$AA$4:$AA$283,CHP_CHPR!$Y$4:$Y$283,CHP_elecEFF!$W91,CHP_CHPR!$Z$4:$Z$283,CHP_elecEFF!$X91)*Y91+Y91&lt;=$AC$1,"",Y91*$AC$1/(SUMIFS(CHP_CHPR!$AA$4:$AA$283,CHP_CHPR!$Y$4:$Y$283,CHP_elecEFF!$W91,CHP_CHPR!$Z$4:$Z$283,CHP_elecEFF!$X91)*Y91+Y91))</f>
        <v/>
      </c>
      <c r="AB91" s="4"/>
    </row>
    <row r="92" spans="1:28" x14ac:dyDescent="0.3">
      <c r="A92" t="s">
        <v>56</v>
      </c>
      <c r="B92" t="s">
        <v>40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V92" s="4" t="s">
        <v>63</v>
      </c>
      <c r="W92" t="s">
        <v>56</v>
      </c>
      <c r="X92" t="s">
        <v>40</v>
      </c>
      <c r="Y92" s="4">
        <v>0.33062068965517238</v>
      </c>
      <c r="Z92">
        <v>0</v>
      </c>
      <c r="AA92" s="4" t="str">
        <f>IF(SUMIFS(CHP_CHPR!$AA$4:$AA$283,CHP_CHPR!$Y$4:$Y$283,CHP_elecEFF!$W92,CHP_CHPR!$Z$4:$Z$283,CHP_elecEFF!$X92)*Y92+Y92&lt;=$AC$1,"",Y92*$AC$1/(SUMIFS(CHP_CHPR!$AA$4:$AA$283,CHP_CHPR!$Y$4:$Y$283,CHP_elecEFF!$W92,CHP_CHPR!$Z$4:$Z$283,CHP_elecEFF!$X92)*Y92+Y92))</f>
        <v/>
      </c>
      <c r="AB92" s="4"/>
    </row>
    <row r="93" spans="1:28" x14ac:dyDescent="0.3">
      <c r="A93" t="s">
        <v>57</v>
      </c>
      <c r="B93" t="s">
        <v>34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V93" s="4" t="s">
        <v>63</v>
      </c>
      <c r="W93" t="s">
        <v>57</v>
      </c>
      <c r="X93" t="s">
        <v>34</v>
      </c>
      <c r="Y93" s="4">
        <v>0.31640117994100297</v>
      </c>
      <c r="Z93">
        <v>0</v>
      </c>
      <c r="AA93" s="4" t="str">
        <f>IF(SUMIFS(CHP_CHPR!$AA$4:$AA$283,CHP_CHPR!$Y$4:$Y$283,CHP_elecEFF!$W93,CHP_CHPR!$Z$4:$Z$283,CHP_elecEFF!$X93)*Y93+Y93&lt;=$AC$1,"",Y93*$AC$1/(SUMIFS(CHP_CHPR!$AA$4:$AA$283,CHP_CHPR!$Y$4:$Y$283,CHP_elecEFF!$W93,CHP_CHPR!$Z$4:$Z$283,CHP_elecEFF!$X93)*Y93+Y93))</f>
        <v/>
      </c>
      <c r="AB93" s="4"/>
    </row>
    <row r="94" spans="1:28" x14ac:dyDescent="0.3">
      <c r="A94" t="s">
        <v>57</v>
      </c>
      <c r="B94" t="s">
        <v>35</v>
      </c>
      <c r="C94">
        <v>6.5179722226037268E-2</v>
      </c>
      <c r="D94">
        <v>6.4757867478973871E-2</v>
      </c>
      <c r="E94">
        <v>6.646239701940436E-2</v>
      </c>
      <c r="F94">
        <v>6.6710099634740283E-2</v>
      </c>
      <c r="G94">
        <v>6.9350606238540821E-2</v>
      </c>
      <c r="H94">
        <v>7.086844743899362E-2</v>
      </c>
      <c r="I94">
        <v>7.0924637016995848E-2</v>
      </c>
      <c r="J94">
        <v>7.4881324799208046E-2</v>
      </c>
      <c r="K94">
        <v>7.1910825117920976E-2</v>
      </c>
      <c r="L94">
        <v>6.9736587856095225E-2</v>
      </c>
      <c r="M94">
        <v>6.9456649565926953E-2</v>
      </c>
      <c r="N94">
        <v>7.3639524264166492E-2</v>
      </c>
      <c r="O94">
        <v>7.9555195490583361E-2</v>
      </c>
      <c r="P94">
        <v>7.2408636484787708E-2</v>
      </c>
      <c r="Q94">
        <v>8.4211227902071334E-2</v>
      </c>
      <c r="R94">
        <v>8.3661792905302665E-2</v>
      </c>
      <c r="S94">
        <v>8.013288548556452E-2</v>
      </c>
      <c r="V94" s="4" t="s">
        <v>63</v>
      </c>
      <c r="W94" t="s">
        <v>57</v>
      </c>
      <c r="X94" t="s">
        <v>35</v>
      </c>
      <c r="Y94" s="4">
        <v>0.30179560559288188</v>
      </c>
      <c r="Z94">
        <v>0</v>
      </c>
      <c r="AA94" s="4" t="str">
        <f>IF(SUMIFS(CHP_CHPR!$AA$4:$AA$283,CHP_CHPR!$Y$4:$Y$283,CHP_elecEFF!$W94,CHP_CHPR!$Z$4:$Z$283,CHP_elecEFF!$X94)*Y94+Y94&lt;=$AC$1,"",Y94*$AC$1/(SUMIFS(CHP_CHPR!$AA$4:$AA$283,CHP_CHPR!$Y$4:$Y$283,CHP_elecEFF!$W94,CHP_CHPR!$Z$4:$Z$283,CHP_elecEFF!$X94)*Y94+Y94))</f>
        <v/>
      </c>
      <c r="AB94" s="4"/>
    </row>
    <row r="95" spans="1:28" x14ac:dyDescent="0.3">
      <c r="A95" t="s">
        <v>57</v>
      </c>
      <c r="B95" t="s">
        <v>47</v>
      </c>
      <c r="S95">
        <v>0.33</v>
      </c>
      <c r="V95" s="4" t="s">
        <v>63</v>
      </c>
      <c r="W95" t="s">
        <v>57</v>
      </c>
      <c r="X95" t="s">
        <v>47</v>
      </c>
      <c r="Y95" s="4"/>
      <c r="Z95">
        <v>0</v>
      </c>
      <c r="AA95" s="4" t="str">
        <f>IF(SUMIFS(CHP_CHPR!$AA$4:$AA$283,CHP_CHPR!$Y$4:$Y$283,CHP_elecEFF!$W95,CHP_CHPR!$Z$4:$Z$283,CHP_elecEFF!$X95)*Y95+Y95&lt;=$AC$1,"",Y95*$AC$1/(SUMIFS(CHP_CHPR!$AA$4:$AA$283,CHP_CHPR!$Y$4:$Y$283,CHP_elecEFF!$W95,CHP_CHPR!$Z$4:$Z$283,CHP_elecEFF!$X95)*Y95+Y95))</f>
        <v/>
      </c>
      <c r="AB95" s="4"/>
    </row>
    <row r="96" spans="1:28" x14ac:dyDescent="0.3">
      <c r="A96" t="s">
        <v>57</v>
      </c>
      <c r="B96" t="s">
        <v>36</v>
      </c>
      <c r="C96">
        <v>7.4700019218693195E-2</v>
      </c>
      <c r="D96">
        <v>7.5226993896435945E-2</v>
      </c>
      <c r="E96">
        <v>7.3453995036138003E-2</v>
      </c>
      <c r="F96">
        <v>7.5449966369458457E-2</v>
      </c>
      <c r="G96">
        <v>7.3862256245453728E-2</v>
      </c>
      <c r="H96">
        <v>7.7630257258648708E-2</v>
      </c>
      <c r="I96">
        <v>7.6639061742037398E-2</v>
      </c>
      <c r="J96">
        <v>8.4476794286896126E-2</v>
      </c>
      <c r="K96">
        <v>7.7915558778167873E-2</v>
      </c>
      <c r="L96">
        <v>7.206469951357776E-2</v>
      </c>
      <c r="M96">
        <v>7.1806716604799009E-2</v>
      </c>
      <c r="N96">
        <v>6.9239015397667539E-2</v>
      </c>
      <c r="O96">
        <v>7.6064966788738239E-2</v>
      </c>
      <c r="P96">
        <v>7.9370909845823318E-2</v>
      </c>
      <c r="Q96">
        <v>8.3529857784328476E-2</v>
      </c>
      <c r="R96">
        <v>8.2005117677855274E-2</v>
      </c>
      <c r="S96">
        <v>8.1374289963748084E-2</v>
      </c>
      <c r="V96" s="4" t="s">
        <v>63</v>
      </c>
      <c r="W96" t="s">
        <v>57</v>
      </c>
      <c r="X96" t="s">
        <v>36</v>
      </c>
      <c r="Y96" s="4">
        <v>0.32383284929890643</v>
      </c>
      <c r="Z96">
        <v>0</v>
      </c>
      <c r="AA96" s="4" t="str">
        <f>IF(SUMIFS(CHP_CHPR!$AA$4:$AA$283,CHP_CHPR!$Y$4:$Y$283,CHP_elecEFF!$W96,CHP_CHPR!$Z$4:$Z$283,CHP_elecEFF!$X96)*Y96+Y96&lt;=$AC$1,"",Y96*$AC$1/(SUMIFS(CHP_CHPR!$AA$4:$AA$283,CHP_CHPR!$Y$4:$Y$283,CHP_elecEFF!$W96,CHP_CHPR!$Z$4:$Z$283,CHP_elecEFF!$X96)*Y96+Y96))</f>
        <v/>
      </c>
      <c r="AB96" s="4"/>
    </row>
    <row r="97" spans="1:28" x14ac:dyDescent="0.3">
      <c r="A97" t="s">
        <v>57</v>
      </c>
      <c r="B97" t="s">
        <v>48</v>
      </c>
      <c r="S97">
        <v>0.33</v>
      </c>
      <c r="V97" s="4" t="s">
        <v>63</v>
      </c>
      <c r="W97" t="s">
        <v>57</v>
      </c>
      <c r="X97" t="s">
        <v>48</v>
      </c>
      <c r="Y97" s="4"/>
      <c r="Z97">
        <v>0</v>
      </c>
      <c r="AA97" s="4" t="str">
        <f>IF(SUMIFS(CHP_CHPR!$AA$4:$AA$283,CHP_CHPR!$Y$4:$Y$283,CHP_elecEFF!$W97,CHP_CHPR!$Z$4:$Z$283,CHP_elecEFF!$X97)*Y97+Y97&lt;=$AC$1,"",Y97*$AC$1/(SUMIFS(CHP_CHPR!$AA$4:$AA$283,CHP_CHPR!$Y$4:$Y$283,CHP_elecEFF!$W97,CHP_CHPR!$Z$4:$Z$283,CHP_elecEFF!$X97)*Y97+Y97))</f>
        <v/>
      </c>
      <c r="AB97" s="4"/>
    </row>
    <row r="98" spans="1:28" x14ac:dyDescent="0.3">
      <c r="A98" t="s">
        <v>57</v>
      </c>
      <c r="B98" t="s">
        <v>37</v>
      </c>
      <c r="C98">
        <v>6.8341210381023448E-2</v>
      </c>
      <c r="D98">
        <v>6.7925047318585063E-2</v>
      </c>
      <c r="E98">
        <v>6.8442186825332554E-2</v>
      </c>
      <c r="F98">
        <v>6.8778375352654755E-2</v>
      </c>
      <c r="G98">
        <v>6.9018528604842352E-2</v>
      </c>
      <c r="H98">
        <v>7.079437674640908E-2</v>
      </c>
      <c r="I98">
        <v>6.4413869212159594E-2</v>
      </c>
      <c r="J98">
        <v>6.6337089667869331E-2</v>
      </c>
      <c r="K98">
        <v>6.8440344930207245E-2</v>
      </c>
      <c r="L98">
        <v>7.14018222807484E-2</v>
      </c>
      <c r="M98">
        <v>6.69603044549794E-2</v>
      </c>
      <c r="N98">
        <v>6.5525798125416215E-2</v>
      </c>
      <c r="O98">
        <v>0.14220925307809634</v>
      </c>
      <c r="P98">
        <v>8.8007862339206808E-2</v>
      </c>
      <c r="Q98">
        <v>0.10037305474159328</v>
      </c>
      <c r="R98">
        <v>7.1346483093298385E-2</v>
      </c>
      <c r="S98">
        <v>6.8746921572779091E-2</v>
      </c>
      <c r="V98" s="4" t="s">
        <v>63</v>
      </c>
      <c r="W98" t="s">
        <v>57</v>
      </c>
      <c r="X98" t="s">
        <v>37</v>
      </c>
      <c r="Y98" s="4">
        <v>0.26705180591025168</v>
      </c>
      <c r="Z98">
        <v>0</v>
      </c>
      <c r="AA98" s="4">
        <f>IF(SUMIFS(CHP_CHPR!$AA$4:$AA$283,CHP_CHPR!$Y$4:$Y$283,CHP_elecEFF!$W98,CHP_CHPR!$Z$4:$Z$283,CHP_elecEFF!$X98)*Y98+Y98&lt;=$AC$1,"",Y98*$AC$1/(SUMIFS(CHP_CHPR!$AA$4:$AA$283,CHP_CHPR!$Y$4:$Y$283,CHP_elecEFF!$W98,CHP_CHPR!$Z$4:$Z$283,CHP_elecEFF!$X98)*Y98+Y98))</f>
        <v>0.13248665915739663</v>
      </c>
      <c r="AB98" s="4"/>
    </row>
    <row r="99" spans="1:28" x14ac:dyDescent="0.3">
      <c r="A99" t="s">
        <v>57</v>
      </c>
      <c r="B99" t="s">
        <v>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V99" s="4" t="s">
        <v>63</v>
      </c>
      <c r="W99" t="s">
        <v>57</v>
      </c>
      <c r="X99" t="s">
        <v>39</v>
      </c>
      <c r="Y99" s="4">
        <v>0.36378443113772452</v>
      </c>
      <c r="Z99">
        <v>0</v>
      </c>
      <c r="AA99" s="4" t="str">
        <f>IF(SUMIFS(CHP_CHPR!$AA$4:$AA$283,CHP_CHPR!$Y$4:$Y$283,CHP_elecEFF!$W99,CHP_CHPR!$Z$4:$Z$283,CHP_elecEFF!$X99)*Y99+Y99&lt;=$AC$1,"",Y99*$AC$1/(SUMIFS(CHP_CHPR!$AA$4:$AA$283,CHP_CHPR!$Y$4:$Y$283,CHP_elecEFF!$W99,CHP_CHPR!$Z$4:$Z$283,CHP_elecEFF!$X99)*Y99+Y99))</f>
        <v/>
      </c>
      <c r="AB99" s="4"/>
    </row>
    <row r="100" spans="1:28" x14ac:dyDescent="0.3">
      <c r="A100" t="s">
        <v>57</v>
      </c>
      <c r="B100" t="s">
        <v>40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V100" s="4" t="s">
        <v>63</v>
      </c>
      <c r="W100" t="s">
        <v>57</v>
      </c>
      <c r="X100" t="s">
        <v>40</v>
      </c>
      <c r="Y100" s="4">
        <v>0.45845733041575493</v>
      </c>
      <c r="Z100">
        <v>0</v>
      </c>
      <c r="AA100" s="4">
        <f>IF(SUMIFS(CHP_CHPR!$AA$4:$AA$283,CHP_CHPR!$Y$4:$Y$283,CHP_elecEFF!$W100,CHP_CHPR!$Z$4:$Z$283,CHP_elecEFF!$X100)*Y100+Y100&lt;=$AC$1,"",Y100*$AC$1/(SUMIFS(CHP_CHPR!$AA$4:$AA$283,CHP_CHPR!$Y$4:$Y$283,CHP_elecEFF!$W100,CHP_CHPR!$Z$4:$Z$283,CHP_elecEFF!$X100)*Y100+Y100))</f>
        <v>0.15126726355701534</v>
      </c>
      <c r="AB100" s="4"/>
    </row>
    <row r="101" spans="1:28" x14ac:dyDescent="0.3">
      <c r="A101" t="s">
        <v>58</v>
      </c>
      <c r="B101" t="s">
        <v>34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V101" s="4" t="s">
        <v>63</v>
      </c>
      <c r="W101" t="s">
        <v>58</v>
      </c>
      <c r="X101" t="s">
        <v>34</v>
      </c>
      <c r="Y101" s="4">
        <v>0.33455555555555561</v>
      </c>
      <c r="Z101">
        <v>0</v>
      </c>
      <c r="AA101" s="4">
        <f>IF(SUMIFS(CHP_CHPR!$AA$4:$AA$283,CHP_CHPR!$Y$4:$Y$283,CHP_elecEFF!$W101,CHP_CHPR!$Z$4:$Z$283,CHP_elecEFF!$X101)*Y101+Y101&lt;=$AC$1,"",Y101*$AC$1/(SUMIFS(CHP_CHPR!$AA$4:$AA$283,CHP_CHPR!$Y$4:$Y$283,CHP_elecEFF!$W101,CHP_CHPR!$Z$4:$Z$283,CHP_elecEFF!$X101)*Y101+Y101))</f>
        <v>0.13650936173363654</v>
      </c>
      <c r="AB101" s="4"/>
    </row>
    <row r="102" spans="1:28" x14ac:dyDescent="0.3">
      <c r="A102" t="s">
        <v>58</v>
      </c>
      <c r="B102" t="s">
        <v>35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V102" s="4" t="s">
        <v>63</v>
      </c>
      <c r="W102" t="s">
        <v>58</v>
      </c>
      <c r="X102" t="s">
        <v>35</v>
      </c>
      <c r="Y102" s="4">
        <v>0.28443062572872135</v>
      </c>
      <c r="Z102">
        <v>0</v>
      </c>
      <c r="AA102" s="4" t="str">
        <f>IF(SUMIFS(CHP_CHPR!$AA$4:$AA$283,CHP_CHPR!$Y$4:$Y$283,CHP_elecEFF!$W102,CHP_CHPR!$Z$4:$Z$283,CHP_elecEFF!$X102)*Y102+Y102&lt;=$AC$1,"",Y102*$AC$1/(SUMIFS(CHP_CHPR!$AA$4:$AA$283,CHP_CHPR!$Y$4:$Y$283,CHP_elecEFF!$W102,CHP_CHPR!$Z$4:$Z$283,CHP_elecEFF!$X102)*Y102+Y102))</f>
        <v/>
      </c>
      <c r="AB102" s="4"/>
    </row>
    <row r="103" spans="1:28" x14ac:dyDescent="0.3">
      <c r="A103" t="s">
        <v>58</v>
      </c>
      <c r="B103" t="s">
        <v>36</v>
      </c>
      <c r="C103">
        <v>0.11547827312400083</v>
      </c>
      <c r="D103">
        <v>0.12212394779386879</v>
      </c>
      <c r="E103">
        <v>0.12343040520913699</v>
      </c>
      <c r="F103">
        <v>0.12081561284690899</v>
      </c>
      <c r="G103">
        <v>0.12549227848427644</v>
      </c>
      <c r="H103">
        <v>0.11166532381619108</v>
      </c>
      <c r="I103">
        <v>0.10843719388513295</v>
      </c>
      <c r="J103">
        <v>0.10766218069375304</v>
      </c>
      <c r="K103">
        <v>0.10820269471355499</v>
      </c>
      <c r="L103">
        <v>0.11096212702500793</v>
      </c>
      <c r="M103">
        <v>0.1122251229386073</v>
      </c>
      <c r="N103">
        <v>0.1248549763252676</v>
      </c>
      <c r="O103">
        <v>0.12935647413994364</v>
      </c>
      <c r="P103">
        <v>0.12309809266849243</v>
      </c>
      <c r="Q103">
        <v>0.14549795954267619</v>
      </c>
      <c r="R103">
        <v>0.13760645922687895</v>
      </c>
      <c r="S103">
        <v>0.13166296673462852</v>
      </c>
      <c r="V103" s="4" t="s">
        <v>63</v>
      </c>
      <c r="W103" t="s">
        <v>58</v>
      </c>
      <c r="X103" t="s">
        <v>36</v>
      </c>
      <c r="Y103" s="4">
        <v>0.46313709592502905</v>
      </c>
      <c r="Z103">
        <v>0</v>
      </c>
      <c r="AA103" s="4" t="str">
        <f>IF(SUMIFS(CHP_CHPR!$AA$4:$AA$283,CHP_CHPR!$Y$4:$Y$283,CHP_elecEFF!$W103,CHP_CHPR!$Z$4:$Z$283,CHP_elecEFF!$X103)*Y103+Y103&lt;=$AC$1,"",Y103*$AC$1/(SUMIFS(CHP_CHPR!$AA$4:$AA$283,CHP_CHPR!$Y$4:$Y$283,CHP_elecEFF!$W103,CHP_CHPR!$Z$4:$Z$283,CHP_elecEFF!$X103)*Y103+Y103))</f>
        <v/>
      </c>
      <c r="AB103" s="4"/>
    </row>
    <row r="104" spans="1:28" x14ac:dyDescent="0.3">
      <c r="A104" t="s">
        <v>58</v>
      </c>
      <c r="B104" t="s">
        <v>37</v>
      </c>
      <c r="C104">
        <v>0.24883754605749239</v>
      </c>
      <c r="D104">
        <v>0.21215855709858508</v>
      </c>
      <c r="E104">
        <v>0.18791040663907721</v>
      </c>
      <c r="F104">
        <v>0.20855673366171307</v>
      </c>
      <c r="G104">
        <v>0.20545537833575372</v>
      </c>
      <c r="H104">
        <v>0.27759421329604611</v>
      </c>
      <c r="I104">
        <v>0.27532686850836047</v>
      </c>
      <c r="J104">
        <v>0.33151455318402218</v>
      </c>
      <c r="K104">
        <v>0.40373869280393587</v>
      </c>
      <c r="L104">
        <v>0.43135607317256019</v>
      </c>
      <c r="M104">
        <v>0.49520120469856133</v>
      </c>
      <c r="N104">
        <v>0.48340415539187526</v>
      </c>
      <c r="O104">
        <v>1.0559620266927687</v>
      </c>
      <c r="P104">
        <v>0.47196066460630065</v>
      </c>
      <c r="Q104">
        <v>0.40762203502753885</v>
      </c>
      <c r="R104">
        <v>0.53598149853388544</v>
      </c>
      <c r="S104">
        <v>0.60508939552759888</v>
      </c>
      <c r="V104" s="4" t="s">
        <v>63</v>
      </c>
      <c r="W104" t="s">
        <v>58</v>
      </c>
      <c r="X104" t="s">
        <v>37</v>
      </c>
      <c r="Y104" s="4">
        <v>0.27698368298368298</v>
      </c>
      <c r="Z104">
        <v>0</v>
      </c>
      <c r="AA104" s="4">
        <f>IF(SUMIFS(CHP_CHPR!$AA$4:$AA$283,CHP_CHPR!$Y$4:$Y$283,CHP_elecEFF!$W104,CHP_CHPR!$Z$4:$Z$283,CHP_elecEFF!$X104)*Y104+Y104&lt;=$AC$1,"",Y104*$AC$1/(SUMIFS(CHP_CHPR!$AA$4:$AA$283,CHP_CHPR!$Y$4:$Y$283,CHP_elecEFF!$W104,CHP_CHPR!$Z$4:$Z$283,CHP_elecEFF!$X104)*Y104+Y104))</f>
        <v>0.24966996351130752</v>
      </c>
      <c r="AB104" s="4"/>
    </row>
    <row r="105" spans="1:28" x14ac:dyDescent="0.3">
      <c r="A105" t="s">
        <v>58</v>
      </c>
      <c r="B105" t="s">
        <v>39</v>
      </c>
      <c r="C105">
        <v>5.9882540987460257E-2</v>
      </c>
      <c r="D105">
        <v>4.5444907443262406E-2</v>
      </c>
      <c r="E105">
        <v>0</v>
      </c>
      <c r="F105">
        <v>0</v>
      </c>
      <c r="G105">
        <v>0</v>
      </c>
      <c r="H105">
        <v>0</v>
      </c>
      <c r="J105">
        <v>0.10165150770472395</v>
      </c>
      <c r="K105">
        <v>0.10711384782557387</v>
      </c>
      <c r="L105">
        <v>0</v>
      </c>
      <c r="M105">
        <v>0</v>
      </c>
      <c r="S105">
        <v>0</v>
      </c>
      <c r="V105" s="4" t="s">
        <v>63</v>
      </c>
      <c r="W105" t="s">
        <v>58</v>
      </c>
      <c r="X105" t="s">
        <v>39</v>
      </c>
      <c r="Y105" s="4"/>
      <c r="Z105">
        <v>0</v>
      </c>
      <c r="AA105" s="4" t="str">
        <f>IF(SUMIFS(CHP_CHPR!$AA$4:$AA$283,CHP_CHPR!$Y$4:$Y$283,CHP_elecEFF!$W105,CHP_CHPR!$Z$4:$Z$283,CHP_elecEFF!$X105)*Y105+Y105&lt;=$AC$1,"",Y105*$AC$1/(SUMIFS(CHP_CHPR!$AA$4:$AA$283,CHP_CHPR!$Y$4:$Y$283,CHP_elecEFF!$W105,CHP_CHPR!$Z$4:$Z$283,CHP_elecEFF!$X105)*Y105+Y105))</f>
        <v/>
      </c>
      <c r="AB105" s="4"/>
    </row>
    <row r="106" spans="1:28" x14ac:dyDescent="0.3">
      <c r="A106" t="s">
        <v>58</v>
      </c>
      <c r="B106" t="s">
        <v>40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V106" s="4" t="s">
        <v>63</v>
      </c>
      <c r="W106" t="s">
        <v>58</v>
      </c>
      <c r="X106" t="s">
        <v>40</v>
      </c>
      <c r="Y106" s="4">
        <v>0.29636842105263167</v>
      </c>
      <c r="Z106">
        <v>0</v>
      </c>
      <c r="AA106" s="4">
        <f>IF(SUMIFS(CHP_CHPR!$AA$4:$AA$283,CHP_CHPR!$Y$4:$Y$283,CHP_elecEFF!$W106,CHP_CHPR!$Z$4:$Z$283,CHP_elecEFF!$X106)*Y106+Y106&lt;=$AC$1,"",Y106*$AC$1/(SUMIFS(CHP_CHPR!$AA$4:$AA$283,CHP_CHPR!$Y$4:$Y$283,CHP_elecEFF!$W106,CHP_CHPR!$Z$4:$Z$283,CHP_elecEFF!$X106)*Y106+Y106))</f>
        <v>0.24073852894175449</v>
      </c>
      <c r="AB106" s="4"/>
    </row>
    <row r="107" spans="1:28" x14ac:dyDescent="0.3">
      <c r="A107" t="s">
        <v>59</v>
      </c>
      <c r="B107" t="s">
        <v>34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V107" s="4" t="s">
        <v>63</v>
      </c>
      <c r="W107" t="s">
        <v>59</v>
      </c>
      <c r="X107" t="s">
        <v>34</v>
      </c>
      <c r="Y107" s="4">
        <v>0.31693426294820715</v>
      </c>
      <c r="Z107">
        <v>0</v>
      </c>
      <c r="AA107" s="4" t="str">
        <f>IF(SUMIFS(CHP_CHPR!$AA$4:$AA$283,CHP_CHPR!$Y$4:$Y$283,CHP_elecEFF!$W107,CHP_CHPR!$Z$4:$Z$283,CHP_elecEFF!$X107)*Y107+Y107&lt;=$AC$1,"",Y107*$AC$1/(SUMIFS(CHP_CHPR!$AA$4:$AA$283,CHP_CHPR!$Y$4:$Y$283,CHP_elecEFF!$W107,CHP_CHPR!$Z$4:$Z$283,CHP_elecEFF!$X107)*Y107+Y107))</f>
        <v/>
      </c>
      <c r="AB107" s="4"/>
    </row>
    <row r="108" spans="1:28" x14ac:dyDescent="0.3">
      <c r="A108" t="s">
        <v>59</v>
      </c>
      <c r="B108" t="s">
        <v>35</v>
      </c>
      <c r="C108">
        <v>5.5398681932106952E-2</v>
      </c>
      <c r="D108">
        <v>5.8400915821951976E-2</v>
      </c>
      <c r="E108">
        <v>5.8677079760714172E-2</v>
      </c>
      <c r="F108">
        <v>6.0706202033806049E-2</v>
      </c>
      <c r="G108">
        <v>5.2819033108409116E-2</v>
      </c>
      <c r="H108">
        <v>6.22578411213279E-2</v>
      </c>
      <c r="I108">
        <v>6.4936560054217787E-2</v>
      </c>
      <c r="J108">
        <v>6.6671398279535762E-2</v>
      </c>
      <c r="K108">
        <v>6.9359820000915687E-2</v>
      </c>
      <c r="L108">
        <v>7.0483988992196031E-2</v>
      </c>
      <c r="M108">
        <v>6.4413168369197915E-2</v>
      </c>
      <c r="N108">
        <v>6.8237705689388875E-2</v>
      </c>
      <c r="O108">
        <v>6.1329608290770055E-2</v>
      </c>
      <c r="P108">
        <v>5.5334183299385067E-2</v>
      </c>
      <c r="Q108">
        <v>5.4279517924350332E-2</v>
      </c>
      <c r="R108">
        <v>5.7549988394723695E-2</v>
      </c>
      <c r="S108">
        <v>5.8533510214002014E-2</v>
      </c>
      <c r="V108" s="4" t="s">
        <v>63</v>
      </c>
      <c r="W108" t="s">
        <v>59</v>
      </c>
      <c r="X108" t="s">
        <v>35</v>
      </c>
      <c r="Y108" s="4">
        <v>0.32107016615083889</v>
      </c>
      <c r="Z108">
        <v>0</v>
      </c>
      <c r="AA108" s="4">
        <f>IF(SUMIFS(CHP_CHPR!$AA$4:$AA$283,CHP_CHPR!$Y$4:$Y$283,CHP_elecEFF!$W108,CHP_CHPR!$Z$4:$Z$283,CHP_elecEFF!$X108)*Y108+Y108&lt;=$AC$1,"",Y108*$AC$1/(SUMIFS(CHP_CHPR!$AA$4:$AA$283,CHP_CHPR!$Y$4:$Y$283,CHP_elecEFF!$W108,CHP_CHPR!$Z$4:$Z$283,CHP_elecEFF!$X108)*Y108+Y108))</f>
        <v>0.28570916232657873</v>
      </c>
      <c r="AB108" s="4"/>
    </row>
    <row r="109" spans="1:28" x14ac:dyDescent="0.3">
      <c r="A109" t="s">
        <v>59</v>
      </c>
      <c r="B109" t="s">
        <v>36</v>
      </c>
      <c r="C109">
        <v>6.133049306459986E-2</v>
      </c>
      <c r="D109">
        <v>6.2835565146627609E-2</v>
      </c>
      <c r="E109">
        <v>7.0634555302538135E-2</v>
      </c>
      <c r="F109">
        <v>6.4985160801367028E-2</v>
      </c>
      <c r="G109">
        <v>6.8192175499948646E-2</v>
      </c>
      <c r="H109">
        <v>6.2517014399734991E-2</v>
      </c>
      <c r="I109">
        <v>6.5415124804492047E-2</v>
      </c>
      <c r="J109">
        <v>7.6191116939387141E-2</v>
      </c>
      <c r="K109">
        <v>7.4886839962817878E-2</v>
      </c>
      <c r="L109">
        <v>7.3419525886261008E-2</v>
      </c>
      <c r="M109">
        <v>7.1874704641005649E-2</v>
      </c>
      <c r="N109">
        <v>7.5464274211542656E-2</v>
      </c>
      <c r="O109">
        <v>6.7856245797559417E-2</v>
      </c>
      <c r="P109">
        <v>6.4522445526411037E-2</v>
      </c>
      <c r="Q109">
        <v>6.8810892235163901E-2</v>
      </c>
      <c r="R109">
        <v>7.0443305181875818E-2</v>
      </c>
      <c r="S109">
        <v>7.4865779872690413E-2</v>
      </c>
      <c r="V109" s="4" t="s">
        <v>63</v>
      </c>
      <c r="W109" t="s">
        <v>59</v>
      </c>
      <c r="X109" t="s">
        <v>36</v>
      </c>
      <c r="Y109" s="4">
        <v>0.31012471594706587</v>
      </c>
      <c r="Z109">
        <v>0</v>
      </c>
      <c r="AA109" s="4" t="str">
        <f>IF(SUMIFS(CHP_CHPR!$AA$4:$AA$283,CHP_CHPR!$Y$4:$Y$283,CHP_elecEFF!$W109,CHP_CHPR!$Z$4:$Z$283,CHP_elecEFF!$X109)*Y109+Y109&lt;=$AC$1,"",Y109*$AC$1/(SUMIFS(CHP_CHPR!$AA$4:$AA$283,CHP_CHPR!$Y$4:$Y$283,CHP_elecEFF!$W109,CHP_CHPR!$Z$4:$Z$283,CHP_elecEFF!$X109)*Y109+Y109))</f>
        <v/>
      </c>
      <c r="AB109" s="4"/>
    </row>
    <row r="110" spans="1:28" x14ac:dyDescent="0.3">
      <c r="A110" t="s">
        <v>59</v>
      </c>
      <c r="B110" t="s">
        <v>37</v>
      </c>
      <c r="C110">
        <v>5.5487475693918084E-2</v>
      </c>
      <c r="D110">
        <v>6.0760846900650263E-2</v>
      </c>
      <c r="E110">
        <v>6.1831193064839335E-2</v>
      </c>
      <c r="F110">
        <v>6.2684343437590773E-2</v>
      </c>
      <c r="G110">
        <v>7.1079903671470421E-2</v>
      </c>
      <c r="H110">
        <v>7.2748377016152888E-2</v>
      </c>
      <c r="I110">
        <v>7.1962106895302039E-2</v>
      </c>
      <c r="J110">
        <v>5.5977543284650016E-2</v>
      </c>
      <c r="K110">
        <v>8.7659104602463539E-2</v>
      </c>
      <c r="L110">
        <v>7.902821718795669E-2</v>
      </c>
      <c r="M110">
        <v>8.1139012571545946E-2</v>
      </c>
      <c r="N110">
        <v>0.10010087545267972</v>
      </c>
      <c r="O110">
        <v>9.3426289532319531E-2</v>
      </c>
      <c r="P110">
        <v>9.2480671130192482E-2</v>
      </c>
      <c r="Q110">
        <v>8.7272831621311747E-2</v>
      </c>
      <c r="R110">
        <v>0.10825161775010521</v>
      </c>
      <c r="S110">
        <v>9.7309584055392806E-2</v>
      </c>
      <c r="V110" s="4" t="s">
        <v>63</v>
      </c>
      <c r="W110" t="s">
        <v>59</v>
      </c>
      <c r="X110" t="s">
        <v>37</v>
      </c>
      <c r="Y110" s="4">
        <v>0.26341910282258058</v>
      </c>
      <c r="Z110">
        <v>0</v>
      </c>
      <c r="AA110" s="4">
        <f>IF(SUMIFS(CHP_CHPR!$AA$4:$AA$283,CHP_CHPR!$Y$4:$Y$283,CHP_elecEFF!$W110,CHP_CHPR!$Z$4:$Z$283,CHP_elecEFF!$X110)*Y110+Y110&lt;=$AC$1,"",Y110*$AC$1/(SUMIFS(CHP_CHPR!$AA$4:$AA$283,CHP_CHPR!$Y$4:$Y$283,CHP_elecEFF!$W110,CHP_CHPR!$Z$4:$Z$283,CHP_elecEFF!$X110)*Y110+Y110))</f>
        <v>0.24868686635060044</v>
      </c>
      <c r="AB110" s="4"/>
    </row>
    <row r="111" spans="1:28" x14ac:dyDescent="0.3">
      <c r="A111" t="s">
        <v>59</v>
      </c>
      <c r="B111" t="s">
        <v>39</v>
      </c>
      <c r="C111">
        <v>6.600596358661999E-2</v>
      </c>
      <c r="D111">
        <v>6.4477284341579844E-2</v>
      </c>
      <c r="F111">
        <v>7.684912921299987E-2</v>
      </c>
      <c r="G111">
        <v>7.6395883175666077E-2</v>
      </c>
      <c r="H111">
        <v>0.26224784580685456</v>
      </c>
      <c r="I111">
        <v>0.44538104179531579</v>
      </c>
      <c r="J111">
        <v>5.1139859482798887E-2</v>
      </c>
      <c r="K111">
        <v>8.775427789633243E-2</v>
      </c>
      <c r="L111">
        <v>5.2729465186262627E-2</v>
      </c>
      <c r="M111">
        <v>5.6582214054763109E-2</v>
      </c>
      <c r="N111">
        <v>6.7983867041003926E-2</v>
      </c>
      <c r="O111">
        <v>0</v>
      </c>
      <c r="P111">
        <v>6.6403579059408468E-2</v>
      </c>
      <c r="Q111">
        <v>4.4682864029823542E-2</v>
      </c>
      <c r="R111">
        <v>3.2554054422699423E-2</v>
      </c>
      <c r="S111">
        <v>0</v>
      </c>
      <c r="V111" s="4" t="s">
        <v>63</v>
      </c>
      <c r="W111" t="s">
        <v>59</v>
      </c>
      <c r="X111" t="s">
        <v>39</v>
      </c>
      <c r="Y111" s="4">
        <v>0.20000000000000004</v>
      </c>
      <c r="Z111">
        <v>0</v>
      </c>
      <c r="AA111" s="4" t="str">
        <f>IF(SUMIFS(CHP_CHPR!$AA$4:$AA$283,CHP_CHPR!$Y$4:$Y$283,CHP_elecEFF!$W111,CHP_CHPR!$Z$4:$Z$283,CHP_elecEFF!$X111)*Y111+Y111&lt;=$AC$1,"",Y111*$AC$1/(SUMIFS(CHP_CHPR!$AA$4:$AA$283,CHP_CHPR!$Y$4:$Y$283,CHP_elecEFF!$W111,CHP_CHPR!$Z$4:$Z$283,CHP_elecEFF!$X111)*Y111+Y111))</f>
        <v/>
      </c>
      <c r="AB111" s="4"/>
    </row>
    <row r="112" spans="1:28" x14ac:dyDescent="0.3">
      <c r="A112" t="s">
        <v>59</v>
      </c>
      <c r="B112" t="s">
        <v>40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V112" s="4" t="s">
        <v>63</v>
      </c>
      <c r="W112" t="s">
        <v>59</v>
      </c>
      <c r="X112" t="s">
        <v>40</v>
      </c>
      <c r="Y112" s="4">
        <v>0.30769696969696969</v>
      </c>
      <c r="Z112">
        <v>0</v>
      </c>
      <c r="AA112" s="4" t="str">
        <f>IF(SUMIFS(CHP_CHPR!$AA$4:$AA$283,CHP_CHPR!$Y$4:$Y$283,CHP_elecEFF!$W112,CHP_CHPR!$Z$4:$Z$283,CHP_elecEFF!$X112)*Y112+Y112&lt;=$AC$1,"",Y112*$AC$1/(SUMIFS(CHP_CHPR!$AA$4:$AA$283,CHP_CHPR!$Y$4:$Y$283,CHP_elecEFF!$W112,CHP_CHPR!$Z$4:$Z$283,CHP_elecEFF!$X112)*Y112+Y112))</f>
        <v/>
      </c>
      <c r="AB112" s="4"/>
    </row>
    <row r="113" spans="1:28" x14ac:dyDescent="0.3">
      <c r="A113" t="s">
        <v>60</v>
      </c>
      <c r="B113" t="s">
        <v>34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V113" s="4" t="s">
        <v>63</v>
      </c>
      <c r="W113" t="s">
        <v>60</v>
      </c>
      <c r="X113" t="s">
        <v>34</v>
      </c>
      <c r="Y113" s="4">
        <v>0.27612323658180637</v>
      </c>
      <c r="Z113">
        <v>0</v>
      </c>
      <c r="AA113" s="4" t="str">
        <f>IF(SUMIFS(CHP_CHPR!$AA$4:$AA$283,CHP_CHPR!$Y$4:$Y$283,CHP_elecEFF!$W113,CHP_CHPR!$Z$4:$Z$283,CHP_elecEFF!$X113)*Y113+Y113&lt;=$AC$1,"",Y113*$AC$1/(SUMIFS(CHP_CHPR!$AA$4:$AA$283,CHP_CHPR!$Y$4:$Y$283,CHP_elecEFF!$W113,CHP_CHPR!$Z$4:$Z$283,CHP_elecEFF!$X113)*Y113+Y113))</f>
        <v/>
      </c>
      <c r="AB113" s="4"/>
    </row>
    <row r="114" spans="1:28" x14ac:dyDescent="0.3">
      <c r="A114" t="s">
        <v>60</v>
      </c>
      <c r="B114" t="s">
        <v>35</v>
      </c>
      <c r="C114">
        <v>0.13414212552989999</v>
      </c>
      <c r="D114">
        <v>0.12075386368228691</v>
      </c>
      <c r="E114">
        <v>0.11993700135531675</v>
      </c>
      <c r="F114">
        <v>0.11604932047683177</v>
      </c>
      <c r="G114">
        <v>0.11971265806232505</v>
      </c>
      <c r="H114">
        <v>0.12138954143863272</v>
      </c>
      <c r="I114">
        <v>0.12178056025883614</v>
      </c>
      <c r="J114">
        <v>0.11556902028094282</v>
      </c>
      <c r="K114">
        <v>0.12213059460447752</v>
      </c>
      <c r="L114">
        <v>0.12548528499052958</v>
      </c>
      <c r="M114">
        <v>0.13508200457860589</v>
      </c>
      <c r="N114">
        <v>0.13852122782210707</v>
      </c>
      <c r="O114">
        <v>0.14631542307025447</v>
      </c>
      <c r="P114">
        <v>0.14670261897347039</v>
      </c>
      <c r="Q114">
        <v>0.15070786036922829</v>
      </c>
      <c r="R114">
        <v>0.14927469632664508</v>
      </c>
      <c r="S114">
        <v>0.1395702506186223</v>
      </c>
      <c r="V114" s="4" t="s">
        <v>63</v>
      </c>
      <c r="W114" t="s">
        <v>60</v>
      </c>
      <c r="X114" t="s">
        <v>35</v>
      </c>
      <c r="Y114" s="4">
        <v>0.31831807122318073</v>
      </c>
      <c r="Z114">
        <v>0</v>
      </c>
      <c r="AA114" s="4" t="str">
        <f>IF(SUMIFS(CHP_CHPR!$AA$4:$AA$283,CHP_CHPR!$Y$4:$Y$283,CHP_elecEFF!$W114,CHP_CHPR!$Z$4:$Z$283,CHP_elecEFF!$X114)*Y114+Y114&lt;=$AC$1,"",Y114*$AC$1/(SUMIFS(CHP_CHPR!$AA$4:$AA$283,CHP_CHPR!$Y$4:$Y$283,CHP_elecEFF!$W114,CHP_CHPR!$Z$4:$Z$283,CHP_elecEFF!$X114)*Y114+Y114))</f>
        <v/>
      </c>
      <c r="AB114" s="4"/>
    </row>
    <row r="115" spans="1:28" x14ac:dyDescent="0.3">
      <c r="A115" t="s">
        <v>60</v>
      </c>
      <c r="B115" t="s">
        <v>36</v>
      </c>
      <c r="C115">
        <v>0.15903644886056878</v>
      </c>
      <c r="D115">
        <v>0.16215556938307463</v>
      </c>
      <c r="E115">
        <v>0.15749352173502573</v>
      </c>
      <c r="F115">
        <v>0.15151369319644789</v>
      </c>
      <c r="G115">
        <v>0.16476057498131624</v>
      </c>
      <c r="H115">
        <v>0.16361557472104185</v>
      </c>
      <c r="I115">
        <v>0.16287405875219763</v>
      </c>
      <c r="J115">
        <v>0.1658002353614014</v>
      </c>
      <c r="K115">
        <v>0.17089979495641938</v>
      </c>
      <c r="L115">
        <v>0.17131252117693985</v>
      </c>
      <c r="M115">
        <v>0.17053214975624678</v>
      </c>
      <c r="N115">
        <v>0.17499098313402714</v>
      </c>
      <c r="O115">
        <v>0.17552829620304589</v>
      </c>
      <c r="P115">
        <v>0.17805072392663948</v>
      </c>
      <c r="Q115">
        <v>0.17873425822645109</v>
      </c>
      <c r="R115">
        <v>0.1923684191563011</v>
      </c>
      <c r="S115">
        <v>0.18851378728565288</v>
      </c>
      <c r="V115" s="4" t="s">
        <v>63</v>
      </c>
      <c r="W115" t="s">
        <v>60</v>
      </c>
      <c r="X115" t="s">
        <v>36</v>
      </c>
      <c r="Y115" s="4">
        <v>0.36184239651902284</v>
      </c>
      <c r="Z115">
        <v>0</v>
      </c>
      <c r="AA115" s="4" t="str">
        <f>IF(SUMIFS(CHP_CHPR!$AA$4:$AA$283,CHP_CHPR!$Y$4:$Y$283,CHP_elecEFF!$W115,CHP_CHPR!$Z$4:$Z$283,CHP_elecEFF!$X115)*Y115+Y115&lt;=$AC$1,"",Y115*$AC$1/(SUMIFS(CHP_CHPR!$AA$4:$AA$283,CHP_CHPR!$Y$4:$Y$283,CHP_elecEFF!$W115,CHP_CHPR!$Z$4:$Z$283,CHP_elecEFF!$X115)*Y115+Y115))</f>
        <v/>
      </c>
      <c r="AB115" s="4"/>
    </row>
    <row r="116" spans="1:28" x14ac:dyDescent="0.3">
      <c r="A116" t="s">
        <v>60</v>
      </c>
      <c r="B116" t="s">
        <v>37</v>
      </c>
      <c r="C116">
        <v>1.373737638390123</v>
      </c>
      <c r="D116">
        <v>1.5722124785509402</v>
      </c>
      <c r="E116">
        <v>1.7992698380987693</v>
      </c>
      <c r="F116">
        <v>1.5095527850201311</v>
      </c>
      <c r="G116">
        <v>1.5189057225506262</v>
      </c>
      <c r="H116">
        <v>1.3948603966008424</v>
      </c>
      <c r="I116">
        <v>1.0968524502016237</v>
      </c>
      <c r="J116">
        <v>1.1219889706185771</v>
      </c>
      <c r="K116">
        <v>0.98489945597150419</v>
      </c>
      <c r="L116">
        <v>0.95448720959109301</v>
      </c>
      <c r="M116">
        <v>1.030290977334047</v>
      </c>
      <c r="N116">
        <v>0.88751435486018082</v>
      </c>
      <c r="O116">
        <v>0.94558160368911903</v>
      </c>
      <c r="P116">
        <v>1.0301559963474587</v>
      </c>
      <c r="Q116">
        <v>0.92700522000018382</v>
      </c>
      <c r="R116">
        <v>0.93557499666864552</v>
      </c>
      <c r="S116">
        <v>1.1317973700628834</v>
      </c>
      <c r="V116" s="4" t="s">
        <v>63</v>
      </c>
      <c r="W116" t="s">
        <v>60</v>
      </c>
      <c r="X116" t="s">
        <v>37</v>
      </c>
      <c r="Y116" s="4">
        <v>0.25898336106489184</v>
      </c>
      <c r="Z116">
        <v>0</v>
      </c>
      <c r="AA116" s="4" t="str">
        <f>IF(SUMIFS(CHP_CHPR!$AA$4:$AA$283,CHP_CHPR!$Y$4:$Y$283,CHP_elecEFF!$W116,CHP_CHPR!$Z$4:$Z$283,CHP_elecEFF!$X116)*Y116+Y116&lt;=$AC$1,"",Y116*$AC$1/(SUMIFS(CHP_CHPR!$AA$4:$AA$283,CHP_CHPR!$Y$4:$Y$283,CHP_elecEFF!$W116,CHP_CHPR!$Z$4:$Z$283,CHP_elecEFF!$X116)*Y116+Y116))</f>
        <v/>
      </c>
      <c r="AB116" s="4"/>
    </row>
    <row r="117" spans="1:28" x14ac:dyDescent="0.3">
      <c r="A117" t="s">
        <v>60</v>
      </c>
      <c r="B117" t="s">
        <v>39</v>
      </c>
      <c r="C117">
        <v>0.46380297955211414</v>
      </c>
      <c r="D117">
        <v>0.19497119307081323</v>
      </c>
      <c r="E117">
        <v>0.24129828368998074</v>
      </c>
      <c r="F117">
        <v>0.34256349648404127</v>
      </c>
      <c r="G117">
        <v>0.29070199485271409</v>
      </c>
      <c r="H117">
        <v>0.17578231032544758</v>
      </c>
      <c r="I117">
        <v>0.17819764553628381</v>
      </c>
      <c r="J117">
        <v>0.25239017675693531</v>
      </c>
      <c r="K117">
        <v>0.18409073637039766</v>
      </c>
      <c r="L117">
        <v>0.22401984948717182</v>
      </c>
      <c r="M117">
        <v>0.35349824349681946</v>
      </c>
      <c r="N117">
        <v>0.1941527740861419</v>
      </c>
      <c r="O117">
        <v>0.15966786611431869</v>
      </c>
      <c r="P117">
        <v>0.1597485000021602</v>
      </c>
      <c r="Q117">
        <v>0.16595671417661217</v>
      </c>
      <c r="R117">
        <v>0.21317992737558553</v>
      </c>
      <c r="S117">
        <v>0.14498928902918881</v>
      </c>
      <c r="V117" t="s">
        <v>63</v>
      </c>
      <c r="W117" t="s">
        <v>60</v>
      </c>
      <c r="X117" t="s">
        <v>39</v>
      </c>
      <c r="Y117">
        <v>0.24442857142857136</v>
      </c>
      <c r="Z117">
        <v>0</v>
      </c>
      <c r="AA117" s="4" t="str">
        <f>IF(SUMIFS(CHP_CHPR!$AA$4:$AA$283,CHP_CHPR!$Y$4:$Y$283,CHP_elecEFF!$W117,CHP_CHPR!$Z$4:$Z$283,CHP_elecEFF!$X117)*Y117+Y117&lt;=$AC$1,"",Y117*$AC$1/(SUMIFS(CHP_CHPR!$AA$4:$AA$283,CHP_CHPR!$Y$4:$Y$283,CHP_elecEFF!$W117,CHP_CHPR!$Z$4:$Z$283,CHP_elecEFF!$X117)*Y117+Y117))</f>
        <v/>
      </c>
    </row>
    <row r="118" spans="1:28" x14ac:dyDescent="0.3">
      <c r="A118" t="s">
        <v>60</v>
      </c>
      <c r="B118" t="s">
        <v>52</v>
      </c>
      <c r="S118">
        <v>0.33</v>
      </c>
      <c r="V118" t="s">
        <v>63</v>
      </c>
      <c r="W118" t="s">
        <v>60</v>
      </c>
      <c r="X118" t="s">
        <v>52</v>
      </c>
      <c r="Z118">
        <v>0</v>
      </c>
      <c r="AA118" s="4" t="str">
        <f>IF(SUMIFS(CHP_CHPR!$AA$4:$AA$283,CHP_CHPR!$Y$4:$Y$283,CHP_elecEFF!$W118,CHP_CHPR!$Z$4:$Z$283,CHP_elecEFF!$X118)*Y118+Y118&lt;=$AC$1,"",Y118*$AC$1/(SUMIFS(CHP_CHPR!$AA$4:$AA$283,CHP_CHPR!$Y$4:$Y$283,CHP_elecEFF!$W118,CHP_CHPR!$Z$4:$Z$283,CHP_elecEFF!$X118)*Y118+Y118))</f>
        <v/>
      </c>
    </row>
    <row r="119" spans="1:28" x14ac:dyDescent="0.3">
      <c r="A119" t="s">
        <v>60</v>
      </c>
      <c r="B119" t="s">
        <v>40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V119" t="s">
        <v>63</v>
      </c>
      <c r="W119" t="s">
        <v>60</v>
      </c>
      <c r="X119" t="s">
        <v>40</v>
      </c>
      <c r="Y119">
        <v>0.27066020114942529</v>
      </c>
      <c r="Z119">
        <v>0</v>
      </c>
      <c r="AA119" s="4" t="str">
        <f>IF(SUMIFS(CHP_CHPR!$AA$4:$AA$283,CHP_CHPR!$Y$4:$Y$283,CHP_elecEFF!$W119,CHP_CHPR!$Z$4:$Z$283,CHP_elecEFF!$X119)*Y119+Y119&lt;=$AC$1,"",Y119*$AC$1/(SUMIFS(CHP_CHPR!$AA$4:$AA$283,CHP_CHPR!$Y$4:$Y$283,CHP_elecEFF!$W119,CHP_CHPR!$Z$4:$Z$283,CHP_elecEFF!$X119)*Y119+Y119))</f>
        <v/>
      </c>
    </row>
    <row r="120" spans="1:28" x14ac:dyDescent="0.3">
      <c r="Z120">
        <v>0</v>
      </c>
      <c r="AA120" s="4" t="str">
        <f>IF(SUMIFS(CHP_CHPR!$AA$4:$AA$283,CHP_CHPR!$Y$4:$Y$283,CHP_elecEFF!$W120,CHP_CHPR!$Z$4:$Z$283,CHP_elecEFF!$X120)*Y120+Y120&lt;=$AC$1,"",Y120*$AC$1/(SUMIFS(CHP_CHPR!$AA$4:$AA$283,CHP_CHPR!$Y$4:$Y$283,CHP_elecEFF!$W120,CHP_CHPR!$Z$4:$Z$283,CHP_elecEFF!$X120)*Y120+Y120))</f>
        <v/>
      </c>
    </row>
    <row r="121" spans="1:28" x14ac:dyDescent="0.3">
      <c r="Z121">
        <v>0</v>
      </c>
      <c r="AA121" s="4" t="str">
        <f>IF(SUMIFS(CHP_CHPR!$AA$4:$AA$283,CHP_CHPR!$Y$4:$Y$283,CHP_elecEFF!$W121,CHP_CHPR!$Z$4:$Z$283,CHP_elecEFF!$X121)*Y121+Y121&lt;=$AC$1,"",Y121*$AC$1/(SUMIFS(CHP_CHPR!$AA$4:$AA$283,CHP_CHPR!$Y$4:$Y$283,CHP_elecEFF!$W121,CHP_CHPR!$Z$4:$Z$283,CHP_elecEFF!$X121)*Y121+Y121))</f>
        <v/>
      </c>
    </row>
    <row r="122" spans="1:28" x14ac:dyDescent="0.3">
      <c r="Z122">
        <v>0</v>
      </c>
      <c r="AA122" s="4" t="str">
        <f>IF(SUMIFS(CHP_CHPR!$AA$4:$AA$283,CHP_CHPR!$Y$4:$Y$283,CHP_elecEFF!$W122,CHP_CHPR!$Z$4:$Z$283,CHP_elecEFF!$X122)*Y122+Y122&lt;=$AC$1,"",Y122*$AC$1/(SUMIFS(CHP_CHPR!$AA$4:$AA$283,CHP_CHPR!$Y$4:$Y$283,CHP_elecEFF!$W122,CHP_CHPR!$Z$4:$Z$283,CHP_elecEFF!$X122)*Y122+Y122))</f>
        <v/>
      </c>
    </row>
    <row r="123" spans="1:28" x14ac:dyDescent="0.3">
      <c r="Z123">
        <v>0</v>
      </c>
      <c r="AA123" s="4" t="str">
        <f>IF(SUMIFS(CHP_CHPR!$AA$4:$AA$283,CHP_CHPR!$Y$4:$Y$283,CHP_elecEFF!$W123,CHP_CHPR!$Z$4:$Z$283,CHP_elecEFF!$X123)*Y123+Y123&lt;=$AC$1,"",Y123*$AC$1/(SUMIFS(CHP_CHPR!$AA$4:$AA$283,CHP_CHPR!$Y$4:$Y$283,CHP_elecEFF!$W123,CHP_CHPR!$Z$4:$Z$283,CHP_elecEFF!$X123)*Y123+Y123))</f>
        <v/>
      </c>
    </row>
    <row r="124" spans="1:28" x14ac:dyDescent="0.3">
      <c r="Z124">
        <v>0</v>
      </c>
      <c r="AA124" s="4" t="str">
        <f>IF(SUMIFS(CHP_CHPR!$AA$4:$AA$283,CHP_CHPR!$Y$4:$Y$283,CHP_elecEFF!$W124,CHP_CHPR!$Z$4:$Z$283,CHP_elecEFF!$X124)*Y124+Y124&lt;=$AC$1,"",Y124*$AC$1/(SUMIFS(CHP_CHPR!$AA$4:$AA$283,CHP_CHPR!$Y$4:$Y$283,CHP_elecEFF!$W124,CHP_CHPR!$Z$4:$Z$283,CHP_elecEFF!$X124)*Y124+Y124))</f>
        <v/>
      </c>
    </row>
    <row r="125" spans="1:28" x14ac:dyDescent="0.3">
      <c r="Z125">
        <v>0</v>
      </c>
      <c r="AA125" s="4" t="str">
        <f>IF(SUMIFS(CHP_CHPR!$AA$4:$AA$283,CHP_CHPR!$Y$4:$Y$283,CHP_elecEFF!$W125,CHP_CHPR!$Z$4:$Z$283,CHP_elecEFF!$X125)*Y125+Y125&lt;=$AC$1,"",Y125*$AC$1/(SUMIFS(CHP_CHPR!$AA$4:$AA$283,CHP_CHPR!$Y$4:$Y$283,CHP_elecEFF!$W125,CHP_CHPR!$Z$4:$Z$283,CHP_elecEFF!$X125)*Y125+Y125))</f>
        <v/>
      </c>
    </row>
    <row r="126" spans="1:28" x14ac:dyDescent="0.3">
      <c r="Z126">
        <v>0</v>
      </c>
      <c r="AA126" s="4" t="str">
        <f>IF(SUMIFS(CHP_CHPR!$AA$4:$AA$283,CHP_CHPR!$Y$4:$Y$283,CHP_elecEFF!$W126,CHP_CHPR!$Z$4:$Z$283,CHP_elecEFF!$X126)*Y126+Y126&lt;=$AC$1,"",Y126*$AC$1/(SUMIFS(CHP_CHPR!$AA$4:$AA$283,CHP_CHPR!$Y$4:$Y$283,CHP_elecEFF!$W126,CHP_CHPR!$Z$4:$Z$283,CHP_elecEFF!$X126)*Y126+Y126))</f>
        <v/>
      </c>
    </row>
    <row r="127" spans="1:28" x14ac:dyDescent="0.3">
      <c r="Z127">
        <v>0</v>
      </c>
      <c r="AA127" s="4" t="str">
        <f>IF(SUMIFS(CHP_CHPR!$AA$4:$AA$283,CHP_CHPR!$Y$4:$Y$283,CHP_elecEFF!$W127,CHP_CHPR!$Z$4:$Z$283,CHP_elecEFF!$X127)*Y127+Y127&lt;=$AC$1,"",Y127*$AC$1/(SUMIFS(CHP_CHPR!$AA$4:$AA$283,CHP_CHPR!$Y$4:$Y$283,CHP_elecEFF!$W127,CHP_CHPR!$Z$4:$Z$283,CHP_elecEFF!$X127)*Y127+Y127))</f>
        <v/>
      </c>
    </row>
    <row r="128" spans="1:28" x14ac:dyDescent="0.3">
      <c r="Z128">
        <v>0</v>
      </c>
      <c r="AA128" s="4" t="str">
        <f>IF(SUMIFS(CHP_CHPR!$AA$4:$AA$283,CHP_CHPR!$Y$4:$Y$283,CHP_elecEFF!$W128,CHP_CHPR!$Z$4:$Z$283,CHP_elecEFF!$X128)*Y128+Y128&lt;=$AC$1,"",Y128*$AC$1/(SUMIFS(CHP_CHPR!$AA$4:$AA$283,CHP_CHPR!$Y$4:$Y$283,CHP_elecEFF!$W128,CHP_CHPR!$Z$4:$Z$283,CHP_elecEFF!$X128)*Y128+Y128))</f>
        <v/>
      </c>
    </row>
    <row r="129" spans="26:27" x14ac:dyDescent="0.3">
      <c r="Z129">
        <v>0</v>
      </c>
      <c r="AA129" s="4" t="str">
        <f>IF(SUMIFS(CHP_CHPR!$AA$4:$AA$283,CHP_CHPR!$Y$4:$Y$283,CHP_elecEFF!$W129,CHP_CHPR!$Z$4:$Z$283,CHP_elecEFF!$X129)*Y129+Y129&lt;=$AC$1,"",Y129*$AC$1/(SUMIFS(CHP_CHPR!$AA$4:$AA$283,CHP_CHPR!$Y$4:$Y$283,CHP_elecEFF!$W129,CHP_CHPR!$Z$4:$Z$283,CHP_elecEFF!$X129)*Y129+Y129))</f>
        <v/>
      </c>
    </row>
    <row r="130" spans="26:27" x14ac:dyDescent="0.3">
      <c r="Z130">
        <v>0</v>
      </c>
      <c r="AA130" s="4" t="str">
        <f>IF(SUMIFS(CHP_CHPR!$AA$4:$AA$283,CHP_CHPR!$Y$4:$Y$283,CHP_elecEFF!$W130,CHP_CHPR!$Z$4:$Z$283,CHP_elecEFF!$X130)*Y130+Y130&lt;=$AC$1,"",Y130*$AC$1/(SUMIFS(CHP_CHPR!$AA$4:$AA$283,CHP_CHPR!$Y$4:$Y$283,CHP_elecEFF!$W130,CHP_CHPR!$Z$4:$Z$283,CHP_elecEFF!$X130)*Y130+Y130))</f>
        <v/>
      </c>
    </row>
    <row r="131" spans="26:27" x14ac:dyDescent="0.3">
      <c r="Z131">
        <v>0</v>
      </c>
      <c r="AA131" s="4" t="str">
        <f>IF(SUMIFS(CHP_CHPR!$AA$4:$AA$283,CHP_CHPR!$Y$4:$Y$283,CHP_elecEFF!$W131,CHP_CHPR!$Z$4:$Z$283,CHP_elecEFF!$X131)*Y131+Y131&lt;=$AC$1,"",Y131*$AC$1/(SUMIFS(CHP_CHPR!$AA$4:$AA$283,CHP_CHPR!$Y$4:$Y$283,CHP_elecEFF!$W131,CHP_CHPR!$Z$4:$Z$283,CHP_elecEFF!$X131)*Y131+Y131))</f>
        <v/>
      </c>
    </row>
    <row r="132" spans="26:27" x14ac:dyDescent="0.3">
      <c r="Z132">
        <v>0</v>
      </c>
      <c r="AA132" s="4" t="str">
        <f>IF(SUMIFS(CHP_CHPR!$AA$4:$AA$283,CHP_CHPR!$Y$4:$Y$283,CHP_elecEFF!$W132,CHP_CHPR!$Z$4:$Z$283,CHP_elecEFF!$X132)*Y132+Y132&lt;=$AC$1,"",Y132*$AC$1/(SUMIFS(CHP_CHPR!$AA$4:$AA$283,CHP_CHPR!$Y$4:$Y$283,CHP_elecEFF!$W132,CHP_CHPR!$Z$4:$Z$283,CHP_elecEFF!$X132)*Y132+Y132))</f>
        <v/>
      </c>
    </row>
    <row r="133" spans="26:27" x14ac:dyDescent="0.3">
      <c r="Z133">
        <v>0</v>
      </c>
      <c r="AA133" s="4" t="str">
        <f>IF(SUMIFS(CHP_CHPR!$AA$4:$AA$283,CHP_CHPR!$Y$4:$Y$283,CHP_elecEFF!$W133,CHP_CHPR!$Z$4:$Z$283,CHP_elecEFF!$X133)*Y133+Y133&lt;=$AC$1,"",Y133*$AC$1/(SUMIFS(CHP_CHPR!$AA$4:$AA$283,CHP_CHPR!$Y$4:$Y$283,CHP_elecEFF!$W133,CHP_CHPR!$Z$4:$Z$283,CHP_elecEFF!$X133)*Y133+Y133))</f>
        <v/>
      </c>
    </row>
    <row r="134" spans="26:27" x14ac:dyDescent="0.3">
      <c r="Z134">
        <v>0</v>
      </c>
      <c r="AA134" s="4" t="str">
        <f>IF(SUMIFS(CHP_CHPR!$AA$4:$AA$283,CHP_CHPR!$Y$4:$Y$283,CHP_elecEFF!$W134,CHP_CHPR!$Z$4:$Z$283,CHP_elecEFF!$X134)*Y134+Y134&lt;=$AC$1,"",Y134*$AC$1/(SUMIFS(CHP_CHPR!$AA$4:$AA$283,CHP_CHPR!$Y$4:$Y$283,CHP_elecEFF!$W134,CHP_CHPR!$Z$4:$Z$283,CHP_elecEFF!$X134)*Y134+Y134))</f>
        <v/>
      </c>
    </row>
    <row r="135" spans="26:27" x14ac:dyDescent="0.3">
      <c r="Z135">
        <v>0</v>
      </c>
      <c r="AA135" s="4" t="str">
        <f>IF(SUMIFS(CHP_CHPR!$AA$4:$AA$283,CHP_CHPR!$Y$4:$Y$283,CHP_elecEFF!$W135,CHP_CHPR!$Z$4:$Z$283,CHP_elecEFF!$X135)*Y135+Y135&lt;=$AC$1,"",Y135*$AC$1/(SUMIFS(CHP_CHPR!$AA$4:$AA$283,CHP_CHPR!$Y$4:$Y$283,CHP_elecEFF!$W135,CHP_CHPR!$Z$4:$Z$283,CHP_elecEFF!$X135)*Y135+Y135))</f>
        <v/>
      </c>
    </row>
    <row r="136" spans="26:27" x14ac:dyDescent="0.3">
      <c r="Z136">
        <v>0</v>
      </c>
      <c r="AA136" s="4" t="str">
        <f>IF(SUMIFS(CHP_CHPR!$AA$4:$AA$283,CHP_CHPR!$Y$4:$Y$283,CHP_elecEFF!$W136,CHP_CHPR!$Z$4:$Z$283,CHP_elecEFF!$X136)*Y136+Y136&lt;=$AC$1,"",Y136*$AC$1/(SUMIFS(CHP_CHPR!$AA$4:$AA$283,CHP_CHPR!$Y$4:$Y$283,CHP_elecEFF!$W136,CHP_CHPR!$Z$4:$Z$283,CHP_elecEFF!$X136)*Y136+Y136))</f>
        <v/>
      </c>
    </row>
    <row r="137" spans="26:27" x14ac:dyDescent="0.3">
      <c r="Z137">
        <v>0</v>
      </c>
      <c r="AA137" s="4" t="str">
        <f>IF(SUMIFS(CHP_CHPR!$AA$4:$AA$283,CHP_CHPR!$Y$4:$Y$283,CHP_elecEFF!$W137,CHP_CHPR!$Z$4:$Z$283,CHP_elecEFF!$X137)*Y137+Y137&lt;=$AC$1,"",Y137*$AC$1/(SUMIFS(CHP_CHPR!$AA$4:$AA$283,CHP_CHPR!$Y$4:$Y$283,CHP_elecEFF!$W137,CHP_CHPR!$Z$4:$Z$283,CHP_elecEFF!$X137)*Y137+Y137))</f>
        <v/>
      </c>
    </row>
    <row r="138" spans="26:27" x14ac:dyDescent="0.3">
      <c r="Z138">
        <v>0</v>
      </c>
      <c r="AA138" s="4" t="str">
        <f>IF(SUMIFS(CHP_CHPR!$AA$4:$AA$283,CHP_CHPR!$Y$4:$Y$283,CHP_elecEFF!$W138,CHP_CHPR!$Z$4:$Z$283,CHP_elecEFF!$X138)*Y138+Y138&lt;=$AC$1,"",Y138*$AC$1/(SUMIFS(CHP_CHPR!$AA$4:$AA$283,CHP_CHPR!$Y$4:$Y$283,CHP_elecEFF!$W138,CHP_CHPR!$Z$4:$Z$283,CHP_elecEFF!$X138)*Y138+Y138))</f>
        <v/>
      </c>
    </row>
    <row r="139" spans="26:27" x14ac:dyDescent="0.3">
      <c r="Z139">
        <v>0</v>
      </c>
      <c r="AA139" s="4" t="str">
        <f>IF(SUMIFS(CHP_CHPR!$AA$4:$AA$283,CHP_CHPR!$Y$4:$Y$283,CHP_elecEFF!$W139,CHP_CHPR!$Z$4:$Z$283,CHP_elecEFF!$X139)*Y139+Y139&lt;=$AC$1,"",Y139*$AC$1/(SUMIFS(CHP_CHPR!$AA$4:$AA$283,CHP_CHPR!$Y$4:$Y$283,CHP_elecEFF!$W139,CHP_CHPR!$Z$4:$Z$283,CHP_elecEFF!$X139)*Y139+Y139))</f>
        <v/>
      </c>
    </row>
    <row r="140" spans="26:27" x14ac:dyDescent="0.3">
      <c r="Z140">
        <v>0</v>
      </c>
      <c r="AA140" s="4" t="str">
        <f>IF(SUMIFS(CHP_CHPR!$AA$4:$AA$283,CHP_CHPR!$Y$4:$Y$283,CHP_elecEFF!$W140,CHP_CHPR!$Z$4:$Z$283,CHP_elecEFF!$X140)*Y140+Y140&lt;=$AC$1,"",Y140*$AC$1/(SUMIFS(CHP_CHPR!$AA$4:$AA$283,CHP_CHPR!$Y$4:$Y$283,CHP_elecEFF!$W140,CHP_CHPR!$Z$4:$Z$283,CHP_elecEFF!$X140)*Y140+Y140))</f>
        <v/>
      </c>
    </row>
    <row r="141" spans="26:27" x14ac:dyDescent="0.3">
      <c r="Z141">
        <v>0</v>
      </c>
      <c r="AA141" s="4" t="str">
        <f>IF(SUMIFS(CHP_CHPR!$AA$4:$AA$283,CHP_CHPR!$Y$4:$Y$283,CHP_elecEFF!$W141,CHP_CHPR!$Z$4:$Z$283,CHP_elecEFF!$X141)*Y141+Y141&lt;=$AC$1,"",Y141*$AC$1/(SUMIFS(CHP_CHPR!$AA$4:$AA$283,CHP_CHPR!$Y$4:$Y$283,CHP_elecEFF!$W141,CHP_CHPR!$Z$4:$Z$283,CHP_elecEFF!$X141)*Y141+Y141))</f>
        <v/>
      </c>
    </row>
    <row r="142" spans="26:27" x14ac:dyDescent="0.3">
      <c r="Z142">
        <v>0</v>
      </c>
      <c r="AA142" s="4" t="str">
        <f>IF(SUMIFS(CHP_CHPR!$AA$4:$AA$283,CHP_CHPR!$Y$4:$Y$283,CHP_elecEFF!$W142,CHP_CHPR!$Z$4:$Z$283,CHP_elecEFF!$X142)*Y142+Y142&lt;=$AC$1,"",Y142*$AC$1/(SUMIFS(CHP_CHPR!$AA$4:$AA$283,CHP_CHPR!$Y$4:$Y$283,CHP_elecEFF!$W142,CHP_CHPR!$Z$4:$Z$283,CHP_elecEFF!$X142)*Y142+Y142))</f>
        <v/>
      </c>
    </row>
    <row r="143" spans="26:27" x14ac:dyDescent="0.3">
      <c r="Z143">
        <v>0</v>
      </c>
      <c r="AA143" s="4" t="str">
        <f>IF(SUMIFS(CHP_CHPR!$AA$4:$AA$283,CHP_CHPR!$Y$4:$Y$283,CHP_elecEFF!$W143,CHP_CHPR!$Z$4:$Z$283,CHP_elecEFF!$X143)*Y143+Y143&lt;=$AC$1,"",Y143*$AC$1/(SUMIFS(CHP_CHPR!$AA$4:$AA$283,CHP_CHPR!$Y$4:$Y$283,CHP_elecEFF!$W143,CHP_CHPR!$Z$4:$Z$283,CHP_elecEFF!$X143)*Y143+Y143))</f>
        <v/>
      </c>
    </row>
    <row r="144" spans="26:27" x14ac:dyDescent="0.3">
      <c r="Z144">
        <v>0</v>
      </c>
      <c r="AA144" s="4" t="str">
        <f>IF(SUMIFS(CHP_CHPR!$AA$4:$AA$283,CHP_CHPR!$Y$4:$Y$283,CHP_elecEFF!$W144,CHP_CHPR!$Z$4:$Z$283,CHP_elecEFF!$X144)*Y144+Y144&lt;=$AC$1,"",Y144*$AC$1/(SUMIFS(CHP_CHPR!$AA$4:$AA$283,CHP_CHPR!$Y$4:$Y$283,CHP_elecEFF!$W144,CHP_CHPR!$Z$4:$Z$283,CHP_elecEFF!$X144)*Y144+Y144))</f>
        <v/>
      </c>
    </row>
    <row r="145" spans="26:27" x14ac:dyDescent="0.3">
      <c r="Z145">
        <v>0</v>
      </c>
      <c r="AA145" s="4" t="str">
        <f>IF(SUMIFS(CHP_CHPR!$AA$4:$AA$283,CHP_CHPR!$Y$4:$Y$283,CHP_elecEFF!$W145,CHP_CHPR!$Z$4:$Z$283,CHP_elecEFF!$X145)*Y145+Y145&lt;=$AC$1,"",Y145*$AC$1/(SUMIFS(CHP_CHPR!$AA$4:$AA$283,CHP_CHPR!$Y$4:$Y$283,CHP_elecEFF!$W145,CHP_CHPR!$Z$4:$Z$283,CHP_elecEFF!$X145)*Y145+Y145))</f>
        <v/>
      </c>
    </row>
    <row r="146" spans="26:27" x14ac:dyDescent="0.3">
      <c r="Z146">
        <v>0</v>
      </c>
      <c r="AA146" s="4" t="str">
        <f>IF(SUMIFS(CHP_CHPR!$AA$4:$AA$283,CHP_CHPR!$Y$4:$Y$283,CHP_elecEFF!$W146,CHP_CHPR!$Z$4:$Z$283,CHP_elecEFF!$X146)*Y146+Y146&lt;=$AC$1,"",Y146*$AC$1/(SUMIFS(CHP_CHPR!$AA$4:$AA$283,CHP_CHPR!$Y$4:$Y$283,CHP_elecEFF!$W146,CHP_CHPR!$Z$4:$Z$283,CHP_elecEFF!$X146)*Y146+Y146))</f>
        <v/>
      </c>
    </row>
    <row r="147" spans="26:27" x14ac:dyDescent="0.3">
      <c r="Z147">
        <v>0</v>
      </c>
      <c r="AA147" s="4" t="str">
        <f>IF(SUMIFS(CHP_CHPR!$AA$4:$AA$283,CHP_CHPR!$Y$4:$Y$283,CHP_elecEFF!$W147,CHP_CHPR!$Z$4:$Z$283,CHP_elecEFF!$X147)*Y147+Y147&lt;=$AC$1,"",Y147*$AC$1/(SUMIFS(CHP_CHPR!$AA$4:$AA$283,CHP_CHPR!$Y$4:$Y$283,CHP_elecEFF!$W147,CHP_CHPR!$Z$4:$Z$283,CHP_elecEFF!$X147)*Y147+Y147))</f>
        <v/>
      </c>
    </row>
    <row r="148" spans="26:27" x14ac:dyDescent="0.3">
      <c r="Z148">
        <v>0</v>
      </c>
      <c r="AA148" s="4" t="str">
        <f>IF(SUMIFS(CHP_CHPR!$AA$4:$AA$283,CHP_CHPR!$Y$4:$Y$283,CHP_elecEFF!$W148,CHP_CHPR!$Z$4:$Z$283,CHP_elecEFF!$X148)*Y148+Y148&lt;=$AC$1,"",Y148*$AC$1/(SUMIFS(CHP_CHPR!$AA$4:$AA$283,CHP_CHPR!$Y$4:$Y$283,CHP_elecEFF!$W148,CHP_CHPR!$Z$4:$Z$283,CHP_elecEFF!$X148)*Y148+Y148))</f>
        <v/>
      </c>
    </row>
    <row r="149" spans="26:27" x14ac:dyDescent="0.3">
      <c r="Z149">
        <v>0</v>
      </c>
      <c r="AA149" s="4" t="str">
        <f>IF(SUMIFS(CHP_CHPR!$AA$4:$AA$283,CHP_CHPR!$Y$4:$Y$283,CHP_elecEFF!$W149,CHP_CHPR!$Z$4:$Z$283,CHP_elecEFF!$X149)*Y149+Y149&lt;=$AC$1,"",Y149*$AC$1/(SUMIFS(CHP_CHPR!$AA$4:$AA$283,CHP_CHPR!$Y$4:$Y$283,CHP_elecEFF!$W149,CHP_CHPR!$Z$4:$Z$283,CHP_elecEFF!$X149)*Y149+Y149))</f>
        <v/>
      </c>
    </row>
    <row r="150" spans="26:27" x14ac:dyDescent="0.3">
      <c r="Z150">
        <v>0</v>
      </c>
      <c r="AA150" s="4" t="str">
        <f>IF(SUMIFS(CHP_CHPR!$AA$4:$AA$283,CHP_CHPR!$Y$4:$Y$283,CHP_elecEFF!$W150,CHP_CHPR!$Z$4:$Z$283,CHP_elecEFF!$X150)*Y150+Y150&lt;=$AC$1,"",Y150*$AC$1/(SUMIFS(CHP_CHPR!$AA$4:$AA$283,CHP_CHPR!$Y$4:$Y$283,CHP_elecEFF!$W150,CHP_CHPR!$Z$4:$Z$283,CHP_elecEFF!$X150)*Y150+Y150))</f>
        <v/>
      </c>
    </row>
    <row r="151" spans="26:27" x14ac:dyDescent="0.3">
      <c r="Z151">
        <v>0</v>
      </c>
      <c r="AA151" s="4" t="str">
        <f>IF(SUMIFS(CHP_CHPR!$AA$4:$AA$283,CHP_CHPR!$Y$4:$Y$283,CHP_elecEFF!$W151,CHP_CHPR!$Z$4:$Z$283,CHP_elecEFF!$X151)*Y151+Y151&lt;=$AC$1,"",Y151*$AC$1/(SUMIFS(CHP_CHPR!$AA$4:$AA$283,CHP_CHPR!$Y$4:$Y$283,CHP_elecEFF!$W151,CHP_CHPR!$Z$4:$Z$283,CHP_elecEFF!$X151)*Y151+Y151))</f>
        <v/>
      </c>
    </row>
    <row r="152" spans="26:27" x14ac:dyDescent="0.3">
      <c r="Z152">
        <v>0</v>
      </c>
      <c r="AA152" s="4" t="str">
        <f>IF(SUMIFS(CHP_CHPR!$AA$4:$AA$283,CHP_CHPR!$Y$4:$Y$283,CHP_elecEFF!$W152,CHP_CHPR!$Z$4:$Z$283,CHP_elecEFF!$X152)*Y152+Y152&lt;=$AC$1,"",Y152*$AC$1/(SUMIFS(CHP_CHPR!$AA$4:$AA$283,CHP_CHPR!$Y$4:$Y$283,CHP_elecEFF!$W152,CHP_CHPR!$Z$4:$Z$283,CHP_elecEFF!$X152)*Y152+Y152))</f>
        <v/>
      </c>
    </row>
    <row r="153" spans="26:27" x14ac:dyDescent="0.3">
      <c r="Z153">
        <v>0</v>
      </c>
      <c r="AA153" s="4" t="str">
        <f>IF(SUMIFS(CHP_CHPR!$AA$4:$AA$283,CHP_CHPR!$Y$4:$Y$283,CHP_elecEFF!$W153,CHP_CHPR!$Z$4:$Z$283,CHP_elecEFF!$X153)*Y153+Y153&lt;=$AC$1,"",Y153*$AC$1/(SUMIFS(CHP_CHPR!$AA$4:$AA$283,CHP_CHPR!$Y$4:$Y$283,CHP_elecEFF!$W153,CHP_CHPR!$Z$4:$Z$283,CHP_elecEFF!$X153)*Y153+Y153))</f>
        <v/>
      </c>
    </row>
    <row r="154" spans="26:27" x14ac:dyDescent="0.3">
      <c r="Z154">
        <v>0</v>
      </c>
      <c r="AA154" s="4" t="str">
        <f>IF(SUMIFS(CHP_CHPR!$AA$4:$AA$283,CHP_CHPR!$Y$4:$Y$283,CHP_elecEFF!$W154,CHP_CHPR!$Z$4:$Z$283,CHP_elecEFF!$X154)*Y154+Y154&lt;=$AC$1,"",Y154*$AC$1/(SUMIFS(CHP_CHPR!$AA$4:$AA$283,CHP_CHPR!$Y$4:$Y$283,CHP_elecEFF!$W154,CHP_CHPR!$Z$4:$Z$283,CHP_elecEFF!$X154)*Y154+Y154))</f>
        <v/>
      </c>
    </row>
    <row r="155" spans="26:27" x14ac:dyDescent="0.3">
      <c r="Z155">
        <v>0</v>
      </c>
      <c r="AA155" s="4" t="str">
        <f>IF(SUMIFS(CHP_CHPR!$AA$4:$AA$283,CHP_CHPR!$Y$4:$Y$283,CHP_elecEFF!$W155,CHP_CHPR!$Z$4:$Z$283,CHP_elecEFF!$X155)*Y155+Y155&lt;=$AC$1,"",Y155*$AC$1/(SUMIFS(CHP_CHPR!$AA$4:$AA$283,CHP_CHPR!$Y$4:$Y$283,CHP_elecEFF!$W155,CHP_CHPR!$Z$4:$Z$283,CHP_elecEFF!$X155)*Y155+Y155))</f>
        <v/>
      </c>
    </row>
    <row r="156" spans="26:27" x14ac:dyDescent="0.3">
      <c r="Z156">
        <v>0</v>
      </c>
      <c r="AA156" s="4" t="str">
        <f>IF(SUMIFS(CHP_CHPR!$AA$4:$AA$283,CHP_CHPR!$Y$4:$Y$283,CHP_elecEFF!$W156,CHP_CHPR!$Z$4:$Z$283,CHP_elecEFF!$X156)*Y156+Y156&lt;=$AC$1,"",Y156*$AC$1/(SUMIFS(CHP_CHPR!$AA$4:$AA$283,CHP_CHPR!$Y$4:$Y$283,CHP_elecEFF!$W156,CHP_CHPR!$Z$4:$Z$283,CHP_elecEFF!$X156)*Y156+Y156))</f>
        <v/>
      </c>
    </row>
    <row r="157" spans="26:27" x14ac:dyDescent="0.3">
      <c r="Z157">
        <v>0</v>
      </c>
      <c r="AA157" s="4" t="str">
        <f>IF(SUMIFS(CHP_CHPR!$AA$4:$AA$283,CHP_CHPR!$Y$4:$Y$283,CHP_elecEFF!$W157,CHP_CHPR!$Z$4:$Z$283,CHP_elecEFF!$X157)*Y157+Y157&lt;=$AC$1,"",Y157*$AC$1/(SUMIFS(CHP_CHPR!$AA$4:$AA$283,CHP_CHPR!$Y$4:$Y$283,CHP_elecEFF!$W157,CHP_CHPR!$Z$4:$Z$283,CHP_elecEFF!$X157)*Y157+Y157))</f>
        <v/>
      </c>
    </row>
    <row r="158" spans="26:27" x14ac:dyDescent="0.3">
      <c r="Z158">
        <v>0</v>
      </c>
      <c r="AA158" s="4" t="str">
        <f>IF(SUMIFS(CHP_CHPR!$AA$4:$AA$283,CHP_CHPR!$Y$4:$Y$283,CHP_elecEFF!$W158,CHP_CHPR!$Z$4:$Z$283,CHP_elecEFF!$X158)*Y158+Y158&lt;=$AC$1,"",Y158*$AC$1/(SUMIFS(CHP_CHPR!$AA$4:$AA$283,CHP_CHPR!$Y$4:$Y$283,CHP_elecEFF!$W158,CHP_CHPR!$Z$4:$Z$283,CHP_elecEFF!$X158)*Y158+Y158))</f>
        <v/>
      </c>
    </row>
    <row r="159" spans="26:27" x14ac:dyDescent="0.3">
      <c r="Z159">
        <v>0</v>
      </c>
      <c r="AA159" s="4" t="str">
        <f>IF(SUMIFS(CHP_CHPR!$AA$4:$AA$283,CHP_CHPR!$Y$4:$Y$283,CHP_elecEFF!$W159,CHP_CHPR!$Z$4:$Z$283,CHP_elecEFF!$X159)*Y159+Y159&lt;=$AC$1,"",Y159*$AC$1/(SUMIFS(CHP_CHPR!$AA$4:$AA$283,CHP_CHPR!$Y$4:$Y$283,CHP_elecEFF!$W159,CHP_CHPR!$Z$4:$Z$283,CHP_elecEFF!$X159)*Y159+Y159))</f>
        <v/>
      </c>
    </row>
    <row r="160" spans="26:27" x14ac:dyDescent="0.3">
      <c r="Z160">
        <v>0</v>
      </c>
      <c r="AA160" s="4" t="str">
        <f>IF(SUMIFS(CHP_CHPR!$AA$4:$AA$283,CHP_CHPR!$Y$4:$Y$283,CHP_elecEFF!$W160,CHP_CHPR!$Z$4:$Z$283,CHP_elecEFF!$X160)*Y160+Y160&lt;=$AC$1,"",Y160*$AC$1/(SUMIFS(CHP_CHPR!$AA$4:$AA$283,CHP_CHPR!$Y$4:$Y$283,CHP_elecEFF!$W160,CHP_CHPR!$Z$4:$Z$283,CHP_elecEFF!$X160)*Y160+Y160))</f>
        <v/>
      </c>
    </row>
    <row r="161" spans="26:27" x14ac:dyDescent="0.3">
      <c r="Z161">
        <v>0</v>
      </c>
      <c r="AA161" s="4" t="str">
        <f>IF(SUMIFS(CHP_CHPR!$AA$4:$AA$283,CHP_CHPR!$Y$4:$Y$283,CHP_elecEFF!$W161,CHP_CHPR!$Z$4:$Z$283,CHP_elecEFF!$X161)*Y161+Y161&lt;=$AC$1,"",Y161*$AC$1/(SUMIFS(CHP_CHPR!$AA$4:$AA$283,CHP_CHPR!$Y$4:$Y$283,CHP_elecEFF!$W161,CHP_CHPR!$Z$4:$Z$283,CHP_elecEFF!$X161)*Y161+Y161))</f>
        <v/>
      </c>
    </row>
    <row r="162" spans="26:27" x14ac:dyDescent="0.3">
      <c r="Z162">
        <v>0</v>
      </c>
      <c r="AA162" s="4" t="str">
        <f>IF(SUMIFS(CHP_CHPR!$AA$4:$AA$283,CHP_CHPR!$Y$4:$Y$283,CHP_elecEFF!$W162,CHP_CHPR!$Z$4:$Z$283,CHP_elecEFF!$X162)*Y162+Y162&lt;=$AC$1,"",Y162*$AC$1/(SUMIFS(CHP_CHPR!$AA$4:$AA$283,CHP_CHPR!$Y$4:$Y$283,CHP_elecEFF!$W162,CHP_CHPR!$Z$4:$Z$283,CHP_elecEFF!$X162)*Y162+Y162))</f>
        <v/>
      </c>
    </row>
    <row r="163" spans="26:27" x14ac:dyDescent="0.3">
      <c r="Z163">
        <v>0</v>
      </c>
      <c r="AA163" s="4" t="str">
        <f>IF(SUMIFS(CHP_CHPR!$AA$4:$AA$283,CHP_CHPR!$Y$4:$Y$283,CHP_elecEFF!$W163,CHP_CHPR!$Z$4:$Z$283,CHP_elecEFF!$X163)*Y163+Y163&lt;=$AC$1,"",Y163*$AC$1/(SUMIFS(CHP_CHPR!$AA$4:$AA$283,CHP_CHPR!$Y$4:$Y$283,CHP_elecEFF!$W163,CHP_CHPR!$Z$4:$Z$283,CHP_elecEFF!$X163)*Y163+Y163))</f>
        <v/>
      </c>
    </row>
    <row r="164" spans="26:27" x14ac:dyDescent="0.3">
      <c r="Z164">
        <v>0</v>
      </c>
      <c r="AA164" s="4" t="str">
        <f>IF(SUMIFS(CHP_CHPR!$AA$4:$AA$283,CHP_CHPR!$Y$4:$Y$283,CHP_elecEFF!$W164,CHP_CHPR!$Z$4:$Z$283,CHP_elecEFF!$X164)*Y164+Y164&lt;=$AC$1,"",Y164*$AC$1/(SUMIFS(CHP_CHPR!$AA$4:$AA$283,CHP_CHPR!$Y$4:$Y$283,CHP_elecEFF!$W164,CHP_CHPR!$Z$4:$Z$283,CHP_elecEFF!$X164)*Y164+Y164))</f>
        <v/>
      </c>
    </row>
    <row r="165" spans="26:27" x14ac:dyDescent="0.3">
      <c r="Z165">
        <v>0</v>
      </c>
      <c r="AA165" s="4" t="str">
        <f>IF(SUMIFS(CHP_CHPR!$AA$4:$AA$283,CHP_CHPR!$Y$4:$Y$283,CHP_elecEFF!$W165,CHP_CHPR!$Z$4:$Z$283,CHP_elecEFF!$X165)*Y165+Y165&lt;=$AC$1,"",Y165*$AC$1/(SUMIFS(CHP_CHPR!$AA$4:$AA$283,CHP_CHPR!$Y$4:$Y$283,CHP_elecEFF!$W165,CHP_CHPR!$Z$4:$Z$283,CHP_elecEFF!$X165)*Y165+Y165))</f>
        <v/>
      </c>
    </row>
    <row r="166" spans="26:27" x14ac:dyDescent="0.3">
      <c r="Z166">
        <v>0</v>
      </c>
      <c r="AA166" s="4" t="str">
        <f>IF(SUMIFS(CHP_CHPR!$AA$4:$AA$283,CHP_CHPR!$Y$4:$Y$283,CHP_elecEFF!$W166,CHP_CHPR!$Z$4:$Z$283,CHP_elecEFF!$X166)*Y166+Y166&lt;=$AC$1,"",Y166*$AC$1/(SUMIFS(CHP_CHPR!$AA$4:$AA$283,CHP_CHPR!$Y$4:$Y$283,CHP_elecEFF!$W166,CHP_CHPR!$Z$4:$Z$283,CHP_elecEFF!$X166)*Y166+Y166))</f>
        <v/>
      </c>
    </row>
    <row r="167" spans="26:27" x14ac:dyDescent="0.3">
      <c r="Z167">
        <v>0</v>
      </c>
      <c r="AA167" s="4" t="str">
        <f>IF(SUMIFS(CHP_CHPR!$AA$4:$AA$283,CHP_CHPR!$Y$4:$Y$283,CHP_elecEFF!$W167,CHP_CHPR!$Z$4:$Z$283,CHP_elecEFF!$X167)*Y167+Y167&lt;=$AC$1,"",Y167*$AC$1/(SUMIFS(CHP_CHPR!$AA$4:$AA$283,CHP_CHPR!$Y$4:$Y$283,CHP_elecEFF!$W167,CHP_CHPR!$Z$4:$Z$283,CHP_elecEFF!$X167)*Y167+Y167))</f>
        <v/>
      </c>
    </row>
    <row r="168" spans="26:27" x14ac:dyDescent="0.3">
      <c r="Z168">
        <v>0</v>
      </c>
      <c r="AA168" s="4" t="str">
        <f>IF(SUMIFS(CHP_CHPR!$AA$4:$AA$283,CHP_CHPR!$Y$4:$Y$283,CHP_elecEFF!$W168,CHP_CHPR!$Z$4:$Z$283,CHP_elecEFF!$X168)*Y168+Y168&lt;=$AC$1,"",Y168*$AC$1/(SUMIFS(CHP_CHPR!$AA$4:$AA$283,CHP_CHPR!$Y$4:$Y$283,CHP_elecEFF!$W168,CHP_CHPR!$Z$4:$Z$283,CHP_elecEFF!$X168)*Y168+Y168))</f>
        <v/>
      </c>
    </row>
    <row r="169" spans="26:27" x14ac:dyDescent="0.3">
      <c r="Z169">
        <v>0</v>
      </c>
      <c r="AA169" s="4" t="str">
        <f>IF(SUMIFS(CHP_CHPR!$AA$4:$AA$283,CHP_CHPR!$Y$4:$Y$283,CHP_elecEFF!$W169,CHP_CHPR!$Z$4:$Z$283,CHP_elecEFF!$X169)*Y169+Y169&lt;=$AC$1,"",Y169*$AC$1/(SUMIFS(CHP_CHPR!$AA$4:$AA$283,CHP_CHPR!$Y$4:$Y$283,CHP_elecEFF!$W169,CHP_CHPR!$Z$4:$Z$283,CHP_elecEFF!$X169)*Y169+Y169))</f>
        <v/>
      </c>
    </row>
    <row r="170" spans="26:27" x14ac:dyDescent="0.3">
      <c r="Z170">
        <v>0</v>
      </c>
      <c r="AA170" s="4" t="str">
        <f>IF(SUMIFS(CHP_CHPR!$AA$4:$AA$283,CHP_CHPR!$Y$4:$Y$283,CHP_elecEFF!$W170,CHP_CHPR!$Z$4:$Z$283,CHP_elecEFF!$X170)*Y170+Y170&lt;=$AC$1,"",Y170*$AC$1/(SUMIFS(CHP_CHPR!$AA$4:$AA$283,CHP_CHPR!$Y$4:$Y$283,CHP_elecEFF!$W170,CHP_CHPR!$Z$4:$Z$283,CHP_elecEFF!$X170)*Y170+Y170))</f>
        <v/>
      </c>
    </row>
    <row r="171" spans="26:27" x14ac:dyDescent="0.3">
      <c r="Z171">
        <v>0</v>
      </c>
      <c r="AA171" s="4" t="str">
        <f>IF(SUMIFS(CHP_CHPR!$AA$4:$AA$283,CHP_CHPR!$Y$4:$Y$283,CHP_elecEFF!$W171,CHP_CHPR!$Z$4:$Z$283,CHP_elecEFF!$X171)*Y171+Y171&lt;=$AC$1,"",Y171*$AC$1/(SUMIFS(CHP_CHPR!$AA$4:$AA$283,CHP_CHPR!$Y$4:$Y$283,CHP_elecEFF!$W171,CHP_CHPR!$Z$4:$Z$283,CHP_elecEFF!$X171)*Y171+Y171))</f>
        <v/>
      </c>
    </row>
    <row r="172" spans="26:27" x14ac:dyDescent="0.3">
      <c r="Z172">
        <v>0</v>
      </c>
      <c r="AA172" s="4" t="str">
        <f>IF(SUMIFS(CHP_CHPR!$AA$4:$AA$283,CHP_CHPR!$Y$4:$Y$283,CHP_elecEFF!$W172,CHP_CHPR!$Z$4:$Z$283,CHP_elecEFF!$X172)*Y172+Y172&lt;=$AC$1,"",Y172*$AC$1/(SUMIFS(CHP_CHPR!$AA$4:$AA$283,CHP_CHPR!$Y$4:$Y$283,CHP_elecEFF!$W172,CHP_CHPR!$Z$4:$Z$283,CHP_elecEFF!$X172)*Y172+Y172))</f>
        <v/>
      </c>
    </row>
    <row r="173" spans="26:27" x14ac:dyDescent="0.3">
      <c r="Z173">
        <v>0</v>
      </c>
      <c r="AA173" s="4" t="str">
        <f>IF(SUMIFS(CHP_CHPR!$AA$4:$AA$283,CHP_CHPR!$Y$4:$Y$283,CHP_elecEFF!$W173,CHP_CHPR!$Z$4:$Z$283,CHP_elecEFF!$X173)*Y173+Y173&lt;=$AC$1,"",Y173*$AC$1/(SUMIFS(CHP_CHPR!$AA$4:$AA$283,CHP_CHPR!$Y$4:$Y$283,CHP_elecEFF!$W173,CHP_CHPR!$Z$4:$Z$283,CHP_elecEFF!$X173)*Y173+Y173))</f>
        <v/>
      </c>
    </row>
    <row r="174" spans="26:27" x14ac:dyDescent="0.3">
      <c r="Z174">
        <v>0</v>
      </c>
      <c r="AA174" s="4" t="str">
        <f>IF(SUMIFS(CHP_CHPR!$AA$4:$AA$283,CHP_CHPR!$Y$4:$Y$283,CHP_elecEFF!$W174,CHP_CHPR!$Z$4:$Z$283,CHP_elecEFF!$X174)*Y174+Y174&lt;=$AC$1,"",Y174*$AC$1/(SUMIFS(CHP_CHPR!$AA$4:$AA$283,CHP_CHPR!$Y$4:$Y$283,CHP_elecEFF!$W174,CHP_CHPR!$Z$4:$Z$283,CHP_elecEFF!$X174)*Y174+Y174))</f>
        <v/>
      </c>
    </row>
    <row r="175" spans="26:27" x14ac:dyDescent="0.3">
      <c r="Z175">
        <v>0</v>
      </c>
      <c r="AA175" s="4" t="str">
        <f>IF(SUMIFS(CHP_CHPR!$AA$4:$AA$283,CHP_CHPR!$Y$4:$Y$283,CHP_elecEFF!$W175,CHP_CHPR!$Z$4:$Z$283,CHP_elecEFF!$X175)*Y175+Y175&lt;=$AC$1,"",Y175*$AC$1/(SUMIFS(CHP_CHPR!$AA$4:$AA$283,CHP_CHPR!$Y$4:$Y$283,CHP_elecEFF!$W175,CHP_CHPR!$Z$4:$Z$283,CHP_elecEFF!$X175)*Y175+Y175))</f>
        <v/>
      </c>
    </row>
    <row r="176" spans="26:27" x14ac:dyDescent="0.3">
      <c r="Z176">
        <v>0</v>
      </c>
      <c r="AA176" s="4" t="str">
        <f>IF(SUMIFS(CHP_CHPR!$AA$4:$AA$283,CHP_CHPR!$Y$4:$Y$283,CHP_elecEFF!$W176,CHP_CHPR!$Z$4:$Z$283,CHP_elecEFF!$X176)*Y176+Y176&lt;=$AC$1,"",Y176*$AC$1/(SUMIFS(CHP_CHPR!$AA$4:$AA$283,CHP_CHPR!$Y$4:$Y$283,CHP_elecEFF!$W176,CHP_CHPR!$Z$4:$Z$283,CHP_elecEFF!$X176)*Y176+Y176))</f>
        <v/>
      </c>
    </row>
    <row r="177" spans="26:27" x14ac:dyDescent="0.3">
      <c r="Z177">
        <v>0</v>
      </c>
      <c r="AA177" s="4" t="str">
        <f>IF(SUMIFS(CHP_CHPR!$AA$4:$AA$283,CHP_CHPR!$Y$4:$Y$283,CHP_elecEFF!$W177,CHP_CHPR!$Z$4:$Z$283,CHP_elecEFF!$X177)*Y177+Y177&lt;=$AC$1,"",Y177*$AC$1/(SUMIFS(CHP_CHPR!$AA$4:$AA$283,CHP_CHPR!$Y$4:$Y$283,CHP_elecEFF!$W177,CHP_CHPR!$Z$4:$Z$283,CHP_elecEFF!$X177)*Y177+Y177))</f>
        <v/>
      </c>
    </row>
    <row r="178" spans="26:27" x14ac:dyDescent="0.3">
      <c r="Z178">
        <v>0</v>
      </c>
      <c r="AA178" s="4" t="str">
        <f>IF(SUMIFS(CHP_CHPR!$AA$4:$AA$283,CHP_CHPR!$Y$4:$Y$283,CHP_elecEFF!$W178,CHP_CHPR!$Z$4:$Z$283,CHP_elecEFF!$X178)*Y178+Y178&lt;=$AC$1,"",Y178*$AC$1/(SUMIFS(CHP_CHPR!$AA$4:$AA$283,CHP_CHPR!$Y$4:$Y$283,CHP_elecEFF!$W178,CHP_CHPR!$Z$4:$Z$283,CHP_elecEFF!$X178)*Y178+Y178))</f>
        <v/>
      </c>
    </row>
    <row r="179" spans="26:27" x14ac:dyDescent="0.3">
      <c r="Z179">
        <v>0</v>
      </c>
      <c r="AA179" s="4" t="str">
        <f>IF(SUMIFS(CHP_CHPR!$AA$4:$AA$283,CHP_CHPR!$Y$4:$Y$283,CHP_elecEFF!$W179,CHP_CHPR!$Z$4:$Z$283,CHP_elecEFF!$X179)*Y179+Y179&lt;=$AC$1,"",Y179*$AC$1/(SUMIFS(CHP_CHPR!$AA$4:$AA$283,CHP_CHPR!$Y$4:$Y$283,CHP_elecEFF!$W179,CHP_CHPR!$Z$4:$Z$283,CHP_elecEFF!$X179)*Y179+Y179))</f>
        <v/>
      </c>
    </row>
    <row r="180" spans="26:27" x14ac:dyDescent="0.3">
      <c r="Z180">
        <v>0</v>
      </c>
      <c r="AA180" s="4" t="str">
        <f>IF(SUMIFS(CHP_CHPR!$AA$4:$AA$283,CHP_CHPR!$Y$4:$Y$283,CHP_elecEFF!$W180,CHP_CHPR!$Z$4:$Z$283,CHP_elecEFF!$X180)*Y180+Y180&lt;=$AC$1,"",Y180*$AC$1/(SUMIFS(CHP_CHPR!$AA$4:$AA$283,CHP_CHPR!$Y$4:$Y$283,CHP_elecEFF!$W180,CHP_CHPR!$Z$4:$Z$283,CHP_elecEFF!$X180)*Y180+Y180))</f>
        <v/>
      </c>
    </row>
    <row r="181" spans="26:27" x14ac:dyDescent="0.3">
      <c r="Z181">
        <v>0</v>
      </c>
      <c r="AA181" s="4" t="str">
        <f>IF(SUMIFS(CHP_CHPR!$AA$4:$AA$283,CHP_CHPR!$Y$4:$Y$283,CHP_elecEFF!$W181,CHP_CHPR!$Z$4:$Z$283,CHP_elecEFF!$X181)*Y181+Y181&lt;=$AC$1,"",Y181*$AC$1/(SUMIFS(CHP_CHPR!$AA$4:$AA$283,CHP_CHPR!$Y$4:$Y$283,CHP_elecEFF!$W181,CHP_CHPR!$Z$4:$Z$283,CHP_elecEFF!$X181)*Y181+Y181))</f>
        <v/>
      </c>
    </row>
    <row r="182" spans="26:27" x14ac:dyDescent="0.3">
      <c r="Z182">
        <v>0</v>
      </c>
      <c r="AA182" s="4" t="str">
        <f>IF(SUMIFS(CHP_CHPR!$AA$4:$AA$283,CHP_CHPR!$Y$4:$Y$283,CHP_elecEFF!$W182,CHP_CHPR!$Z$4:$Z$283,CHP_elecEFF!$X182)*Y182+Y182&lt;=$AC$1,"",Y182*$AC$1/(SUMIFS(CHP_CHPR!$AA$4:$AA$283,CHP_CHPR!$Y$4:$Y$283,CHP_elecEFF!$W182,CHP_CHPR!$Z$4:$Z$283,CHP_elecEFF!$X182)*Y182+Y182))</f>
        <v/>
      </c>
    </row>
    <row r="183" spans="26:27" x14ac:dyDescent="0.3">
      <c r="Z183">
        <v>0</v>
      </c>
      <c r="AA183" s="4" t="str">
        <f>IF(SUMIFS(CHP_CHPR!$AA$4:$AA$283,CHP_CHPR!$Y$4:$Y$283,CHP_elecEFF!$W183,CHP_CHPR!$Z$4:$Z$283,CHP_elecEFF!$X183)*Y183+Y183&lt;=$AC$1,"",Y183*$AC$1/(SUMIFS(CHP_CHPR!$AA$4:$AA$283,CHP_CHPR!$Y$4:$Y$283,CHP_elecEFF!$W183,CHP_CHPR!$Z$4:$Z$283,CHP_elecEFF!$X183)*Y183+Y183))</f>
        <v/>
      </c>
    </row>
    <row r="184" spans="26:27" x14ac:dyDescent="0.3">
      <c r="Z184">
        <v>0</v>
      </c>
      <c r="AA184" s="4" t="str">
        <f>IF(SUMIFS(CHP_CHPR!$AA$4:$AA$283,CHP_CHPR!$Y$4:$Y$283,CHP_elecEFF!$W184,CHP_CHPR!$Z$4:$Z$283,CHP_elecEFF!$X184)*Y184+Y184&lt;=$AC$1,"",Y184*$AC$1/(SUMIFS(CHP_CHPR!$AA$4:$AA$283,CHP_CHPR!$Y$4:$Y$283,CHP_elecEFF!$W184,CHP_CHPR!$Z$4:$Z$283,CHP_elecEFF!$X184)*Y184+Y184))</f>
        <v/>
      </c>
    </row>
    <row r="185" spans="26:27" x14ac:dyDescent="0.3">
      <c r="Z185">
        <v>0</v>
      </c>
      <c r="AA185" s="4" t="str">
        <f>IF(SUMIFS(CHP_CHPR!$AA$4:$AA$283,CHP_CHPR!$Y$4:$Y$283,CHP_elecEFF!$W185,CHP_CHPR!$Z$4:$Z$283,CHP_elecEFF!$X185)*Y185+Y185&lt;=$AC$1,"",Y185*$AC$1/(SUMIFS(CHP_CHPR!$AA$4:$AA$283,CHP_CHPR!$Y$4:$Y$283,CHP_elecEFF!$W185,CHP_CHPR!$Z$4:$Z$283,CHP_elecEFF!$X185)*Y185+Y185))</f>
        <v/>
      </c>
    </row>
    <row r="186" spans="26:27" x14ac:dyDescent="0.3">
      <c r="Z186">
        <v>0</v>
      </c>
      <c r="AA186" s="4" t="str">
        <f>IF(SUMIFS(CHP_CHPR!$AA$4:$AA$283,CHP_CHPR!$Y$4:$Y$283,CHP_elecEFF!$W186,CHP_CHPR!$Z$4:$Z$283,CHP_elecEFF!$X186)*Y186+Y186&lt;=$AC$1,"",Y186*$AC$1/(SUMIFS(CHP_CHPR!$AA$4:$AA$283,CHP_CHPR!$Y$4:$Y$283,CHP_elecEFF!$W186,CHP_CHPR!$Z$4:$Z$283,CHP_elecEFF!$X186)*Y186+Y186))</f>
        <v/>
      </c>
    </row>
    <row r="187" spans="26:27" x14ac:dyDescent="0.3">
      <c r="Z187">
        <v>0</v>
      </c>
      <c r="AA187" s="4" t="str">
        <f>IF(SUMIFS(CHP_CHPR!$AA$4:$AA$283,CHP_CHPR!$Y$4:$Y$283,CHP_elecEFF!$W187,CHP_CHPR!$Z$4:$Z$283,CHP_elecEFF!$X187)*Y187+Y187&lt;=$AC$1,"",Y187*$AC$1/(SUMIFS(CHP_CHPR!$AA$4:$AA$283,CHP_CHPR!$Y$4:$Y$283,CHP_elecEFF!$W187,CHP_CHPR!$Z$4:$Z$283,CHP_elecEFF!$X187)*Y187+Y187))</f>
        <v/>
      </c>
    </row>
    <row r="188" spans="26:27" x14ac:dyDescent="0.3">
      <c r="Z188">
        <v>0</v>
      </c>
      <c r="AA188" s="4" t="str">
        <f>IF(SUMIFS(CHP_CHPR!$AA$4:$AA$283,CHP_CHPR!$Y$4:$Y$283,CHP_elecEFF!$W188,CHP_CHPR!$Z$4:$Z$283,CHP_elecEFF!$X188)*Y188+Y188&lt;=$AC$1,"",Y188*$AC$1/(SUMIFS(CHP_CHPR!$AA$4:$AA$283,CHP_CHPR!$Y$4:$Y$283,CHP_elecEFF!$W188,CHP_CHPR!$Z$4:$Z$283,CHP_elecEFF!$X188)*Y188+Y188))</f>
        <v/>
      </c>
    </row>
    <row r="189" spans="26:27" x14ac:dyDescent="0.3">
      <c r="Z189">
        <v>0</v>
      </c>
      <c r="AA189" s="4" t="str">
        <f>IF(SUMIFS(CHP_CHPR!$AA$4:$AA$283,CHP_CHPR!$Y$4:$Y$283,CHP_elecEFF!$W189,CHP_CHPR!$Z$4:$Z$283,CHP_elecEFF!$X189)*Y189+Y189&lt;=$AC$1,"",Y189*$AC$1/(SUMIFS(CHP_CHPR!$AA$4:$AA$283,CHP_CHPR!$Y$4:$Y$283,CHP_elecEFF!$W189,CHP_CHPR!$Z$4:$Z$283,CHP_elecEFF!$X189)*Y189+Y189))</f>
        <v/>
      </c>
    </row>
    <row r="190" spans="26:27" x14ac:dyDescent="0.3">
      <c r="Z190">
        <v>0</v>
      </c>
      <c r="AA190" s="4" t="str">
        <f>IF(SUMIFS(CHP_CHPR!$AA$4:$AA$283,CHP_CHPR!$Y$4:$Y$283,CHP_elecEFF!$W190,CHP_CHPR!$Z$4:$Z$283,CHP_elecEFF!$X190)*Y190+Y190&lt;=$AC$1,"",Y190*$AC$1/(SUMIFS(CHP_CHPR!$AA$4:$AA$283,CHP_CHPR!$Y$4:$Y$283,CHP_elecEFF!$W190,CHP_CHPR!$Z$4:$Z$283,CHP_elecEFF!$X190)*Y190+Y190))</f>
        <v/>
      </c>
    </row>
    <row r="191" spans="26:27" x14ac:dyDescent="0.3">
      <c r="Z191">
        <v>0</v>
      </c>
      <c r="AA191" s="4" t="str">
        <f>IF(SUMIFS(CHP_CHPR!$AA$4:$AA$283,CHP_CHPR!$Y$4:$Y$283,CHP_elecEFF!$W191,CHP_CHPR!$Z$4:$Z$283,CHP_elecEFF!$X191)*Y191+Y191&lt;=$AC$1,"",Y191*$AC$1/(SUMIFS(CHP_CHPR!$AA$4:$AA$283,CHP_CHPR!$Y$4:$Y$283,CHP_elecEFF!$W191,CHP_CHPR!$Z$4:$Z$283,CHP_elecEFF!$X191)*Y191+Y191))</f>
        <v/>
      </c>
    </row>
    <row r="192" spans="26:27" x14ac:dyDescent="0.3">
      <c r="Z192">
        <v>0</v>
      </c>
      <c r="AA192" s="4" t="str">
        <f>IF(SUMIFS(CHP_CHPR!$AA$4:$AA$283,CHP_CHPR!$Y$4:$Y$283,CHP_elecEFF!$W192,CHP_CHPR!$Z$4:$Z$283,CHP_elecEFF!$X192)*Y192+Y192&lt;=$AC$1,"",Y192*$AC$1/(SUMIFS(CHP_CHPR!$AA$4:$AA$283,CHP_CHPR!$Y$4:$Y$283,CHP_elecEFF!$W192,CHP_CHPR!$Z$4:$Z$283,CHP_elecEFF!$X192)*Y192+Y192))</f>
        <v/>
      </c>
    </row>
    <row r="193" spans="26:27" x14ac:dyDescent="0.3">
      <c r="Z193">
        <v>0</v>
      </c>
      <c r="AA193" s="4" t="str">
        <f>IF(SUMIFS(CHP_CHPR!$AA$4:$AA$283,CHP_CHPR!$Y$4:$Y$283,CHP_elecEFF!$W193,CHP_CHPR!$Z$4:$Z$283,CHP_elecEFF!$X193)*Y193+Y193&lt;=$AC$1,"",Y193*$AC$1/(SUMIFS(CHP_CHPR!$AA$4:$AA$283,CHP_CHPR!$Y$4:$Y$283,CHP_elecEFF!$W193,CHP_CHPR!$Z$4:$Z$283,CHP_elecEFF!$X193)*Y193+Y193))</f>
        <v/>
      </c>
    </row>
    <row r="194" spans="26:27" x14ac:dyDescent="0.3">
      <c r="Z194">
        <v>0</v>
      </c>
      <c r="AA194" s="4" t="str">
        <f>IF(SUMIFS(CHP_CHPR!$AA$4:$AA$283,CHP_CHPR!$Y$4:$Y$283,CHP_elecEFF!$W194,CHP_CHPR!$Z$4:$Z$283,CHP_elecEFF!$X194)*Y194+Y194&lt;=$AC$1,"",Y194*$AC$1/(SUMIFS(CHP_CHPR!$AA$4:$AA$283,CHP_CHPR!$Y$4:$Y$283,CHP_elecEFF!$W194,CHP_CHPR!$Z$4:$Z$283,CHP_elecEFF!$X194)*Y194+Y194))</f>
        <v/>
      </c>
    </row>
    <row r="195" spans="26:27" x14ac:dyDescent="0.3">
      <c r="Z195">
        <v>0</v>
      </c>
      <c r="AA195" s="4" t="str">
        <f>IF(SUMIFS(CHP_CHPR!$AA$4:$AA$283,CHP_CHPR!$Y$4:$Y$283,CHP_elecEFF!$W195,CHP_CHPR!$Z$4:$Z$283,CHP_elecEFF!$X195)*Y195+Y195&lt;=$AC$1,"",Y195*$AC$1/(SUMIFS(CHP_CHPR!$AA$4:$AA$283,CHP_CHPR!$Y$4:$Y$283,CHP_elecEFF!$W195,CHP_CHPR!$Z$4:$Z$283,CHP_elecEFF!$X195)*Y195+Y195))</f>
        <v/>
      </c>
    </row>
    <row r="196" spans="26:27" x14ac:dyDescent="0.3">
      <c r="Z196">
        <v>0</v>
      </c>
      <c r="AA196" s="4" t="str">
        <f>IF(SUMIFS(CHP_CHPR!$AA$4:$AA$283,CHP_CHPR!$Y$4:$Y$283,CHP_elecEFF!$W196,CHP_CHPR!$Z$4:$Z$283,CHP_elecEFF!$X196)*Y196+Y196&lt;=$AC$1,"",Y196*$AC$1/(SUMIFS(CHP_CHPR!$AA$4:$AA$283,CHP_CHPR!$Y$4:$Y$283,CHP_elecEFF!$W196,CHP_CHPR!$Z$4:$Z$283,CHP_elecEFF!$X196)*Y196+Y196))</f>
        <v/>
      </c>
    </row>
    <row r="197" spans="26:27" x14ac:dyDescent="0.3">
      <c r="Z197">
        <v>0</v>
      </c>
      <c r="AA197" s="4" t="str">
        <f>IF(SUMIFS(CHP_CHPR!$AA$4:$AA$283,CHP_CHPR!$Y$4:$Y$283,CHP_elecEFF!$W197,CHP_CHPR!$Z$4:$Z$283,CHP_elecEFF!$X197)*Y197+Y197&lt;=$AC$1,"",Y197*$AC$1/(SUMIFS(CHP_CHPR!$AA$4:$AA$283,CHP_CHPR!$Y$4:$Y$283,CHP_elecEFF!$W197,CHP_CHPR!$Z$4:$Z$283,CHP_elecEFF!$X197)*Y197+Y197))</f>
        <v/>
      </c>
    </row>
    <row r="198" spans="26:27" x14ac:dyDescent="0.3">
      <c r="Z198">
        <v>0</v>
      </c>
      <c r="AA198" s="4" t="str">
        <f>IF(SUMIFS(CHP_CHPR!$AA$4:$AA$283,CHP_CHPR!$Y$4:$Y$283,CHP_elecEFF!$W198,CHP_CHPR!$Z$4:$Z$283,CHP_elecEFF!$X198)*Y198+Y198&lt;=$AC$1,"",Y198*$AC$1/(SUMIFS(CHP_CHPR!$AA$4:$AA$283,CHP_CHPR!$Y$4:$Y$283,CHP_elecEFF!$W198,CHP_CHPR!$Z$4:$Z$283,CHP_elecEFF!$X198)*Y198+Y198))</f>
        <v/>
      </c>
    </row>
    <row r="199" spans="26:27" x14ac:dyDescent="0.3">
      <c r="Z199">
        <v>0</v>
      </c>
      <c r="AA199" s="4" t="str">
        <f>IF(SUMIFS(CHP_CHPR!$AA$4:$AA$283,CHP_CHPR!$Y$4:$Y$283,CHP_elecEFF!$W199,CHP_CHPR!$Z$4:$Z$283,CHP_elecEFF!$X199)*Y199+Y199&lt;=$AC$1,"",Y199*$AC$1/(SUMIFS(CHP_CHPR!$AA$4:$AA$283,CHP_CHPR!$Y$4:$Y$283,CHP_elecEFF!$W199,CHP_CHPR!$Z$4:$Z$283,CHP_elecEFF!$X199)*Y199+Y199))</f>
        <v/>
      </c>
    </row>
    <row r="200" spans="26:27" x14ac:dyDescent="0.3">
      <c r="Z200">
        <v>0</v>
      </c>
      <c r="AA200" s="4" t="str">
        <f>IF(SUMIFS(CHP_CHPR!$AA$4:$AA$283,CHP_CHPR!$Y$4:$Y$283,CHP_elecEFF!$W200,CHP_CHPR!$Z$4:$Z$283,CHP_elecEFF!$X200)*Y200+Y200&lt;=$AC$1,"",Y200*$AC$1/(SUMIFS(CHP_CHPR!$AA$4:$AA$283,CHP_CHPR!$Y$4:$Y$283,CHP_elecEFF!$W200,CHP_CHPR!$Z$4:$Z$283,CHP_elecEFF!$X200)*Y200+Y200))</f>
        <v/>
      </c>
    </row>
    <row r="201" spans="26:27" x14ac:dyDescent="0.3">
      <c r="Z201">
        <v>0</v>
      </c>
      <c r="AA201" s="4" t="str">
        <f>IF(SUMIFS(CHP_CHPR!$AA$4:$AA$283,CHP_CHPR!$Y$4:$Y$283,CHP_elecEFF!$W201,CHP_CHPR!$Z$4:$Z$283,CHP_elecEFF!$X201)*Y201+Y201&lt;=$AC$1,"",Y201*$AC$1/(SUMIFS(CHP_CHPR!$AA$4:$AA$283,CHP_CHPR!$Y$4:$Y$283,CHP_elecEFF!$W201,CHP_CHPR!$Z$4:$Z$283,CHP_elecEFF!$X201)*Y201+Y201))</f>
        <v/>
      </c>
    </row>
    <row r="202" spans="26:27" x14ac:dyDescent="0.3">
      <c r="Z202">
        <v>0</v>
      </c>
      <c r="AA202" s="4" t="str">
        <f>IF(SUMIFS(CHP_CHPR!$AA$4:$AA$283,CHP_CHPR!$Y$4:$Y$283,CHP_elecEFF!$W202,CHP_CHPR!$Z$4:$Z$283,CHP_elecEFF!$X202)*Y202+Y202&lt;=$AC$1,"",Y202*$AC$1/(SUMIFS(CHP_CHPR!$AA$4:$AA$283,CHP_CHPR!$Y$4:$Y$283,CHP_elecEFF!$W202,CHP_CHPR!$Z$4:$Z$283,CHP_elecEFF!$X202)*Y202+Y202))</f>
        <v/>
      </c>
    </row>
    <row r="203" spans="26:27" x14ac:dyDescent="0.3">
      <c r="Z203">
        <v>0</v>
      </c>
      <c r="AA203" s="4" t="str">
        <f>IF(SUMIFS(CHP_CHPR!$AA$4:$AA$283,CHP_CHPR!$Y$4:$Y$283,CHP_elecEFF!$W203,CHP_CHPR!$Z$4:$Z$283,CHP_elecEFF!$X203)*Y203+Y203&lt;=$AC$1,"",Y203*$AC$1/(SUMIFS(CHP_CHPR!$AA$4:$AA$283,CHP_CHPR!$Y$4:$Y$283,CHP_elecEFF!$W203,CHP_CHPR!$Z$4:$Z$283,CHP_elecEFF!$X203)*Y203+Y203))</f>
        <v/>
      </c>
    </row>
    <row r="204" spans="26:27" x14ac:dyDescent="0.3">
      <c r="Z204">
        <v>0</v>
      </c>
      <c r="AA204" s="4" t="str">
        <f>IF(SUMIFS(CHP_CHPR!$AA$4:$AA$283,CHP_CHPR!$Y$4:$Y$283,CHP_elecEFF!$W204,CHP_CHPR!$Z$4:$Z$283,CHP_elecEFF!$X204)*Y204+Y204&lt;=$AC$1,"",Y204*$AC$1/(SUMIFS(CHP_CHPR!$AA$4:$AA$283,CHP_CHPR!$Y$4:$Y$283,CHP_elecEFF!$W204,CHP_CHPR!$Z$4:$Z$283,CHP_elecEFF!$X204)*Y204+Y204))</f>
        <v/>
      </c>
    </row>
    <row r="205" spans="26:27" x14ac:dyDescent="0.3">
      <c r="Z205">
        <v>0</v>
      </c>
      <c r="AA205" s="4" t="str">
        <f>IF(SUMIFS(CHP_CHPR!$AA$4:$AA$283,CHP_CHPR!$Y$4:$Y$283,CHP_elecEFF!$W205,CHP_CHPR!$Z$4:$Z$283,CHP_elecEFF!$X205)*Y205+Y205&lt;=$AC$1,"",Y205*$AC$1/(SUMIFS(CHP_CHPR!$AA$4:$AA$283,CHP_CHPR!$Y$4:$Y$283,CHP_elecEFF!$W205,CHP_CHPR!$Z$4:$Z$283,CHP_elecEFF!$X205)*Y205+Y205))</f>
        <v/>
      </c>
    </row>
    <row r="206" spans="26:27" x14ac:dyDescent="0.3">
      <c r="Z206">
        <v>0</v>
      </c>
      <c r="AA206" s="4" t="str">
        <f>IF(SUMIFS(CHP_CHPR!$AA$4:$AA$283,CHP_CHPR!$Y$4:$Y$283,CHP_elecEFF!$W206,CHP_CHPR!$Z$4:$Z$283,CHP_elecEFF!$X206)*Y206+Y206&lt;=$AC$1,"",Y206*$AC$1/(SUMIFS(CHP_CHPR!$AA$4:$AA$283,CHP_CHPR!$Y$4:$Y$283,CHP_elecEFF!$W206,CHP_CHPR!$Z$4:$Z$283,CHP_elecEFF!$X206)*Y206+Y206))</f>
        <v/>
      </c>
    </row>
    <row r="207" spans="26:27" x14ac:dyDescent="0.3">
      <c r="Z207">
        <v>0</v>
      </c>
      <c r="AA207" s="4" t="str">
        <f>IF(SUMIFS(CHP_CHPR!$AA$4:$AA$283,CHP_CHPR!$Y$4:$Y$283,CHP_elecEFF!$W207,CHP_CHPR!$Z$4:$Z$283,CHP_elecEFF!$X207)*Y207+Y207&lt;=$AC$1,"",Y207*$AC$1/(SUMIFS(CHP_CHPR!$AA$4:$AA$283,CHP_CHPR!$Y$4:$Y$283,CHP_elecEFF!$W207,CHP_CHPR!$Z$4:$Z$283,CHP_elecEFF!$X207)*Y207+Y207))</f>
        <v/>
      </c>
    </row>
    <row r="208" spans="26:27" x14ac:dyDescent="0.3">
      <c r="Z208">
        <v>0</v>
      </c>
      <c r="AA208" s="4" t="str">
        <f>IF(SUMIFS(CHP_CHPR!$AA$4:$AA$283,CHP_CHPR!$Y$4:$Y$283,CHP_elecEFF!$W208,CHP_CHPR!$Z$4:$Z$283,CHP_elecEFF!$X208)*Y208+Y208&lt;=$AC$1,"",Y208*$AC$1/(SUMIFS(CHP_CHPR!$AA$4:$AA$283,CHP_CHPR!$Y$4:$Y$283,CHP_elecEFF!$W208,CHP_CHPR!$Z$4:$Z$283,CHP_elecEFF!$X208)*Y208+Y208))</f>
        <v/>
      </c>
    </row>
    <row r="209" spans="26:27" x14ac:dyDescent="0.3">
      <c r="Z209">
        <v>0</v>
      </c>
      <c r="AA209" s="4" t="str">
        <f>IF(SUMIFS(CHP_CHPR!$AA$4:$AA$283,CHP_CHPR!$Y$4:$Y$283,CHP_elecEFF!$W209,CHP_CHPR!$Z$4:$Z$283,CHP_elecEFF!$X209)*Y209+Y209&lt;=$AC$1,"",Y209*$AC$1/(SUMIFS(CHP_CHPR!$AA$4:$AA$283,CHP_CHPR!$Y$4:$Y$283,CHP_elecEFF!$W209,CHP_CHPR!$Z$4:$Z$283,CHP_elecEFF!$X209)*Y209+Y209))</f>
        <v/>
      </c>
    </row>
    <row r="210" spans="26:27" x14ac:dyDescent="0.3">
      <c r="Z210">
        <v>0</v>
      </c>
      <c r="AA210" s="4" t="str">
        <f>IF(SUMIFS(CHP_CHPR!$AA$4:$AA$283,CHP_CHPR!$Y$4:$Y$283,CHP_elecEFF!$W210,CHP_CHPR!$Z$4:$Z$283,CHP_elecEFF!$X210)*Y210+Y210&lt;=$AC$1,"",Y210*$AC$1/(SUMIFS(CHP_CHPR!$AA$4:$AA$283,CHP_CHPR!$Y$4:$Y$283,CHP_elecEFF!$W210,CHP_CHPR!$Z$4:$Z$283,CHP_elecEFF!$X210)*Y210+Y210))</f>
        <v/>
      </c>
    </row>
    <row r="211" spans="26:27" x14ac:dyDescent="0.3">
      <c r="Z211">
        <v>0</v>
      </c>
      <c r="AA211" s="4" t="str">
        <f>IF(SUMIFS(CHP_CHPR!$AA$4:$AA$283,CHP_CHPR!$Y$4:$Y$283,CHP_elecEFF!$W211,CHP_CHPR!$Z$4:$Z$283,CHP_elecEFF!$X211)*Y211+Y211&lt;=$AC$1,"",Y211*$AC$1/(SUMIFS(CHP_CHPR!$AA$4:$AA$283,CHP_CHPR!$Y$4:$Y$283,CHP_elecEFF!$W211,CHP_CHPR!$Z$4:$Z$283,CHP_elecEFF!$X211)*Y211+Y211))</f>
        <v/>
      </c>
    </row>
    <row r="212" spans="26:27" x14ac:dyDescent="0.3">
      <c r="Z212">
        <v>0</v>
      </c>
      <c r="AA212" s="4" t="str">
        <f>IF(SUMIFS(CHP_CHPR!$AA$4:$AA$283,CHP_CHPR!$Y$4:$Y$283,CHP_elecEFF!$W212,CHP_CHPR!$Z$4:$Z$283,CHP_elecEFF!$X212)*Y212+Y212&lt;=$AC$1,"",Y212*$AC$1/(SUMIFS(CHP_CHPR!$AA$4:$AA$283,CHP_CHPR!$Y$4:$Y$283,CHP_elecEFF!$W212,CHP_CHPR!$Z$4:$Z$283,CHP_elecEFF!$X212)*Y212+Y212))</f>
        <v/>
      </c>
    </row>
    <row r="213" spans="26:27" x14ac:dyDescent="0.3">
      <c r="Z213">
        <v>0</v>
      </c>
      <c r="AA213" s="4" t="str">
        <f>IF(SUMIFS(CHP_CHPR!$AA$4:$AA$283,CHP_CHPR!$Y$4:$Y$283,CHP_elecEFF!$W213,CHP_CHPR!$Z$4:$Z$283,CHP_elecEFF!$X213)*Y213+Y213&lt;=$AC$1,"",Y213*$AC$1/(SUMIFS(CHP_CHPR!$AA$4:$AA$283,CHP_CHPR!$Y$4:$Y$283,CHP_elecEFF!$W213,CHP_CHPR!$Z$4:$Z$283,CHP_elecEFF!$X213)*Y213+Y213))</f>
        <v/>
      </c>
    </row>
    <row r="214" spans="26:27" x14ac:dyDescent="0.3">
      <c r="Z214">
        <v>0</v>
      </c>
      <c r="AA214" s="4" t="str">
        <f>IF(SUMIFS(CHP_CHPR!$AA$4:$AA$283,CHP_CHPR!$Y$4:$Y$283,CHP_elecEFF!$W214,CHP_CHPR!$Z$4:$Z$283,CHP_elecEFF!$X214)*Y214+Y214&lt;=$AC$1,"",Y214*$AC$1/(SUMIFS(CHP_CHPR!$AA$4:$AA$283,CHP_CHPR!$Y$4:$Y$283,CHP_elecEFF!$W214,CHP_CHPR!$Z$4:$Z$283,CHP_elecEFF!$X214)*Y214+Y214))</f>
        <v/>
      </c>
    </row>
    <row r="215" spans="26:27" x14ac:dyDescent="0.3">
      <c r="Z215">
        <v>0</v>
      </c>
      <c r="AA215" s="4" t="str">
        <f>IF(SUMIFS(CHP_CHPR!$AA$4:$AA$283,CHP_CHPR!$Y$4:$Y$283,CHP_elecEFF!$W215,CHP_CHPR!$Z$4:$Z$283,CHP_elecEFF!$X215)*Y215+Y215&lt;=$AC$1,"",Y215*$AC$1/(SUMIFS(CHP_CHPR!$AA$4:$AA$283,CHP_CHPR!$Y$4:$Y$283,CHP_elecEFF!$W215,CHP_CHPR!$Z$4:$Z$283,CHP_elecEFF!$X215)*Y215+Y215))</f>
        <v/>
      </c>
    </row>
    <row r="216" spans="26:27" x14ac:dyDescent="0.3">
      <c r="Z216">
        <v>0</v>
      </c>
      <c r="AA216" s="4" t="str">
        <f>IF(SUMIFS(CHP_CHPR!$AA$4:$AA$283,CHP_CHPR!$Y$4:$Y$283,CHP_elecEFF!$W216,CHP_CHPR!$Z$4:$Z$283,CHP_elecEFF!$X216)*Y216+Y216&lt;=$AC$1,"",Y216*$AC$1/(SUMIFS(CHP_CHPR!$AA$4:$AA$283,CHP_CHPR!$Y$4:$Y$283,CHP_elecEFF!$W216,CHP_CHPR!$Z$4:$Z$283,CHP_elecEFF!$X216)*Y216+Y216))</f>
        <v/>
      </c>
    </row>
    <row r="217" spans="26:27" x14ac:dyDescent="0.3">
      <c r="Z217">
        <v>0</v>
      </c>
      <c r="AA217" s="4" t="str">
        <f>IF(SUMIFS(CHP_CHPR!$AA$4:$AA$283,CHP_CHPR!$Y$4:$Y$283,CHP_elecEFF!$W217,CHP_CHPR!$Z$4:$Z$283,CHP_elecEFF!$X217)*Y217+Y217&lt;=$AC$1,"",Y217*$AC$1/(SUMIFS(CHP_CHPR!$AA$4:$AA$283,CHP_CHPR!$Y$4:$Y$283,CHP_elecEFF!$W217,CHP_CHPR!$Z$4:$Z$283,CHP_elecEFF!$X217)*Y217+Y217))</f>
        <v/>
      </c>
    </row>
    <row r="218" spans="26:27" x14ac:dyDescent="0.3">
      <c r="Z218">
        <v>0</v>
      </c>
      <c r="AA218" s="4" t="str">
        <f>IF(SUMIFS(CHP_CHPR!$AA$4:$AA$283,CHP_CHPR!$Y$4:$Y$283,CHP_elecEFF!$W218,CHP_CHPR!$Z$4:$Z$283,CHP_elecEFF!$X218)*Y218+Y218&lt;=$AC$1,"",Y218*$AC$1/(SUMIFS(CHP_CHPR!$AA$4:$AA$283,CHP_CHPR!$Y$4:$Y$283,CHP_elecEFF!$W218,CHP_CHPR!$Z$4:$Z$283,CHP_elecEFF!$X218)*Y218+Y218))</f>
        <v/>
      </c>
    </row>
    <row r="219" spans="26:27" x14ac:dyDescent="0.3">
      <c r="Z219">
        <v>0</v>
      </c>
      <c r="AA219" s="4" t="str">
        <f>IF(SUMIFS(CHP_CHPR!$AA$4:$AA$283,CHP_CHPR!$Y$4:$Y$283,CHP_elecEFF!$W219,CHP_CHPR!$Z$4:$Z$283,CHP_elecEFF!$X219)*Y219+Y219&lt;=$AC$1,"",Y219*$AC$1/(SUMIFS(CHP_CHPR!$AA$4:$AA$283,CHP_CHPR!$Y$4:$Y$283,CHP_elecEFF!$W219,CHP_CHPR!$Z$4:$Z$283,CHP_elecEFF!$X219)*Y219+Y219))</f>
        <v/>
      </c>
    </row>
    <row r="220" spans="26:27" x14ac:dyDescent="0.3">
      <c r="Z220">
        <v>0</v>
      </c>
      <c r="AA220" s="4" t="str">
        <f>IF(SUMIFS(CHP_CHPR!$AA$4:$AA$283,CHP_CHPR!$Y$4:$Y$283,CHP_elecEFF!$W220,CHP_CHPR!$Z$4:$Z$283,CHP_elecEFF!$X220)*Y220+Y220&lt;=$AC$1,"",Y220*$AC$1/(SUMIFS(CHP_CHPR!$AA$4:$AA$283,CHP_CHPR!$Y$4:$Y$283,CHP_elecEFF!$W220,CHP_CHPR!$Z$4:$Z$283,CHP_elecEFF!$X220)*Y220+Y220))</f>
        <v/>
      </c>
    </row>
    <row r="221" spans="26:27" x14ac:dyDescent="0.3">
      <c r="Z221">
        <v>0</v>
      </c>
      <c r="AA221" s="4" t="str">
        <f>IF(SUMIFS(CHP_CHPR!$AA$4:$AA$283,CHP_CHPR!$Y$4:$Y$283,CHP_elecEFF!$W221,CHP_CHPR!$Z$4:$Z$283,CHP_elecEFF!$X221)*Y221+Y221&lt;=$AC$1,"",Y221*$AC$1/(SUMIFS(CHP_CHPR!$AA$4:$AA$283,CHP_CHPR!$Y$4:$Y$283,CHP_elecEFF!$W221,CHP_CHPR!$Z$4:$Z$283,CHP_elecEFF!$X221)*Y221+Y221))</f>
        <v/>
      </c>
    </row>
    <row r="222" spans="26:27" x14ac:dyDescent="0.3">
      <c r="Z222">
        <v>0</v>
      </c>
      <c r="AA222" s="4" t="str">
        <f>IF(SUMIFS(CHP_CHPR!$AA$4:$AA$283,CHP_CHPR!$Y$4:$Y$283,CHP_elecEFF!$W222,CHP_CHPR!$Z$4:$Z$283,CHP_elecEFF!$X222)*Y222+Y222&lt;=$AC$1,"",Y222*$AC$1/(SUMIFS(CHP_CHPR!$AA$4:$AA$283,CHP_CHPR!$Y$4:$Y$283,CHP_elecEFF!$W222,CHP_CHPR!$Z$4:$Z$283,CHP_elecEFF!$X222)*Y222+Y222))</f>
        <v/>
      </c>
    </row>
    <row r="223" spans="26:27" x14ac:dyDescent="0.3">
      <c r="Z223">
        <v>0</v>
      </c>
      <c r="AA223" s="4" t="str">
        <f>IF(SUMIFS(CHP_CHPR!$AA$4:$AA$283,CHP_CHPR!$Y$4:$Y$283,CHP_elecEFF!$W223,CHP_CHPR!$Z$4:$Z$283,CHP_elecEFF!$X223)*Y223+Y223&lt;=$AC$1,"",Y223*$AC$1/(SUMIFS(CHP_CHPR!$AA$4:$AA$283,CHP_CHPR!$Y$4:$Y$283,CHP_elecEFF!$W223,CHP_CHPR!$Z$4:$Z$283,CHP_elecEFF!$X223)*Y223+Y223))</f>
        <v/>
      </c>
    </row>
    <row r="224" spans="26:27" x14ac:dyDescent="0.3">
      <c r="Z224">
        <v>0</v>
      </c>
      <c r="AA224" s="4" t="str">
        <f>IF(SUMIFS(CHP_CHPR!$AA$4:$AA$283,CHP_CHPR!$Y$4:$Y$283,CHP_elecEFF!$W224,CHP_CHPR!$Z$4:$Z$283,CHP_elecEFF!$X224)*Y224+Y224&lt;=$AC$1,"",Y224*$AC$1/(SUMIFS(CHP_CHPR!$AA$4:$AA$283,CHP_CHPR!$Y$4:$Y$283,CHP_elecEFF!$W224,CHP_CHPR!$Z$4:$Z$283,CHP_elecEFF!$X224)*Y224+Y224))</f>
        <v/>
      </c>
    </row>
    <row r="225" spans="26:27" x14ac:dyDescent="0.3">
      <c r="Z225">
        <v>0</v>
      </c>
      <c r="AA225" s="4" t="str">
        <f>IF(SUMIFS(CHP_CHPR!$AA$4:$AA$283,CHP_CHPR!$Y$4:$Y$283,CHP_elecEFF!$W225,CHP_CHPR!$Z$4:$Z$283,CHP_elecEFF!$X225)*Y225+Y225&lt;=$AC$1,"",Y225*$AC$1/(SUMIFS(CHP_CHPR!$AA$4:$AA$283,CHP_CHPR!$Y$4:$Y$283,CHP_elecEFF!$W225,CHP_CHPR!$Z$4:$Z$283,CHP_elecEFF!$X225)*Y225+Y225))</f>
        <v/>
      </c>
    </row>
    <row r="226" spans="26:27" x14ac:dyDescent="0.3">
      <c r="Z226">
        <v>0</v>
      </c>
      <c r="AA226" s="4" t="str">
        <f>IF(SUMIFS(CHP_CHPR!$AA$4:$AA$283,CHP_CHPR!$Y$4:$Y$283,CHP_elecEFF!$W226,CHP_CHPR!$Z$4:$Z$283,CHP_elecEFF!$X226)*Y226+Y226&lt;=$AC$1,"",Y226*$AC$1/(SUMIFS(CHP_CHPR!$AA$4:$AA$283,CHP_CHPR!$Y$4:$Y$283,CHP_elecEFF!$W226,CHP_CHPR!$Z$4:$Z$283,CHP_elecEFF!$X226)*Y226+Y226))</f>
        <v/>
      </c>
    </row>
    <row r="227" spans="26:27" x14ac:dyDescent="0.3">
      <c r="Z227">
        <v>0</v>
      </c>
      <c r="AA227" s="4" t="str">
        <f>IF(SUMIFS(CHP_CHPR!$AA$4:$AA$283,CHP_CHPR!$Y$4:$Y$283,CHP_elecEFF!$W227,CHP_CHPR!$Z$4:$Z$283,CHP_elecEFF!$X227)*Y227+Y227&lt;=$AC$1,"",Y227*$AC$1/(SUMIFS(CHP_CHPR!$AA$4:$AA$283,CHP_CHPR!$Y$4:$Y$283,CHP_elecEFF!$W227,CHP_CHPR!$Z$4:$Z$283,CHP_elecEFF!$X227)*Y227+Y227))</f>
        <v/>
      </c>
    </row>
    <row r="228" spans="26:27" x14ac:dyDescent="0.3">
      <c r="Z228">
        <v>0</v>
      </c>
      <c r="AA228" s="4" t="str">
        <f>IF(SUMIFS(CHP_CHPR!$AA$4:$AA$283,CHP_CHPR!$Y$4:$Y$283,CHP_elecEFF!$W228,CHP_CHPR!$Z$4:$Z$283,CHP_elecEFF!$X228)*Y228+Y228&lt;=$AC$1,"",Y228*$AC$1/(SUMIFS(CHP_CHPR!$AA$4:$AA$283,CHP_CHPR!$Y$4:$Y$283,CHP_elecEFF!$W228,CHP_CHPR!$Z$4:$Z$283,CHP_elecEFF!$X228)*Y228+Y228))</f>
        <v/>
      </c>
    </row>
    <row r="229" spans="26:27" x14ac:dyDescent="0.3">
      <c r="Z229">
        <v>0</v>
      </c>
      <c r="AA229" s="4" t="str">
        <f>IF(SUMIFS(CHP_CHPR!$AA$4:$AA$283,CHP_CHPR!$Y$4:$Y$283,CHP_elecEFF!$W229,CHP_CHPR!$Z$4:$Z$283,CHP_elecEFF!$X229)*Y229+Y229&lt;=$AC$1,"",Y229*$AC$1/(SUMIFS(CHP_CHPR!$AA$4:$AA$283,CHP_CHPR!$Y$4:$Y$283,CHP_elecEFF!$W229,CHP_CHPR!$Z$4:$Z$283,CHP_elecEFF!$X229)*Y229+Y229))</f>
        <v/>
      </c>
    </row>
    <row r="230" spans="26:27" x14ac:dyDescent="0.3">
      <c r="Z230">
        <v>0</v>
      </c>
      <c r="AA230" s="4" t="str">
        <f>IF(SUMIFS(CHP_CHPR!$AA$4:$AA$283,CHP_CHPR!$Y$4:$Y$283,CHP_elecEFF!$W230,CHP_CHPR!$Z$4:$Z$283,CHP_elecEFF!$X230)*Y230+Y230&lt;=$AC$1,"",Y230*$AC$1/(SUMIFS(CHP_CHPR!$AA$4:$AA$283,CHP_CHPR!$Y$4:$Y$283,CHP_elecEFF!$W230,CHP_CHPR!$Z$4:$Z$283,CHP_elecEFF!$X230)*Y230+Y230))</f>
        <v/>
      </c>
    </row>
    <row r="231" spans="26:27" x14ac:dyDescent="0.3">
      <c r="Z231">
        <v>0</v>
      </c>
      <c r="AA231" s="4" t="str">
        <f>IF(SUMIFS(CHP_CHPR!$AA$4:$AA$283,CHP_CHPR!$Y$4:$Y$283,CHP_elecEFF!$W231,CHP_CHPR!$Z$4:$Z$283,CHP_elecEFF!$X231)*Y231+Y231&lt;=$AC$1,"",Y231*$AC$1/(SUMIFS(CHP_CHPR!$AA$4:$AA$283,CHP_CHPR!$Y$4:$Y$283,CHP_elecEFF!$W231,CHP_CHPR!$Z$4:$Z$283,CHP_elecEFF!$X231)*Y231+Y231))</f>
        <v/>
      </c>
    </row>
    <row r="232" spans="26:27" x14ac:dyDescent="0.3">
      <c r="Z232">
        <v>0</v>
      </c>
      <c r="AA232" s="4" t="str">
        <f>IF(SUMIFS(CHP_CHPR!$AA$4:$AA$283,CHP_CHPR!$Y$4:$Y$283,CHP_elecEFF!$W232,CHP_CHPR!$Z$4:$Z$283,CHP_elecEFF!$X232)*Y232+Y232&lt;=$AC$1,"",Y232*$AC$1/(SUMIFS(CHP_CHPR!$AA$4:$AA$283,CHP_CHPR!$Y$4:$Y$283,CHP_elecEFF!$W232,CHP_CHPR!$Z$4:$Z$283,CHP_elecEFF!$X232)*Y232+Y232))</f>
        <v/>
      </c>
    </row>
    <row r="233" spans="26:27" x14ac:dyDescent="0.3">
      <c r="Z233">
        <v>0</v>
      </c>
      <c r="AA233" s="4" t="str">
        <f>IF(SUMIFS(CHP_CHPR!$AA$4:$AA$283,CHP_CHPR!$Y$4:$Y$283,CHP_elecEFF!$W233,CHP_CHPR!$Z$4:$Z$283,CHP_elecEFF!$X233)*Y233+Y233&lt;=$AC$1,"",Y233*$AC$1/(SUMIFS(CHP_CHPR!$AA$4:$AA$283,CHP_CHPR!$Y$4:$Y$283,CHP_elecEFF!$W233,CHP_CHPR!$Z$4:$Z$283,CHP_elecEFF!$X233)*Y233+Y233))</f>
        <v/>
      </c>
    </row>
    <row r="234" spans="26:27" x14ac:dyDescent="0.3">
      <c r="Z234">
        <v>0</v>
      </c>
      <c r="AA234" s="4" t="str">
        <f>IF(SUMIFS(CHP_CHPR!$AA$4:$AA$283,CHP_CHPR!$Y$4:$Y$283,CHP_elecEFF!$W234,CHP_CHPR!$Z$4:$Z$283,CHP_elecEFF!$X234)*Y234+Y234&lt;=$AC$1,"",Y234*$AC$1/(SUMIFS(CHP_CHPR!$AA$4:$AA$283,CHP_CHPR!$Y$4:$Y$283,CHP_elecEFF!$W234,CHP_CHPR!$Z$4:$Z$283,CHP_elecEFF!$X234)*Y234+Y234))</f>
        <v/>
      </c>
    </row>
    <row r="235" spans="26:27" x14ac:dyDescent="0.3">
      <c r="Z235">
        <v>0</v>
      </c>
      <c r="AA235" s="4" t="str">
        <f>IF(SUMIFS(CHP_CHPR!$AA$4:$AA$283,CHP_CHPR!$Y$4:$Y$283,CHP_elecEFF!$W235,CHP_CHPR!$Z$4:$Z$283,CHP_elecEFF!$X235)*Y235+Y235&lt;=$AC$1,"",Y235*$AC$1/(SUMIFS(CHP_CHPR!$AA$4:$AA$283,CHP_CHPR!$Y$4:$Y$283,CHP_elecEFF!$W235,CHP_CHPR!$Z$4:$Z$283,CHP_elecEFF!$X235)*Y235+Y235))</f>
        <v/>
      </c>
    </row>
    <row r="236" spans="26:27" x14ac:dyDescent="0.3">
      <c r="Z236">
        <v>0</v>
      </c>
      <c r="AA236" s="4" t="str">
        <f>IF(SUMIFS(CHP_CHPR!$AA$4:$AA$283,CHP_CHPR!$Y$4:$Y$283,CHP_elecEFF!$W236,CHP_CHPR!$Z$4:$Z$283,CHP_elecEFF!$X236)*Y236+Y236&lt;=$AC$1,"",Y236*$AC$1/(SUMIFS(CHP_CHPR!$AA$4:$AA$283,CHP_CHPR!$Y$4:$Y$283,CHP_elecEFF!$W236,CHP_CHPR!$Z$4:$Z$283,CHP_elecEFF!$X236)*Y236+Y236))</f>
        <v/>
      </c>
    </row>
    <row r="237" spans="26:27" x14ac:dyDescent="0.3">
      <c r="Z237">
        <v>0</v>
      </c>
      <c r="AA237" s="4" t="str">
        <f>IF(SUMIFS(CHP_CHPR!$AA$4:$AA$283,CHP_CHPR!$Y$4:$Y$283,CHP_elecEFF!$W237,CHP_CHPR!$Z$4:$Z$283,CHP_elecEFF!$X237)*Y237+Y237&lt;=$AC$1,"",Y237*$AC$1/(SUMIFS(CHP_CHPR!$AA$4:$AA$283,CHP_CHPR!$Y$4:$Y$283,CHP_elecEFF!$W237,CHP_CHPR!$Z$4:$Z$283,CHP_elecEFF!$X237)*Y237+Y237))</f>
        <v/>
      </c>
    </row>
    <row r="238" spans="26:27" x14ac:dyDescent="0.3">
      <c r="Z238">
        <v>0</v>
      </c>
      <c r="AA238" s="4" t="str">
        <f>IF(SUMIFS(CHP_CHPR!$AA$4:$AA$283,CHP_CHPR!$Y$4:$Y$283,CHP_elecEFF!$W238,CHP_CHPR!$Z$4:$Z$283,CHP_elecEFF!$X238)*Y238+Y238&lt;=$AC$1,"",Y238*$AC$1/(SUMIFS(CHP_CHPR!$AA$4:$AA$283,CHP_CHPR!$Y$4:$Y$283,CHP_elecEFF!$W238,CHP_CHPR!$Z$4:$Z$283,CHP_elecEFF!$X238)*Y238+Y238))</f>
        <v/>
      </c>
    </row>
    <row r="239" spans="26:27" x14ac:dyDescent="0.3">
      <c r="Z239">
        <v>0</v>
      </c>
      <c r="AA239" s="4" t="str">
        <f>IF(SUMIFS(CHP_CHPR!$AA$4:$AA$283,CHP_CHPR!$Y$4:$Y$283,CHP_elecEFF!$W239,CHP_CHPR!$Z$4:$Z$283,CHP_elecEFF!$X239)*Y239+Y239&lt;=$AC$1,"",Y239*$AC$1/(SUMIFS(CHP_CHPR!$AA$4:$AA$283,CHP_CHPR!$Y$4:$Y$283,CHP_elecEFF!$W239,CHP_CHPR!$Z$4:$Z$283,CHP_elecEFF!$X239)*Y239+Y239))</f>
        <v/>
      </c>
    </row>
    <row r="240" spans="26:27" x14ac:dyDescent="0.3">
      <c r="Z240">
        <v>0</v>
      </c>
      <c r="AA240" s="4" t="str">
        <f>IF(SUMIFS(CHP_CHPR!$AA$4:$AA$283,CHP_CHPR!$Y$4:$Y$283,CHP_elecEFF!$W240,CHP_CHPR!$Z$4:$Z$283,CHP_elecEFF!$X240)*Y240+Y240&lt;=$AC$1,"",Y240*$AC$1/(SUMIFS(CHP_CHPR!$AA$4:$AA$283,CHP_CHPR!$Y$4:$Y$283,CHP_elecEFF!$W240,CHP_CHPR!$Z$4:$Z$283,CHP_elecEFF!$X240)*Y240+Y240))</f>
        <v/>
      </c>
    </row>
    <row r="241" spans="26:27" x14ac:dyDescent="0.3">
      <c r="Z241">
        <v>0</v>
      </c>
      <c r="AA241" s="4" t="str">
        <f>IF(SUMIFS(CHP_CHPR!$AA$4:$AA$283,CHP_CHPR!$Y$4:$Y$283,CHP_elecEFF!$W241,CHP_CHPR!$Z$4:$Z$283,CHP_elecEFF!$X241)*Y241+Y241&lt;=$AC$1,"",Y241*$AC$1/(SUMIFS(CHP_CHPR!$AA$4:$AA$283,CHP_CHPR!$Y$4:$Y$283,CHP_elecEFF!$W241,CHP_CHPR!$Z$4:$Z$283,CHP_elecEFF!$X241)*Y241+Y241))</f>
        <v/>
      </c>
    </row>
    <row r="242" spans="26:27" x14ac:dyDescent="0.3">
      <c r="Z242">
        <v>0</v>
      </c>
      <c r="AA242" s="4" t="str">
        <f>IF(SUMIFS(CHP_CHPR!$AA$4:$AA$283,CHP_CHPR!$Y$4:$Y$283,CHP_elecEFF!$W242,CHP_CHPR!$Z$4:$Z$283,CHP_elecEFF!$X242)*Y242+Y242&lt;=$AC$1,"",Y242*$AC$1/(SUMIFS(CHP_CHPR!$AA$4:$AA$283,CHP_CHPR!$Y$4:$Y$283,CHP_elecEFF!$W242,CHP_CHPR!$Z$4:$Z$283,CHP_elecEFF!$X242)*Y242+Y242))</f>
        <v/>
      </c>
    </row>
    <row r="243" spans="26:27" x14ac:dyDescent="0.3">
      <c r="Z243">
        <v>0</v>
      </c>
      <c r="AA243" s="4" t="str">
        <f>IF(SUMIFS(CHP_CHPR!$AA$4:$AA$283,CHP_CHPR!$Y$4:$Y$283,CHP_elecEFF!$W243,CHP_CHPR!$Z$4:$Z$283,CHP_elecEFF!$X243)*Y243+Y243&lt;=$AC$1,"",Y243*$AC$1/(SUMIFS(CHP_CHPR!$AA$4:$AA$283,CHP_CHPR!$Y$4:$Y$283,CHP_elecEFF!$W243,CHP_CHPR!$Z$4:$Z$283,CHP_elecEFF!$X243)*Y243+Y243))</f>
        <v/>
      </c>
    </row>
    <row r="244" spans="26:27" x14ac:dyDescent="0.3">
      <c r="Z244">
        <v>0</v>
      </c>
      <c r="AA244" s="4" t="str">
        <f>IF(SUMIFS(CHP_CHPR!$AA$4:$AA$283,CHP_CHPR!$Y$4:$Y$283,CHP_elecEFF!$W244,CHP_CHPR!$Z$4:$Z$283,CHP_elecEFF!$X244)*Y244+Y244&lt;=$AC$1,"",Y244*$AC$1/(SUMIFS(CHP_CHPR!$AA$4:$AA$283,CHP_CHPR!$Y$4:$Y$283,CHP_elecEFF!$W244,CHP_CHPR!$Z$4:$Z$283,CHP_elecEFF!$X244)*Y244+Y244))</f>
        <v/>
      </c>
    </row>
    <row r="245" spans="26:27" x14ac:dyDescent="0.3">
      <c r="Z245">
        <v>0</v>
      </c>
      <c r="AA245" s="4" t="str">
        <f>IF(SUMIFS(CHP_CHPR!$AA$4:$AA$283,CHP_CHPR!$Y$4:$Y$283,CHP_elecEFF!$W245,CHP_CHPR!$Z$4:$Z$283,CHP_elecEFF!$X245)*Y245+Y245&lt;=$AC$1,"",Y245*$AC$1/(SUMIFS(CHP_CHPR!$AA$4:$AA$283,CHP_CHPR!$Y$4:$Y$283,CHP_elecEFF!$W245,CHP_CHPR!$Z$4:$Z$283,CHP_elecEFF!$X245)*Y245+Y245))</f>
        <v/>
      </c>
    </row>
    <row r="246" spans="26:27" x14ac:dyDescent="0.3">
      <c r="Z246">
        <v>0</v>
      </c>
      <c r="AA246" s="4" t="str">
        <f>IF(SUMIFS(CHP_CHPR!$AA$4:$AA$283,CHP_CHPR!$Y$4:$Y$283,CHP_elecEFF!$W246,CHP_CHPR!$Z$4:$Z$283,CHP_elecEFF!$X246)*Y246+Y246&lt;=$AC$1,"",Y246*$AC$1/(SUMIFS(CHP_CHPR!$AA$4:$AA$283,CHP_CHPR!$Y$4:$Y$283,CHP_elecEFF!$W246,CHP_CHPR!$Z$4:$Z$283,CHP_elecEFF!$X246)*Y246+Y246))</f>
        <v/>
      </c>
    </row>
    <row r="247" spans="26:27" x14ac:dyDescent="0.3">
      <c r="Z247">
        <v>0</v>
      </c>
      <c r="AA247" s="4" t="str">
        <f>IF(SUMIFS(CHP_CHPR!$AA$4:$AA$283,CHP_CHPR!$Y$4:$Y$283,CHP_elecEFF!$W247,CHP_CHPR!$Z$4:$Z$283,CHP_elecEFF!$X247)*Y247+Y247&lt;=$AC$1,"",Y247*$AC$1/(SUMIFS(CHP_CHPR!$AA$4:$AA$283,CHP_CHPR!$Y$4:$Y$283,CHP_elecEFF!$W247,CHP_CHPR!$Z$4:$Z$283,CHP_elecEFF!$X247)*Y247+Y247))</f>
        <v/>
      </c>
    </row>
    <row r="248" spans="26:27" x14ac:dyDescent="0.3">
      <c r="Z248">
        <v>0</v>
      </c>
      <c r="AA248" s="4" t="str">
        <f>IF(SUMIFS(CHP_CHPR!$AA$4:$AA$283,CHP_CHPR!$Y$4:$Y$283,CHP_elecEFF!$W248,CHP_CHPR!$Z$4:$Z$283,CHP_elecEFF!$X248)*Y248+Y248&lt;=$AC$1,"",Y248*$AC$1/(SUMIFS(CHP_CHPR!$AA$4:$AA$283,CHP_CHPR!$Y$4:$Y$283,CHP_elecEFF!$W248,CHP_CHPR!$Z$4:$Z$283,CHP_elecEFF!$X248)*Y248+Y248))</f>
        <v/>
      </c>
    </row>
    <row r="249" spans="26:27" x14ac:dyDescent="0.3">
      <c r="Z249">
        <v>0</v>
      </c>
      <c r="AA249" s="4" t="str">
        <f>IF(SUMIFS(CHP_CHPR!$AA$4:$AA$283,CHP_CHPR!$Y$4:$Y$283,CHP_elecEFF!$W249,CHP_CHPR!$Z$4:$Z$283,CHP_elecEFF!$X249)*Y249+Y249&lt;=$AC$1,"",Y249*$AC$1/(SUMIFS(CHP_CHPR!$AA$4:$AA$283,CHP_CHPR!$Y$4:$Y$283,CHP_elecEFF!$W249,CHP_CHPR!$Z$4:$Z$283,CHP_elecEFF!$X249)*Y249+Y249))</f>
        <v/>
      </c>
    </row>
    <row r="250" spans="26:27" x14ac:dyDescent="0.3">
      <c r="Z250">
        <v>0</v>
      </c>
      <c r="AA250" s="4" t="str">
        <f>IF(SUMIFS(CHP_CHPR!$AA$4:$AA$283,CHP_CHPR!$Y$4:$Y$283,CHP_elecEFF!$W250,CHP_CHPR!$Z$4:$Z$283,CHP_elecEFF!$X250)*Y250+Y250&lt;=$AC$1,"",Y250*$AC$1/(SUMIFS(CHP_CHPR!$AA$4:$AA$283,CHP_CHPR!$Y$4:$Y$283,CHP_elecEFF!$W250,CHP_CHPR!$Z$4:$Z$283,CHP_elecEFF!$X250)*Y250+Y250))</f>
        <v/>
      </c>
    </row>
    <row r="251" spans="26:27" x14ac:dyDescent="0.3">
      <c r="Z251">
        <v>0</v>
      </c>
      <c r="AA251" s="4" t="str">
        <f>IF(SUMIFS(CHP_CHPR!$AA$4:$AA$283,CHP_CHPR!$Y$4:$Y$283,CHP_elecEFF!$W251,CHP_CHPR!$Z$4:$Z$283,CHP_elecEFF!$X251)*Y251+Y251&lt;=$AC$1,"",Y251*$AC$1/(SUMIFS(CHP_CHPR!$AA$4:$AA$283,CHP_CHPR!$Y$4:$Y$283,CHP_elecEFF!$W251,CHP_CHPR!$Z$4:$Z$283,CHP_elecEFF!$X251)*Y251+Y251))</f>
        <v/>
      </c>
    </row>
    <row r="252" spans="26:27" x14ac:dyDescent="0.3">
      <c r="Z252">
        <v>0</v>
      </c>
      <c r="AA252" s="4" t="str">
        <f>IF(SUMIFS(CHP_CHPR!$AA$4:$AA$283,CHP_CHPR!$Y$4:$Y$283,CHP_elecEFF!$W252,CHP_CHPR!$Z$4:$Z$283,CHP_elecEFF!$X252)*Y252+Y252&lt;=$AC$1,"",Y252*$AC$1/(SUMIFS(CHP_CHPR!$AA$4:$AA$283,CHP_CHPR!$Y$4:$Y$283,CHP_elecEFF!$W252,CHP_CHPR!$Z$4:$Z$283,CHP_elecEFF!$X252)*Y252+Y252))</f>
        <v/>
      </c>
    </row>
    <row r="253" spans="26:27" x14ac:dyDescent="0.3">
      <c r="Z253">
        <v>0</v>
      </c>
      <c r="AA253" s="4" t="str">
        <f>IF(SUMIFS(CHP_CHPR!$AA$4:$AA$283,CHP_CHPR!$Y$4:$Y$283,CHP_elecEFF!$W253,CHP_CHPR!$Z$4:$Z$283,CHP_elecEFF!$X253)*Y253+Y253&lt;=$AC$1,"",Y253*$AC$1/(SUMIFS(CHP_CHPR!$AA$4:$AA$283,CHP_CHPR!$Y$4:$Y$283,CHP_elecEFF!$W253,CHP_CHPR!$Z$4:$Z$283,CHP_elecEFF!$X253)*Y253+Y253))</f>
        <v/>
      </c>
    </row>
    <row r="254" spans="26:27" x14ac:dyDescent="0.3">
      <c r="Z254">
        <v>0</v>
      </c>
      <c r="AA254" s="4" t="str">
        <f>IF(SUMIFS(CHP_CHPR!$AA$4:$AA$283,CHP_CHPR!$Y$4:$Y$283,CHP_elecEFF!$W254,CHP_CHPR!$Z$4:$Z$283,CHP_elecEFF!$X254)*Y254+Y254&lt;=$AC$1,"",Y254*$AC$1/(SUMIFS(CHP_CHPR!$AA$4:$AA$283,CHP_CHPR!$Y$4:$Y$283,CHP_elecEFF!$W254,CHP_CHPR!$Z$4:$Z$283,CHP_elecEFF!$X254)*Y254+Y254))</f>
        <v/>
      </c>
    </row>
    <row r="255" spans="26:27" x14ac:dyDescent="0.3">
      <c r="Z255">
        <v>0</v>
      </c>
      <c r="AA255" s="4" t="str">
        <f>IF(SUMIFS(CHP_CHPR!$AA$4:$AA$283,CHP_CHPR!$Y$4:$Y$283,CHP_elecEFF!$W255,CHP_CHPR!$Z$4:$Z$283,CHP_elecEFF!$X255)*Y255+Y255&lt;=$AC$1,"",Y255*$AC$1/(SUMIFS(CHP_CHPR!$AA$4:$AA$283,CHP_CHPR!$Y$4:$Y$283,CHP_elecEFF!$W255,CHP_CHPR!$Z$4:$Z$283,CHP_elecEFF!$X255)*Y255+Y255))</f>
        <v/>
      </c>
    </row>
    <row r="256" spans="26:27" x14ac:dyDescent="0.3">
      <c r="Z256">
        <v>0</v>
      </c>
      <c r="AA256" s="4" t="str">
        <f>IF(SUMIFS(CHP_CHPR!$AA$4:$AA$283,CHP_CHPR!$Y$4:$Y$283,CHP_elecEFF!$W256,CHP_CHPR!$Z$4:$Z$283,CHP_elecEFF!$X256)*Y256+Y256&lt;=$AC$1,"",Y256*$AC$1/(SUMIFS(CHP_CHPR!$AA$4:$AA$283,CHP_CHPR!$Y$4:$Y$283,CHP_elecEFF!$W256,CHP_CHPR!$Z$4:$Z$283,CHP_elecEFF!$X256)*Y256+Y256))</f>
        <v/>
      </c>
    </row>
    <row r="257" spans="26:27" x14ac:dyDescent="0.3">
      <c r="Z257">
        <v>0</v>
      </c>
      <c r="AA257" s="4" t="str">
        <f>IF(SUMIFS(CHP_CHPR!$AA$4:$AA$283,CHP_CHPR!$Y$4:$Y$283,CHP_elecEFF!$W257,CHP_CHPR!$Z$4:$Z$283,CHP_elecEFF!$X257)*Y257+Y257&lt;=$AC$1,"",Y257*$AC$1/(SUMIFS(CHP_CHPR!$AA$4:$AA$283,CHP_CHPR!$Y$4:$Y$283,CHP_elecEFF!$W257,CHP_CHPR!$Z$4:$Z$283,CHP_elecEFF!$X257)*Y257+Y257))</f>
        <v/>
      </c>
    </row>
    <row r="258" spans="26:27" x14ac:dyDescent="0.3">
      <c r="Z258">
        <v>0</v>
      </c>
      <c r="AA258" s="4" t="str">
        <f>IF(SUMIFS(CHP_CHPR!$AA$4:$AA$283,CHP_CHPR!$Y$4:$Y$283,CHP_elecEFF!$W258,CHP_CHPR!$Z$4:$Z$283,CHP_elecEFF!$X258)*Y258+Y258&lt;=$AC$1,"",Y258*$AC$1/(SUMIFS(CHP_CHPR!$AA$4:$AA$283,CHP_CHPR!$Y$4:$Y$283,CHP_elecEFF!$W258,CHP_CHPR!$Z$4:$Z$283,CHP_elecEFF!$X258)*Y258+Y258))</f>
        <v/>
      </c>
    </row>
    <row r="259" spans="26:27" x14ac:dyDescent="0.3">
      <c r="Z259">
        <v>0</v>
      </c>
      <c r="AA259" s="4" t="str">
        <f>IF(SUMIFS(CHP_CHPR!$AA$4:$AA$283,CHP_CHPR!$Y$4:$Y$283,CHP_elecEFF!$W259,CHP_CHPR!$Z$4:$Z$283,CHP_elecEFF!$X259)*Y259+Y259&lt;=$AC$1,"",Y259*$AC$1/(SUMIFS(CHP_CHPR!$AA$4:$AA$283,CHP_CHPR!$Y$4:$Y$283,CHP_elecEFF!$W259,CHP_CHPR!$Z$4:$Z$283,CHP_elecEFF!$X259)*Y259+Y259))</f>
        <v/>
      </c>
    </row>
    <row r="260" spans="26:27" x14ac:dyDescent="0.3">
      <c r="Z260">
        <v>0</v>
      </c>
      <c r="AA260" s="4" t="str">
        <f>IF(SUMIFS(CHP_CHPR!$AA$4:$AA$283,CHP_CHPR!$Y$4:$Y$283,CHP_elecEFF!$W260,CHP_CHPR!$Z$4:$Z$283,CHP_elecEFF!$X260)*Y260+Y260&lt;=$AC$1,"",Y260*$AC$1/(SUMIFS(CHP_CHPR!$AA$4:$AA$283,CHP_CHPR!$Y$4:$Y$283,CHP_elecEFF!$W260,CHP_CHPR!$Z$4:$Z$283,CHP_elecEFF!$X260)*Y260+Y260))</f>
        <v/>
      </c>
    </row>
    <row r="261" spans="26:27" x14ac:dyDescent="0.3">
      <c r="Z261">
        <v>0</v>
      </c>
      <c r="AA261" s="4" t="str">
        <f>IF(SUMIFS(CHP_CHPR!$AA$4:$AA$283,CHP_CHPR!$Y$4:$Y$283,CHP_elecEFF!$W261,CHP_CHPR!$Z$4:$Z$283,CHP_elecEFF!$X261)*Y261+Y261&lt;=$AC$1,"",Y261*$AC$1/(SUMIFS(CHP_CHPR!$AA$4:$AA$283,CHP_CHPR!$Y$4:$Y$283,CHP_elecEFF!$W261,CHP_CHPR!$Z$4:$Z$283,CHP_elecEFF!$X261)*Y261+Y261))</f>
        <v/>
      </c>
    </row>
    <row r="262" spans="26:27" x14ac:dyDescent="0.3">
      <c r="Z262">
        <v>0</v>
      </c>
      <c r="AA262" s="4" t="str">
        <f>IF(SUMIFS(CHP_CHPR!$AA$4:$AA$283,CHP_CHPR!$Y$4:$Y$283,CHP_elecEFF!$W262,CHP_CHPR!$Z$4:$Z$283,CHP_elecEFF!$X262)*Y262+Y262&lt;=$AC$1,"",Y262*$AC$1/(SUMIFS(CHP_CHPR!$AA$4:$AA$283,CHP_CHPR!$Y$4:$Y$283,CHP_elecEFF!$W262,CHP_CHPR!$Z$4:$Z$283,CHP_elecEFF!$X262)*Y262+Y262))</f>
        <v/>
      </c>
    </row>
    <row r="263" spans="26:27" x14ac:dyDescent="0.3">
      <c r="Z263">
        <v>0</v>
      </c>
      <c r="AA263" s="4" t="str">
        <f>IF(SUMIFS(CHP_CHPR!$AA$4:$AA$283,CHP_CHPR!$Y$4:$Y$283,CHP_elecEFF!$W263,CHP_CHPR!$Z$4:$Z$283,CHP_elecEFF!$X263)*Y263+Y263&lt;=$AC$1,"",Y263*$AC$1/(SUMIFS(CHP_CHPR!$AA$4:$AA$283,CHP_CHPR!$Y$4:$Y$283,CHP_elecEFF!$W263,CHP_CHPR!$Z$4:$Z$283,CHP_elecEFF!$X263)*Y263+Y263))</f>
        <v/>
      </c>
    </row>
    <row r="264" spans="26:27" x14ac:dyDescent="0.3">
      <c r="Z264">
        <v>0</v>
      </c>
      <c r="AA264" s="4" t="str">
        <f>IF(SUMIFS(CHP_CHPR!$AA$4:$AA$283,CHP_CHPR!$Y$4:$Y$283,CHP_elecEFF!$W264,CHP_CHPR!$Z$4:$Z$283,CHP_elecEFF!$X264)*Y264+Y264&lt;=$AC$1,"",Y264*$AC$1/(SUMIFS(CHP_CHPR!$AA$4:$AA$283,CHP_CHPR!$Y$4:$Y$283,CHP_elecEFF!$W264,CHP_CHPR!$Z$4:$Z$283,CHP_elecEFF!$X264)*Y264+Y264))</f>
        <v/>
      </c>
    </row>
    <row r="265" spans="26:27" x14ac:dyDescent="0.3">
      <c r="Z265">
        <v>0</v>
      </c>
      <c r="AA265" s="4" t="str">
        <f>IF(SUMIFS(CHP_CHPR!$AA$4:$AA$283,CHP_CHPR!$Y$4:$Y$283,CHP_elecEFF!$W265,CHP_CHPR!$Z$4:$Z$283,CHP_elecEFF!$X265)*Y265+Y265&lt;=$AC$1,"",Y265*$AC$1/(SUMIFS(CHP_CHPR!$AA$4:$AA$283,CHP_CHPR!$Y$4:$Y$283,CHP_elecEFF!$W265,CHP_CHPR!$Z$4:$Z$283,CHP_elecEFF!$X265)*Y265+Y265))</f>
        <v/>
      </c>
    </row>
    <row r="266" spans="26:27" x14ac:dyDescent="0.3">
      <c r="Z266">
        <v>0</v>
      </c>
      <c r="AA266" s="4" t="str">
        <f>IF(SUMIFS(CHP_CHPR!$AA$4:$AA$283,CHP_CHPR!$Y$4:$Y$283,CHP_elecEFF!$W266,CHP_CHPR!$Z$4:$Z$283,CHP_elecEFF!$X266)*Y266+Y266&lt;=$AC$1,"",Y266*$AC$1/(SUMIFS(CHP_CHPR!$AA$4:$AA$283,CHP_CHPR!$Y$4:$Y$283,CHP_elecEFF!$W266,CHP_CHPR!$Z$4:$Z$283,CHP_elecEFF!$X266)*Y266+Y266))</f>
        <v/>
      </c>
    </row>
    <row r="267" spans="26:27" x14ac:dyDescent="0.3">
      <c r="Z267">
        <v>0</v>
      </c>
      <c r="AA267" s="4" t="str">
        <f>IF(SUMIFS(CHP_CHPR!$AA$4:$AA$283,CHP_CHPR!$Y$4:$Y$283,CHP_elecEFF!$W267,CHP_CHPR!$Z$4:$Z$283,CHP_elecEFF!$X267)*Y267+Y267&lt;=$AC$1,"",Y267*$AC$1/(SUMIFS(CHP_CHPR!$AA$4:$AA$283,CHP_CHPR!$Y$4:$Y$283,CHP_elecEFF!$W267,CHP_CHPR!$Z$4:$Z$283,CHP_elecEFF!$X267)*Y267+Y267))</f>
        <v/>
      </c>
    </row>
    <row r="268" spans="26:27" x14ac:dyDescent="0.3">
      <c r="Z268">
        <v>0</v>
      </c>
      <c r="AA268" s="4" t="str">
        <f>IF(SUMIFS(CHP_CHPR!$AA$4:$AA$283,CHP_CHPR!$Y$4:$Y$283,CHP_elecEFF!$W268,CHP_CHPR!$Z$4:$Z$283,CHP_elecEFF!$X268)*Y268+Y268&lt;=$AC$1,"",Y268*$AC$1/(SUMIFS(CHP_CHPR!$AA$4:$AA$283,CHP_CHPR!$Y$4:$Y$283,CHP_elecEFF!$W268,CHP_CHPR!$Z$4:$Z$283,CHP_elecEFF!$X268)*Y268+Y268))</f>
        <v/>
      </c>
    </row>
    <row r="269" spans="26:27" x14ac:dyDescent="0.3">
      <c r="Z269">
        <v>0</v>
      </c>
      <c r="AA269" s="4" t="str">
        <f>IF(SUMIFS(CHP_CHPR!$AA$4:$AA$283,CHP_CHPR!$Y$4:$Y$283,CHP_elecEFF!$W269,CHP_CHPR!$Z$4:$Z$283,CHP_elecEFF!$X269)*Y269+Y269&lt;=$AC$1,"",Y269*$AC$1/(SUMIFS(CHP_CHPR!$AA$4:$AA$283,CHP_CHPR!$Y$4:$Y$283,CHP_elecEFF!$W269,CHP_CHPR!$Z$4:$Z$283,CHP_elecEFF!$X269)*Y269+Y269))</f>
        <v/>
      </c>
    </row>
    <row r="270" spans="26:27" x14ac:dyDescent="0.3">
      <c r="AA270" s="4"/>
    </row>
    <row r="271" spans="26:27" x14ac:dyDescent="0.3">
      <c r="AA271" s="4"/>
    </row>
    <row r="272" spans="26:27" x14ac:dyDescent="0.3">
      <c r="AA272" s="4"/>
    </row>
    <row r="273" spans="27:27" x14ac:dyDescent="0.3">
      <c r="AA273" s="4"/>
    </row>
    <row r="274" spans="27:27" x14ac:dyDescent="0.3">
      <c r="AA274" s="4"/>
    </row>
    <row r="275" spans="27:27" x14ac:dyDescent="0.3">
      <c r="AA275" s="4"/>
    </row>
    <row r="276" spans="27:27" x14ac:dyDescent="0.3">
      <c r="AA276" s="4"/>
    </row>
    <row r="277" spans="27:27" x14ac:dyDescent="0.3">
      <c r="AA277" s="4"/>
    </row>
    <row r="278" spans="27:27" x14ac:dyDescent="0.3">
      <c r="AA278" s="4"/>
    </row>
    <row r="279" spans="27:27" x14ac:dyDescent="0.3">
      <c r="AA279" s="4"/>
    </row>
    <row r="280" spans="27:27" x14ac:dyDescent="0.3">
      <c r="AA280" s="4"/>
    </row>
    <row r="281" spans="27:27" x14ac:dyDescent="0.3">
      <c r="AA281" s="4"/>
    </row>
    <row r="282" spans="27:27" x14ac:dyDescent="0.3">
      <c r="AA282" s="4"/>
    </row>
    <row r="283" spans="27:27" x14ac:dyDescent="0.3">
      <c r="AA283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20807-DAB9-4B95-9878-BCAF3E38C546}">
  <dimension ref="A1:AM283"/>
  <sheetViews>
    <sheetView topLeftCell="X1" workbookViewId="0">
      <selection activeCell="Y2" sqref="Y2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11" width="6.88671875" bestFit="1" customWidth="1"/>
    <col min="12" max="12" width="5.5546875" bestFit="1" customWidth="1"/>
    <col min="13" max="19" width="6.88671875" bestFit="1" customWidth="1"/>
    <col min="20" max="23" width="6.88671875" customWidth="1"/>
    <col min="25" max="25" width="12.44140625" bestFit="1" customWidth="1"/>
    <col min="26" max="26" width="15.44140625" bestFit="1" customWidth="1"/>
    <col min="27" max="27" width="8.44140625" bestFit="1" customWidth="1"/>
    <col min="28" max="28" width="4.5546875" bestFit="1" customWidth="1"/>
    <col min="29" max="29" width="11.6640625" bestFit="1" customWidth="1"/>
    <col min="30" max="30" width="8.44140625" bestFit="1" customWidth="1"/>
    <col min="35" max="35" width="14.6640625" bestFit="1" customWidth="1"/>
    <col min="38" max="38" width="13.5546875" customWidth="1"/>
  </cols>
  <sheetData>
    <row r="1" spans="1:39" x14ac:dyDescent="0.3">
      <c r="A1" s="5" t="s">
        <v>25</v>
      </c>
      <c r="AF1" s="6">
        <v>0.25</v>
      </c>
      <c r="AG1" t="s">
        <v>32</v>
      </c>
    </row>
    <row r="2" spans="1:39" x14ac:dyDescent="0.3">
      <c r="Y2" t="s">
        <v>137</v>
      </c>
      <c r="AH2" t="s">
        <v>14</v>
      </c>
    </row>
    <row r="3" spans="1:39" x14ac:dyDescent="0.3">
      <c r="A3" t="s">
        <v>12</v>
      </c>
      <c r="B3" t="s">
        <v>13</v>
      </c>
      <c r="C3">
        <v>2002</v>
      </c>
      <c r="D3">
        <v>2003</v>
      </c>
      <c r="E3">
        <v>2004</v>
      </c>
      <c r="F3">
        <v>2005</v>
      </c>
      <c r="G3">
        <v>2006</v>
      </c>
      <c r="H3">
        <v>2007</v>
      </c>
      <c r="I3">
        <v>2008</v>
      </c>
      <c r="J3">
        <v>2009</v>
      </c>
      <c r="K3">
        <v>2010</v>
      </c>
      <c r="L3">
        <v>2011</v>
      </c>
      <c r="M3">
        <v>2012</v>
      </c>
      <c r="N3">
        <v>2013</v>
      </c>
      <c r="O3">
        <v>2014</v>
      </c>
      <c r="P3">
        <v>2015</v>
      </c>
      <c r="Q3">
        <v>2016</v>
      </c>
      <c r="R3">
        <v>2017</v>
      </c>
      <c r="S3">
        <v>2018</v>
      </c>
      <c r="Y3" t="s">
        <v>12</v>
      </c>
      <c r="Z3" t="s">
        <v>13</v>
      </c>
      <c r="AA3">
        <f>S3</f>
        <v>2018</v>
      </c>
      <c r="AB3">
        <v>0</v>
      </c>
      <c r="AC3" t="s">
        <v>15</v>
      </c>
      <c r="AD3" t="s">
        <v>16</v>
      </c>
      <c r="AH3" t="s">
        <v>12</v>
      </c>
      <c r="AI3" t="s">
        <v>13</v>
      </c>
      <c r="AJ3">
        <v>2018</v>
      </c>
      <c r="AK3">
        <v>0</v>
      </c>
      <c r="AL3" t="s">
        <v>15</v>
      </c>
      <c r="AM3" t="s">
        <v>16</v>
      </c>
    </row>
    <row r="4" spans="1:39" x14ac:dyDescent="0.3">
      <c r="A4" t="s">
        <v>33</v>
      </c>
      <c r="B4" t="s">
        <v>34</v>
      </c>
      <c r="C4" s="4"/>
      <c r="D4" s="4"/>
      <c r="E4" s="4"/>
      <c r="F4" s="4"/>
      <c r="G4" s="4"/>
      <c r="H4" s="4"/>
      <c r="I4" s="4"/>
      <c r="J4" s="4"/>
      <c r="K4" s="4"/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/>
      <c r="U4" s="4"/>
      <c r="V4" s="4"/>
      <c r="W4" s="4"/>
      <c r="Y4" t="str">
        <f>IF($A4="","\I:",A4)</f>
        <v>AFR_N</v>
      </c>
      <c r="Z4" t="str">
        <f>B4</f>
        <v>EP_Bio-CHP</v>
      </c>
      <c r="AA4" s="4">
        <f>MAX(IFERROR(AVERAGE(R4:S4),$AF$1),$AF$1)</f>
        <v>0.25</v>
      </c>
      <c r="AB4">
        <v>3</v>
      </c>
      <c r="AC4" s="4" t="str">
        <f>IF($A4="","\I:","NCAP_CHPR")</f>
        <v>NCAP_CHPR</v>
      </c>
      <c r="AD4" t="s">
        <v>17</v>
      </c>
      <c r="AH4" t="s">
        <v>33</v>
      </c>
      <c r="AI4" t="s">
        <v>34</v>
      </c>
      <c r="AJ4">
        <v>2</v>
      </c>
      <c r="AK4">
        <v>3</v>
      </c>
      <c r="AL4" t="s">
        <v>138</v>
      </c>
      <c r="AM4" t="s">
        <v>93</v>
      </c>
    </row>
    <row r="5" spans="1:39" x14ac:dyDescent="0.3">
      <c r="A5" t="s">
        <v>33</v>
      </c>
      <c r="B5" t="s">
        <v>35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>
        <v>1.5</v>
      </c>
      <c r="T5" s="4"/>
      <c r="U5" s="4"/>
      <c r="V5" s="4"/>
      <c r="W5" s="4"/>
      <c r="Y5" t="str">
        <f t="shared" ref="Y5:Y68" si="0">IF($A5="","\I:",A5)</f>
        <v>AFR_N</v>
      </c>
      <c r="Z5" t="str">
        <f t="shared" ref="Z5:Z68" si="1">B5</f>
        <v>EP_Coa-CHP</v>
      </c>
      <c r="AA5" s="4">
        <f t="shared" ref="AA5:AA68" si="2">MAX(IFERROR(AVERAGE(R5:S5),$AF$1),$AF$1)</f>
        <v>1.5</v>
      </c>
      <c r="AB5">
        <v>3</v>
      </c>
      <c r="AC5" s="4" t="str">
        <f t="shared" ref="AC5:AC68" si="3">IF($A5="","\I:","NCAP_CHPR")</f>
        <v>NCAP_CHPR</v>
      </c>
      <c r="AD5" t="s">
        <v>17</v>
      </c>
      <c r="AH5" t="s">
        <v>33</v>
      </c>
      <c r="AI5" t="s">
        <v>35</v>
      </c>
      <c r="AJ5">
        <v>2</v>
      </c>
      <c r="AK5">
        <v>3</v>
      </c>
      <c r="AL5" t="s">
        <v>138</v>
      </c>
      <c r="AM5" t="s">
        <v>93</v>
      </c>
    </row>
    <row r="6" spans="1:39" x14ac:dyDescent="0.3">
      <c r="A6" t="s">
        <v>33</v>
      </c>
      <c r="B6" t="s">
        <v>36</v>
      </c>
      <c r="C6" s="4"/>
      <c r="D6" s="4"/>
      <c r="E6" s="4"/>
      <c r="F6" s="4"/>
      <c r="G6" s="4"/>
      <c r="H6" s="4"/>
      <c r="I6" s="4"/>
      <c r="J6" s="4"/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/>
      <c r="U6" s="4"/>
      <c r="V6" s="4"/>
      <c r="W6" s="4"/>
      <c r="Y6" t="str">
        <f t="shared" si="0"/>
        <v>AFR_N</v>
      </c>
      <c r="Z6" t="str">
        <f t="shared" si="1"/>
        <v>EP_Gas-CHP</v>
      </c>
      <c r="AA6" s="4">
        <f t="shared" si="2"/>
        <v>0.25</v>
      </c>
      <c r="AB6">
        <v>3</v>
      </c>
      <c r="AC6" s="4" t="str">
        <f t="shared" si="3"/>
        <v>NCAP_CHPR</v>
      </c>
      <c r="AD6" t="s">
        <v>17</v>
      </c>
      <c r="AH6" t="s">
        <v>33</v>
      </c>
      <c r="AI6" t="s">
        <v>36</v>
      </c>
      <c r="AJ6">
        <v>2</v>
      </c>
      <c r="AK6">
        <v>3</v>
      </c>
      <c r="AL6" t="s">
        <v>138</v>
      </c>
      <c r="AM6" t="s">
        <v>93</v>
      </c>
    </row>
    <row r="7" spans="1:39" x14ac:dyDescent="0.3">
      <c r="A7" t="s">
        <v>33</v>
      </c>
      <c r="B7" t="s">
        <v>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>
        <v>1.5</v>
      </c>
      <c r="T7" s="4"/>
      <c r="U7" s="4"/>
      <c r="V7" s="4"/>
      <c r="W7" s="4"/>
      <c r="Y7" t="str">
        <f t="shared" si="0"/>
        <v>AFR_N</v>
      </c>
      <c r="Z7" t="str">
        <f t="shared" si="1"/>
        <v>EP_Oil-CHP</v>
      </c>
      <c r="AA7" s="4">
        <f t="shared" si="2"/>
        <v>1.5</v>
      </c>
      <c r="AB7">
        <v>3</v>
      </c>
      <c r="AC7" s="4" t="str">
        <f t="shared" si="3"/>
        <v>NCAP_CHPR</v>
      </c>
      <c r="AD7" t="s">
        <v>17</v>
      </c>
      <c r="AH7" t="s">
        <v>33</v>
      </c>
      <c r="AI7" t="s">
        <v>37</v>
      </c>
      <c r="AJ7">
        <v>2</v>
      </c>
      <c r="AK7">
        <v>3</v>
      </c>
      <c r="AL7" t="s">
        <v>138</v>
      </c>
      <c r="AM7" t="s">
        <v>93</v>
      </c>
    </row>
    <row r="8" spans="1:39" x14ac:dyDescent="0.3">
      <c r="A8" t="s">
        <v>33</v>
      </c>
      <c r="B8" t="s">
        <v>38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1.5</v>
      </c>
      <c r="T8" s="4"/>
      <c r="U8" s="4"/>
      <c r="V8" s="4"/>
      <c r="W8" s="4"/>
      <c r="Y8" t="str">
        <f t="shared" si="0"/>
        <v>AFR_N</v>
      </c>
      <c r="Z8" t="str">
        <f t="shared" si="1"/>
        <v>EP_Oil_CRD-CHP</v>
      </c>
      <c r="AA8" s="4">
        <f t="shared" si="2"/>
        <v>1.5</v>
      </c>
      <c r="AB8">
        <v>3</v>
      </c>
      <c r="AC8" s="4" t="str">
        <f t="shared" si="3"/>
        <v>NCAP_CHPR</v>
      </c>
      <c r="AD8" t="s">
        <v>17</v>
      </c>
      <c r="AH8" t="s">
        <v>33</v>
      </c>
      <c r="AI8" t="s">
        <v>38</v>
      </c>
      <c r="AJ8">
        <v>2</v>
      </c>
      <c r="AK8">
        <v>3</v>
      </c>
      <c r="AL8" t="s">
        <v>138</v>
      </c>
      <c r="AM8" t="s">
        <v>93</v>
      </c>
    </row>
    <row r="9" spans="1:39" x14ac:dyDescent="0.3">
      <c r="A9" t="s">
        <v>33</v>
      </c>
      <c r="B9" t="s">
        <v>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1.5</v>
      </c>
      <c r="T9" s="4"/>
      <c r="U9" s="4"/>
      <c r="V9" s="4"/>
      <c r="W9" s="4"/>
      <c r="Y9" t="str">
        <f t="shared" si="0"/>
        <v>AFR_N</v>
      </c>
      <c r="Z9" t="str">
        <f t="shared" si="1"/>
        <v>EP_Oil_DST-CHP</v>
      </c>
      <c r="AA9" s="4">
        <f t="shared" si="2"/>
        <v>1.5</v>
      </c>
      <c r="AB9">
        <v>3</v>
      </c>
      <c r="AC9" s="4" t="str">
        <f t="shared" si="3"/>
        <v>NCAP_CHPR</v>
      </c>
      <c r="AD9" t="s">
        <v>17</v>
      </c>
      <c r="AH9" t="s">
        <v>33</v>
      </c>
      <c r="AI9" t="s">
        <v>39</v>
      </c>
      <c r="AJ9">
        <v>2</v>
      </c>
      <c r="AK9">
        <v>3</v>
      </c>
      <c r="AL9" t="s">
        <v>138</v>
      </c>
      <c r="AM9" t="s">
        <v>93</v>
      </c>
    </row>
    <row r="10" spans="1:39" x14ac:dyDescent="0.3">
      <c r="A10" t="s">
        <v>33</v>
      </c>
      <c r="B10" t="s">
        <v>40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>
        <v>1.5</v>
      </c>
      <c r="T10" s="4"/>
      <c r="U10" s="4"/>
      <c r="V10" s="4"/>
      <c r="W10" s="4"/>
      <c r="Y10" t="str">
        <f t="shared" si="0"/>
        <v>AFR_N</v>
      </c>
      <c r="Z10" t="str">
        <f t="shared" si="1"/>
        <v>EP_Was-CHP</v>
      </c>
      <c r="AA10" s="4">
        <f t="shared" si="2"/>
        <v>1.5</v>
      </c>
      <c r="AB10">
        <v>3</v>
      </c>
      <c r="AC10" s="4" t="str">
        <f t="shared" si="3"/>
        <v>NCAP_CHPR</v>
      </c>
      <c r="AD10" t="s">
        <v>17</v>
      </c>
      <c r="AH10" t="s">
        <v>33</v>
      </c>
      <c r="AI10" t="s">
        <v>40</v>
      </c>
      <c r="AJ10">
        <v>2</v>
      </c>
      <c r="AK10">
        <v>3</v>
      </c>
      <c r="AL10" t="s">
        <v>138</v>
      </c>
      <c r="AM10" t="s">
        <v>93</v>
      </c>
    </row>
    <row r="11" spans="1:39" x14ac:dyDescent="0.3">
      <c r="A11" t="s">
        <v>41</v>
      </c>
      <c r="B11" t="s">
        <v>34</v>
      </c>
      <c r="C11" s="4"/>
      <c r="D11" s="4"/>
      <c r="E11" s="4"/>
      <c r="F11" s="4"/>
      <c r="G11" s="4"/>
      <c r="H11" s="4"/>
      <c r="I11" s="4"/>
      <c r="J11" s="4"/>
      <c r="K11" s="4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/>
      <c r="U11" s="4"/>
      <c r="V11" s="4"/>
      <c r="W11" s="4"/>
      <c r="Y11" t="str">
        <f t="shared" si="0"/>
        <v>AFR_S</v>
      </c>
      <c r="Z11" t="str">
        <f t="shared" si="1"/>
        <v>EP_Bio-CHP</v>
      </c>
      <c r="AA11" s="4">
        <f t="shared" si="2"/>
        <v>0.25</v>
      </c>
      <c r="AB11">
        <v>3</v>
      </c>
      <c r="AC11" s="4" t="str">
        <f t="shared" si="3"/>
        <v>NCAP_CHPR</v>
      </c>
      <c r="AD11" t="s">
        <v>17</v>
      </c>
      <c r="AH11" t="s">
        <v>41</v>
      </c>
      <c r="AI11" t="s">
        <v>34</v>
      </c>
      <c r="AJ11">
        <v>2</v>
      </c>
      <c r="AK11">
        <v>3</v>
      </c>
      <c r="AL11" t="s">
        <v>138</v>
      </c>
      <c r="AM11" t="s">
        <v>93</v>
      </c>
    </row>
    <row r="12" spans="1:39" x14ac:dyDescent="0.3">
      <c r="A12" t="s">
        <v>41</v>
      </c>
      <c r="B12" t="s">
        <v>35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v>1.5</v>
      </c>
      <c r="T12" s="4"/>
      <c r="U12" s="4"/>
      <c r="V12" s="4"/>
      <c r="W12" s="4"/>
      <c r="Y12" t="str">
        <f t="shared" si="0"/>
        <v>AFR_S</v>
      </c>
      <c r="Z12" t="str">
        <f t="shared" si="1"/>
        <v>EP_Coa-CHP</v>
      </c>
      <c r="AA12" s="4">
        <f t="shared" si="2"/>
        <v>1.5</v>
      </c>
      <c r="AB12">
        <v>3</v>
      </c>
      <c r="AC12" s="4" t="str">
        <f t="shared" si="3"/>
        <v>NCAP_CHPR</v>
      </c>
      <c r="AD12" t="s">
        <v>17</v>
      </c>
      <c r="AH12" t="s">
        <v>41</v>
      </c>
      <c r="AI12" t="s">
        <v>35</v>
      </c>
      <c r="AJ12">
        <v>2</v>
      </c>
      <c r="AK12">
        <v>3</v>
      </c>
      <c r="AL12" t="s">
        <v>138</v>
      </c>
      <c r="AM12" t="s">
        <v>93</v>
      </c>
    </row>
    <row r="13" spans="1:39" x14ac:dyDescent="0.3">
      <c r="A13" t="s">
        <v>41</v>
      </c>
      <c r="B13" t="s">
        <v>36</v>
      </c>
      <c r="C13" s="4"/>
      <c r="D13" s="4"/>
      <c r="E13" s="4"/>
      <c r="F13" s="4"/>
      <c r="G13" s="4"/>
      <c r="H13" s="4"/>
      <c r="I13" s="4"/>
      <c r="J13" s="4"/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/>
      <c r="U13" s="4"/>
      <c r="V13" s="4"/>
      <c r="W13" s="4"/>
      <c r="Y13" t="str">
        <f t="shared" si="0"/>
        <v>AFR_S</v>
      </c>
      <c r="Z13" t="str">
        <f t="shared" si="1"/>
        <v>EP_Gas-CHP</v>
      </c>
      <c r="AA13" s="4">
        <f t="shared" si="2"/>
        <v>0.25</v>
      </c>
      <c r="AB13">
        <v>3</v>
      </c>
      <c r="AC13" s="4" t="str">
        <f t="shared" si="3"/>
        <v>NCAP_CHPR</v>
      </c>
      <c r="AD13" t="s">
        <v>17</v>
      </c>
      <c r="AH13" t="s">
        <v>41</v>
      </c>
      <c r="AI13" t="s">
        <v>36</v>
      </c>
      <c r="AJ13">
        <v>2</v>
      </c>
      <c r="AK13">
        <v>3</v>
      </c>
      <c r="AL13" t="s">
        <v>138</v>
      </c>
      <c r="AM13" t="s">
        <v>93</v>
      </c>
    </row>
    <row r="14" spans="1:39" x14ac:dyDescent="0.3">
      <c r="A14" t="s">
        <v>41</v>
      </c>
      <c r="B14" t="s">
        <v>37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>
        <v>1.5</v>
      </c>
      <c r="T14" s="4"/>
      <c r="U14" s="4"/>
      <c r="V14" s="4"/>
      <c r="W14" s="4"/>
      <c r="Y14" t="str">
        <f t="shared" si="0"/>
        <v>AFR_S</v>
      </c>
      <c r="Z14" t="str">
        <f t="shared" si="1"/>
        <v>EP_Oil-CHP</v>
      </c>
      <c r="AA14" s="4">
        <f t="shared" si="2"/>
        <v>1.5</v>
      </c>
      <c r="AB14">
        <v>3</v>
      </c>
      <c r="AC14" s="4" t="str">
        <f t="shared" si="3"/>
        <v>NCAP_CHPR</v>
      </c>
      <c r="AD14" t="s">
        <v>17</v>
      </c>
      <c r="AH14" t="s">
        <v>41</v>
      </c>
      <c r="AI14" t="s">
        <v>37</v>
      </c>
      <c r="AJ14">
        <v>2</v>
      </c>
      <c r="AK14">
        <v>3</v>
      </c>
      <c r="AL14" t="s">
        <v>138</v>
      </c>
      <c r="AM14" t="s">
        <v>93</v>
      </c>
    </row>
    <row r="15" spans="1:39" x14ac:dyDescent="0.3">
      <c r="A15" t="s">
        <v>41</v>
      </c>
      <c r="B15" t="s">
        <v>39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>
        <v>1.5</v>
      </c>
      <c r="T15" s="4"/>
      <c r="U15" s="4"/>
      <c r="V15" s="4"/>
      <c r="W15" s="4"/>
      <c r="Y15" t="str">
        <f t="shared" si="0"/>
        <v>AFR_S</v>
      </c>
      <c r="Z15" t="str">
        <f t="shared" si="1"/>
        <v>EP_Oil_DST-CHP</v>
      </c>
      <c r="AA15" s="4">
        <f t="shared" si="2"/>
        <v>1.5</v>
      </c>
      <c r="AB15">
        <v>3</v>
      </c>
      <c r="AC15" s="4" t="str">
        <f t="shared" si="3"/>
        <v>NCAP_CHPR</v>
      </c>
      <c r="AD15" t="s">
        <v>17</v>
      </c>
      <c r="AH15" t="s">
        <v>41</v>
      </c>
      <c r="AI15" t="s">
        <v>39</v>
      </c>
      <c r="AJ15">
        <v>2</v>
      </c>
      <c r="AK15">
        <v>3</v>
      </c>
      <c r="AL15" t="s">
        <v>138</v>
      </c>
      <c r="AM15" t="s">
        <v>93</v>
      </c>
    </row>
    <row r="16" spans="1:39" x14ac:dyDescent="0.3">
      <c r="A16" t="s">
        <v>41</v>
      </c>
      <c r="B16" t="s">
        <v>40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>
        <v>1.5</v>
      </c>
      <c r="T16" s="4"/>
      <c r="U16" s="4"/>
      <c r="V16" s="4"/>
      <c r="W16" s="4"/>
      <c r="Y16" t="str">
        <f t="shared" si="0"/>
        <v>AFR_S</v>
      </c>
      <c r="Z16" t="str">
        <f t="shared" si="1"/>
        <v>EP_Was-CHP</v>
      </c>
      <c r="AA16" s="4">
        <f t="shared" si="2"/>
        <v>1.5</v>
      </c>
      <c r="AB16">
        <v>3</v>
      </c>
      <c r="AC16" s="4" t="str">
        <f t="shared" si="3"/>
        <v>NCAP_CHPR</v>
      </c>
      <c r="AD16" t="s">
        <v>17</v>
      </c>
      <c r="AH16" t="s">
        <v>41</v>
      </c>
      <c r="AI16" t="s">
        <v>40</v>
      </c>
      <c r="AJ16">
        <v>2</v>
      </c>
      <c r="AK16">
        <v>3</v>
      </c>
      <c r="AL16" t="s">
        <v>138</v>
      </c>
      <c r="AM16" t="s">
        <v>93</v>
      </c>
    </row>
    <row r="17" spans="1:39" x14ac:dyDescent="0.3">
      <c r="A17" t="s">
        <v>42</v>
      </c>
      <c r="B17" t="s">
        <v>34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/>
      <c r="U17" s="4"/>
      <c r="V17" s="4"/>
      <c r="W17" s="4"/>
      <c r="Y17" t="str">
        <f t="shared" si="0"/>
        <v>ANZ</v>
      </c>
      <c r="Z17" t="str">
        <f t="shared" si="1"/>
        <v>EP_Bio-CHP</v>
      </c>
      <c r="AA17" s="4">
        <f t="shared" si="2"/>
        <v>0.25</v>
      </c>
      <c r="AB17">
        <v>3</v>
      </c>
      <c r="AC17" s="4" t="str">
        <f t="shared" si="3"/>
        <v>NCAP_CHPR</v>
      </c>
      <c r="AD17" t="s">
        <v>17</v>
      </c>
      <c r="AH17" t="s">
        <v>42</v>
      </c>
      <c r="AI17" t="s">
        <v>34</v>
      </c>
      <c r="AJ17">
        <v>2</v>
      </c>
      <c r="AK17">
        <v>3</v>
      </c>
      <c r="AL17" t="s">
        <v>138</v>
      </c>
      <c r="AM17" t="s">
        <v>93</v>
      </c>
    </row>
    <row r="18" spans="1:39" x14ac:dyDescent="0.3">
      <c r="A18" t="s">
        <v>42</v>
      </c>
      <c r="B18" t="s">
        <v>35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/>
      <c r="U18" s="4"/>
      <c r="V18" s="4"/>
      <c r="W18" s="4"/>
      <c r="Y18" t="str">
        <f t="shared" si="0"/>
        <v>ANZ</v>
      </c>
      <c r="Z18" t="str">
        <f t="shared" si="1"/>
        <v>EP_Coa-CHP</v>
      </c>
      <c r="AA18" s="4">
        <f t="shared" si="2"/>
        <v>0.25</v>
      </c>
      <c r="AB18">
        <v>3</v>
      </c>
      <c r="AC18" s="4" t="str">
        <f t="shared" si="3"/>
        <v>NCAP_CHPR</v>
      </c>
      <c r="AD18" t="s">
        <v>17</v>
      </c>
      <c r="AH18" t="s">
        <v>42</v>
      </c>
      <c r="AI18" t="s">
        <v>35</v>
      </c>
      <c r="AJ18">
        <v>2</v>
      </c>
      <c r="AK18">
        <v>3</v>
      </c>
      <c r="AL18" t="s">
        <v>138</v>
      </c>
      <c r="AM18" t="s">
        <v>93</v>
      </c>
    </row>
    <row r="19" spans="1:39" x14ac:dyDescent="0.3">
      <c r="A19" t="s">
        <v>42</v>
      </c>
      <c r="B19" t="s">
        <v>36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/>
      <c r="U19" s="4"/>
      <c r="V19" s="4"/>
      <c r="W19" s="4"/>
      <c r="Y19" t="str">
        <f t="shared" si="0"/>
        <v>ANZ</v>
      </c>
      <c r="Z19" t="str">
        <f t="shared" si="1"/>
        <v>EP_Gas-CHP</v>
      </c>
      <c r="AA19" s="4">
        <f t="shared" si="2"/>
        <v>0.25</v>
      </c>
      <c r="AB19">
        <v>3</v>
      </c>
      <c r="AC19" s="4" t="str">
        <f t="shared" si="3"/>
        <v>NCAP_CHPR</v>
      </c>
      <c r="AD19" t="s">
        <v>17</v>
      </c>
      <c r="AH19" t="s">
        <v>42</v>
      </c>
      <c r="AI19" t="s">
        <v>36</v>
      </c>
      <c r="AJ19">
        <v>2</v>
      </c>
      <c r="AK19">
        <v>3</v>
      </c>
      <c r="AL19" t="s">
        <v>138</v>
      </c>
      <c r="AM19" t="s">
        <v>93</v>
      </c>
    </row>
    <row r="20" spans="1:39" x14ac:dyDescent="0.3">
      <c r="A20" t="s">
        <v>42</v>
      </c>
      <c r="B20" t="s">
        <v>43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/>
      <c r="U20" s="4"/>
      <c r="V20" s="4"/>
      <c r="W20" s="4"/>
      <c r="Y20" t="str">
        <f t="shared" si="0"/>
        <v>ANZ</v>
      </c>
      <c r="Z20" t="str">
        <f t="shared" si="1"/>
        <v>EP_Geo-CHP</v>
      </c>
      <c r="AA20" s="4">
        <f t="shared" si="2"/>
        <v>0.25</v>
      </c>
      <c r="AB20">
        <v>3</v>
      </c>
      <c r="AC20" s="4" t="str">
        <f t="shared" si="3"/>
        <v>NCAP_CHPR</v>
      </c>
      <c r="AD20" t="s">
        <v>17</v>
      </c>
      <c r="AH20" t="s">
        <v>42</v>
      </c>
      <c r="AI20" t="s">
        <v>43</v>
      </c>
      <c r="AJ20">
        <v>2</v>
      </c>
      <c r="AK20">
        <v>3</v>
      </c>
      <c r="AL20" t="s">
        <v>138</v>
      </c>
      <c r="AM20" t="s">
        <v>93</v>
      </c>
    </row>
    <row r="21" spans="1:39" x14ac:dyDescent="0.3">
      <c r="A21" t="s">
        <v>42</v>
      </c>
      <c r="B21" t="s">
        <v>37</v>
      </c>
      <c r="C21" s="4"/>
      <c r="D21" s="4"/>
      <c r="E21" s="4"/>
      <c r="F21" s="4"/>
      <c r="G21" s="4"/>
      <c r="H21" s="4"/>
      <c r="I21" s="4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/>
      <c r="U21" s="4"/>
      <c r="V21" s="4"/>
      <c r="W21" s="4"/>
      <c r="Y21" t="str">
        <f t="shared" si="0"/>
        <v>ANZ</v>
      </c>
      <c r="Z21" t="str">
        <f t="shared" si="1"/>
        <v>EP_Oil-CHP</v>
      </c>
      <c r="AA21" s="4">
        <f t="shared" si="2"/>
        <v>0.25</v>
      </c>
      <c r="AB21">
        <v>3</v>
      </c>
      <c r="AC21" s="4" t="str">
        <f t="shared" si="3"/>
        <v>NCAP_CHPR</v>
      </c>
      <c r="AD21" t="s">
        <v>17</v>
      </c>
      <c r="AH21" t="s">
        <v>42</v>
      </c>
      <c r="AI21" t="s">
        <v>37</v>
      </c>
      <c r="AJ21">
        <v>2</v>
      </c>
      <c r="AK21">
        <v>3</v>
      </c>
      <c r="AL21" t="s">
        <v>138</v>
      </c>
      <c r="AM21" t="s">
        <v>93</v>
      </c>
    </row>
    <row r="22" spans="1:39" x14ac:dyDescent="0.3">
      <c r="A22" t="s">
        <v>42</v>
      </c>
      <c r="B22" t="s">
        <v>39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>
        <v>1.5</v>
      </c>
      <c r="T22" s="4"/>
      <c r="U22" s="4"/>
      <c r="V22" s="4"/>
      <c r="W22" s="4"/>
      <c r="Y22" t="str">
        <f t="shared" si="0"/>
        <v>ANZ</v>
      </c>
      <c r="Z22" t="str">
        <f t="shared" si="1"/>
        <v>EP_Oil_DST-CHP</v>
      </c>
      <c r="AA22" s="4">
        <f t="shared" si="2"/>
        <v>1.5</v>
      </c>
      <c r="AB22">
        <v>3</v>
      </c>
      <c r="AC22" s="4" t="str">
        <f t="shared" si="3"/>
        <v>NCAP_CHPR</v>
      </c>
      <c r="AD22" t="s">
        <v>17</v>
      </c>
      <c r="AH22" t="s">
        <v>42</v>
      </c>
      <c r="AI22" t="s">
        <v>39</v>
      </c>
      <c r="AJ22">
        <v>2</v>
      </c>
      <c r="AK22">
        <v>3</v>
      </c>
      <c r="AL22" t="s">
        <v>138</v>
      </c>
      <c r="AM22" t="s">
        <v>93</v>
      </c>
    </row>
    <row r="23" spans="1:39" x14ac:dyDescent="0.3">
      <c r="A23" t="s">
        <v>42</v>
      </c>
      <c r="B23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/>
      <c r="U23" s="4"/>
      <c r="V23" s="4"/>
      <c r="W23" s="4"/>
      <c r="Y23" t="str">
        <f t="shared" si="0"/>
        <v>ANZ</v>
      </c>
      <c r="Z23" t="str">
        <f t="shared" si="1"/>
        <v>EP_Was-CHP</v>
      </c>
      <c r="AA23" s="4">
        <f t="shared" si="2"/>
        <v>0.25</v>
      </c>
      <c r="AB23">
        <v>3</v>
      </c>
      <c r="AC23" s="4" t="str">
        <f t="shared" si="3"/>
        <v>NCAP_CHPR</v>
      </c>
      <c r="AD23" t="s">
        <v>17</v>
      </c>
      <c r="AH23" t="s">
        <v>42</v>
      </c>
      <c r="AI23" t="s">
        <v>40</v>
      </c>
      <c r="AJ23">
        <v>2</v>
      </c>
      <c r="AK23">
        <v>3</v>
      </c>
      <c r="AL23" t="s">
        <v>138</v>
      </c>
      <c r="AM23" t="s">
        <v>93</v>
      </c>
    </row>
    <row r="24" spans="1:39" x14ac:dyDescent="0.3">
      <c r="A24" t="s">
        <v>44</v>
      </c>
      <c r="B24" t="s">
        <v>34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/>
      <c r="U24" s="4"/>
      <c r="V24" s="4"/>
      <c r="W24" s="4"/>
      <c r="Y24" t="str">
        <f t="shared" si="0"/>
        <v>BRZ</v>
      </c>
      <c r="Z24" t="str">
        <f t="shared" si="1"/>
        <v>EP_Bio-CHP</v>
      </c>
      <c r="AA24" s="4">
        <f t="shared" si="2"/>
        <v>0.25</v>
      </c>
      <c r="AB24">
        <v>3</v>
      </c>
      <c r="AC24" s="4" t="str">
        <f t="shared" si="3"/>
        <v>NCAP_CHPR</v>
      </c>
      <c r="AD24" t="s">
        <v>17</v>
      </c>
      <c r="AH24" t="s">
        <v>44</v>
      </c>
      <c r="AI24" t="s">
        <v>34</v>
      </c>
      <c r="AJ24">
        <v>2</v>
      </c>
      <c r="AK24">
        <v>3</v>
      </c>
      <c r="AL24" t="s">
        <v>138</v>
      </c>
      <c r="AM24" t="s">
        <v>93</v>
      </c>
    </row>
    <row r="25" spans="1:39" x14ac:dyDescent="0.3">
      <c r="A25" t="s">
        <v>44</v>
      </c>
      <c r="B25" t="s">
        <v>35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/>
      <c r="U25" s="4"/>
      <c r="V25" s="4"/>
      <c r="W25" s="4"/>
      <c r="Y25" t="str">
        <f t="shared" si="0"/>
        <v>BRZ</v>
      </c>
      <c r="Z25" t="str">
        <f t="shared" si="1"/>
        <v>EP_Coa-CHP</v>
      </c>
      <c r="AA25" s="4">
        <f t="shared" si="2"/>
        <v>0.25</v>
      </c>
      <c r="AB25">
        <v>3</v>
      </c>
      <c r="AC25" s="4" t="str">
        <f t="shared" si="3"/>
        <v>NCAP_CHPR</v>
      </c>
      <c r="AD25" t="s">
        <v>17</v>
      </c>
      <c r="AH25" t="s">
        <v>44</v>
      </c>
      <c r="AI25" t="s">
        <v>35</v>
      </c>
      <c r="AJ25">
        <v>2</v>
      </c>
      <c r="AK25">
        <v>3</v>
      </c>
      <c r="AL25" t="s">
        <v>138</v>
      </c>
      <c r="AM25" t="s">
        <v>93</v>
      </c>
    </row>
    <row r="26" spans="1:39" x14ac:dyDescent="0.3">
      <c r="A26" t="s">
        <v>44</v>
      </c>
      <c r="B26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/>
      <c r="U26" s="4"/>
      <c r="V26" s="4"/>
      <c r="W26" s="4"/>
      <c r="Y26" t="str">
        <f t="shared" si="0"/>
        <v>BRZ</v>
      </c>
      <c r="Z26" t="str">
        <f t="shared" si="1"/>
        <v>EP_Gas-CHP</v>
      </c>
      <c r="AA26" s="4">
        <f t="shared" si="2"/>
        <v>0.25</v>
      </c>
      <c r="AB26">
        <v>3</v>
      </c>
      <c r="AC26" s="4" t="str">
        <f t="shared" si="3"/>
        <v>NCAP_CHPR</v>
      </c>
      <c r="AD26" t="s">
        <v>17</v>
      </c>
      <c r="AH26" t="s">
        <v>44</v>
      </c>
      <c r="AI26" t="s">
        <v>36</v>
      </c>
      <c r="AJ26">
        <v>2</v>
      </c>
      <c r="AK26">
        <v>3</v>
      </c>
      <c r="AL26" t="s">
        <v>138</v>
      </c>
      <c r="AM26" t="s">
        <v>93</v>
      </c>
    </row>
    <row r="27" spans="1:39" x14ac:dyDescent="0.3">
      <c r="A27" t="s">
        <v>44</v>
      </c>
      <c r="B27" t="s">
        <v>37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/>
      <c r="U27" s="4"/>
      <c r="V27" s="4"/>
      <c r="W27" s="4"/>
      <c r="Y27" t="str">
        <f t="shared" si="0"/>
        <v>BRZ</v>
      </c>
      <c r="Z27" t="str">
        <f t="shared" si="1"/>
        <v>EP_Oil-CHP</v>
      </c>
      <c r="AA27" s="4">
        <f t="shared" si="2"/>
        <v>0.25</v>
      </c>
      <c r="AB27">
        <v>3</v>
      </c>
      <c r="AC27" s="4" t="str">
        <f t="shared" si="3"/>
        <v>NCAP_CHPR</v>
      </c>
      <c r="AD27" t="s">
        <v>17</v>
      </c>
      <c r="AH27" t="s">
        <v>44</v>
      </c>
      <c r="AI27" t="s">
        <v>37</v>
      </c>
      <c r="AJ27">
        <v>2</v>
      </c>
      <c r="AK27">
        <v>3</v>
      </c>
      <c r="AL27" t="s">
        <v>138</v>
      </c>
      <c r="AM27" t="s">
        <v>93</v>
      </c>
    </row>
    <row r="28" spans="1:39" x14ac:dyDescent="0.3">
      <c r="A28" t="s">
        <v>44</v>
      </c>
      <c r="B28" t="s">
        <v>39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>
        <v>1.5</v>
      </c>
      <c r="T28" s="4"/>
      <c r="U28" s="4"/>
      <c r="V28" s="4"/>
      <c r="W28" s="4"/>
      <c r="Y28" t="str">
        <f t="shared" si="0"/>
        <v>BRZ</v>
      </c>
      <c r="Z28" t="str">
        <f t="shared" si="1"/>
        <v>EP_Oil_DST-CHP</v>
      </c>
      <c r="AA28" s="4">
        <f t="shared" si="2"/>
        <v>1.5</v>
      </c>
      <c r="AB28">
        <v>3</v>
      </c>
      <c r="AC28" s="4" t="str">
        <f t="shared" si="3"/>
        <v>NCAP_CHPR</v>
      </c>
      <c r="AD28" t="s">
        <v>17</v>
      </c>
      <c r="AH28" t="s">
        <v>44</v>
      </c>
      <c r="AI28" t="s">
        <v>39</v>
      </c>
      <c r="AJ28">
        <v>2</v>
      </c>
      <c r="AK28">
        <v>3</v>
      </c>
      <c r="AL28" t="s">
        <v>138</v>
      </c>
      <c r="AM28" t="s">
        <v>93</v>
      </c>
    </row>
    <row r="29" spans="1:39" x14ac:dyDescent="0.3">
      <c r="A29" t="s">
        <v>44</v>
      </c>
      <c r="B29" t="s">
        <v>40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/>
      <c r="U29" s="4"/>
      <c r="V29" s="4"/>
      <c r="W29" s="4"/>
      <c r="Y29" t="str">
        <f t="shared" si="0"/>
        <v>BRZ</v>
      </c>
      <c r="Z29" t="str">
        <f t="shared" si="1"/>
        <v>EP_Was-CHP</v>
      </c>
      <c r="AA29" s="4">
        <f t="shared" si="2"/>
        <v>0.25</v>
      </c>
      <c r="AB29">
        <v>3</v>
      </c>
      <c r="AC29" s="4" t="str">
        <f t="shared" si="3"/>
        <v>NCAP_CHPR</v>
      </c>
      <c r="AD29" t="s">
        <v>17</v>
      </c>
      <c r="AH29" t="s">
        <v>44</v>
      </c>
      <c r="AI29" t="s">
        <v>40</v>
      </c>
      <c r="AJ29">
        <v>2</v>
      </c>
      <c r="AK29">
        <v>3</v>
      </c>
      <c r="AL29" t="s">
        <v>138</v>
      </c>
      <c r="AM29" t="s">
        <v>93</v>
      </c>
    </row>
    <row r="30" spans="1:39" x14ac:dyDescent="0.3">
      <c r="A30" t="s">
        <v>45</v>
      </c>
      <c r="B30" t="s">
        <v>34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>
        <v>1.5</v>
      </c>
      <c r="T30" s="4"/>
      <c r="U30" s="4"/>
      <c r="V30" s="4"/>
      <c r="W30" s="4"/>
      <c r="Y30" t="str">
        <f t="shared" si="0"/>
        <v>CAN</v>
      </c>
      <c r="Z30" t="str">
        <f t="shared" si="1"/>
        <v>EP_Bio-CHP</v>
      </c>
      <c r="AA30" s="4">
        <f t="shared" si="2"/>
        <v>1.5</v>
      </c>
      <c r="AB30">
        <v>3</v>
      </c>
      <c r="AC30" s="4" t="str">
        <f t="shared" si="3"/>
        <v>NCAP_CHPR</v>
      </c>
      <c r="AD30" t="s">
        <v>17</v>
      </c>
      <c r="AH30" t="s">
        <v>45</v>
      </c>
      <c r="AI30" t="s">
        <v>34</v>
      </c>
      <c r="AJ30">
        <v>2</v>
      </c>
      <c r="AK30">
        <v>3</v>
      </c>
      <c r="AL30" t="s">
        <v>138</v>
      </c>
      <c r="AM30" t="s">
        <v>93</v>
      </c>
    </row>
    <row r="31" spans="1:39" x14ac:dyDescent="0.3">
      <c r="A31" t="s">
        <v>45</v>
      </c>
      <c r="B31" t="s">
        <v>35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>
        <v>1.5</v>
      </c>
      <c r="T31" s="4"/>
      <c r="U31" s="4"/>
      <c r="V31" s="4"/>
      <c r="W31" s="4"/>
      <c r="Y31" t="str">
        <f t="shared" si="0"/>
        <v>CAN</v>
      </c>
      <c r="Z31" t="str">
        <f t="shared" si="1"/>
        <v>EP_Coa-CHP</v>
      </c>
      <c r="AA31" s="4">
        <f t="shared" si="2"/>
        <v>1.5</v>
      </c>
      <c r="AB31">
        <v>3</v>
      </c>
      <c r="AC31" s="4" t="str">
        <f t="shared" si="3"/>
        <v>NCAP_CHPR</v>
      </c>
      <c r="AD31" t="s">
        <v>17</v>
      </c>
      <c r="AH31" t="s">
        <v>45</v>
      </c>
      <c r="AI31" t="s">
        <v>35</v>
      </c>
      <c r="AJ31">
        <v>2</v>
      </c>
      <c r="AK31">
        <v>3</v>
      </c>
      <c r="AL31" t="s">
        <v>138</v>
      </c>
      <c r="AM31" t="s">
        <v>93</v>
      </c>
    </row>
    <row r="32" spans="1:39" x14ac:dyDescent="0.3">
      <c r="A32" t="s">
        <v>45</v>
      </c>
      <c r="B32" t="s">
        <v>36</v>
      </c>
      <c r="C32" s="4">
        <v>0.82841265466514236</v>
      </c>
      <c r="D32" s="4">
        <v>1.0581962558173232</v>
      </c>
      <c r="E32" s="4">
        <v>1.0534876350523019</v>
      </c>
      <c r="F32" s="4">
        <v>0.62977449993285073</v>
      </c>
      <c r="G32" s="4">
        <v>0.58175229666815598</v>
      </c>
      <c r="H32" s="4">
        <v>0.51861816984999076</v>
      </c>
      <c r="I32" s="4">
        <v>0.54356345128761907</v>
      </c>
      <c r="J32" s="4">
        <v>0.61551816364607637</v>
      </c>
      <c r="K32" s="4">
        <v>0.48765401896522587</v>
      </c>
      <c r="L32" s="4">
        <v>0.43122379432596586</v>
      </c>
      <c r="M32" s="4">
        <v>0.593099969195788</v>
      </c>
      <c r="N32" s="4">
        <v>0.55434397367696231</v>
      </c>
      <c r="O32" s="4">
        <v>0.57165666908963908</v>
      </c>
      <c r="P32" s="4">
        <v>0.38824557782648078</v>
      </c>
      <c r="Q32" s="4">
        <v>0.34523890555774017</v>
      </c>
      <c r="R32" s="4">
        <v>0.70948671663888285</v>
      </c>
      <c r="S32" s="4">
        <v>0.43722235316680175</v>
      </c>
      <c r="T32" s="4"/>
      <c r="U32" s="4"/>
      <c r="V32" s="4"/>
      <c r="W32" s="4"/>
      <c r="Y32" t="str">
        <f t="shared" si="0"/>
        <v>CAN</v>
      </c>
      <c r="Z32" t="str">
        <f t="shared" si="1"/>
        <v>EP_Gas-CHP</v>
      </c>
      <c r="AA32" s="4">
        <f t="shared" si="2"/>
        <v>0.57335453490284227</v>
      </c>
      <c r="AB32">
        <v>3</v>
      </c>
      <c r="AC32" s="4" t="str">
        <f t="shared" si="3"/>
        <v>NCAP_CHPR</v>
      </c>
      <c r="AD32" t="s">
        <v>17</v>
      </c>
      <c r="AH32" t="s">
        <v>45</v>
      </c>
      <c r="AI32" t="s">
        <v>36</v>
      </c>
      <c r="AJ32">
        <v>2</v>
      </c>
      <c r="AK32">
        <v>3</v>
      </c>
      <c r="AL32" t="s">
        <v>138</v>
      </c>
      <c r="AM32" t="s">
        <v>93</v>
      </c>
    </row>
    <row r="33" spans="1:39" x14ac:dyDescent="0.3">
      <c r="A33" t="s">
        <v>45</v>
      </c>
      <c r="B33" t="s">
        <v>37</v>
      </c>
      <c r="C33" s="4">
        <v>84.407686320447212</v>
      </c>
      <c r="D33" s="4">
        <v>110.86956481829786</v>
      </c>
      <c r="E33" s="4">
        <v>122.21730317165725</v>
      </c>
      <c r="F33" s="4">
        <v>86.553513071257314</v>
      </c>
      <c r="G33" s="4">
        <v>93.304074302616939</v>
      </c>
      <c r="H33" s="4">
        <v>59.306003410923068</v>
      </c>
      <c r="I33" s="4">
        <v>29.766129614208015</v>
      </c>
      <c r="J33" s="4">
        <v>48.287166575815455</v>
      </c>
      <c r="K33" s="4">
        <v>39.059153687468694</v>
      </c>
      <c r="L33" s="4">
        <v>12.656844868918421</v>
      </c>
      <c r="M33" s="4">
        <v>2.4907947719447101</v>
      </c>
      <c r="N33" s="4">
        <v>1.248386127123732</v>
      </c>
      <c r="O33" s="4">
        <v>1.2761538691369694</v>
      </c>
      <c r="P33" s="4">
        <v>1.2598847459506013</v>
      </c>
      <c r="Q33" s="4">
        <v>6.2969299874955524</v>
      </c>
      <c r="R33" s="4">
        <v>1.2595705255535694</v>
      </c>
      <c r="S33" s="4">
        <v>1.2601507871621835</v>
      </c>
      <c r="T33" s="4"/>
      <c r="U33" s="4"/>
      <c r="V33" s="4"/>
      <c r="W33" s="4"/>
      <c r="Y33" t="str">
        <f t="shared" si="0"/>
        <v>CAN</v>
      </c>
      <c r="Z33" t="str">
        <f t="shared" si="1"/>
        <v>EP_Oil-CHP</v>
      </c>
      <c r="AA33" s="4">
        <f t="shared" si="2"/>
        <v>1.2598606563578765</v>
      </c>
      <c r="AB33">
        <v>3</v>
      </c>
      <c r="AC33" s="4" t="str">
        <f t="shared" si="3"/>
        <v>NCAP_CHPR</v>
      </c>
      <c r="AD33" t="s">
        <v>17</v>
      </c>
      <c r="AH33" t="s">
        <v>45</v>
      </c>
      <c r="AI33" t="s">
        <v>37</v>
      </c>
      <c r="AJ33">
        <v>2</v>
      </c>
      <c r="AK33">
        <v>3</v>
      </c>
      <c r="AL33" t="s">
        <v>138</v>
      </c>
      <c r="AM33" t="s">
        <v>93</v>
      </c>
    </row>
    <row r="34" spans="1:39" x14ac:dyDescent="0.3">
      <c r="A34" t="s">
        <v>45</v>
      </c>
      <c r="B34" t="s">
        <v>39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>
        <v>1.5</v>
      </c>
      <c r="T34" s="4"/>
      <c r="U34" s="4"/>
      <c r="V34" s="4"/>
      <c r="W34" s="4"/>
      <c r="Y34" t="str">
        <f t="shared" si="0"/>
        <v>CAN</v>
      </c>
      <c r="Z34" t="str">
        <f t="shared" si="1"/>
        <v>EP_Oil_DST-CHP</v>
      </c>
      <c r="AA34" s="4">
        <f t="shared" si="2"/>
        <v>1.5</v>
      </c>
      <c r="AB34">
        <v>3</v>
      </c>
      <c r="AC34" s="4" t="str">
        <f t="shared" si="3"/>
        <v>NCAP_CHPR</v>
      </c>
      <c r="AD34" t="s">
        <v>17</v>
      </c>
      <c r="AH34" t="s">
        <v>45</v>
      </c>
      <c r="AI34" t="s">
        <v>39</v>
      </c>
      <c r="AJ34">
        <v>2</v>
      </c>
      <c r="AK34">
        <v>3</v>
      </c>
      <c r="AL34" t="s">
        <v>138</v>
      </c>
      <c r="AM34" t="s">
        <v>93</v>
      </c>
    </row>
    <row r="35" spans="1:39" x14ac:dyDescent="0.3">
      <c r="A35" t="s">
        <v>45</v>
      </c>
      <c r="B35" t="s">
        <v>40</v>
      </c>
      <c r="C35" s="4">
        <v>0.42672895945678235</v>
      </c>
      <c r="D35" s="4">
        <v>0.41439133965269581</v>
      </c>
      <c r="E35" s="4">
        <v>0.43989327471504419</v>
      </c>
      <c r="F35" s="4">
        <v>0.38876074674615069</v>
      </c>
      <c r="G35" s="4">
        <v>0.41674339069530153</v>
      </c>
      <c r="H35" s="4">
        <v>0.25959255078724025</v>
      </c>
      <c r="I35" s="4">
        <v>0.3524494939334179</v>
      </c>
      <c r="J35" s="4">
        <v>0.37106304009078123</v>
      </c>
      <c r="K35" s="4">
        <v>0.41702369862790617</v>
      </c>
      <c r="L35" s="4">
        <v>0.49395543528762798</v>
      </c>
      <c r="M35" s="4">
        <v>0.49510773859706753</v>
      </c>
      <c r="N35" s="4">
        <v>0.37509629150803075</v>
      </c>
      <c r="O35" s="4">
        <v>0.36546592210576767</v>
      </c>
      <c r="P35" s="4">
        <v>0.36997062681746656</v>
      </c>
      <c r="Q35" s="4">
        <v>0.37819848932216993</v>
      </c>
      <c r="R35" s="4">
        <v>0.39078981033392335</v>
      </c>
      <c r="S35" s="4">
        <v>0.39072002654820137</v>
      </c>
      <c r="T35" s="4"/>
      <c r="U35" s="4"/>
      <c r="V35" s="4"/>
      <c r="W35" s="4"/>
      <c r="Y35" t="str">
        <f t="shared" si="0"/>
        <v>CAN</v>
      </c>
      <c r="Z35" t="str">
        <f t="shared" si="1"/>
        <v>EP_Was-CHP</v>
      </c>
      <c r="AA35" s="4">
        <f t="shared" si="2"/>
        <v>0.39075491844106236</v>
      </c>
      <c r="AB35">
        <v>3</v>
      </c>
      <c r="AC35" s="4" t="str">
        <f t="shared" si="3"/>
        <v>NCAP_CHPR</v>
      </c>
      <c r="AD35" t="s">
        <v>17</v>
      </c>
      <c r="AH35" t="s">
        <v>45</v>
      </c>
      <c r="AI35" t="s">
        <v>40</v>
      </c>
      <c r="AJ35">
        <v>2</v>
      </c>
      <c r="AK35">
        <v>3</v>
      </c>
      <c r="AL35" t="s">
        <v>138</v>
      </c>
      <c r="AM35" t="s">
        <v>93</v>
      </c>
    </row>
    <row r="36" spans="1:39" x14ac:dyDescent="0.3">
      <c r="A36" t="s">
        <v>46</v>
      </c>
      <c r="B36" t="s">
        <v>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>
        <v>1.5</v>
      </c>
      <c r="T36" s="4"/>
      <c r="U36" s="4"/>
      <c r="V36" s="4"/>
      <c r="W36" s="4"/>
      <c r="Y36" t="str">
        <f t="shared" si="0"/>
        <v>CHI</v>
      </c>
      <c r="Z36" t="str">
        <f t="shared" si="1"/>
        <v>EP_Bio-CHP</v>
      </c>
      <c r="AA36" s="4">
        <f t="shared" si="2"/>
        <v>1.5</v>
      </c>
      <c r="AB36">
        <v>3</v>
      </c>
      <c r="AC36" s="4" t="str">
        <f t="shared" si="3"/>
        <v>NCAP_CHPR</v>
      </c>
      <c r="AD36" t="s">
        <v>17</v>
      </c>
      <c r="AH36" t="s">
        <v>46</v>
      </c>
      <c r="AI36" t="s">
        <v>34</v>
      </c>
      <c r="AJ36">
        <v>2</v>
      </c>
      <c r="AK36">
        <v>3</v>
      </c>
      <c r="AL36" t="s">
        <v>138</v>
      </c>
      <c r="AM36" t="s">
        <v>93</v>
      </c>
    </row>
    <row r="37" spans="1:39" x14ac:dyDescent="0.3">
      <c r="A37" t="s">
        <v>46</v>
      </c>
      <c r="B37" t="s">
        <v>35</v>
      </c>
      <c r="C37" s="4"/>
      <c r="D37" s="4"/>
      <c r="E37" s="4"/>
      <c r="F37" s="4">
        <v>0.71033415563131097</v>
      </c>
      <c r="G37" s="4">
        <v>0.33409618831555216</v>
      </c>
      <c r="H37" s="4">
        <v>0.31745450311633994</v>
      </c>
      <c r="I37" s="4">
        <v>0.28149032011703484</v>
      </c>
      <c r="J37" s="4">
        <v>0.26202453034958656</v>
      </c>
      <c r="K37" s="4">
        <v>0.27340155950637907</v>
      </c>
      <c r="L37" s="4">
        <v>0.26762468314525101</v>
      </c>
      <c r="M37" s="4">
        <v>0.30915167401409438</v>
      </c>
      <c r="N37" s="4">
        <v>0.31696165002177762</v>
      </c>
      <c r="O37" s="4">
        <v>0.3163770452474931</v>
      </c>
      <c r="P37" s="4">
        <v>0.33538569508661109</v>
      </c>
      <c r="Q37" s="4">
        <v>0.3445382814372856</v>
      </c>
      <c r="R37" s="4">
        <v>0.60387999512347124</v>
      </c>
      <c r="S37" s="4">
        <v>0.63024723834200669</v>
      </c>
      <c r="T37" s="4"/>
      <c r="U37" s="4"/>
      <c r="V37" s="4"/>
      <c r="W37" s="4"/>
      <c r="Y37" t="str">
        <f t="shared" si="0"/>
        <v>CHI</v>
      </c>
      <c r="Z37" t="str">
        <f t="shared" si="1"/>
        <v>EP_Coa-CHP</v>
      </c>
      <c r="AA37" s="4">
        <f t="shared" si="2"/>
        <v>0.61706361673273902</v>
      </c>
      <c r="AB37">
        <v>3</v>
      </c>
      <c r="AC37" s="4" t="str">
        <f t="shared" si="3"/>
        <v>NCAP_CHPR</v>
      </c>
      <c r="AD37" t="s">
        <v>17</v>
      </c>
      <c r="AH37" t="s">
        <v>46</v>
      </c>
      <c r="AI37" t="s">
        <v>35</v>
      </c>
      <c r="AJ37">
        <v>2</v>
      </c>
      <c r="AK37">
        <v>3</v>
      </c>
      <c r="AL37" t="s">
        <v>138</v>
      </c>
      <c r="AM37" t="s">
        <v>93</v>
      </c>
    </row>
    <row r="38" spans="1:39" x14ac:dyDescent="0.3">
      <c r="A38" t="s">
        <v>46</v>
      </c>
      <c r="B38" t="s">
        <v>47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>
        <v>1.5</v>
      </c>
      <c r="T38" s="4"/>
      <c r="U38" s="4"/>
      <c r="V38" s="4"/>
      <c r="W38" s="4"/>
      <c r="Y38" t="str">
        <f t="shared" si="0"/>
        <v>CHI</v>
      </c>
      <c r="Z38" t="str">
        <f t="shared" si="1"/>
        <v>EP_CoaG-CHP</v>
      </c>
      <c r="AA38" s="4">
        <f t="shared" si="2"/>
        <v>1.5</v>
      </c>
      <c r="AB38">
        <v>3</v>
      </c>
      <c r="AC38" s="4" t="str">
        <f t="shared" si="3"/>
        <v>NCAP_CHPR</v>
      </c>
      <c r="AD38" t="s">
        <v>17</v>
      </c>
      <c r="AH38" t="s">
        <v>46</v>
      </c>
      <c r="AI38" t="s">
        <v>47</v>
      </c>
      <c r="AJ38">
        <v>2</v>
      </c>
      <c r="AK38">
        <v>3</v>
      </c>
      <c r="AL38" t="s">
        <v>138</v>
      </c>
      <c r="AM38" t="s">
        <v>93</v>
      </c>
    </row>
    <row r="39" spans="1:39" x14ac:dyDescent="0.3">
      <c r="A39" t="s">
        <v>46</v>
      </c>
      <c r="B39" t="s">
        <v>36</v>
      </c>
      <c r="C39" s="4"/>
      <c r="D39" s="4"/>
      <c r="E39" s="4"/>
      <c r="F39" s="4">
        <v>2.6908562318123437</v>
      </c>
      <c r="G39" s="4">
        <v>0.91169929137890304</v>
      </c>
      <c r="H39" s="4">
        <v>0.90707577423503982</v>
      </c>
      <c r="I39" s="4">
        <v>0.87443423346653504</v>
      </c>
      <c r="J39" s="4">
        <v>0.82746323385915777</v>
      </c>
      <c r="K39" s="4">
        <v>0.80324479591395537</v>
      </c>
      <c r="L39" s="4">
        <v>0.81711844863979999</v>
      </c>
      <c r="M39" s="4">
        <v>0.78912822501265945</v>
      </c>
      <c r="N39" s="4">
        <v>0.78268760896531753</v>
      </c>
      <c r="O39" s="4">
        <v>0.83086921455490537</v>
      </c>
      <c r="P39" s="4">
        <v>0.84006732664696815</v>
      </c>
      <c r="Q39" s="4">
        <v>0.839266473723148</v>
      </c>
      <c r="R39" s="4">
        <v>2.4228867582963725</v>
      </c>
      <c r="S39" s="4">
        <v>2.409222513268884</v>
      </c>
      <c r="T39" s="4"/>
      <c r="U39" s="4"/>
      <c r="V39" s="4"/>
      <c r="W39" s="4"/>
      <c r="Y39" t="str">
        <f t="shared" si="0"/>
        <v>CHI</v>
      </c>
      <c r="Z39" t="str">
        <f t="shared" si="1"/>
        <v>EP_Gas-CHP</v>
      </c>
      <c r="AA39" s="4">
        <f t="shared" si="2"/>
        <v>2.4160546357826282</v>
      </c>
      <c r="AB39">
        <v>3</v>
      </c>
      <c r="AC39" s="4" t="str">
        <f t="shared" si="3"/>
        <v>NCAP_CHPR</v>
      </c>
      <c r="AD39" t="s">
        <v>17</v>
      </c>
      <c r="AH39" t="s">
        <v>46</v>
      </c>
      <c r="AI39" t="s">
        <v>36</v>
      </c>
      <c r="AJ39">
        <v>2</v>
      </c>
      <c r="AK39">
        <v>3</v>
      </c>
      <c r="AL39" t="s">
        <v>138</v>
      </c>
      <c r="AM39" t="s">
        <v>93</v>
      </c>
    </row>
    <row r="40" spans="1:39" x14ac:dyDescent="0.3">
      <c r="A40" t="s">
        <v>46</v>
      </c>
      <c r="B40" t="s">
        <v>48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>
        <v>1.5</v>
      </c>
      <c r="T40" s="4"/>
      <c r="U40" s="4"/>
      <c r="V40" s="4"/>
      <c r="W40" s="4"/>
      <c r="Y40" t="str">
        <f t="shared" si="0"/>
        <v>CHI</v>
      </c>
      <c r="Z40" t="str">
        <f t="shared" si="1"/>
        <v>EP_Nuc-CHP</v>
      </c>
      <c r="AA40" s="4">
        <f t="shared" si="2"/>
        <v>1.5</v>
      </c>
      <c r="AB40">
        <v>3</v>
      </c>
      <c r="AC40" s="4" t="str">
        <f t="shared" si="3"/>
        <v>NCAP_CHPR</v>
      </c>
      <c r="AD40" t="s">
        <v>17</v>
      </c>
      <c r="AH40" t="s">
        <v>46</v>
      </c>
      <c r="AI40" t="s">
        <v>48</v>
      </c>
      <c r="AJ40">
        <v>2</v>
      </c>
      <c r="AK40">
        <v>3</v>
      </c>
      <c r="AL40" t="s">
        <v>138</v>
      </c>
      <c r="AM40" t="s">
        <v>93</v>
      </c>
    </row>
    <row r="41" spans="1:39" x14ac:dyDescent="0.3">
      <c r="A41" t="s">
        <v>46</v>
      </c>
      <c r="B41" t="s">
        <v>37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>
        <v>1.5</v>
      </c>
      <c r="T41" s="4"/>
      <c r="U41" s="4"/>
      <c r="V41" s="4"/>
      <c r="W41" s="4"/>
      <c r="Y41" t="str">
        <f t="shared" si="0"/>
        <v>CHI</v>
      </c>
      <c r="Z41" t="str">
        <f t="shared" si="1"/>
        <v>EP_Oil-CHP</v>
      </c>
      <c r="AA41" s="4">
        <f t="shared" si="2"/>
        <v>1.5</v>
      </c>
      <c r="AB41">
        <v>3</v>
      </c>
      <c r="AC41" s="4" t="str">
        <f t="shared" si="3"/>
        <v>NCAP_CHPR</v>
      </c>
      <c r="AD41" t="s">
        <v>17</v>
      </c>
      <c r="AH41" t="s">
        <v>46</v>
      </c>
      <c r="AI41" t="s">
        <v>37</v>
      </c>
      <c r="AJ41">
        <v>2</v>
      </c>
      <c r="AK41">
        <v>3</v>
      </c>
      <c r="AL41" t="s">
        <v>138</v>
      </c>
      <c r="AM41" t="s">
        <v>93</v>
      </c>
    </row>
    <row r="42" spans="1:39" x14ac:dyDescent="0.3">
      <c r="A42" t="s">
        <v>46</v>
      </c>
      <c r="B42" t="s">
        <v>39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>
        <v>1.5</v>
      </c>
      <c r="T42" s="4"/>
      <c r="U42" s="4"/>
      <c r="V42" s="4"/>
      <c r="W42" s="4"/>
      <c r="Y42" t="str">
        <f t="shared" si="0"/>
        <v>CHI</v>
      </c>
      <c r="Z42" t="str">
        <f t="shared" si="1"/>
        <v>EP_Oil_DST-CHP</v>
      </c>
      <c r="AA42" s="4">
        <f t="shared" si="2"/>
        <v>1.5</v>
      </c>
      <c r="AB42">
        <v>3</v>
      </c>
      <c r="AC42" s="4" t="str">
        <f t="shared" si="3"/>
        <v>NCAP_CHPR</v>
      </c>
      <c r="AD42" t="s">
        <v>17</v>
      </c>
      <c r="AH42" t="s">
        <v>46</v>
      </c>
      <c r="AI42" t="s">
        <v>39</v>
      </c>
      <c r="AJ42">
        <v>2</v>
      </c>
      <c r="AK42">
        <v>3</v>
      </c>
      <c r="AL42" t="s">
        <v>138</v>
      </c>
      <c r="AM42" t="s">
        <v>93</v>
      </c>
    </row>
    <row r="43" spans="1:39" x14ac:dyDescent="0.3">
      <c r="A43" t="s">
        <v>46</v>
      </c>
      <c r="B43" t="s">
        <v>40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>
        <v>1.5</v>
      </c>
      <c r="T43" s="4"/>
      <c r="U43" s="4"/>
      <c r="V43" s="4"/>
      <c r="W43" s="4"/>
      <c r="Y43" t="str">
        <f t="shared" si="0"/>
        <v>CHI</v>
      </c>
      <c r="Z43" t="str">
        <f t="shared" si="1"/>
        <v>EP_Was-CHP</v>
      </c>
      <c r="AA43" s="4">
        <f t="shared" si="2"/>
        <v>1.5</v>
      </c>
      <c r="AB43">
        <v>3</v>
      </c>
      <c r="AC43" s="4" t="str">
        <f t="shared" si="3"/>
        <v>NCAP_CHPR</v>
      </c>
      <c r="AD43" t="s">
        <v>17</v>
      </c>
      <c r="AH43" t="s">
        <v>46</v>
      </c>
      <c r="AI43" t="s">
        <v>40</v>
      </c>
      <c r="AJ43">
        <v>2</v>
      </c>
      <c r="AK43">
        <v>3</v>
      </c>
      <c r="AL43" t="s">
        <v>138</v>
      </c>
      <c r="AM43" t="s">
        <v>93</v>
      </c>
    </row>
    <row r="44" spans="1:39" x14ac:dyDescent="0.3">
      <c r="A44" t="s">
        <v>49</v>
      </c>
      <c r="B44" t="s">
        <v>34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/>
      <c r="U44" s="4"/>
      <c r="V44" s="4"/>
      <c r="W44" s="4"/>
      <c r="Y44" t="str">
        <f t="shared" si="0"/>
        <v>CSA</v>
      </c>
      <c r="Z44" t="str">
        <f t="shared" si="1"/>
        <v>EP_Bio-CHP</v>
      </c>
      <c r="AA44" s="4">
        <f t="shared" si="2"/>
        <v>0.25</v>
      </c>
      <c r="AB44">
        <v>3</v>
      </c>
      <c r="AC44" s="4" t="str">
        <f t="shared" si="3"/>
        <v>NCAP_CHPR</v>
      </c>
      <c r="AD44" t="s">
        <v>17</v>
      </c>
      <c r="AH44" t="s">
        <v>49</v>
      </c>
      <c r="AI44" t="s">
        <v>34</v>
      </c>
      <c r="AJ44">
        <v>2</v>
      </c>
      <c r="AK44">
        <v>3</v>
      </c>
      <c r="AL44" t="s">
        <v>138</v>
      </c>
      <c r="AM44" t="s">
        <v>93</v>
      </c>
    </row>
    <row r="45" spans="1:39" x14ac:dyDescent="0.3">
      <c r="A45" t="s">
        <v>49</v>
      </c>
      <c r="B45" t="s">
        <v>35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>
        <v>1.5</v>
      </c>
      <c r="T45" s="4"/>
      <c r="U45" s="4"/>
      <c r="V45" s="4"/>
      <c r="W45" s="4"/>
      <c r="Y45" t="str">
        <f t="shared" si="0"/>
        <v>CSA</v>
      </c>
      <c r="Z45" t="str">
        <f t="shared" si="1"/>
        <v>EP_Coa-CHP</v>
      </c>
      <c r="AA45" s="4">
        <f t="shared" si="2"/>
        <v>1.5</v>
      </c>
      <c r="AB45">
        <v>3</v>
      </c>
      <c r="AC45" s="4" t="str">
        <f t="shared" si="3"/>
        <v>NCAP_CHPR</v>
      </c>
      <c r="AD45" t="s">
        <v>17</v>
      </c>
      <c r="AH45" t="s">
        <v>49</v>
      </c>
      <c r="AI45" t="s">
        <v>35</v>
      </c>
      <c r="AJ45">
        <v>2</v>
      </c>
      <c r="AK45">
        <v>3</v>
      </c>
      <c r="AL45" t="s">
        <v>138</v>
      </c>
      <c r="AM45" t="s">
        <v>93</v>
      </c>
    </row>
    <row r="46" spans="1:39" x14ac:dyDescent="0.3">
      <c r="A46" t="s">
        <v>49</v>
      </c>
      <c r="B46" t="s">
        <v>36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>
        <v>1.5</v>
      </c>
      <c r="T46" s="4"/>
      <c r="U46" s="4"/>
      <c r="V46" s="4"/>
      <c r="W46" s="4"/>
      <c r="Y46" t="str">
        <f t="shared" si="0"/>
        <v>CSA</v>
      </c>
      <c r="Z46" t="str">
        <f t="shared" si="1"/>
        <v>EP_Gas-CHP</v>
      </c>
      <c r="AA46" s="4">
        <f t="shared" si="2"/>
        <v>1.5</v>
      </c>
      <c r="AB46">
        <v>3</v>
      </c>
      <c r="AC46" s="4" t="str">
        <f t="shared" si="3"/>
        <v>NCAP_CHPR</v>
      </c>
      <c r="AD46" t="s">
        <v>17</v>
      </c>
      <c r="AH46" t="s">
        <v>49</v>
      </c>
      <c r="AI46" t="s">
        <v>36</v>
      </c>
      <c r="AJ46">
        <v>2</v>
      </c>
      <c r="AK46">
        <v>3</v>
      </c>
      <c r="AL46" t="s">
        <v>138</v>
      </c>
      <c r="AM46" t="s">
        <v>93</v>
      </c>
    </row>
    <row r="47" spans="1:39" x14ac:dyDescent="0.3">
      <c r="A47" t="s">
        <v>49</v>
      </c>
      <c r="B47" t="s">
        <v>37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>
        <v>1.5</v>
      </c>
      <c r="T47" s="4"/>
      <c r="U47" s="4"/>
      <c r="V47" s="4"/>
      <c r="W47" s="4"/>
      <c r="Y47" t="str">
        <f t="shared" si="0"/>
        <v>CSA</v>
      </c>
      <c r="Z47" t="str">
        <f t="shared" si="1"/>
        <v>EP_Oil-CHP</v>
      </c>
      <c r="AA47" s="4">
        <f t="shared" si="2"/>
        <v>1.5</v>
      </c>
      <c r="AB47">
        <v>3</v>
      </c>
      <c r="AC47" s="4" t="str">
        <f t="shared" si="3"/>
        <v>NCAP_CHPR</v>
      </c>
      <c r="AD47" t="s">
        <v>17</v>
      </c>
      <c r="AH47" t="s">
        <v>49</v>
      </c>
      <c r="AI47" t="s">
        <v>37</v>
      </c>
      <c r="AJ47">
        <v>2</v>
      </c>
      <c r="AK47">
        <v>3</v>
      </c>
      <c r="AL47" t="s">
        <v>138</v>
      </c>
      <c r="AM47" t="s">
        <v>93</v>
      </c>
    </row>
    <row r="48" spans="1:39" x14ac:dyDescent="0.3">
      <c r="A48" t="s">
        <v>49</v>
      </c>
      <c r="B48" t="s">
        <v>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>
        <v>1.5</v>
      </c>
      <c r="T48" s="4"/>
      <c r="U48" s="4"/>
      <c r="V48" s="4"/>
      <c r="W48" s="4"/>
      <c r="Y48" t="str">
        <f t="shared" si="0"/>
        <v>CSA</v>
      </c>
      <c r="Z48" t="str">
        <f t="shared" si="1"/>
        <v>EP_Oil_CRD-CHP</v>
      </c>
      <c r="AA48" s="4">
        <f t="shared" si="2"/>
        <v>1.5</v>
      </c>
      <c r="AB48">
        <v>3</v>
      </c>
      <c r="AC48" s="4" t="str">
        <f t="shared" si="3"/>
        <v>NCAP_CHPR</v>
      </c>
      <c r="AD48" t="s">
        <v>17</v>
      </c>
      <c r="AH48" t="s">
        <v>49</v>
      </c>
      <c r="AI48" t="s">
        <v>38</v>
      </c>
      <c r="AJ48">
        <v>2</v>
      </c>
      <c r="AK48">
        <v>3</v>
      </c>
      <c r="AL48" t="s">
        <v>138</v>
      </c>
      <c r="AM48" t="s">
        <v>93</v>
      </c>
    </row>
    <row r="49" spans="1:39" x14ac:dyDescent="0.3">
      <c r="A49" t="s">
        <v>49</v>
      </c>
      <c r="B49" t="s">
        <v>39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>
        <v>1.5</v>
      </c>
      <c r="T49" s="4"/>
      <c r="U49" s="4"/>
      <c r="V49" s="4"/>
      <c r="W49" s="4"/>
      <c r="Y49" t="str">
        <f t="shared" si="0"/>
        <v>CSA</v>
      </c>
      <c r="Z49" t="str">
        <f t="shared" si="1"/>
        <v>EP_Oil_DST-CHP</v>
      </c>
      <c r="AA49" s="4">
        <f t="shared" si="2"/>
        <v>1.5</v>
      </c>
      <c r="AB49">
        <v>3</v>
      </c>
      <c r="AC49" s="4" t="str">
        <f t="shared" si="3"/>
        <v>NCAP_CHPR</v>
      </c>
      <c r="AD49" t="s">
        <v>17</v>
      </c>
      <c r="AH49" t="s">
        <v>49</v>
      </c>
      <c r="AI49" t="s">
        <v>39</v>
      </c>
      <c r="AJ49">
        <v>2</v>
      </c>
      <c r="AK49">
        <v>3</v>
      </c>
      <c r="AL49" t="s">
        <v>138</v>
      </c>
      <c r="AM49" t="s">
        <v>93</v>
      </c>
    </row>
    <row r="50" spans="1:39" x14ac:dyDescent="0.3">
      <c r="A50" t="s">
        <v>50</v>
      </c>
      <c r="B50" t="s">
        <v>34</v>
      </c>
      <c r="C50" s="4">
        <v>0.7739950535170631</v>
      </c>
      <c r="D50" s="4">
        <v>0.72937907977401428</v>
      </c>
      <c r="E50" s="4">
        <v>0.6772847338957656</v>
      </c>
      <c r="F50" s="4">
        <v>0.69019619423831924</v>
      </c>
      <c r="G50" s="4">
        <v>0.6247951801334054</v>
      </c>
      <c r="H50" s="4">
        <v>0.66937017582192793</v>
      </c>
      <c r="I50" s="4">
        <v>0.66191929284382789</v>
      </c>
      <c r="J50" s="4">
        <v>0.63754630528816425</v>
      </c>
      <c r="K50" s="4">
        <v>0.76826767370618587</v>
      </c>
      <c r="L50" s="4">
        <v>0.77942798632884236</v>
      </c>
      <c r="M50" s="4">
        <v>0.83448704712329203</v>
      </c>
      <c r="N50" s="4">
        <v>0.94185311083405476</v>
      </c>
      <c r="O50" s="4">
        <v>0.98083077446707312</v>
      </c>
      <c r="P50" s="4">
        <v>0.99890979692418991</v>
      </c>
      <c r="Q50" s="4">
        <v>1.0661548672488648</v>
      </c>
      <c r="R50" s="4">
        <v>1.0719095935536909</v>
      </c>
      <c r="S50" s="4">
        <v>1.1105296091288062</v>
      </c>
      <c r="T50" s="4"/>
      <c r="U50" s="4"/>
      <c r="V50" s="4"/>
      <c r="W50" s="4"/>
      <c r="Y50" t="str">
        <f t="shared" si="0"/>
        <v>EUR</v>
      </c>
      <c r="Z50" t="str">
        <f t="shared" si="1"/>
        <v>EP_Bio-CHP</v>
      </c>
      <c r="AA50" s="4">
        <f t="shared" si="2"/>
        <v>1.0912196013412485</v>
      </c>
      <c r="AB50">
        <v>3</v>
      </c>
      <c r="AC50" s="4" t="str">
        <f t="shared" si="3"/>
        <v>NCAP_CHPR</v>
      </c>
      <c r="AD50" t="s">
        <v>17</v>
      </c>
      <c r="AH50" t="s">
        <v>50</v>
      </c>
      <c r="AI50" t="s">
        <v>34</v>
      </c>
      <c r="AJ50">
        <v>2</v>
      </c>
      <c r="AK50">
        <v>3</v>
      </c>
      <c r="AL50" t="s">
        <v>138</v>
      </c>
      <c r="AM50" t="s">
        <v>93</v>
      </c>
    </row>
    <row r="51" spans="1:39" x14ac:dyDescent="0.3">
      <c r="A51" t="s">
        <v>50</v>
      </c>
      <c r="B51" t="s">
        <v>35</v>
      </c>
      <c r="C51" s="4">
        <v>0.74090346596323864</v>
      </c>
      <c r="D51" s="4">
        <v>0.69254159181825803</v>
      </c>
      <c r="E51" s="4">
        <v>0.75841098248733962</v>
      </c>
      <c r="F51" s="4">
        <v>0.75956554570183155</v>
      </c>
      <c r="G51" s="4">
        <v>0.7048360390062447</v>
      </c>
      <c r="H51" s="4">
        <v>0.68545848634068507</v>
      </c>
      <c r="I51" s="4">
        <v>0.69859853535160177</v>
      </c>
      <c r="J51" s="4">
        <v>0.69109922721207373</v>
      </c>
      <c r="K51" s="4">
        <v>0.6465520091969621</v>
      </c>
      <c r="L51" s="4">
        <v>0.61011830082037499</v>
      </c>
      <c r="M51" s="4">
        <v>0.63779213149109049</v>
      </c>
      <c r="N51" s="4">
        <v>0.64859274945933287</v>
      </c>
      <c r="O51" s="4">
        <v>0.6151952948811561</v>
      </c>
      <c r="P51" s="4">
        <v>0.62060187443146431</v>
      </c>
      <c r="Q51" s="4">
        <v>0.62037927058171694</v>
      </c>
      <c r="R51" s="4">
        <v>0.6101057105515113</v>
      </c>
      <c r="S51" s="4">
        <v>0.62598220764205526</v>
      </c>
      <c r="T51" s="4"/>
      <c r="U51" s="4"/>
      <c r="V51" s="4"/>
      <c r="W51" s="4"/>
      <c r="Y51" t="str">
        <f t="shared" si="0"/>
        <v>EUR</v>
      </c>
      <c r="Z51" t="str">
        <f t="shared" si="1"/>
        <v>EP_Coa-CHP</v>
      </c>
      <c r="AA51" s="4">
        <f t="shared" si="2"/>
        <v>0.61804395909678322</v>
      </c>
      <c r="AB51">
        <v>3</v>
      </c>
      <c r="AC51" s="4" t="str">
        <f t="shared" si="3"/>
        <v>NCAP_CHPR</v>
      </c>
      <c r="AD51" t="s">
        <v>17</v>
      </c>
      <c r="AH51" t="s">
        <v>50</v>
      </c>
      <c r="AI51" t="s">
        <v>35</v>
      </c>
      <c r="AJ51">
        <v>2</v>
      </c>
      <c r="AK51">
        <v>3</v>
      </c>
      <c r="AL51" t="s">
        <v>138</v>
      </c>
      <c r="AM51" t="s">
        <v>93</v>
      </c>
    </row>
    <row r="52" spans="1:39" x14ac:dyDescent="0.3">
      <c r="A52" t="s">
        <v>50</v>
      </c>
      <c r="B52" t="s">
        <v>36</v>
      </c>
      <c r="C52" s="4">
        <v>0.89376183980166257</v>
      </c>
      <c r="D52" s="4">
        <v>0.73072512311847992</v>
      </c>
      <c r="E52" s="4">
        <v>0.83006826011362522</v>
      </c>
      <c r="F52" s="4">
        <v>0.77269522068731</v>
      </c>
      <c r="G52" s="4">
        <v>0.75888992560738333</v>
      </c>
      <c r="H52" s="4">
        <v>0.71361754899700891</v>
      </c>
      <c r="I52" s="4">
        <v>0.70248907038031816</v>
      </c>
      <c r="J52" s="4">
        <v>0.68003641315411401</v>
      </c>
      <c r="K52" s="4">
        <v>0.66647695894318282</v>
      </c>
      <c r="L52" s="4">
        <v>0.65886327689680813</v>
      </c>
      <c r="M52" s="4">
        <v>0.66272668950288482</v>
      </c>
      <c r="N52" s="4">
        <v>0.67399785773268461</v>
      </c>
      <c r="O52" s="4">
        <v>0.66299176015654915</v>
      </c>
      <c r="P52" s="4">
        <v>0.60699013752167186</v>
      </c>
      <c r="Q52" s="4">
        <v>0.58694080873248389</v>
      </c>
      <c r="R52" s="4">
        <v>0.56022103925788569</v>
      </c>
      <c r="S52" s="4">
        <v>0.54470569042122485</v>
      </c>
      <c r="T52" s="4"/>
      <c r="U52" s="4"/>
      <c r="V52" s="4"/>
      <c r="W52" s="4"/>
      <c r="Y52" t="str">
        <f t="shared" si="0"/>
        <v>EUR</v>
      </c>
      <c r="Z52" t="str">
        <f t="shared" si="1"/>
        <v>EP_Gas-CHP</v>
      </c>
      <c r="AA52" s="4">
        <f t="shared" si="2"/>
        <v>0.55246336483955527</v>
      </c>
      <c r="AB52">
        <v>3</v>
      </c>
      <c r="AC52" s="4" t="str">
        <f t="shared" si="3"/>
        <v>NCAP_CHPR</v>
      </c>
      <c r="AD52" t="s">
        <v>17</v>
      </c>
      <c r="AH52" t="s">
        <v>50</v>
      </c>
      <c r="AI52" t="s">
        <v>36</v>
      </c>
      <c r="AJ52">
        <v>2</v>
      </c>
      <c r="AK52">
        <v>3</v>
      </c>
      <c r="AL52" t="s">
        <v>138</v>
      </c>
      <c r="AM52" t="s">
        <v>93</v>
      </c>
    </row>
    <row r="53" spans="1:39" x14ac:dyDescent="0.3">
      <c r="A53" t="s">
        <v>50</v>
      </c>
      <c r="B53" t="s">
        <v>43</v>
      </c>
      <c r="C53" s="4">
        <v>0.36176632324392699</v>
      </c>
      <c r="D53" s="4">
        <v>0.35536015563227019</v>
      </c>
      <c r="E53" s="4">
        <v>0.34093362139154954</v>
      </c>
      <c r="F53" s="4">
        <v>0.31763532466353611</v>
      </c>
      <c r="G53" s="4">
        <v>0.26834829742931066</v>
      </c>
      <c r="H53" s="4">
        <v>0.2924518549790886</v>
      </c>
      <c r="I53" s="4">
        <v>0.27246531386407413</v>
      </c>
      <c r="J53" s="4">
        <v>0.26881202568595713</v>
      </c>
      <c r="K53" s="4">
        <v>0.27108775788274025</v>
      </c>
      <c r="L53" s="4">
        <v>0.30206449110514633</v>
      </c>
      <c r="M53" s="4">
        <v>0.32371698762038359</v>
      </c>
      <c r="N53" s="4">
        <v>0.10036440771422107</v>
      </c>
      <c r="O53" s="4">
        <v>9.7453157704348439E-2</v>
      </c>
      <c r="P53" s="4">
        <v>0.12256481879486927</v>
      </c>
      <c r="Q53" s="4">
        <v>0.15226613192042435</v>
      </c>
      <c r="R53" s="4">
        <v>0.17429642292209532</v>
      </c>
      <c r="S53" s="4">
        <v>0.16800339606684175</v>
      </c>
      <c r="T53" s="4"/>
      <c r="U53" s="4"/>
      <c r="V53" s="4"/>
      <c r="W53" s="4"/>
      <c r="Y53" t="str">
        <f t="shared" si="0"/>
        <v>EUR</v>
      </c>
      <c r="Z53" t="str">
        <f t="shared" si="1"/>
        <v>EP_Geo-CHP</v>
      </c>
      <c r="AA53" s="4">
        <f t="shared" si="2"/>
        <v>0.25</v>
      </c>
      <c r="AB53">
        <v>3</v>
      </c>
      <c r="AC53" s="4" t="str">
        <f t="shared" si="3"/>
        <v>NCAP_CHPR</v>
      </c>
      <c r="AD53" t="s">
        <v>17</v>
      </c>
      <c r="AH53" t="s">
        <v>50</v>
      </c>
      <c r="AI53" t="s">
        <v>43</v>
      </c>
      <c r="AJ53">
        <v>2</v>
      </c>
      <c r="AK53">
        <v>3</v>
      </c>
      <c r="AL53" t="s">
        <v>138</v>
      </c>
      <c r="AM53" t="s">
        <v>93</v>
      </c>
    </row>
    <row r="54" spans="1:39" x14ac:dyDescent="0.3">
      <c r="A54" t="s">
        <v>50</v>
      </c>
      <c r="B54" t="s">
        <v>48</v>
      </c>
      <c r="C54" s="4">
        <v>3.1725313446293792E-2</v>
      </c>
      <c r="D54" s="4">
        <v>3.6847118370555945E-2</v>
      </c>
      <c r="E54" s="4">
        <v>4.9186928292987646E-2</v>
      </c>
      <c r="F54" s="4">
        <v>4.4350640898180402E-2</v>
      </c>
      <c r="G54" s="4">
        <v>4.6287825036216791E-2</v>
      </c>
      <c r="H54" s="4">
        <v>4.9483169694360438E-2</v>
      </c>
      <c r="I54" s="4">
        <v>4.7443051735687441E-2</v>
      </c>
      <c r="J54" s="4">
        <v>5.5262957773646995E-2</v>
      </c>
      <c r="K54" s="4">
        <v>5.7177986837102499E-2</v>
      </c>
      <c r="L54" s="4">
        <v>5.0698247315113132E-2</v>
      </c>
      <c r="M54" s="4">
        <v>5.1104330338515032E-2</v>
      </c>
      <c r="N54" s="4">
        <v>4.900223561882016E-2</v>
      </c>
      <c r="O54" s="4">
        <v>4.7632144147570971E-2</v>
      </c>
      <c r="P54" s="4">
        <v>4.6361796038034177E-2</v>
      </c>
      <c r="Q54" s="4">
        <v>4.9838547375287715E-2</v>
      </c>
      <c r="R54" s="4">
        <v>0.12502362137790429</v>
      </c>
      <c r="S54" s="4">
        <v>0.12185668208809218</v>
      </c>
      <c r="T54" s="4"/>
      <c r="U54" s="4"/>
      <c r="V54" s="4"/>
      <c r="W54" s="4"/>
      <c r="Y54" t="str">
        <f t="shared" si="0"/>
        <v>EUR</v>
      </c>
      <c r="Z54" t="str">
        <f t="shared" si="1"/>
        <v>EP_Nuc-CHP</v>
      </c>
      <c r="AA54" s="4">
        <f t="shared" si="2"/>
        <v>0.25</v>
      </c>
      <c r="AB54">
        <v>3</v>
      </c>
      <c r="AC54" s="4" t="str">
        <f t="shared" si="3"/>
        <v>NCAP_CHPR</v>
      </c>
      <c r="AD54" t="s">
        <v>17</v>
      </c>
      <c r="AH54" t="s">
        <v>50</v>
      </c>
      <c r="AI54" t="s">
        <v>48</v>
      </c>
      <c r="AJ54">
        <v>2</v>
      </c>
      <c r="AK54">
        <v>3</v>
      </c>
      <c r="AL54" t="s">
        <v>138</v>
      </c>
      <c r="AM54" t="s">
        <v>93</v>
      </c>
    </row>
    <row r="55" spans="1:39" x14ac:dyDescent="0.3">
      <c r="A55" t="s">
        <v>50</v>
      </c>
      <c r="B55" t="s">
        <v>37</v>
      </c>
      <c r="C55">
        <v>0.58464532175367911</v>
      </c>
      <c r="D55">
        <v>0.4486277242286224</v>
      </c>
      <c r="E55">
        <v>0.8051043435936579</v>
      </c>
      <c r="F55">
        <v>0.80650020721044913</v>
      </c>
      <c r="G55">
        <v>1.0359096269408719</v>
      </c>
      <c r="H55">
        <v>0.83749408531194147</v>
      </c>
      <c r="I55">
        <v>0.80957760698890124</v>
      </c>
      <c r="J55">
        <v>0.92544646825381549</v>
      </c>
      <c r="K55">
        <v>0.88997667339287057</v>
      </c>
      <c r="L55">
        <v>0.88075701566639386</v>
      </c>
      <c r="M55">
        <v>0.7902228207682982</v>
      </c>
      <c r="N55">
        <v>0.9319888096152168</v>
      </c>
      <c r="O55">
        <v>0.79128608253406896</v>
      </c>
      <c r="P55">
        <v>0.7481114832574931</v>
      </c>
      <c r="Q55">
        <v>0.74826685618435251</v>
      </c>
      <c r="R55">
        <v>0.82305149674284694</v>
      </c>
      <c r="S55">
        <v>0.74971039810319462</v>
      </c>
      <c r="Y55" t="str">
        <f t="shared" si="0"/>
        <v>EUR</v>
      </c>
      <c r="Z55" t="str">
        <f t="shared" si="1"/>
        <v>EP_Oil-CHP</v>
      </c>
      <c r="AA55" s="4">
        <f t="shared" si="2"/>
        <v>0.78638094742302078</v>
      </c>
      <c r="AB55">
        <v>3</v>
      </c>
      <c r="AC55" s="4" t="str">
        <f t="shared" si="3"/>
        <v>NCAP_CHPR</v>
      </c>
      <c r="AD55" t="s">
        <v>17</v>
      </c>
      <c r="AH55" t="s">
        <v>50</v>
      </c>
      <c r="AI55" t="s">
        <v>37</v>
      </c>
      <c r="AJ55">
        <v>2</v>
      </c>
      <c r="AK55">
        <v>3</v>
      </c>
      <c r="AL55" t="s">
        <v>138</v>
      </c>
      <c r="AM55" t="s">
        <v>93</v>
      </c>
    </row>
    <row r="56" spans="1:39" x14ac:dyDescent="0.3">
      <c r="A56" t="s">
        <v>50</v>
      </c>
      <c r="B56" t="s">
        <v>38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Y56" t="str">
        <f t="shared" si="0"/>
        <v>EUR</v>
      </c>
      <c r="Z56" t="str">
        <f t="shared" si="1"/>
        <v>EP_Oil_CRD-CHP</v>
      </c>
      <c r="AA56" s="4">
        <f t="shared" si="2"/>
        <v>0.25</v>
      </c>
      <c r="AB56">
        <v>3</v>
      </c>
      <c r="AC56" s="4" t="str">
        <f t="shared" si="3"/>
        <v>NCAP_CHPR</v>
      </c>
      <c r="AD56" t="s">
        <v>17</v>
      </c>
      <c r="AH56" t="s">
        <v>50</v>
      </c>
      <c r="AI56" t="s">
        <v>38</v>
      </c>
      <c r="AJ56">
        <v>2</v>
      </c>
      <c r="AK56">
        <v>3</v>
      </c>
      <c r="AL56" t="s">
        <v>138</v>
      </c>
      <c r="AM56" t="s">
        <v>93</v>
      </c>
    </row>
    <row r="57" spans="1:39" x14ac:dyDescent="0.3">
      <c r="A57" t="s">
        <v>50</v>
      </c>
      <c r="B57" t="s">
        <v>39</v>
      </c>
      <c r="C57">
        <v>0.28959666028362552</v>
      </c>
      <c r="D57">
        <v>0.35512631788292659</v>
      </c>
      <c r="E57">
        <v>0.53983334902416114</v>
      </c>
      <c r="F57">
        <v>0.62229445741714007</v>
      </c>
      <c r="G57">
        <v>0.15720888716810838</v>
      </c>
      <c r="H57">
        <v>0.23417877987170366</v>
      </c>
      <c r="I57">
        <v>0.41630867311105685</v>
      </c>
      <c r="J57">
        <v>0.50115561964547251</v>
      </c>
      <c r="K57">
        <v>0.76918075464373636</v>
      </c>
      <c r="L57">
        <v>0.53174169300783025</v>
      </c>
      <c r="M57">
        <v>0.71071540780935893</v>
      </c>
      <c r="N57">
        <v>0.53049364857256565</v>
      </c>
      <c r="O57">
        <v>0.27337088501052303</v>
      </c>
      <c r="P57">
        <v>0.47348342042025082</v>
      </c>
      <c r="Q57">
        <v>0.68684257693942707</v>
      </c>
      <c r="R57">
        <v>0.58499688103797787</v>
      </c>
      <c r="S57">
        <v>0.82987911624022181</v>
      </c>
      <c r="Y57" t="str">
        <f t="shared" si="0"/>
        <v>EUR</v>
      </c>
      <c r="Z57" t="str">
        <f t="shared" si="1"/>
        <v>EP_Oil_DST-CHP</v>
      </c>
      <c r="AA57" s="4">
        <f t="shared" si="2"/>
        <v>0.70743799863909984</v>
      </c>
      <c r="AB57">
        <v>3</v>
      </c>
      <c r="AC57" s="4" t="str">
        <f t="shared" si="3"/>
        <v>NCAP_CHPR</v>
      </c>
      <c r="AD57" t="s">
        <v>17</v>
      </c>
      <c r="AH57" t="s">
        <v>50</v>
      </c>
      <c r="AI57" t="s">
        <v>39</v>
      </c>
      <c r="AJ57">
        <v>2</v>
      </c>
      <c r="AK57">
        <v>3</v>
      </c>
      <c r="AL57" t="s">
        <v>138</v>
      </c>
      <c r="AM57" t="s">
        <v>93</v>
      </c>
    </row>
    <row r="58" spans="1:39" x14ac:dyDescent="0.3">
      <c r="A58" t="s">
        <v>50</v>
      </c>
      <c r="B58" t="s">
        <v>40</v>
      </c>
      <c r="C58">
        <v>1.1912630230520374</v>
      </c>
      <c r="D58">
        <v>0.78948542858342907</v>
      </c>
      <c r="E58">
        <v>0.82041212187639267</v>
      </c>
      <c r="F58">
        <v>0.86979717599449413</v>
      </c>
      <c r="G58">
        <v>0.73989462116072002</v>
      </c>
      <c r="H58">
        <v>0.59774883813453217</v>
      </c>
      <c r="I58">
        <v>0.59906535165935759</v>
      </c>
      <c r="J58">
        <v>0.54903495268121882</v>
      </c>
      <c r="K58">
        <v>0.49998295959616795</v>
      </c>
      <c r="L58">
        <v>0.50802622066893155</v>
      </c>
      <c r="M58">
        <v>0.44665782789552294</v>
      </c>
      <c r="N58">
        <v>0.43024290219254024</v>
      </c>
      <c r="O58">
        <v>0.42788210787516978</v>
      </c>
      <c r="P58">
        <v>0.43609762504412725</v>
      </c>
      <c r="Q58">
        <v>0.43821667638360173</v>
      </c>
      <c r="R58">
        <v>0.43338908086984107</v>
      </c>
      <c r="S58">
        <v>0.46481719785927711</v>
      </c>
      <c r="Y58" t="str">
        <f t="shared" si="0"/>
        <v>EUR</v>
      </c>
      <c r="Z58" t="str">
        <f t="shared" si="1"/>
        <v>EP_Was-CHP</v>
      </c>
      <c r="AA58" s="4">
        <f t="shared" si="2"/>
        <v>0.44910313936455909</v>
      </c>
      <c r="AB58">
        <v>3</v>
      </c>
      <c r="AC58" s="4" t="str">
        <f t="shared" si="3"/>
        <v>NCAP_CHPR</v>
      </c>
      <c r="AD58" t="s">
        <v>17</v>
      </c>
      <c r="AH58" t="s">
        <v>50</v>
      </c>
      <c r="AI58" t="s">
        <v>40</v>
      </c>
      <c r="AJ58">
        <v>2</v>
      </c>
      <c r="AK58">
        <v>3</v>
      </c>
      <c r="AL58" t="s">
        <v>138</v>
      </c>
      <c r="AM58" t="s">
        <v>93</v>
      </c>
    </row>
    <row r="59" spans="1:39" x14ac:dyDescent="0.3">
      <c r="A59" t="s">
        <v>51</v>
      </c>
      <c r="B59" t="s">
        <v>34</v>
      </c>
      <c r="S59">
        <v>1.5</v>
      </c>
      <c r="Y59" t="str">
        <f t="shared" si="0"/>
        <v>IND</v>
      </c>
      <c r="Z59" t="str">
        <f t="shared" si="1"/>
        <v>EP_Bio-CHP</v>
      </c>
      <c r="AA59" s="4">
        <f t="shared" si="2"/>
        <v>1.5</v>
      </c>
      <c r="AB59">
        <v>3</v>
      </c>
      <c r="AC59" s="4" t="str">
        <f t="shared" si="3"/>
        <v>NCAP_CHPR</v>
      </c>
      <c r="AD59" t="s">
        <v>17</v>
      </c>
      <c r="AH59" t="s">
        <v>51</v>
      </c>
      <c r="AI59" t="s">
        <v>34</v>
      </c>
      <c r="AJ59">
        <v>2</v>
      </c>
      <c r="AK59">
        <v>3</v>
      </c>
      <c r="AL59" t="s">
        <v>138</v>
      </c>
      <c r="AM59" t="s">
        <v>93</v>
      </c>
    </row>
    <row r="60" spans="1:39" x14ac:dyDescent="0.3">
      <c r="A60" t="s">
        <v>51</v>
      </c>
      <c r="B60" t="s">
        <v>35</v>
      </c>
      <c r="S60">
        <v>1.5</v>
      </c>
      <c r="Y60" t="str">
        <f t="shared" si="0"/>
        <v>IND</v>
      </c>
      <c r="Z60" t="str">
        <f t="shared" si="1"/>
        <v>EP_Coa-CHP</v>
      </c>
      <c r="AA60" s="4">
        <f t="shared" si="2"/>
        <v>1.5</v>
      </c>
      <c r="AB60">
        <v>3</v>
      </c>
      <c r="AC60" s="4" t="str">
        <f t="shared" si="3"/>
        <v>NCAP_CHPR</v>
      </c>
      <c r="AD60" t="s">
        <v>17</v>
      </c>
      <c r="AH60" t="s">
        <v>51</v>
      </c>
      <c r="AI60" t="s">
        <v>35</v>
      </c>
      <c r="AJ60">
        <v>2</v>
      </c>
      <c r="AK60">
        <v>3</v>
      </c>
      <c r="AL60" t="s">
        <v>138</v>
      </c>
      <c r="AM60" t="s">
        <v>93</v>
      </c>
    </row>
    <row r="61" spans="1:39" x14ac:dyDescent="0.3">
      <c r="A61" t="s">
        <v>51</v>
      </c>
      <c r="B61" t="s">
        <v>36</v>
      </c>
      <c r="S61">
        <v>1.5</v>
      </c>
      <c r="Y61" t="str">
        <f t="shared" si="0"/>
        <v>IND</v>
      </c>
      <c r="Z61" t="str">
        <f t="shared" si="1"/>
        <v>EP_Gas-CHP</v>
      </c>
      <c r="AA61" s="4">
        <f t="shared" si="2"/>
        <v>1.5</v>
      </c>
      <c r="AB61">
        <v>3</v>
      </c>
      <c r="AC61" s="4" t="str">
        <f t="shared" si="3"/>
        <v>NCAP_CHPR</v>
      </c>
      <c r="AD61" t="s">
        <v>17</v>
      </c>
      <c r="AH61" t="s">
        <v>51</v>
      </c>
      <c r="AI61" t="s">
        <v>36</v>
      </c>
      <c r="AJ61">
        <v>2</v>
      </c>
      <c r="AK61">
        <v>3</v>
      </c>
      <c r="AL61" t="s">
        <v>138</v>
      </c>
      <c r="AM61" t="s">
        <v>93</v>
      </c>
    </row>
    <row r="62" spans="1:39" x14ac:dyDescent="0.3">
      <c r="A62" t="s">
        <v>51</v>
      </c>
      <c r="B62" t="s">
        <v>37</v>
      </c>
      <c r="S62">
        <v>1.5</v>
      </c>
      <c r="Y62" t="str">
        <f t="shared" si="0"/>
        <v>IND</v>
      </c>
      <c r="Z62" t="str">
        <f t="shared" si="1"/>
        <v>EP_Oil-CHP</v>
      </c>
      <c r="AA62" s="4">
        <f t="shared" si="2"/>
        <v>1.5</v>
      </c>
      <c r="AB62">
        <v>3</v>
      </c>
      <c r="AC62" s="4" t="str">
        <f t="shared" si="3"/>
        <v>NCAP_CHPR</v>
      </c>
      <c r="AD62" t="s">
        <v>17</v>
      </c>
      <c r="AH62" t="s">
        <v>51</v>
      </c>
      <c r="AI62" t="s">
        <v>37</v>
      </c>
      <c r="AJ62">
        <v>2</v>
      </c>
      <c r="AK62">
        <v>3</v>
      </c>
      <c r="AL62" t="s">
        <v>138</v>
      </c>
      <c r="AM62" t="s">
        <v>93</v>
      </c>
    </row>
    <row r="63" spans="1:39" x14ac:dyDescent="0.3">
      <c r="A63" t="s">
        <v>51</v>
      </c>
      <c r="B63" t="s">
        <v>39</v>
      </c>
      <c r="S63">
        <v>1.5</v>
      </c>
      <c r="Y63" t="str">
        <f t="shared" si="0"/>
        <v>IND</v>
      </c>
      <c r="Z63" t="str">
        <f t="shared" si="1"/>
        <v>EP_Oil_DST-CHP</v>
      </c>
      <c r="AA63" s="4">
        <f t="shared" si="2"/>
        <v>1.5</v>
      </c>
      <c r="AB63">
        <v>3</v>
      </c>
      <c r="AC63" s="4" t="str">
        <f t="shared" si="3"/>
        <v>NCAP_CHPR</v>
      </c>
      <c r="AD63" t="s">
        <v>17</v>
      </c>
      <c r="AH63" t="s">
        <v>51</v>
      </c>
      <c r="AI63" t="s">
        <v>39</v>
      </c>
      <c r="AJ63">
        <v>2</v>
      </c>
      <c r="AK63">
        <v>3</v>
      </c>
      <c r="AL63" t="s">
        <v>138</v>
      </c>
      <c r="AM63" t="s">
        <v>93</v>
      </c>
    </row>
    <row r="64" spans="1:39" x14ac:dyDescent="0.3">
      <c r="A64" t="s">
        <v>51</v>
      </c>
      <c r="B64" t="s">
        <v>52</v>
      </c>
      <c r="S64">
        <v>1.5</v>
      </c>
      <c r="Y64" t="str">
        <f t="shared" si="0"/>
        <v>IND</v>
      </c>
      <c r="Z64" t="str">
        <f t="shared" si="1"/>
        <v>EP_Sol-CHP</v>
      </c>
      <c r="AA64" s="4">
        <f t="shared" si="2"/>
        <v>1.5</v>
      </c>
      <c r="AB64">
        <v>3</v>
      </c>
      <c r="AC64" s="4" t="str">
        <f t="shared" si="3"/>
        <v>NCAP_CHPR</v>
      </c>
      <c r="AD64" t="s">
        <v>17</v>
      </c>
      <c r="AH64" t="s">
        <v>51</v>
      </c>
      <c r="AI64" t="s">
        <v>52</v>
      </c>
      <c r="AJ64">
        <v>2</v>
      </c>
      <c r="AK64">
        <v>3</v>
      </c>
      <c r="AL64" t="s">
        <v>138</v>
      </c>
      <c r="AM64" t="s">
        <v>93</v>
      </c>
    </row>
    <row r="65" spans="1:39" x14ac:dyDescent="0.3">
      <c r="A65" t="s">
        <v>51</v>
      </c>
      <c r="B65" t="s">
        <v>40</v>
      </c>
      <c r="S65">
        <v>1.5</v>
      </c>
      <c r="Y65" t="str">
        <f t="shared" si="0"/>
        <v>IND</v>
      </c>
      <c r="Z65" t="str">
        <f t="shared" si="1"/>
        <v>EP_Was-CHP</v>
      </c>
      <c r="AA65" s="4">
        <f t="shared" si="2"/>
        <v>1.5</v>
      </c>
      <c r="AB65">
        <v>3</v>
      </c>
      <c r="AC65" s="4" t="str">
        <f t="shared" si="3"/>
        <v>NCAP_CHPR</v>
      </c>
      <c r="AD65" t="s">
        <v>17</v>
      </c>
      <c r="AH65" t="s">
        <v>51</v>
      </c>
      <c r="AI65" t="s">
        <v>40</v>
      </c>
      <c r="AJ65">
        <v>2</v>
      </c>
      <c r="AK65">
        <v>3</v>
      </c>
      <c r="AL65" t="s">
        <v>138</v>
      </c>
      <c r="AM65" t="s">
        <v>93</v>
      </c>
    </row>
    <row r="66" spans="1:39" x14ac:dyDescent="0.3">
      <c r="A66" t="s">
        <v>53</v>
      </c>
      <c r="B66" t="s">
        <v>34</v>
      </c>
      <c r="S66">
        <v>1.5</v>
      </c>
      <c r="Y66" t="str">
        <f t="shared" si="0"/>
        <v>JPN</v>
      </c>
      <c r="Z66" t="str">
        <f t="shared" si="1"/>
        <v>EP_Bio-CHP</v>
      </c>
      <c r="AA66" s="4">
        <f t="shared" si="2"/>
        <v>1.5</v>
      </c>
      <c r="AB66">
        <v>3</v>
      </c>
      <c r="AC66" s="4" t="str">
        <f t="shared" si="3"/>
        <v>NCAP_CHPR</v>
      </c>
      <c r="AD66" t="s">
        <v>17</v>
      </c>
      <c r="AH66" t="s">
        <v>53</v>
      </c>
      <c r="AI66" t="s">
        <v>34</v>
      </c>
      <c r="AJ66">
        <v>2</v>
      </c>
      <c r="AK66">
        <v>3</v>
      </c>
      <c r="AL66" t="s">
        <v>138</v>
      </c>
      <c r="AM66" t="s">
        <v>93</v>
      </c>
    </row>
    <row r="67" spans="1:39" x14ac:dyDescent="0.3">
      <c r="A67" t="s">
        <v>53</v>
      </c>
      <c r="B67" t="s">
        <v>35</v>
      </c>
      <c r="S67">
        <v>1.5</v>
      </c>
      <c r="Y67" t="str">
        <f t="shared" si="0"/>
        <v>JPN</v>
      </c>
      <c r="Z67" t="str">
        <f t="shared" si="1"/>
        <v>EP_Coa-CHP</v>
      </c>
      <c r="AA67" s="4">
        <f t="shared" si="2"/>
        <v>1.5</v>
      </c>
      <c r="AB67">
        <v>3</v>
      </c>
      <c r="AC67" s="4" t="str">
        <f t="shared" si="3"/>
        <v>NCAP_CHPR</v>
      </c>
      <c r="AD67" t="s">
        <v>17</v>
      </c>
      <c r="AH67" t="s">
        <v>53</v>
      </c>
      <c r="AI67" t="s">
        <v>35</v>
      </c>
      <c r="AJ67">
        <v>2</v>
      </c>
      <c r="AK67">
        <v>3</v>
      </c>
      <c r="AL67" t="s">
        <v>138</v>
      </c>
      <c r="AM67" t="s">
        <v>93</v>
      </c>
    </row>
    <row r="68" spans="1:39" x14ac:dyDescent="0.3">
      <c r="A68" t="s">
        <v>53</v>
      </c>
      <c r="B68" t="s">
        <v>47</v>
      </c>
      <c r="S68">
        <v>1.5</v>
      </c>
      <c r="Y68" t="str">
        <f t="shared" si="0"/>
        <v>JPN</v>
      </c>
      <c r="Z68" t="str">
        <f t="shared" si="1"/>
        <v>EP_CoaG-CHP</v>
      </c>
      <c r="AA68" s="4">
        <f t="shared" si="2"/>
        <v>1.5</v>
      </c>
      <c r="AB68">
        <v>3</v>
      </c>
      <c r="AC68" s="4" t="str">
        <f t="shared" si="3"/>
        <v>NCAP_CHPR</v>
      </c>
      <c r="AD68" t="s">
        <v>17</v>
      </c>
      <c r="AH68" t="s">
        <v>53</v>
      </c>
      <c r="AI68" t="s">
        <v>47</v>
      </c>
      <c r="AJ68">
        <v>2</v>
      </c>
      <c r="AK68">
        <v>3</v>
      </c>
      <c r="AL68" t="s">
        <v>138</v>
      </c>
      <c r="AM68" t="s">
        <v>93</v>
      </c>
    </row>
    <row r="69" spans="1:39" x14ac:dyDescent="0.3">
      <c r="A69" t="s">
        <v>53</v>
      </c>
      <c r="B69" t="s">
        <v>36</v>
      </c>
      <c r="S69">
        <v>1.5</v>
      </c>
      <c r="Y69" t="str">
        <f t="shared" ref="Y69:Y132" si="4">IF($A69="","\I:",A69)</f>
        <v>JPN</v>
      </c>
      <c r="Z69" t="str">
        <f t="shared" ref="Z69:Z132" si="5">B69</f>
        <v>EP_Gas-CHP</v>
      </c>
      <c r="AA69" s="4">
        <f t="shared" ref="AA69:AA132" si="6">MAX(IFERROR(AVERAGE(R69:S69),$AF$1),$AF$1)</f>
        <v>1.5</v>
      </c>
      <c r="AB69">
        <v>3</v>
      </c>
      <c r="AC69" s="4" t="str">
        <f t="shared" ref="AC69:AC132" si="7">IF($A69="","\I:","NCAP_CHPR")</f>
        <v>NCAP_CHPR</v>
      </c>
      <c r="AD69" t="s">
        <v>17</v>
      </c>
      <c r="AH69" t="s">
        <v>53</v>
      </c>
      <c r="AI69" t="s">
        <v>36</v>
      </c>
      <c r="AJ69">
        <v>2</v>
      </c>
      <c r="AK69">
        <v>3</v>
      </c>
      <c r="AL69" t="s">
        <v>138</v>
      </c>
      <c r="AM69" t="s">
        <v>93</v>
      </c>
    </row>
    <row r="70" spans="1:39" x14ac:dyDescent="0.3">
      <c r="A70" t="s">
        <v>53</v>
      </c>
      <c r="B70" t="s">
        <v>43</v>
      </c>
      <c r="S70">
        <v>1.5</v>
      </c>
      <c r="Y70" t="str">
        <f t="shared" si="4"/>
        <v>JPN</v>
      </c>
      <c r="Z70" t="str">
        <f t="shared" si="5"/>
        <v>EP_Geo-CHP</v>
      </c>
      <c r="AA70" s="4">
        <f t="shared" si="6"/>
        <v>1.5</v>
      </c>
      <c r="AB70">
        <v>3</v>
      </c>
      <c r="AC70" s="4" t="str">
        <f t="shared" si="7"/>
        <v>NCAP_CHPR</v>
      </c>
      <c r="AD70" t="s">
        <v>17</v>
      </c>
      <c r="AH70" t="s">
        <v>53</v>
      </c>
      <c r="AI70" t="s">
        <v>43</v>
      </c>
      <c r="AJ70">
        <v>2</v>
      </c>
      <c r="AK70">
        <v>3</v>
      </c>
      <c r="AL70" t="s">
        <v>138</v>
      </c>
      <c r="AM70" t="s">
        <v>93</v>
      </c>
    </row>
    <row r="71" spans="1:39" x14ac:dyDescent="0.3">
      <c r="A71" t="s">
        <v>53</v>
      </c>
      <c r="B71" t="s">
        <v>37</v>
      </c>
      <c r="S71">
        <v>1.5</v>
      </c>
      <c r="Y71" t="str">
        <f t="shared" si="4"/>
        <v>JPN</v>
      </c>
      <c r="Z71" t="str">
        <f t="shared" si="5"/>
        <v>EP_Oil-CHP</v>
      </c>
      <c r="AA71" s="4">
        <f t="shared" si="6"/>
        <v>1.5</v>
      </c>
      <c r="AB71">
        <v>3</v>
      </c>
      <c r="AC71" s="4" t="str">
        <f t="shared" si="7"/>
        <v>NCAP_CHPR</v>
      </c>
      <c r="AD71" t="s">
        <v>17</v>
      </c>
      <c r="AH71" t="s">
        <v>53</v>
      </c>
      <c r="AI71" t="s">
        <v>37</v>
      </c>
      <c r="AJ71">
        <v>2</v>
      </c>
      <c r="AK71">
        <v>3</v>
      </c>
      <c r="AL71" t="s">
        <v>138</v>
      </c>
      <c r="AM71" t="s">
        <v>93</v>
      </c>
    </row>
    <row r="72" spans="1:39" x14ac:dyDescent="0.3">
      <c r="A72" t="s">
        <v>53</v>
      </c>
      <c r="B72" t="s">
        <v>39</v>
      </c>
      <c r="S72">
        <v>1.5</v>
      </c>
      <c r="Y72" t="str">
        <f t="shared" si="4"/>
        <v>JPN</v>
      </c>
      <c r="Z72" t="str">
        <f t="shared" si="5"/>
        <v>EP_Oil_DST-CHP</v>
      </c>
      <c r="AA72" s="4">
        <f t="shared" si="6"/>
        <v>1.5</v>
      </c>
      <c r="AB72">
        <v>3</v>
      </c>
      <c r="AC72" s="4" t="str">
        <f t="shared" si="7"/>
        <v>NCAP_CHPR</v>
      </c>
      <c r="AD72" t="s">
        <v>17</v>
      </c>
      <c r="AH72" t="s">
        <v>53</v>
      </c>
      <c r="AI72" t="s">
        <v>39</v>
      </c>
      <c r="AJ72">
        <v>2</v>
      </c>
      <c r="AK72">
        <v>3</v>
      </c>
      <c r="AL72" t="s">
        <v>138</v>
      </c>
      <c r="AM72" t="s">
        <v>93</v>
      </c>
    </row>
    <row r="73" spans="1:39" x14ac:dyDescent="0.3">
      <c r="A73" t="s">
        <v>53</v>
      </c>
      <c r="B73" t="s">
        <v>40</v>
      </c>
      <c r="S73">
        <v>1.5</v>
      </c>
      <c r="Y73" t="str">
        <f t="shared" si="4"/>
        <v>JPN</v>
      </c>
      <c r="Z73" t="str">
        <f t="shared" si="5"/>
        <v>EP_Was-CHP</v>
      </c>
      <c r="AA73" s="4">
        <f t="shared" si="6"/>
        <v>1.5</v>
      </c>
      <c r="AB73">
        <v>3</v>
      </c>
      <c r="AC73" s="4" t="str">
        <f t="shared" si="7"/>
        <v>NCAP_CHPR</v>
      </c>
      <c r="AD73" t="s">
        <v>17</v>
      </c>
      <c r="AH73" t="s">
        <v>53</v>
      </c>
      <c r="AI73" t="s">
        <v>40</v>
      </c>
      <c r="AJ73">
        <v>2</v>
      </c>
      <c r="AK73">
        <v>3</v>
      </c>
      <c r="AL73" t="s">
        <v>138</v>
      </c>
      <c r="AM73" t="s">
        <v>93</v>
      </c>
    </row>
    <row r="74" spans="1:39" x14ac:dyDescent="0.3">
      <c r="A74" t="s">
        <v>54</v>
      </c>
      <c r="B74" t="s">
        <v>34</v>
      </c>
      <c r="S74">
        <v>1.5</v>
      </c>
      <c r="Y74" t="str">
        <f t="shared" si="4"/>
        <v>MID</v>
      </c>
      <c r="Z74" t="str">
        <f t="shared" si="5"/>
        <v>EP_Bio-CHP</v>
      </c>
      <c r="AA74" s="4">
        <f t="shared" si="6"/>
        <v>1.5</v>
      </c>
      <c r="AB74">
        <v>3</v>
      </c>
      <c r="AC74" s="4" t="str">
        <f t="shared" si="7"/>
        <v>NCAP_CHPR</v>
      </c>
      <c r="AD74" t="s">
        <v>17</v>
      </c>
      <c r="AH74" t="s">
        <v>54</v>
      </c>
      <c r="AI74" t="s">
        <v>34</v>
      </c>
      <c r="AJ74">
        <v>2</v>
      </c>
      <c r="AK74">
        <v>3</v>
      </c>
      <c r="AL74" t="s">
        <v>138</v>
      </c>
      <c r="AM74" t="s">
        <v>93</v>
      </c>
    </row>
    <row r="75" spans="1:39" x14ac:dyDescent="0.3">
      <c r="A75" t="s">
        <v>54</v>
      </c>
      <c r="B75" t="s">
        <v>35</v>
      </c>
      <c r="S75">
        <v>1.5</v>
      </c>
      <c r="Y75" t="str">
        <f t="shared" si="4"/>
        <v>MID</v>
      </c>
      <c r="Z75" t="str">
        <f t="shared" si="5"/>
        <v>EP_Coa-CHP</v>
      </c>
      <c r="AA75" s="4">
        <f t="shared" si="6"/>
        <v>1.5</v>
      </c>
      <c r="AB75">
        <v>3</v>
      </c>
      <c r="AC75" s="4" t="str">
        <f t="shared" si="7"/>
        <v>NCAP_CHPR</v>
      </c>
      <c r="AD75" t="s">
        <v>17</v>
      </c>
      <c r="AH75" t="s">
        <v>54</v>
      </c>
      <c r="AI75" t="s">
        <v>35</v>
      </c>
      <c r="AJ75">
        <v>2</v>
      </c>
      <c r="AK75">
        <v>3</v>
      </c>
      <c r="AL75" t="s">
        <v>138</v>
      </c>
      <c r="AM75" t="s">
        <v>93</v>
      </c>
    </row>
    <row r="76" spans="1:39" x14ac:dyDescent="0.3">
      <c r="A76" t="s">
        <v>54</v>
      </c>
      <c r="B76" t="s">
        <v>36</v>
      </c>
      <c r="S76">
        <v>1.5</v>
      </c>
      <c r="Y76" t="str">
        <f t="shared" si="4"/>
        <v>MID</v>
      </c>
      <c r="Z76" t="str">
        <f t="shared" si="5"/>
        <v>EP_Gas-CHP</v>
      </c>
      <c r="AA76" s="4">
        <f t="shared" si="6"/>
        <v>1.5</v>
      </c>
      <c r="AB76">
        <v>3</v>
      </c>
      <c r="AC76" s="4" t="str">
        <f t="shared" si="7"/>
        <v>NCAP_CHPR</v>
      </c>
      <c r="AD76" t="s">
        <v>17</v>
      </c>
      <c r="AH76" t="s">
        <v>54</v>
      </c>
      <c r="AI76" t="s">
        <v>36</v>
      </c>
      <c r="AJ76">
        <v>2</v>
      </c>
      <c r="AK76">
        <v>3</v>
      </c>
      <c r="AL76" t="s">
        <v>138</v>
      </c>
      <c r="AM76" t="s">
        <v>93</v>
      </c>
    </row>
    <row r="77" spans="1:39" x14ac:dyDescent="0.3">
      <c r="A77" t="s">
        <v>54</v>
      </c>
      <c r="B77" t="s">
        <v>37</v>
      </c>
      <c r="S77">
        <v>1.5</v>
      </c>
      <c r="Y77" t="str">
        <f t="shared" si="4"/>
        <v>MID</v>
      </c>
      <c r="Z77" t="str">
        <f t="shared" si="5"/>
        <v>EP_Oil-CHP</v>
      </c>
      <c r="AA77" s="4">
        <f t="shared" si="6"/>
        <v>1.5</v>
      </c>
      <c r="AB77">
        <v>3</v>
      </c>
      <c r="AC77" s="4" t="str">
        <f t="shared" si="7"/>
        <v>NCAP_CHPR</v>
      </c>
      <c r="AD77" t="s">
        <v>17</v>
      </c>
      <c r="AH77" t="s">
        <v>54</v>
      </c>
      <c r="AI77" t="s">
        <v>37</v>
      </c>
      <c r="AJ77">
        <v>2</v>
      </c>
      <c r="AK77">
        <v>3</v>
      </c>
      <c r="AL77" t="s">
        <v>138</v>
      </c>
      <c r="AM77" t="s">
        <v>93</v>
      </c>
    </row>
    <row r="78" spans="1:39" x14ac:dyDescent="0.3">
      <c r="A78" t="s">
        <v>54</v>
      </c>
      <c r="B78" t="s">
        <v>38</v>
      </c>
      <c r="S78">
        <v>1.5</v>
      </c>
      <c r="Y78" t="str">
        <f t="shared" si="4"/>
        <v>MID</v>
      </c>
      <c r="Z78" t="str">
        <f t="shared" si="5"/>
        <v>EP_Oil_CRD-CHP</v>
      </c>
      <c r="AA78" s="4">
        <f t="shared" si="6"/>
        <v>1.5</v>
      </c>
      <c r="AB78">
        <v>3</v>
      </c>
      <c r="AC78" s="4" t="str">
        <f t="shared" si="7"/>
        <v>NCAP_CHPR</v>
      </c>
      <c r="AD78" t="s">
        <v>17</v>
      </c>
      <c r="AH78" t="s">
        <v>54</v>
      </c>
      <c r="AI78" t="s">
        <v>38</v>
      </c>
      <c r="AJ78">
        <v>2</v>
      </c>
      <c r="AK78">
        <v>3</v>
      </c>
      <c r="AL78" t="s">
        <v>138</v>
      </c>
      <c r="AM78" t="s">
        <v>93</v>
      </c>
    </row>
    <row r="79" spans="1:39" x14ac:dyDescent="0.3">
      <c r="A79" t="s">
        <v>54</v>
      </c>
      <c r="B79" t="s">
        <v>39</v>
      </c>
      <c r="S79">
        <v>1.5</v>
      </c>
      <c r="Y79" t="str">
        <f t="shared" si="4"/>
        <v>MID</v>
      </c>
      <c r="Z79" t="str">
        <f t="shared" si="5"/>
        <v>EP_Oil_DST-CHP</v>
      </c>
      <c r="AA79" s="4">
        <f t="shared" si="6"/>
        <v>1.5</v>
      </c>
      <c r="AB79">
        <v>3</v>
      </c>
      <c r="AC79" s="4" t="str">
        <f t="shared" si="7"/>
        <v>NCAP_CHPR</v>
      </c>
      <c r="AD79" t="s">
        <v>17</v>
      </c>
      <c r="AH79" t="s">
        <v>54</v>
      </c>
      <c r="AI79" t="s">
        <v>39</v>
      </c>
      <c r="AJ79">
        <v>2</v>
      </c>
      <c r="AK79">
        <v>3</v>
      </c>
      <c r="AL79" t="s">
        <v>138</v>
      </c>
      <c r="AM79" t="s">
        <v>93</v>
      </c>
    </row>
    <row r="80" spans="1:39" x14ac:dyDescent="0.3">
      <c r="A80" t="s">
        <v>54</v>
      </c>
      <c r="B80" t="s">
        <v>40</v>
      </c>
      <c r="S80">
        <v>1.5</v>
      </c>
      <c r="Y80" t="str">
        <f t="shared" si="4"/>
        <v>MID</v>
      </c>
      <c r="Z80" t="str">
        <f t="shared" si="5"/>
        <v>EP_Was-CHP</v>
      </c>
      <c r="AA80" s="4">
        <f t="shared" si="6"/>
        <v>1.5</v>
      </c>
      <c r="AB80">
        <v>3</v>
      </c>
      <c r="AC80" s="4" t="str">
        <f t="shared" si="7"/>
        <v>NCAP_CHPR</v>
      </c>
      <c r="AD80" t="s">
        <v>17</v>
      </c>
      <c r="AH80" t="s">
        <v>54</v>
      </c>
      <c r="AI80" t="s">
        <v>40</v>
      </c>
      <c r="AJ80">
        <v>2</v>
      </c>
      <c r="AK80">
        <v>3</v>
      </c>
      <c r="AL80" t="s">
        <v>138</v>
      </c>
      <c r="AM80" t="s">
        <v>93</v>
      </c>
    </row>
    <row r="81" spans="1:39" x14ac:dyDescent="0.3">
      <c r="A81" t="s">
        <v>55</v>
      </c>
      <c r="B81" t="s">
        <v>34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Y81" t="str">
        <f t="shared" si="4"/>
        <v>MXC</v>
      </c>
      <c r="Z81" t="str">
        <f t="shared" si="5"/>
        <v>EP_Bio-CHP</v>
      </c>
      <c r="AA81" s="4">
        <f t="shared" si="6"/>
        <v>0.25</v>
      </c>
      <c r="AB81">
        <v>3</v>
      </c>
      <c r="AC81" s="4" t="str">
        <f t="shared" si="7"/>
        <v>NCAP_CHPR</v>
      </c>
      <c r="AD81" t="s">
        <v>17</v>
      </c>
      <c r="AH81" t="s">
        <v>55</v>
      </c>
      <c r="AI81" t="s">
        <v>34</v>
      </c>
      <c r="AJ81">
        <v>2</v>
      </c>
      <c r="AK81">
        <v>3</v>
      </c>
      <c r="AL81" t="s">
        <v>138</v>
      </c>
      <c r="AM81" t="s">
        <v>93</v>
      </c>
    </row>
    <row r="82" spans="1:39" x14ac:dyDescent="0.3">
      <c r="A82" t="s">
        <v>55</v>
      </c>
      <c r="B82" t="s">
        <v>35</v>
      </c>
      <c r="S82">
        <v>1.5</v>
      </c>
      <c r="Y82" t="str">
        <f t="shared" si="4"/>
        <v>MXC</v>
      </c>
      <c r="Z82" t="str">
        <f t="shared" si="5"/>
        <v>EP_Coa-CHP</v>
      </c>
      <c r="AA82" s="4">
        <f t="shared" si="6"/>
        <v>1.5</v>
      </c>
      <c r="AB82">
        <v>3</v>
      </c>
      <c r="AC82" s="4" t="str">
        <f t="shared" si="7"/>
        <v>NCAP_CHPR</v>
      </c>
      <c r="AD82" t="s">
        <v>17</v>
      </c>
      <c r="AH82" t="s">
        <v>55</v>
      </c>
      <c r="AI82" t="s">
        <v>35</v>
      </c>
      <c r="AJ82">
        <v>2</v>
      </c>
      <c r="AK82">
        <v>3</v>
      </c>
      <c r="AL82" t="s">
        <v>138</v>
      </c>
      <c r="AM82" t="s">
        <v>93</v>
      </c>
    </row>
    <row r="83" spans="1:39" x14ac:dyDescent="0.3">
      <c r="A83" t="s">
        <v>55</v>
      </c>
      <c r="B83" t="s">
        <v>36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Y83" t="str">
        <f t="shared" si="4"/>
        <v>MXC</v>
      </c>
      <c r="Z83" t="str">
        <f t="shared" si="5"/>
        <v>EP_Gas-CHP</v>
      </c>
      <c r="AA83" s="4">
        <f t="shared" si="6"/>
        <v>0.25</v>
      </c>
      <c r="AB83">
        <v>3</v>
      </c>
      <c r="AC83" s="4" t="str">
        <f t="shared" si="7"/>
        <v>NCAP_CHPR</v>
      </c>
      <c r="AD83" t="s">
        <v>17</v>
      </c>
      <c r="AH83" t="s">
        <v>55</v>
      </c>
      <c r="AI83" t="s">
        <v>36</v>
      </c>
      <c r="AJ83">
        <v>2</v>
      </c>
      <c r="AK83">
        <v>3</v>
      </c>
      <c r="AL83" t="s">
        <v>138</v>
      </c>
      <c r="AM83" t="s">
        <v>93</v>
      </c>
    </row>
    <row r="84" spans="1:39" x14ac:dyDescent="0.3">
      <c r="A84" t="s">
        <v>55</v>
      </c>
      <c r="B84" t="s">
        <v>37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Y84" t="str">
        <f t="shared" si="4"/>
        <v>MXC</v>
      </c>
      <c r="Z84" t="str">
        <f t="shared" si="5"/>
        <v>EP_Oil-CHP</v>
      </c>
      <c r="AA84" s="4">
        <f t="shared" si="6"/>
        <v>0.25</v>
      </c>
      <c r="AB84">
        <v>3</v>
      </c>
      <c r="AC84" s="4" t="str">
        <f t="shared" si="7"/>
        <v>NCAP_CHPR</v>
      </c>
      <c r="AD84" t="s">
        <v>17</v>
      </c>
      <c r="AH84" t="s">
        <v>55</v>
      </c>
      <c r="AI84" t="s">
        <v>37</v>
      </c>
      <c r="AJ84">
        <v>2</v>
      </c>
      <c r="AK84">
        <v>3</v>
      </c>
      <c r="AL84" t="s">
        <v>138</v>
      </c>
      <c r="AM84" t="s">
        <v>93</v>
      </c>
    </row>
    <row r="85" spans="1:39" x14ac:dyDescent="0.3">
      <c r="A85" t="s">
        <v>55</v>
      </c>
      <c r="B85" t="s">
        <v>39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Y85" t="str">
        <f t="shared" si="4"/>
        <v>MXC</v>
      </c>
      <c r="Z85" t="str">
        <f t="shared" si="5"/>
        <v>EP_Oil_DST-CHP</v>
      </c>
      <c r="AA85" s="4">
        <f t="shared" si="6"/>
        <v>0.25</v>
      </c>
      <c r="AB85">
        <v>3</v>
      </c>
      <c r="AC85" s="4" t="str">
        <f t="shared" si="7"/>
        <v>NCAP_CHPR</v>
      </c>
      <c r="AD85" t="s">
        <v>17</v>
      </c>
      <c r="AH85" t="s">
        <v>55</v>
      </c>
      <c r="AI85" t="s">
        <v>39</v>
      </c>
      <c r="AJ85">
        <v>2</v>
      </c>
      <c r="AK85">
        <v>3</v>
      </c>
      <c r="AL85" t="s">
        <v>138</v>
      </c>
      <c r="AM85" t="s">
        <v>93</v>
      </c>
    </row>
    <row r="86" spans="1:39" x14ac:dyDescent="0.3">
      <c r="A86" t="s">
        <v>55</v>
      </c>
      <c r="B86" t="s">
        <v>40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Y86" t="str">
        <f t="shared" si="4"/>
        <v>MXC</v>
      </c>
      <c r="Z86" t="str">
        <f t="shared" si="5"/>
        <v>EP_Was-CHP</v>
      </c>
      <c r="AA86" s="4">
        <f t="shared" si="6"/>
        <v>0.25</v>
      </c>
      <c r="AB86">
        <v>3</v>
      </c>
      <c r="AC86" s="4" t="str">
        <f t="shared" si="7"/>
        <v>NCAP_CHPR</v>
      </c>
      <c r="AD86" t="s">
        <v>17</v>
      </c>
      <c r="AH86" t="s">
        <v>55</v>
      </c>
      <c r="AI86" t="s">
        <v>40</v>
      </c>
      <c r="AJ86">
        <v>2</v>
      </c>
      <c r="AK86">
        <v>3</v>
      </c>
      <c r="AL86" t="s">
        <v>138</v>
      </c>
      <c r="AM86" t="s">
        <v>93</v>
      </c>
    </row>
    <row r="87" spans="1:39" x14ac:dyDescent="0.3">
      <c r="A87" t="s">
        <v>56</v>
      </c>
      <c r="B87" t="s">
        <v>34</v>
      </c>
      <c r="F87">
        <v>4.3899146626399835E-2</v>
      </c>
      <c r="G87">
        <v>3.6938105876730472E-2</v>
      </c>
      <c r="H87">
        <v>4.5471690614601788E-2</v>
      </c>
      <c r="I87">
        <v>4.9305934332033938E-2</v>
      </c>
      <c r="J87">
        <v>4.6352681601751544E-2</v>
      </c>
      <c r="K87">
        <v>5.7177156985431465E-2</v>
      </c>
      <c r="L87">
        <v>4.8337249317396483E-2</v>
      </c>
      <c r="M87">
        <v>8.7635203477957294E-2</v>
      </c>
      <c r="N87">
        <v>6.3054395808397043E-2</v>
      </c>
      <c r="O87">
        <v>5.4286597405093194E-2</v>
      </c>
      <c r="P87">
        <v>6.9194217041926076E-2</v>
      </c>
      <c r="Q87">
        <v>8.4016960373033134E-2</v>
      </c>
      <c r="R87">
        <v>8.987758097036036E-2</v>
      </c>
      <c r="S87">
        <v>0.14428803734264425</v>
      </c>
      <c r="Y87" t="str">
        <f t="shared" si="4"/>
        <v>OAS</v>
      </c>
      <c r="Z87" t="str">
        <f t="shared" si="5"/>
        <v>EP_Bio-CHP</v>
      </c>
      <c r="AA87" s="4">
        <f t="shared" si="6"/>
        <v>0.25</v>
      </c>
      <c r="AB87">
        <v>3</v>
      </c>
      <c r="AC87" s="4" t="str">
        <f t="shared" si="7"/>
        <v>NCAP_CHPR</v>
      </c>
      <c r="AD87" t="s">
        <v>17</v>
      </c>
      <c r="AH87" t="s">
        <v>56</v>
      </c>
      <c r="AI87" t="s">
        <v>34</v>
      </c>
      <c r="AJ87">
        <v>2</v>
      </c>
      <c r="AK87">
        <v>3</v>
      </c>
      <c r="AL87" t="s">
        <v>138</v>
      </c>
      <c r="AM87" t="s">
        <v>93</v>
      </c>
    </row>
    <row r="88" spans="1:39" x14ac:dyDescent="0.3">
      <c r="A88" t="s">
        <v>56</v>
      </c>
      <c r="B88" t="s">
        <v>35</v>
      </c>
      <c r="C88">
        <v>0.27761157744459231</v>
      </c>
      <c r="D88">
        <v>0.24439392342583979</v>
      </c>
      <c r="E88">
        <v>0.25670210408816269</v>
      </c>
      <c r="F88">
        <v>0.55924986106617292</v>
      </c>
      <c r="G88">
        <v>0.57914768679957118</v>
      </c>
      <c r="H88">
        <v>0.64414376078567825</v>
      </c>
      <c r="I88">
        <v>0.68493216584406158</v>
      </c>
      <c r="J88">
        <v>0.73221849254513527</v>
      </c>
      <c r="K88">
        <v>0.74885524565256389</v>
      </c>
      <c r="L88">
        <v>0.70255423523068816</v>
      </c>
      <c r="M88">
        <v>0.79705134127227539</v>
      </c>
      <c r="N88">
        <v>0.75584799110122547</v>
      </c>
      <c r="O88">
        <v>0.71506576299047819</v>
      </c>
      <c r="P88">
        <v>0.77232491163956296</v>
      </c>
      <c r="Q88">
        <v>0.8017220052329137</v>
      </c>
      <c r="R88">
        <v>0.79298385356392587</v>
      </c>
      <c r="S88">
        <v>0.960026120219727</v>
      </c>
      <c r="Y88" t="str">
        <f t="shared" si="4"/>
        <v>OAS</v>
      </c>
      <c r="Z88" t="str">
        <f t="shared" si="5"/>
        <v>EP_Coa-CHP</v>
      </c>
      <c r="AA88" s="4">
        <f t="shared" si="6"/>
        <v>0.87650498689182643</v>
      </c>
      <c r="AB88">
        <v>3</v>
      </c>
      <c r="AC88" s="4" t="str">
        <f t="shared" si="7"/>
        <v>NCAP_CHPR</v>
      </c>
      <c r="AD88" t="s">
        <v>17</v>
      </c>
      <c r="AH88" t="s">
        <v>56</v>
      </c>
      <c r="AI88" t="s">
        <v>35</v>
      </c>
      <c r="AJ88">
        <v>2</v>
      </c>
      <c r="AK88">
        <v>3</v>
      </c>
      <c r="AL88" t="s">
        <v>138</v>
      </c>
      <c r="AM88" t="s">
        <v>93</v>
      </c>
    </row>
    <row r="89" spans="1:39" x14ac:dyDescent="0.3">
      <c r="A89" t="s">
        <v>56</v>
      </c>
      <c r="B89" t="s">
        <v>36</v>
      </c>
      <c r="C89">
        <v>0</v>
      </c>
      <c r="D89">
        <v>0</v>
      </c>
      <c r="E89">
        <v>0</v>
      </c>
      <c r="F89">
        <v>0.1488668413616808</v>
      </c>
      <c r="G89">
        <v>0.17207466334027141</v>
      </c>
      <c r="H89">
        <v>0.18046420315476286</v>
      </c>
      <c r="I89">
        <v>0.20289385324938883</v>
      </c>
      <c r="J89">
        <v>0.17969350169607906</v>
      </c>
      <c r="K89">
        <v>0.20986597502118687</v>
      </c>
      <c r="L89">
        <v>0.28268696719509351</v>
      </c>
      <c r="M89">
        <v>0.25077932524782776</v>
      </c>
      <c r="N89">
        <v>0.14712241806598006</v>
      </c>
      <c r="O89">
        <v>0.20857681082893581</v>
      </c>
      <c r="P89">
        <v>0.19232838374708119</v>
      </c>
      <c r="Q89">
        <v>0.14735563855151937</v>
      </c>
      <c r="R89">
        <v>0.15237165302495409</v>
      </c>
      <c r="S89">
        <v>0.25286241975176643</v>
      </c>
      <c r="Y89" t="str">
        <f t="shared" si="4"/>
        <v>OAS</v>
      </c>
      <c r="Z89" t="str">
        <f t="shared" si="5"/>
        <v>EP_Gas-CHP</v>
      </c>
      <c r="AA89" s="4">
        <f t="shared" si="6"/>
        <v>0.25</v>
      </c>
      <c r="AB89">
        <v>3</v>
      </c>
      <c r="AC89" s="4" t="str">
        <f t="shared" si="7"/>
        <v>NCAP_CHPR</v>
      </c>
      <c r="AD89" t="s">
        <v>17</v>
      </c>
      <c r="AH89" t="s">
        <v>56</v>
      </c>
      <c r="AI89" t="s">
        <v>36</v>
      </c>
      <c r="AJ89">
        <v>2</v>
      </c>
      <c r="AK89">
        <v>3</v>
      </c>
      <c r="AL89" t="s">
        <v>138</v>
      </c>
      <c r="AM89" t="s">
        <v>93</v>
      </c>
    </row>
    <row r="90" spans="1:39" x14ac:dyDescent="0.3">
      <c r="A90" t="s">
        <v>56</v>
      </c>
      <c r="B90" t="s">
        <v>37</v>
      </c>
      <c r="C90">
        <v>1.3398810566661168E-2</v>
      </c>
      <c r="D90">
        <v>1.7442905886029911E-2</v>
      </c>
      <c r="E90">
        <v>1.3726761157449753E-2</v>
      </c>
      <c r="F90">
        <v>0.3501512412249741</v>
      </c>
      <c r="G90">
        <v>0.38386856145384024</v>
      </c>
      <c r="H90">
        <v>0.48952085706649773</v>
      </c>
      <c r="I90">
        <v>0.46579885152144246</v>
      </c>
      <c r="J90">
        <v>0.5176093415826023</v>
      </c>
      <c r="K90">
        <v>0.65789385426189528</v>
      </c>
      <c r="L90">
        <v>0.5986548790466204</v>
      </c>
      <c r="M90">
        <v>0.68588828613712993</v>
      </c>
      <c r="N90">
        <v>0.49311587087229214</v>
      </c>
      <c r="O90">
        <v>0.45399570683964907</v>
      </c>
      <c r="P90">
        <v>0.49878128534478544</v>
      </c>
      <c r="Q90">
        <v>0.54564024051936355</v>
      </c>
      <c r="R90">
        <v>0.46981750343642931</v>
      </c>
      <c r="S90">
        <v>0.90704960877881335</v>
      </c>
      <c r="Y90" t="str">
        <f t="shared" si="4"/>
        <v>OAS</v>
      </c>
      <c r="Z90" t="str">
        <f t="shared" si="5"/>
        <v>EP_Oil-CHP</v>
      </c>
      <c r="AA90" s="4">
        <f t="shared" si="6"/>
        <v>0.68843355610762136</v>
      </c>
      <c r="AB90">
        <v>3</v>
      </c>
      <c r="AC90" s="4" t="str">
        <f t="shared" si="7"/>
        <v>NCAP_CHPR</v>
      </c>
      <c r="AD90" t="s">
        <v>17</v>
      </c>
      <c r="AH90" t="s">
        <v>56</v>
      </c>
      <c r="AI90" t="s">
        <v>37</v>
      </c>
      <c r="AJ90">
        <v>2</v>
      </c>
      <c r="AK90">
        <v>3</v>
      </c>
      <c r="AL90" t="s">
        <v>138</v>
      </c>
      <c r="AM90" t="s">
        <v>93</v>
      </c>
    </row>
    <row r="91" spans="1:39" x14ac:dyDescent="0.3">
      <c r="A91" t="s">
        <v>56</v>
      </c>
      <c r="B91" t="s">
        <v>39</v>
      </c>
      <c r="F91">
        <v>1.0466441057800822</v>
      </c>
      <c r="G91">
        <v>0</v>
      </c>
      <c r="H91">
        <v>0</v>
      </c>
      <c r="I91">
        <v>3.2071625249737434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Y91" t="str">
        <f t="shared" si="4"/>
        <v>OAS</v>
      </c>
      <c r="Z91" t="str">
        <f t="shared" si="5"/>
        <v>EP_Oil_DST-CHP</v>
      </c>
      <c r="AA91" s="4">
        <f t="shared" si="6"/>
        <v>0.25</v>
      </c>
      <c r="AB91">
        <v>3</v>
      </c>
      <c r="AC91" s="4" t="str">
        <f t="shared" si="7"/>
        <v>NCAP_CHPR</v>
      </c>
      <c r="AD91" t="s">
        <v>17</v>
      </c>
      <c r="AH91" t="s">
        <v>56</v>
      </c>
      <c r="AI91" t="s">
        <v>39</v>
      </c>
      <c r="AJ91">
        <v>2</v>
      </c>
      <c r="AK91">
        <v>3</v>
      </c>
      <c r="AL91" t="s">
        <v>138</v>
      </c>
      <c r="AM91" t="s">
        <v>93</v>
      </c>
    </row>
    <row r="92" spans="1:39" x14ac:dyDescent="0.3">
      <c r="A92" t="s">
        <v>56</v>
      </c>
      <c r="B92" t="s">
        <v>40</v>
      </c>
      <c r="F92">
        <v>0.21626059968414796</v>
      </c>
      <c r="G92">
        <v>0.26193013368934182</v>
      </c>
      <c r="H92">
        <v>0.31071642531432764</v>
      </c>
      <c r="I92">
        <v>0.29232170457721518</v>
      </c>
      <c r="J92">
        <v>0.32766444238387887</v>
      </c>
      <c r="K92">
        <v>0.3306888298654112</v>
      </c>
      <c r="L92">
        <v>0.35378645542311615</v>
      </c>
      <c r="M92">
        <v>0.38302670003003036</v>
      </c>
      <c r="N92">
        <v>0.33698841233247018</v>
      </c>
      <c r="O92">
        <v>0.31528556187759965</v>
      </c>
      <c r="P92">
        <v>0.33259947411835172</v>
      </c>
      <c r="Q92">
        <v>0.32358839220637131</v>
      </c>
      <c r="R92">
        <v>0.33817778936386789</v>
      </c>
      <c r="S92">
        <v>0.50473377047928691</v>
      </c>
      <c r="Y92" t="str">
        <f t="shared" si="4"/>
        <v>OAS</v>
      </c>
      <c r="Z92" t="str">
        <f t="shared" si="5"/>
        <v>EP_Was-CHP</v>
      </c>
      <c r="AA92" s="4">
        <f t="shared" si="6"/>
        <v>0.4214557799215774</v>
      </c>
      <c r="AB92">
        <v>3</v>
      </c>
      <c r="AC92" s="4" t="str">
        <f t="shared" si="7"/>
        <v>NCAP_CHPR</v>
      </c>
      <c r="AD92" t="s">
        <v>17</v>
      </c>
      <c r="AH92" t="s">
        <v>56</v>
      </c>
      <c r="AI92" t="s">
        <v>40</v>
      </c>
      <c r="AJ92">
        <v>2</v>
      </c>
      <c r="AK92">
        <v>3</v>
      </c>
      <c r="AL92" t="s">
        <v>138</v>
      </c>
      <c r="AM92" t="s">
        <v>93</v>
      </c>
    </row>
    <row r="93" spans="1:39" x14ac:dyDescent="0.3">
      <c r="A93" t="s">
        <v>57</v>
      </c>
      <c r="B93" t="s">
        <v>34</v>
      </c>
      <c r="C93">
        <v>0.86376984773769339</v>
      </c>
      <c r="D93">
        <v>0.9905247370737793</v>
      </c>
      <c r="E93">
        <v>3.7924944743443803</v>
      </c>
      <c r="F93">
        <v>1.2683931970723912</v>
      </c>
      <c r="G93">
        <v>1.2589381338284675</v>
      </c>
      <c r="H93">
        <v>0.84856200242548252</v>
      </c>
      <c r="I93">
        <v>1.128708971995505</v>
      </c>
      <c r="J93">
        <v>1.1540233198787893</v>
      </c>
      <c r="K93">
        <v>0.98172833389724035</v>
      </c>
      <c r="L93">
        <v>0.96872966578901842</v>
      </c>
      <c r="M93">
        <v>0.91712701219248505</v>
      </c>
      <c r="N93">
        <v>0.94667511103807434</v>
      </c>
      <c r="O93">
        <v>1.3361173161765352</v>
      </c>
      <c r="P93">
        <v>1.3368957479716268</v>
      </c>
      <c r="Q93">
        <v>1.1659383681318829</v>
      </c>
      <c r="R93">
        <v>0.43490553138673244</v>
      </c>
      <c r="S93">
        <v>0.80202652371060268</v>
      </c>
      <c r="Y93" t="str">
        <f t="shared" si="4"/>
        <v>RUS</v>
      </c>
      <c r="Z93" t="str">
        <f t="shared" si="5"/>
        <v>EP_Bio-CHP</v>
      </c>
      <c r="AA93" s="4">
        <f t="shared" si="6"/>
        <v>0.61846602754866753</v>
      </c>
      <c r="AB93">
        <v>3</v>
      </c>
      <c r="AC93" s="4" t="str">
        <f t="shared" si="7"/>
        <v>NCAP_CHPR</v>
      </c>
      <c r="AD93" t="s">
        <v>17</v>
      </c>
      <c r="AH93" t="s">
        <v>57</v>
      </c>
      <c r="AI93" t="s">
        <v>34</v>
      </c>
      <c r="AJ93">
        <v>2</v>
      </c>
      <c r="AK93">
        <v>3</v>
      </c>
      <c r="AL93" t="s">
        <v>138</v>
      </c>
      <c r="AM93" t="s">
        <v>93</v>
      </c>
    </row>
    <row r="94" spans="1:39" x14ac:dyDescent="0.3">
      <c r="A94" t="s">
        <v>57</v>
      </c>
      <c r="B94" t="s">
        <v>35</v>
      </c>
      <c r="C94">
        <v>2.0642306523861702</v>
      </c>
      <c r="D94">
        <v>1.8742097228559538</v>
      </c>
      <c r="E94">
        <v>1.9315275853071463</v>
      </c>
      <c r="F94">
        <v>1.4154846579055111</v>
      </c>
      <c r="G94">
        <v>1.3717285618372803</v>
      </c>
      <c r="H94">
        <v>1.2680135399076202</v>
      </c>
      <c r="I94">
        <v>1.267389578250663</v>
      </c>
      <c r="J94">
        <v>1.2831867255003324</v>
      </c>
      <c r="K94">
        <v>1.3972874946334175</v>
      </c>
      <c r="L94">
        <v>1.445594796507147</v>
      </c>
      <c r="M94">
        <v>1.3501959846560658</v>
      </c>
      <c r="N94">
        <v>1.151263981670442</v>
      </c>
      <c r="O94">
        <v>1.1761062532768374</v>
      </c>
      <c r="P94">
        <v>1.2504441054538857</v>
      </c>
      <c r="Q94">
        <v>1.13803728598144</v>
      </c>
      <c r="R94">
        <v>1.228814518027592</v>
      </c>
      <c r="S94">
        <v>1.2903069211424634</v>
      </c>
      <c r="Y94" t="str">
        <f t="shared" si="4"/>
        <v>RUS</v>
      </c>
      <c r="Z94" t="str">
        <f t="shared" si="5"/>
        <v>EP_Coa-CHP</v>
      </c>
      <c r="AA94" s="4">
        <f t="shared" si="6"/>
        <v>1.2595607195850276</v>
      </c>
      <c r="AB94">
        <v>3</v>
      </c>
      <c r="AC94" s="4" t="str">
        <f t="shared" si="7"/>
        <v>NCAP_CHPR</v>
      </c>
      <c r="AD94" t="s">
        <v>17</v>
      </c>
      <c r="AH94" t="s">
        <v>57</v>
      </c>
      <c r="AI94" t="s">
        <v>35</v>
      </c>
      <c r="AJ94">
        <v>2</v>
      </c>
      <c r="AK94">
        <v>3</v>
      </c>
      <c r="AL94" t="s">
        <v>138</v>
      </c>
      <c r="AM94" t="s">
        <v>93</v>
      </c>
    </row>
    <row r="95" spans="1:39" x14ac:dyDescent="0.3">
      <c r="A95" t="s">
        <v>57</v>
      </c>
      <c r="B95" t="s">
        <v>47</v>
      </c>
      <c r="S95">
        <v>1.5</v>
      </c>
      <c r="Y95" t="str">
        <f t="shared" si="4"/>
        <v>RUS</v>
      </c>
      <c r="Z95" t="str">
        <f t="shared" si="5"/>
        <v>EP_CoaG-CHP</v>
      </c>
      <c r="AA95" s="4">
        <f t="shared" si="6"/>
        <v>1.5</v>
      </c>
      <c r="AB95">
        <v>3</v>
      </c>
      <c r="AC95" s="4" t="str">
        <f t="shared" si="7"/>
        <v>NCAP_CHPR</v>
      </c>
      <c r="AD95" t="s">
        <v>17</v>
      </c>
      <c r="AH95" t="s">
        <v>57</v>
      </c>
      <c r="AI95" t="s">
        <v>47</v>
      </c>
      <c r="AJ95">
        <v>2</v>
      </c>
      <c r="AK95">
        <v>3</v>
      </c>
      <c r="AL95" t="s">
        <v>138</v>
      </c>
      <c r="AM95" t="s">
        <v>93</v>
      </c>
    </row>
    <row r="96" spans="1:39" x14ac:dyDescent="0.3">
      <c r="A96" t="s">
        <v>57</v>
      </c>
      <c r="B96" t="s">
        <v>36</v>
      </c>
      <c r="C96">
        <v>1.4253387255016805</v>
      </c>
      <c r="D96">
        <v>1.3768194052571034</v>
      </c>
      <c r="E96">
        <v>1.3437581998891543</v>
      </c>
      <c r="F96">
        <v>1.212271045117002</v>
      </c>
      <c r="G96">
        <v>1.2148407910367574</v>
      </c>
      <c r="H96">
        <v>1.1291299636037164</v>
      </c>
      <c r="I96">
        <v>1.0822562289800837</v>
      </c>
      <c r="J96">
        <v>1.0125837213492914</v>
      </c>
      <c r="K96">
        <v>1.0795517407592459</v>
      </c>
      <c r="L96">
        <v>1.1765984448014588</v>
      </c>
      <c r="M96">
        <v>1.2145885351317554</v>
      </c>
      <c r="N96">
        <v>1.2632067874279165</v>
      </c>
      <c r="O96">
        <v>1.2834339231840293</v>
      </c>
      <c r="P96">
        <v>1.2001616423634374</v>
      </c>
      <c r="Q96">
        <v>1.2597491987269596</v>
      </c>
      <c r="R96">
        <v>1.231889444636701</v>
      </c>
      <c r="S96">
        <v>1.2545860144515781</v>
      </c>
      <c r="Y96" t="str">
        <f t="shared" si="4"/>
        <v>RUS</v>
      </c>
      <c r="Z96" t="str">
        <f t="shared" si="5"/>
        <v>EP_Gas-CHP</v>
      </c>
      <c r="AA96" s="4">
        <f t="shared" si="6"/>
        <v>1.2432377295441395</v>
      </c>
      <c r="AB96">
        <v>3</v>
      </c>
      <c r="AC96" s="4" t="str">
        <f t="shared" si="7"/>
        <v>NCAP_CHPR</v>
      </c>
      <c r="AD96" t="s">
        <v>17</v>
      </c>
      <c r="AH96" t="s">
        <v>57</v>
      </c>
      <c r="AI96" t="s">
        <v>36</v>
      </c>
      <c r="AJ96">
        <v>2</v>
      </c>
      <c r="AK96">
        <v>3</v>
      </c>
      <c r="AL96" t="s">
        <v>138</v>
      </c>
      <c r="AM96" t="s">
        <v>93</v>
      </c>
    </row>
    <row r="97" spans="1:39" x14ac:dyDescent="0.3">
      <c r="A97" t="s">
        <v>57</v>
      </c>
      <c r="B97" t="s">
        <v>48</v>
      </c>
      <c r="S97">
        <v>1.5</v>
      </c>
      <c r="Y97" t="str">
        <f t="shared" si="4"/>
        <v>RUS</v>
      </c>
      <c r="Z97" t="str">
        <f t="shared" si="5"/>
        <v>EP_Nuc-CHP</v>
      </c>
      <c r="AA97" s="4">
        <f t="shared" si="6"/>
        <v>1.5</v>
      </c>
      <c r="AB97">
        <v>3</v>
      </c>
      <c r="AC97" s="4" t="str">
        <f t="shared" si="7"/>
        <v>NCAP_CHPR</v>
      </c>
      <c r="AD97" t="s">
        <v>17</v>
      </c>
      <c r="AH97" t="s">
        <v>57</v>
      </c>
      <c r="AI97" t="s">
        <v>48</v>
      </c>
      <c r="AJ97">
        <v>2</v>
      </c>
      <c r="AK97">
        <v>3</v>
      </c>
      <c r="AL97" t="s">
        <v>138</v>
      </c>
      <c r="AM97" t="s">
        <v>93</v>
      </c>
    </row>
    <row r="98" spans="1:39" x14ac:dyDescent="0.3">
      <c r="A98" t="s">
        <v>57</v>
      </c>
      <c r="B98" t="s">
        <v>37</v>
      </c>
      <c r="C98">
        <v>1.6985045892106037</v>
      </c>
      <c r="D98">
        <v>1.8133522729679288</v>
      </c>
      <c r="E98">
        <v>1.6963504852505276</v>
      </c>
      <c r="F98">
        <v>1.6777896594086472</v>
      </c>
      <c r="G98">
        <v>1.6354304154078223</v>
      </c>
      <c r="H98">
        <v>1.6591926223122648</v>
      </c>
      <c r="I98">
        <v>1.5275803032535211</v>
      </c>
      <c r="J98">
        <v>1.452422093669959</v>
      </c>
      <c r="K98">
        <v>1.9079735090456966</v>
      </c>
      <c r="L98">
        <v>0.96486227920948386</v>
      </c>
      <c r="M98">
        <v>1.0252440255865696</v>
      </c>
      <c r="N98">
        <v>1.3907236556150562</v>
      </c>
      <c r="O98">
        <v>0.72592339000682393</v>
      </c>
      <c r="P98">
        <v>0.93911647788114783</v>
      </c>
      <c r="Q98">
        <v>0.8893313571269893</v>
      </c>
      <c r="R98">
        <v>5.0443180849519207</v>
      </c>
      <c r="S98">
        <v>5.0323695617579993</v>
      </c>
      <c r="Y98" t="str">
        <f t="shared" si="4"/>
        <v>RUS</v>
      </c>
      <c r="Z98" t="str">
        <f t="shared" si="5"/>
        <v>EP_Oil-CHP</v>
      </c>
      <c r="AA98" s="4">
        <f t="shared" si="6"/>
        <v>5.0383438233549604</v>
      </c>
      <c r="AB98">
        <v>3</v>
      </c>
      <c r="AC98" s="4" t="str">
        <f t="shared" si="7"/>
        <v>NCAP_CHPR</v>
      </c>
      <c r="AD98" t="s">
        <v>17</v>
      </c>
      <c r="AH98" t="s">
        <v>57</v>
      </c>
      <c r="AI98" t="s">
        <v>37</v>
      </c>
      <c r="AJ98">
        <v>2</v>
      </c>
      <c r="AK98">
        <v>3</v>
      </c>
      <c r="AL98" t="s">
        <v>138</v>
      </c>
      <c r="AM98" t="s">
        <v>93</v>
      </c>
    </row>
    <row r="99" spans="1:39" x14ac:dyDescent="0.3">
      <c r="A99" t="s">
        <v>57</v>
      </c>
      <c r="B99" t="s">
        <v>39</v>
      </c>
      <c r="E99">
        <v>3.7186150719142694</v>
      </c>
      <c r="F99">
        <v>3.7816844631627498</v>
      </c>
      <c r="G99">
        <v>3.9691593214660177</v>
      </c>
      <c r="H99">
        <v>3.51648528460316</v>
      </c>
      <c r="I99">
        <v>3.7490454314184904</v>
      </c>
      <c r="J99">
        <v>4.0882513172183437</v>
      </c>
      <c r="K99">
        <v>4.1707949607279984</v>
      </c>
      <c r="L99">
        <v>3.8970432859715234</v>
      </c>
      <c r="M99">
        <v>3.9968629908243742</v>
      </c>
      <c r="N99">
        <v>4.4345822201355691</v>
      </c>
      <c r="O99">
        <v>3.2521042234994986</v>
      </c>
      <c r="P99">
        <v>2.6964519837799035</v>
      </c>
      <c r="Q99">
        <v>1.1520437585481398</v>
      </c>
      <c r="R99">
        <v>0.63155694069609991</v>
      </c>
      <c r="S99">
        <v>0.46433969003866016</v>
      </c>
      <c r="Y99" t="str">
        <f t="shared" si="4"/>
        <v>RUS</v>
      </c>
      <c r="Z99" t="str">
        <f t="shared" si="5"/>
        <v>EP_Oil_DST-CHP</v>
      </c>
      <c r="AA99" s="4">
        <f t="shared" si="6"/>
        <v>0.54794831536738009</v>
      </c>
      <c r="AB99">
        <v>3</v>
      </c>
      <c r="AC99" s="4" t="str">
        <f t="shared" si="7"/>
        <v>NCAP_CHPR</v>
      </c>
      <c r="AD99" t="s">
        <v>17</v>
      </c>
      <c r="AH99" t="s">
        <v>57</v>
      </c>
      <c r="AI99" t="s">
        <v>39</v>
      </c>
      <c r="AJ99">
        <v>2</v>
      </c>
      <c r="AK99">
        <v>3</v>
      </c>
      <c r="AL99" t="s">
        <v>138</v>
      </c>
      <c r="AM99" t="s">
        <v>93</v>
      </c>
    </row>
    <row r="100" spans="1:39" x14ac:dyDescent="0.3">
      <c r="A100" t="s">
        <v>57</v>
      </c>
      <c r="B100" t="s">
        <v>40</v>
      </c>
      <c r="C100">
        <v>2.0463823477139664</v>
      </c>
      <c r="D100">
        <v>2.1796811152342861</v>
      </c>
      <c r="E100">
        <v>3.9471196018974211</v>
      </c>
      <c r="F100">
        <v>2.4556686915502803</v>
      </c>
      <c r="G100">
        <v>2.5771446912979581</v>
      </c>
      <c r="H100">
        <v>2.0828095242628999</v>
      </c>
      <c r="I100">
        <v>2.2769309280161152</v>
      </c>
      <c r="J100">
        <v>2.32600602828827</v>
      </c>
      <c r="K100">
        <v>2.211105919576601</v>
      </c>
      <c r="L100">
        <v>2.1896582389984758</v>
      </c>
      <c r="M100">
        <v>1.9110821789924863</v>
      </c>
      <c r="N100">
        <v>1.948688631343471</v>
      </c>
      <c r="O100">
        <v>1.7776602593032891</v>
      </c>
      <c r="P100">
        <v>2.1910726482066307</v>
      </c>
      <c r="Q100">
        <v>3.0231148299034678</v>
      </c>
      <c r="R100">
        <v>3.4418365442185941</v>
      </c>
      <c r="S100">
        <v>5.1354685671211868</v>
      </c>
      <c r="Y100" t="str">
        <f t="shared" si="4"/>
        <v>RUS</v>
      </c>
      <c r="Z100" t="str">
        <f t="shared" si="5"/>
        <v>EP_Was-CHP</v>
      </c>
      <c r="AA100" s="4">
        <f t="shared" si="6"/>
        <v>4.2886525556698905</v>
      </c>
      <c r="AB100">
        <v>3</v>
      </c>
      <c r="AC100" s="4" t="str">
        <f t="shared" si="7"/>
        <v>NCAP_CHPR</v>
      </c>
      <c r="AD100" t="s">
        <v>17</v>
      </c>
      <c r="AH100" t="s">
        <v>57</v>
      </c>
      <c r="AI100" t="s">
        <v>40</v>
      </c>
      <c r="AJ100">
        <v>2</v>
      </c>
      <c r="AK100">
        <v>3</v>
      </c>
      <c r="AL100" t="s">
        <v>138</v>
      </c>
      <c r="AM100" t="s">
        <v>93</v>
      </c>
    </row>
    <row r="101" spans="1:39" x14ac:dyDescent="0.3">
      <c r="A101" t="s">
        <v>58</v>
      </c>
      <c r="B101" t="s">
        <v>34</v>
      </c>
      <c r="I101">
        <v>81.932053461737397</v>
      </c>
      <c r="J101">
        <v>16.135252301668032</v>
      </c>
      <c r="K101">
        <v>22.756444492109303</v>
      </c>
      <c r="L101">
        <v>5.2233455028875682</v>
      </c>
      <c r="M101">
        <v>6.1654878103328503</v>
      </c>
      <c r="N101">
        <v>4.6381191778321407</v>
      </c>
      <c r="O101">
        <v>3.3822361072323623</v>
      </c>
      <c r="P101">
        <v>3.9233236861620271</v>
      </c>
      <c r="Q101">
        <v>4.8799585962169827</v>
      </c>
      <c r="R101">
        <v>4.7815750190771364</v>
      </c>
      <c r="S101">
        <v>4.9392328411339115</v>
      </c>
      <c r="Y101" t="str">
        <f t="shared" si="4"/>
        <v>SKO</v>
      </c>
      <c r="Z101" t="str">
        <f t="shared" si="5"/>
        <v>EP_Bio-CHP</v>
      </c>
      <c r="AA101" s="4">
        <f t="shared" si="6"/>
        <v>4.860403930105524</v>
      </c>
      <c r="AB101">
        <v>3</v>
      </c>
      <c r="AC101" s="4" t="str">
        <f t="shared" si="7"/>
        <v>NCAP_CHPR</v>
      </c>
      <c r="AD101" t="s">
        <v>17</v>
      </c>
      <c r="AH101" t="s">
        <v>58</v>
      </c>
      <c r="AI101" t="s">
        <v>34</v>
      </c>
      <c r="AJ101">
        <v>2</v>
      </c>
      <c r="AK101">
        <v>3</v>
      </c>
      <c r="AL101" t="s">
        <v>138</v>
      </c>
      <c r="AM101" t="s">
        <v>93</v>
      </c>
    </row>
    <row r="102" spans="1:39" x14ac:dyDescent="0.3">
      <c r="A102" t="s">
        <v>58</v>
      </c>
      <c r="B102" t="s">
        <v>35</v>
      </c>
      <c r="C102">
        <v>0.72264152465058906</v>
      </c>
      <c r="D102">
        <v>0.61267814196825365</v>
      </c>
      <c r="E102">
        <v>0.63143732603174407</v>
      </c>
      <c r="F102">
        <v>0.65114999159001885</v>
      </c>
      <c r="G102">
        <v>0.7438569374218692</v>
      </c>
      <c r="H102">
        <v>0.62938925943150215</v>
      </c>
      <c r="I102">
        <v>0.68158938679973491</v>
      </c>
      <c r="J102">
        <v>0.9472179057899669</v>
      </c>
      <c r="K102">
        <v>0.81652449335522415</v>
      </c>
      <c r="L102">
        <v>0.84219958773207204</v>
      </c>
      <c r="M102">
        <v>0.78100170311728934</v>
      </c>
      <c r="N102">
        <v>0.89491116892603573</v>
      </c>
      <c r="O102">
        <v>1.0174978699441199</v>
      </c>
      <c r="P102">
        <v>1.0523641571075433</v>
      </c>
      <c r="Q102">
        <v>1.2562421154287993</v>
      </c>
      <c r="R102">
        <v>1.1151283963939853</v>
      </c>
      <c r="S102">
        <v>1.0549878542277029</v>
      </c>
      <c r="Y102" t="str">
        <f t="shared" si="4"/>
        <v>SKO</v>
      </c>
      <c r="Z102" t="str">
        <f t="shared" si="5"/>
        <v>EP_Coa-CHP</v>
      </c>
      <c r="AA102" s="4">
        <f t="shared" si="6"/>
        <v>1.085058125310844</v>
      </c>
      <c r="AB102">
        <v>3</v>
      </c>
      <c r="AC102" s="4" t="str">
        <f t="shared" si="7"/>
        <v>NCAP_CHPR</v>
      </c>
      <c r="AD102" t="s">
        <v>17</v>
      </c>
      <c r="AH102" t="s">
        <v>58</v>
      </c>
      <c r="AI102" t="s">
        <v>35</v>
      </c>
      <c r="AJ102">
        <v>2</v>
      </c>
      <c r="AK102">
        <v>3</v>
      </c>
      <c r="AL102" t="s">
        <v>138</v>
      </c>
      <c r="AM102" t="s">
        <v>93</v>
      </c>
    </row>
    <row r="103" spans="1:39" x14ac:dyDescent="0.3">
      <c r="A103" t="s">
        <v>58</v>
      </c>
      <c r="B103" t="s">
        <v>36</v>
      </c>
      <c r="C103">
        <v>0.7768414891415939</v>
      </c>
      <c r="D103">
        <v>0.93557094332371249</v>
      </c>
      <c r="E103">
        <v>0.8296081204757535</v>
      </c>
      <c r="F103">
        <v>0.90244481767112461</v>
      </c>
      <c r="G103">
        <v>0.76466951590293164</v>
      </c>
      <c r="H103">
        <v>0.86459454125925495</v>
      </c>
      <c r="I103">
        <v>0.96470359794630745</v>
      </c>
      <c r="J103">
        <v>1.0221625921054378</v>
      </c>
      <c r="K103">
        <v>0.83131802623986428</v>
      </c>
      <c r="L103">
        <v>0.82408194113253264</v>
      </c>
      <c r="M103">
        <v>0.78908195726273822</v>
      </c>
      <c r="N103">
        <v>0.67098688160527087</v>
      </c>
      <c r="O103">
        <v>0.77717430400866028</v>
      </c>
      <c r="P103">
        <v>0.81589480624385269</v>
      </c>
      <c r="Q103">
        <v>0.57318622181734491</v>
      </c>
      <c r="R103">
        <v>0.6313347862879809</v>
      </c>
      <c r="S103">
        <v>0.63217226705442653</v>
      </c>
      <c r="Y103" t="str">
        <f t="shared" si="4"/>
        <v>SKO</v>
      </c>
      <c r="Z103" t="str">
        <f t="shared" si="5"/>
        <v>EP_Gas-CHP</v>
      </c>
      <c r="AA103" s="4">
        <f t="shared" si="6"/>
        <v>0.63175352667120377</v>
      </c>
      <c r="AB103">
        <v>3</v>
      </c>
      <c r="AC103" s="4" t="str">
        <f t="shared" si="7"/>
        <v>NCAP_CHPR</v>
      </c>
      <c r="AD103" t="s">
        <v>17</v>
      </c>
      <c r="AH103" t="s">
        <v>58</v>
      </c>
      <c r="AI103" t="s">
        <v>36</v>
      </c>
      <c r="AJ103">
        <v>2</v>
      </c>
      <c r="AK103">
        <v>3</v>
      </c>
      <c r="AL103" t="s">
        <v>138</v>
      </c>
      <c r="AM103" t="s">
        <v>93</v>
      </c>
    </row>
    <row r="104" spans="1:39" x14ac:dyDescent="0.3">
      <c r="A104" t="s">
        <v>58</v>
      </c>
      <c r="B104" t="s">
        <v>37</v>
      </c>
      <c r="C104">
        <v>1.1699668145222848</v>
      </c>
      <c r="D104">
        <v>1.8279379661078703</v>
      </c>
      <c r="E104">
        <v>3.5718251861934291</v>
      </c>
      <c r="F104">
        <v>4.5392124592735339</v>
      </c>
      <c r="G104">
        <v>5.0209811191036948</v>
      </c>
      <c r="H104">
        <v>5.5200873192177795</v>
      </c>
      <c r="I104">
        <v>6.2946595156977239</v>
      </c>
      <c r="J104">
        <v>3.7718055275960443</v>
      </c>
      <c r="K104">
        <v>2.9033186490605654</v>
      </c>
      <c r="L104">
        <v>3.4778030145375554</v>
      </c>
      <c r="M104">
        <v>3.1852408119315645</v>
      </c>
      <c r="N104">
        <v>1.9489516629461507</v>
      </c>
      <c r="O104">
        <v>1.1269602077577874</v>
      </c>
      <c r="P104">
        <v>3.3697037721266705</v>
      </c>
      <c r="Q104">
        <v>2.4156291954769524</v>
      </c>
      <c r="R104">
        <v>2.2728908313769525</v>
      </c>
      <c r="S104">
        <v>2.1355692713039067</v>
      </c>
      <c r="Y104" t="str">
        <f t="shared" si="4"/>
        <v>SKO</v>
      </c>
      <c r="Z104" t="str">
        <f t="shared" si="5"/>
        <v>EP_Oil-CHP</v>
      </c>
      <c r="AA104" s="4">
        <f t="shared" si="6"/>
        <v>2.2042300513404296</v>
      </c>
      <c r="AB104">
        <v>3</v>
      </c>
      <c r="AC104" s="4" t="str">
        <f t="shared" si="7"/>
        <v>NCAP_CHPR</v>
      </c>
      <c r="AD104" t="s">
        <v>17</v>
      </c>
      <c r="AH104" t="s">
        <v>58</v>
      </c>
      <c r="AI104" t="s">
        <v>37</v>
      </c>
      <c r="AJ104">
        <v>2</v>
      </c>
      <c r="AK104">
        <v>3</v>
      </c>
      <c r="AL104" t="s">
        <v>138</v>
      </c>
      <c r="AM104" t="s">
        <v>93</v>
      </c>
    </row>
    <row r="105" spans="1:39" x14ac:dyDescent="0.3">
      <c r="A105" t="s">
        <v>58</v>
      </c>
      <c r="B105" t="s">
        <v>39</v>
      </c>
      <c r="C105">
        <v>1.3727188257561387</v>
      </c>
      <c r="D105">
        <v>2.8987582470270739</v>
      </c>
      <c r="E105">
        <v>0</v>
      </c>
      <c r="F105">
        <v>1.0462387105158955</v>
      </c>
      <c r="G105">
        <v>0.85167513998157407</v>
      </c>
      <c r="H105">
        <v>0</v>
      </c>
      <c r="J105">
        <v>1.2252481348867277</v>
      </c>
      <c r="K105">
        <v>0.93021264945278492</v>
      </c>
      <c r="L105">
        <v>0</v>
      </c>
      <c r="M105">
        <v>0</v>
      </c>
      <c r="S105">
        <v>0</v>
      </c>
      <c r="Y105" t="str">
        <f t="shared" si="4"/>
        <v>SKO</v>
      </c>
      <c r="Z105" t="str">
        <f t="shared" si="5"/>
        <v>EP_Oil_DST-CHP</v>
      </c>
      <c r="AA105" s="4">
        <f t="shared" si="6"/>
        <v>0.25</v>
      </c>
      <c r="AB105">
        <v>3</v>
      </c>
      <c r="AC105" s="4" t="str">
        <f t="shared" si="7"/>
        <v>NCAP_CHPR</v>
      </c>
      <c r="AD105" t="s">
        <v>17</v>
      </c>
      <c r="AH105" t="s">
        <v>58</v>
      </c>
      <c r="AI105" t="s">
        <v>39</v>
      </c>
      <c r="AJ105">
        <v>2</v>
      </c>
      <c r="AK105">
        <v>3</v>
      </c>
      <c r="AL105" t="s">
        <v>138</v>
      </c>
      <c r="AM105" t="s">
        <v>93</v>
      </c>
    </row>
    <row r="106" spans="1:39" x14ac:dyDescent="0.3">
      <c r="A106" t="s">
        <v>58</v>
      </c>
      <c r="B106" t="s">
        <v>40</v>
      </c>
      <c r="C106">
        <v>7.1571237143216884</v>
      </c>
      <c r="D106">
        <v>7.5747997935725966</v>
      </c>
      <c r="E106">
        <v>4.7641089187146513</v>
      </c>
      <c r="F106">
        <v>2.7026860847973997</v>
      </c>
      <c r="G106">
        <v>2.3922940475071295</v>
      </c>
      <c r="H106">
        <v>3.0526022136174351</v>
      </c>
      <c r="I106">
        <v>5.8849103484833076</v>
      </c>
      <c r="J106">
        <v>3.0303563897879213</v>
      </c>
      <c r="K106">
        <v>1.5682244654109896</v>
      </c>
      <c r="L106">
        <v>2.1759366277205081</v>
      </c>
      <c r="M106">
        <v>2.1071092173042811</v>
      </c>
      <c r="N106">
        <v>0.91367689452074752</v>
      </c>
      <c r="O106">
        <v>0.97016725545856364</v>
      </c>
      <c r="P106">
        <v>0.8233645301951944</v>
      </c>
      <c r="Q106">
        <v>1.0205919332455209</v>
      </c>
      <c r="R106">
        <v>2.5455705854281092</v>
      </c>
      <c r="S106">
        <v>2.1006443226438445</v>
      </c>
      <c r="Y106" t="str">
        <f t="shared" si="4"/>
        <v>SKO</v>
      </c>
      <c r="Z106" t="str">
        <f t="shared" si="5"/>
        <v>EP_Was-CHP</v>
      </c>
      <c r="AA106" s="4">
        <f t="shared" si="6"/>
        <v>2.3231074540359771</v>
      </c>
      <c r="AB106">
        <v>3</v>
      </c>
      <c r="AC106" s="4" t="str">
        <f t="shared" si="7"/>
        <v>NCAP_CHPR</v>
      </c>
      <c r="AD106" t="s">
        <v>17</v>
      </c>
      <c r="AH106" t="s">
        <v>58</v>
      </c>
      <c r="AI106" t="s">
        <v>40</v>
      </c>
      <c r="AJ106">
        <v>2</v>
      </c>
      <c r="AK106">
        <v>3</v>
      </c>
      <c r="AL106" t="s">
        <v>138</v>
      </c>
      <c r="AM106" t="s">
        <v>93</v>
      </c>
    </row>
    <row r="107" spans="1:39" x14ac:dyDescent="0.3">
      <c r="A107" t="s">
        <v>59</v>
      </c>
      <c r="B107" t="s">
        <v>34</v>
      </c>
      <c r="C107">
        <v>4.8172835456149752</v>
      </c>
      <c r="D107">
        <v>5.9725300987273666</v>
      </c>
      <c r="E107">
        <v>2.875391317941479</v>
      </c>
      <c r="F107">
        <v>1.4347761838614885</v>
      </c>
      <c r="G107">
        <v>1.1124180789956182</v>
      </c>
      <c r="H107">
        <v>1.7708706714330573</v>
      </c>
      <c r="I107">
        <v>0.87697904415637939</v>
      </c>
      <c r="J107">
        <v>2.8866052030758911</v>
      </c>
      <c r="K107">
        <v>1.8165772157648841</v>
      </c>
      <c r="L107">
        <v>1.7524891878061566</v>
      </c>
      <c r="M107">
        <v>1.8317216105550447</v>
      </c>
      <c r="N107">
        <v>2.0054553470048568</v>
      </c>
      <c r="O107">
        <v>1.6835968812120312</v>
      </c>
      <c r="P107">
        <v>1.563758849826536</v>
      </c>
      <c r="Q107">
        <v>1.0262696168288472</v>
      </c>
      <c r="R107">
        <v>1.0935705498923776</v>
      </c>
      <c r="S107">
        <v>0.77780014129683284</v>
      </c>
      <c r="Y107" t="str">
        <f t="shared" si="4"/>
        <v>URA</v>
      </c>
      <c r="Z107" t="str">
        <f t="shared" si="5"/>
        <v>EP_Bio-CHP</v>
      </c>
      <c r="AA107" s="4">
        <f t="shared" si="6"/>
        <v>0.93568534559460526</v>
      </c>
      <c r="AB107">
        <v>3</v>
      </c>
      <c r="AC107" s="4" t="str">
        <f t="shared" si="7"/>
        <v>NCAP_CHPR</v>
      </c>
      <c r="AD107" t="s">
        <v>17</v>
      </c>
      <c r="AH107" t="s">
        <v>59</v>
      </c>
      <c r="AI107" t="s">
        <v>34</v>
      </c>
      <c r="AJ107">
        <v>2</v>
      </c>
      <c r="AK107">
        <v>3</v>
      </c>
      <c r="AL107" t="s">
        <v>138</v>
      </c>
      <c r="AM107" t="s">
        <v>93</v>
      </c>
    </row>
    <row r="108" spans="1:39" x14ac:dyDescent="0.3">
      <c r="A108" t="s">
        <v>59</v>
      </c>
      <c r="B108" t="s">
        <v>35</v>
      </c>
      <c r="C108">
        <v>2.2064165118834018</v>
      </c>
      <c r="D108">
        <v>2.1427278342155094</v>
      </c>
      <c r="E108">
        <v>2.136691909256013</v>
      </c>
      <c r="F108">
        <v>1.7253369363243753</v>
      </c>
      <c r="G108">
        <v>1.5937973706761785</v>
      </c>
      <c r="H108">
        <v>1.714968812350907</v>
      </c>
      <c r="I108">
        <v>1.7588430581215186</v>
      </c>
      <c r="J108">
        <v>1.9512661591855607</v>
      </c>
      <c r="K108">
        <v>1.8672710826259105</v>
      </c>
      <c r="L108">
        <v>1.7596355916912767</v>
      </c>
      <c r="M108">
        <v>1.9266943337873934</v>
      </c>
      <c r="N108">
        <v>1.6954542480793435</v>
      </c>
      <c r="O108">
        <v>1.9223015079679604</v>
      </c>
      <c r="P108">
        <v>2.0405824106897796</v>
      </c>
      <c r="Q108">
        <v>1.7782286510221106</v>
      </c>
      <c r="R108">
        <v>1.8191119224233707</v>
      </c>
      <c r="S108">
        <v>1.7809884977764072</v>
      </c>
      <c r="Y108" t="str">
        <f t="shared" si="4"/>
        <v>URA</v>
      </c>
      <c r="Z108" t="str">
        <f t="shared" si="5"/>
        <v>EP_Coa-CHP</v>
      </c>
      <c r="AA108" s="4">
        <f t="shared" si="6"/>
        <v>1.800050210099889</v>
      </c>
      <c r="AB108">
        <v>3</v>
      </c>
      <c r="AC108" s="4" t="str">
        <f t="shared" si="7"/>
        <v>NCAP_CHPR</v>
      </c>
      <c r="AD108" t="s">
        <v>17</v>
      </c>
      <c r="AH108" t="s">
        <v>59</v>
      </c>
      <c r="AI108" t="s">
        <v>35</v>
      </c>
      <c r="AJ108">
        <v>2</v>
      </c>
      <c r="AK108">
        <v>3</v>
      </c>
      <c r="AL108" t="s">
        <v>138</v>
      </c>
      <c r="AM108" t="s">
        <v>93</v>
      </c>
    </row>
    <row r="109" spans="1:39" x14ac:dyDescent="0.3">
      <c r="A109" t="s">
        <v>59</v>
      </c>
      <c r="B109" t="s">
        <v>36</v>
      </c>
      <c r="C109">
        <v>1.3392132903217631</v>
      </c>
      <c r="D109">
        <v>1.2542449368147808</v>
      </c>
      <c r="E109">
        <v>1.1768281004726473</v>
      </c>
      <c r="F109">
        <v>1.4356285943818494</v>
      </c>
      <c r="G109">
        <v>1.3306717739391234</v>
      </c>
      <c r="H109">
        <v>1.5515999485702991</v>
      </c>
      <c r="I109">
        <v>1.4004421713749295</v>
      </c>
      <c r="J109">
        <v>1.0649079617549109</v>
      </c>
      <c r="K109">
        <v>1.2622127089440325</v>
      </c>
      <c r="L109">
        <v>1.1996127936089191</v>
      </c>
      <c r="M109">
        <v>1.1215077970149339</v>
      </c>
      <c r="N109">
        <v>1.0371430795900698</v>
      </c>
      <c r="O109">
        <v>1.0877198558160117</v>
      </c>
      <c r="P109">
        <v>1.0782668456953404</v>
      </c>
      <c r="Q109">
        <v>1.0246990655876227</v>
      </c>
      <c r="R109">
        <v>0.96001414390731354</v>
      </c>
      <c r="S109">
        <v>0.93898345053386645</v>
      </c>
      <c r="Y109" t="str">
        <f t="shared" si="4"/>
        <v>URA</v>
      </c>
      <c r="Z109" t="str">
        <f t="shared" si="5"/>
        <v>EP_Gas-CHP</v>
      </c>
      <c r="AA109" s="4">
        <f t="shared" si="6"/>
        <v>0.94949879722058994</v>
      </c>
      <c r="AB109">
        <v>3</v>
      </c>
      <c r="AC109" s="4" t="str">
        <f t="shared" si="7"/>
        <v>NCAP_CHPR</v>
      </c>
      <c r="AD109" t="s">
        <v>17</v>
      </c>
      <c r="AH109" t="s">
        <v>59</v>
      </c>
      <c r="AI109" t="s">
        <v>36</v>
      </c>
      <c r="AJ109">
        <v>2</v>
      </c>
      <c r="AK109">
        <v>3</v>
      </c>
      <c r="AL109" t="s">
        <v>138</v>
      </c>
      <c r="AM109" t="s">
        <v>93</v>
      </c>
    </row>
    <row r="110" spans="1:39" x14ac:dyDescent="0.3">
      <c r="A110" t="s">
        <v>59</v>
      </c>
      <c r="B110" t="s">
        <v>37</v>
      </c>
      <c r="C110">
        <v>1.7674539728927927</v>
      </c>
      <c r="D110">
        <v>1.4045314419051445</v>
      </c>
      <c r="E110">
        <v>1.4542442611382951</v>
      </c>
      <c r="F110">
        <v>1.4539592703155382</v>
      </c>
      <c r="G110">
        <v>1.2931053658355636</v>
      </c>
      <c r="H110">
        <v>1.1765351943314615</v>
      </c>
      <c r="I110">
        <v>1.6447070019796126</v>
      </c>
      <c r="J110">
        <v>2.9529969911129048</v>
      </c>
      <c r="K110">
        <v>2.8374626430459173</v>
      </c>
      <c r="L110">
        <v>2.3837304140182951</v>
      </c>
      <c r="M110">
        <v>2.4263641198515806</v>
      </c>
      <c r="N110">
        <v>2.88312074855514</v>
      </c>
      <c r="O110">
        <v>2.8856399520235758</v>
      </c>
      <c r="P110">
        <v>1.8790479131163145</v>
      </c>
      <c r="Q110">
        <v>1.6650108550164613</v>
      </c>
      <c r="R110">
        <v>1.951790893416681</v>
      </c>
      <c r="S110">
        <v>2.4820028307131228</v>
      </c>
      <c r="Y110" t="str">
        <f t="shared" si="4"/>
        <v>URA</v>
      </c>
      <c r="Z110" t="str">
        <f t="shared" si="5"/>
        <v>EP_Oil-CHP</v>
      </c>
      <c r="AA110" s="4">
        <f t="shared" si="6"/>
        <v>2.2168968620649019</v>
      </c>
      <c r="AB110">
        <v>3</v>
      </c>
      <c r="AC110" s="4" t="str">
        <f t="shared" si="7"/>
        <v>NCAP_CHPR</v>
      </c>
      <c r="AD110" t="s">
        <v>17</v>
      </c>
      <c r="AH110" t="s">
        <v>59</v>
      </c>
      <c r="AI110" t="s">
        <v>37</v>
      </c>
      <c r="AJ110">
        <v>2</v>
      </c>
      <c r="AK110">
        <v>3</v>
      </c>
      <c r="AL110" t="s">
        <v>138</v>
      </c>
      <c r="AM110" t="s">
        <v>93</v>
      </c>
    </row>
    <row r="111" spans="1:39" x14ac:dyDescent="0.3">
      <c r="A111" t="s">
        <v>59</v>
      </c>
      <c r="B111" t="s">
        <v>39</v>
      </c>
      <c r="C111">
        <v>0</v>
      </c>
      <c r="D111">
        <v>1.0624141016873638</v>
      </c>
      <c r="F111">
        <v>0.59425159247748938</v>
      </c>
      <c r="G111">
        <v>1.4346652887666527</v>
      </c>
      <c r="H111">
        <v>0</v>
      </c>
      <c r="I111">
        <v>0</v>
      </c>
      <c r="J111">
        <v>2.6789896106789688</v>
      </c>
      <c r="K111">
        <v>0</v>
      </c>
      <c r="L111">
        <v>0</v>
      </c>
      <c r="M111">
        <v>2.4213112642322909</v>
      </c>
      <c r="N111">
        <v>0</v>
      </c>
      <c r="O111">
        <v>0</v>
      </c>
      <c r="P111">
        <v>0</v>
      </c>
      <c r="Q111">
        <v>6.1322457823902194</v>
      </c>
      <c r="R111">
        <v>4.2084820055615078</v>
      </c>
      <c r="S111">
        <v>0</v>
      </c>
      <c r="Y111" t="str">
        <f t="shared" si="4"/>
        <v>URA</v>
      </c>
      <c r="Z111" t="str">
        <f t="shared" si="5"/>
        <v>EP_Oil_DST-CHP</v>
      </c>
      <c r="AA111" s="4">
        <f t="shared" si="6"/>
        <v>2.1042410027807539</v>
      </c>
      <c r="AB111">
        <v>3</v>
      </c>
      <c r="AC111" s="4" t="str">
        <f t="shared" si="7"/>
        <v>NCAP_CHPR</v>
      </c>
      <c r="AD111" t="s">
        <v>17</v>
      </c>
      <c r="AH111" t="s">
        <v>59</v>
      </c>
      <c r="AI111" t="s">
        <v>39</v>
      </c>
      <c r="AJ111">
        <v>2</v>
      </c>
      <c r="AK111">
        <v>3</v>
      </c>
      <c r="AL111" t="s">
        <v>138</v>
      </c>
      <c r="AM111" t="s">
        <v>93</v>
      </c>
    </row>
    <row r="112" spans="1:39" x14ac:dyDescent="0.3">
      <c r="A112" t="s">
        <v>59</v>
      </c>
      <c r="B112" t="s">
        <v>40</v>
      </c>
      <c r="C112">
        <v>4.9240999827241749</v>
      </c>
      <c r="D112">
        <v>13.338893400080288</v>
      </c>
      <c r="E112">
        <v>0.47906390188931985</v>
      </c>
      <c r="F112">
        <v>0.43513580020208315</v>
      </c>
      <c r="G112">
        <v>0</v>
      </c>
      <c r="H112">
        <v>0.5373623984457192</v>
      </c>
      <c r="I112">
        <v>0.14792879853912869</v>
      </c>
      <c r="J112">
        <v>1.3385640357207838</v>
      </c>
      <c r="K112">
        <v>1.1392212166042983</v>
      </c>
      <c r="L112">
        <v>1.0274516578644652</v>
      </c>
      <c r="M112">
        <v>0.96779173182935985</v>
      </c>
      <c r="N112">
        <v>1.2971638138228354</v>
      </c>
      <c r="O112">
        <v>1.1852171084498018</v>
      </c>
      <c r="P112">
        <v>1.0071316795148537</v>
      </c>
      <c r="Q112">
        <v>0.84839316328763414</v>
      </c>
      <c r="R112">
        <v>0.8164841831560411</v>
      </c>
      <c r="S112">
        <v>0.68197283476908088</v>
      </c>
      <c r="Y112" t="str">
        <f t="shared" si="4"/>
        <v>URA</v>
      </c>
      <c r="Z112" t="str">
        <f t="shared" si="5"/>
        <v>EP_Was-CHP</v>
      </c>
      <c r="AA112" s="4">
        <f t="shared" si="6"/>
        <v>0.74922850896256099</v>
      </c>
      <c r="AB112">
        <v>3</v>
      </c>
      <c r="AC112" s="4" t="str">
        <f t="shared" si="7"/>
        <v>NCAP_CHPR</v>
      </c>
      <c r="AD112" t="s">
        <v>17</v>
      </c>
      <c r="AH112" t="s">
        <v>59</v>
      </c>
      <c r="AI112" t="s">
        <v>40</v>
      </c>
      <c r="AJ112">
        <v>2</v>
      </c>
      <c r="AK112">
        <v>3</v>
      </c>
      <c r="AL112" t="s">
        <v>138</v>
      </c>
      <c r="AM112" t="s">
        <v>93</v>
      </c>
    </row>
    <row r="113" spans="1:39" x14ac:dyDescent="0.3">
      <c r="A113" t="s">
        <v>60</v>
      </c>
      <c r="B113" t="s">
        <v>34</v>
      </c>
      <c r="C113">
        <v>0.12434008691627702</v>
      </c>
      <c r="D113">
        <v>0.23032837723174948</v>
      </c>
      <c r="E113">
        <v>9.5262593968049147E-2</v>
      </c>
      <c r="F113">
        <v>0.10581654476462407</v>
      </c>
      <c r="G113">
        <v>0.26702269833239106</v>
      </c>
      <c r="H113">
        <v>0.29990393992644138</v>
      </c>
      <c r="I113">
        <v>0.28144137860999924</v>
      </c>
      <c r="J113">
        <v>0.31698164933612222</v>
      </c>
      <c r="K113">
        <v>0.25155648442101819</v>
      </c>
      <c r="L113">
        <v>0.21367558438031006</v>
      </c>
      <c r="M113">
        <v>0.26354397830165183</v>
      </c>
      <c r="N113">
        <v>0.25053564066182821</v>
      </c>
      <c r="O113">
        <v>0.26597834067282933</v>
      </c>
      <c r="P113">
        <v>0.25432908012576017</v>
      </c>
      <c r="Q113">
        <v>0.32332188642817733</v>
      </c>
      <c r="R113">
        <v>0.32445106052186717</v>
      </c>
      <c r="S113">
        <v>0.30005534002125456</v>
      </c>
      <c r="Y113" t="str">
        <f t="shared" si="4"/>
        <v>USA</v>
      </c>
      <c r="Z113" t="str">
        <f t="shared" si="5"/>
        <v>EP_Bio-CHP</v>
      </c>
      <c r="AA113" s="4">
        <f t="shared" si="6"/>
        <v>0.31225320027156089</v>
      </c>
      <c r="AB113">
        <v>3</v>
      </c>
      <c r="AC113" s="4" t="str">
        <f t="shared" si="7"/>
        <v>NCAP_CHPR</v>
      </c>
      <c r="AD113" t="s">
        <v>17</v>
      </c>
      <c r="AH113" t="s">
        <v>60</v>
      </c>
      <c r="AI113" t="s">
        <v>34</v>
      </c>
      <c r="AJ113">
        <v>2</v>
      </c>
      <c r="AK113">
        <v>3</v>
      </c>
      <c r="AL113" t="s">
        <v>138</v>
      </c>
      <c r="AM113" t="s">
        <v>93</v>
      </c>
    </row>
    <row r="114" spans="1:39" x14ac:dyDescent="0.3">
      <c r="A114" t="s">
        <v>60</v>
      </c>
      <c r="B114" t="s">
        <v>35</v>
      </c>
      <c r="C114">
        <v>0.29913175774619721</v>
      </c>
      <c r="D114">
        <v>0.27422115749151971</v>
      </c>
      <c r="E114">
        <v>0.20196321370499601</v>
      </c>
      <c r="F114">
        <v>0.2466089523021216</v>
      </c>
      <c r="G114">
        <v>0.51904889542626409</v>
      </c>
      <c r="H114">
        <v>0.48664244004764773</v>
      </c>
      <c r="I114">
        <v>0.45675431999368993</v>
      </c>
      <c r="J114">
        <v>0.60644999117796572</v>
      </c>
      <c r="K114">
        <v>0.54882436860633288</v>
      </c>
      <c r="L114">
        <v>0.5691252254821263</v>
      </c>
      <c r="M114">
        <v>0.44789122885801935</v>
      </c>
      <c r="N114">
        <v>0.37553756078764006</v>
      </c>
      <c r="O114">
        <v>0.28453905047553857</v>
      </c>
      <c r="P114">
        <v>0.32463257338726692</v>
      </c>
      <c r="Q114">
        <v>0.28534399668368821</v>
      </c>
      <c r="R114">
        <v>0.27578968728855013</v>
      </c>
      <c r="S114">
        <v>0.31548459142566004</v>
      </c>
      <c r="Y114" t="str">
        <f t="shared" si="4"/>
        <v>USA</v>
      </c>
      <c r="Z114" t="str">
        <f t="shared" si="5"/>
        <v>EP_Coa-CHP</v>
      </c>
      <c r="AA114" s="4">
        <f t="shared" si="6"/>
        <v>0.29563713935710512</v>
      </c>
      <c r="AB114">
        <v>3</v>
      </c>
      <c r="AC114" s="4" t="str">
        <f t="shared" si="7"/>
        <v>NCAP_CHPR</v>
      </c>
      <c r="AD114" t="s">
        <v>17</v>
      </c>
      <c r="AH114" t="s">
        <v>60</v>
      </c>
      <c r="AI114" t="s">
        <v>35</v>
      </c>
      <c r="AJ114">
        <v>2</v>
      </c>
      <c r="AK114">
        <v>3</v>
      </c>
      <c r="AL114" t="s">
        <v>138</v>
      </c>
      <c r="AM114" t="s">
        <v>93</v>
      </c>
    </row>
    <row r="115" spans="1:39" x14ac:dyDescent="0.3">
      <c r="A115" t="s">
        <v>60</v>
      </c>
      <c r="B115" t="s">
        <v>36</v>
      </c>
      <c r="C115">
        <v>0.34290524901530145</v>
      </c>
      <c r="D115">
        <v>0.32839315517189221</v>
      </c>
      <c r="E115">
        <v>0.22383354414436132</v>
      </c>
      <c r="F115">
        <v>0.21983181426709617</v>
      </c>
      <c r="G115">
        <v>0.52004589645054067</v>
      </c>
      <c r="H115">
        <v>0.49531511605485073</v>
      </c>
      <c r="I115">
        <v>0.51193025518267354</v>
      </c>
      <c r="J115">
        <v>0.48297233230127418</v>
      </c>
      <c r="K115">
        <v>0.45195618390826597</v>
      </c>
      <c r="L115">
        <v>0.46417623116926116</v>
      </c>
      <c r="M115">
        <v>0.44820858022066867</v>
      </c>
      <c r="N115">
        <v>0.45364294916901204</v>
      </c>
      <c r="O115">
        <v>0.43058650580304197</v>
      </c>
      <c r="P115">
        <v>0.39916819245022828</v>
      </c>
      <c r="Q115">
        <v>0.4903606629187795</v>
      </c>
      <c r="R115">
        <v>0.44519794694054965</v>
      </c>
      <c r="S115">
        <v>0.46771101894313011</v>
      </c>
      <c r="Y115" t="str">
        <f t="shared" si="4"/>
        <v>USA</v>
      </c>
      <c r="Z115" t="str">
        <f t="shared" si="5"/>
        <v>EP_Gas-CHP</v>
      </c>
      <c r="AA115" s="4">
        <f t="shared" si="6"/>
        <v>0.45645448294183988</v>
      </c>
      <c r="AB115">
        <v>3</v>
      </c>
      <c r="AC115" s="4" t="str">
        <f t="shared" si="7"/>
        <v>NCAP_CHPR</v>
      </c>
      <c r="AD115" t="s">
        <v>17</v>
      </c>
      <c r="AH115" t="s">
        <v>60</v>
      </c>
      <c r="AI115" t="s">
        <v>36</v>
      </c>
      <c r="AJ115">
        <v>2</v>
      </c>
      <c r="AK115">
        <v>3</v>
      </c>
      <c r="AL115" t="s">
        <v>138</v>
      </c>
      <c r="AM115" t="s">
        <v>93</v>
      </c>
    </row>
    <row r="116" spans="1:39" x14ac:dyDescent="0.3">
      <c r="A116" t="s">
        <v>60</v>
      </c>
      <c r="B116" t="s">
        <v>37</v>
      </c>
      <c r="C116">
        <v>0.14230819851759244</v>
      </c>
      <c r="D116">
        <v>0.21082362808815217</v>
      </c>
      <c r="E116">
        <v>0.13681052708022598</v>
      </c>
      <c r="F116">
        <v>0.39014098673174674</v>
      </c>
      <c r="G116">
        <v>0.59036316982359438</v>
      </c>
      <c r="H116">
        <v>0.6263867538444563</v>
      </c>
      <c r="I116">
        <v>0.8585428676221768</v>
      </c>
      <c r="J116">
        <v>0.84863853018382962</v>
      </c>
      <c r="K116">
        <v>0.99641389075289943</v>
      </c>
      <c r="L116">
        <v>1.2033055113312232</v>
      </c>
      <c r="M116">
        <v>1.3591949180678673</v>
      </c>
      <c r="N116">
        <v>1.0036799276396835</v>
      </c>
      <c r="O116">
        <v>0.84170757369547922</v>
      </c>
      <c r="P116">
        <v>0.76262528862108281</v>
      </c>
      <c r="Q116">
        <v>1.1036812688855728</v>
      </c>
      <c r="R116">
        <v>1.198349827749875</v>
      </c>
      <c r="S116">
        <v>1.2591785457413787</v>
      </c>
      <c r="Y116" t="str">
        <f t="shared" si="4"/>
        <v>USA</v>
      </c>
      <c r="Z116" t="str">
        <f t="shared" si="5"/>
        <v>EP_Oil-CHP</v>
      </c>
      <c r="AA116" s="4">
        <f t="shared" si="6"/>
        <v>1.2287641867456269</v>
      </c>
      <c r="AB116">
        <v>3</v>
      </c>
      <c r="AC116" s="4" t="str">
        <f t="shared" si="7"/>
        <v>NCAP_CHPR</v>
      </c>
      <c r="AD116" t="s">
        <v>17</v>
      </c>
      <c r="AH116" t="s">
        <v>60</v>
      </c>
      <c r="AI116" t="s">
        <v>37</v>
      </c>
      <c r="AJ116">
        <v>2</v>
      </c>
      <c r="AK116">
        <v>3</v>
      </c>
      <c r="AL116" t="s">
        <v>138</v>
      </c>
      <c r="AM116" t="s">
        <v>93</v>
      </c>
    </row>
    <row r="117" spans="1:39" x14ac:dyDescent="0.3">
      <c r="A117" t="s">
        <v>60</v>
      </c>
      <c r="B117" t="s">
        <v>39</v>
      </c>
      <c r="C117">
        <v>0.12307951713525531</v>
      </c>
      <c r="D117">
        <v>0.17183540672525133</v>
      </c>
      <c r="E117">
        <v>0.18568744743882171</v>
      </c>
      <c r="F117">
        <v>7.759933984471748E-2</v>
      </c>
      <c r="G117">
        <v>0.25474802127977109</v>
      </c>
      <c r="H117">
        <v>0.45464475537311244</v>
      </c>
      <c r="I117">
        <v>0.64543497004605088</v>
      </c>
      <c r="J117">
        <v>0.407117129140316</v>
      </c>
      <c r="K117">
        <v>0.40811809649091235</v>
      </c>
      <c r="L117">
        <v>0.44032825592434394</v>
      </c>
      <c r="M117">
        <v>0.40441448767931759</v>
      </c>
      <c r="N117">
        <v>0.43682855214974092</v>
      </c>
      <c r="O117">
        <v>0.52966103401721598</v>
      </c>
      <c r="P117">
        <v>0.41252500303008899</v>
      </c>
      <c r="Q117">
        <v>0.41276772960267494</v>
      </c>
      <c r="R117">
        <v>0.42844293998538635</v>
      </c>
      <c r="S117">
        <v>0.43788935100022724</v>
      </c>
      <c r="Y117" t="str">
        <f t="shared" si="4"/>
        <v>USA</v>
      </c>
      <c r="Z117" t="str">
        <f t="shared" si="5"/>
        <v>EP_Oil_DST-CHP</v>
      </c>
      <c r="AA117" s="4">
        <f t="shared" si="6"/>
        <v>0.4331661454928068</v>
      </c>
      <c r="AB117">
        <v>3</v>
      </c>
      <c r="AC117" s="4" t="str">
        <f t="shared" si="7"/>
        <v>NCAP_CHPR</v>
      </c>
      <c r="AD117" t="s">
        <v>17</v>
      </c>
      <c r="AH117" t="s">
        <v>60</v>
      </c>
      <c r="AI117" t="s">
        <v>39</v>
      </c>
      <c r="AJ117">
        <v>2</v>
      </c>
      <c r="AK117">
        <v>3</v>
      </c>
      <c r="AL117" t="s">
        <v>138</v>
      </c>
      <c r="AM117" t="s">
        <v>93</v>
      </c>
    </row>
    <row r="118" spans="1:39" x14ac:dyDescent="0.3">
      <c r="A118" t="s">
        <v>60</v>
      </c>
      <c r="B118" t="s">
        <v>52</v>
      </c>
      <c r="S118">
        <v>1.5</v>
      </c>
      <c r="Y118" t="str">
        <f t="shared" si="4"/>
        <v>USA</v>
      </c>
      <c r="Z118" t="str">
        <f t="shared" si="5"/>
        <v>EP_Sol-CHP</v>
      </c>
      <c r="AA118" s="4">
        <f t="shared" si="6"/>
        <v>1.5</v>
      </c>
      <c r="AB118">
        <v>3</v>
      </c>
      <c r="AC118" s="4" t="str">
        <f t="shared" si="7"/>
        <v>NCAP_CHPR</v>
      </c>
      <c r="AD118" t="s">
        <v>17</v>
      </c>
      <c r="AH118" t="s">
        <v>60</v>
      </c>
      <c r="AI118" t="s">
        <v>52</v>
      </c>
      <c r="AJ118">
        <v>2</v>
      </c>
      <c r="AK118">
        <v>3</v>
      </c>
      <c r="AL118" t="s">
        <v>138</v>
      </c>
      <c r="AM118" t="s">
        <v>93</v>
      </c>
    </row>
    <row r="119" spans="1:39" x14ac:dyDescent="0.3">
      <c r="A119" t="s">
        <v>60</v>
      </c>
      <c r="B119" t="s">
        <v>40</v>
      </c>
      <c r="C119">
        <v>0.15927178199091657</v>
      </c>
      <c r="D119">
        <v>0.12493325522708487</v>
      </c>
      <c r="E119">
        <v>4.1552852149189634E-2</v>
      </c>
      <c r="F119">
        <v>8.55179540041862E-2</v>
      </c>
      <c r="G119">
        <v>0.24634068443009788</v>
      </c>
      <c r="H119">
        <v>0.27802867968628076</v>
      </c>
      <c r="I119">
        <v>0.25429431279011577</v>
      </c>
      <c r="J119">
        <v>0.26527485873674705</v>
      </c>
      <c r="K119">
        <v>0.18793168013459902</v>
      </c>
      <c r="L119">
        <v>0.21815196300708384</v>
      </c>
      <c r="M119">
        <v>0.20895122291785456</v>
      </c>
      <c r="N119">
        <v>0.17875930743389196</v>
      </c>
      <c r="O119">
        <v>0.21113589246876946</v>
      </c>
      <c r="P119">
        <v>0.20806538896990395</v>
      </c>
      <c r="Q119">
        <v>0.266555474803853</v>
      </c>
      <c r="R119">
        <v>0.25597854653515434</v>
      </c>
      <c r="S119">
        <v>0.2450703313831667</v>
      </c>
      <c r="Y119" t="str">
        <f t="shared" si="4"/>
        <v>USA</v>
      </c>
      <c r="Z119" t="str">
        <f t="shared" si="5"/>
        <v>EP_Was-CHP</v>
      </c>
      <c r="AA119" s="4">
        <f t="shared" si="6"/>
        <v>0.25052443895916054</v>
      </c>
      <c r="AB119">
        <v>3</v>
      </c>
      <c r="AC119" s="4" t="str">
        <f t="shared" si="7"/>
        <v>NCAP_CHPR</v>
      </c>
      <c r="AD119" t="s">
        <v>17</v>
      </c>
      <c r="AH119" t="s">
        <v>60</v>
      </c>
      <c r="AI119" t="s">
        <v>40</v>
      </c>
      <c r="AJ119">
        <v>2</v>
      </c>
      <c r="AK119">
        <v>3</v>
      </c>
      <c r="AL119" t="s">
        <v>138</v>
      </c>
      <c r="AM119" t="s">
        <v>93</v>
      </c>
    </row>
    <row r="120" spans="1:39" x14ac:dyDescent="0.3">
      <c r="Y120" t="str">
        <f t="shared" si="4"/>
        <v>\I:</v>
      </c>
      <c r="Z120">
        <f t="shared" si="5"/>
        <v>0</v>
      </c>
      <c r="AA120" s="4">
        <f t="shared" si="6"/>
        <v>0.25</v>
      </c>
      <c r="AB120">
        <v>3</v>
      </c>
      <c r="AC120" s="4" t="str">
        <f t="shared" si="7"/>
        <v>\I:</v>
      </c>
      <c r="AD120" t="s">
        <v>17</v>
      </c>
      <c r="AH120" t="s">
        <v>82</v>
      </c>
      <c r="AI120">
        <v>0</v>
      </c>
      <c r="AJ120">
        <v>2</v>
      </c>
      <c r="AK120">
        <v>3</v>
      </c>
      <c r="AL120" t="s">
        <v>82</v>
      </c>
      <c r="AM120" t="s">
        <v>93</v>
      </c>
    </row>
    <row r="121" spans="1:39" x14ac:dyDescent="0.3">
      <c r="Y121" t="str">
        <f t="shared" si="4"/>
        <v>\I:</v>
      </c>
      <c r="Z121">
        <f t="shared" si="5"/>
        <v>0</v>
      </c>
      <c r="AA121" s="4">
        <f t="shared" si="6"/>
        <v>0.25</v>
      </c>
      <c r="AB121">
        <v>3</v>
      </c>
      <c r="AC121" s="4" t="str">
        <f t="shared" si="7"/>
        <v>\I:</v>
      </c>
      <c r="AD121" t="s">
        <v>17</v>
      </c>
      <c r="AH121" t="s">
        <v>82</v>
      </c>
      <c r="AI121">
        <v>0</v>
      </c>
      <c r="AJ121">
        <v>2</v>
      </c>
      <c r="AK121">
        <v>3</v>
      </c>
      <c r="AL121" t="s">
        <v>82</v>
      </c>
      <c r="AM121" t="s">
        <v>93</v>
      </c>
    </row>
    <row r="122" spans="1:39" x14ac:dyDescent="0.3">
      <c r="Y122" t="str">
        <f t="shared" si="4"/>
        <v>\I:</v>
      </c>
      <c r="Z122">
        <f t="shared" si="5"/>
        <v>0</v>
      </c>
      <c r="AA122" s="4">
        <f t="shared" si="6"/>
        <v>0.25</v>
      </c>
      <c r="AB122">
        <v>3</v>
      </c>
      <c r="AC122" s="4" t="str">
        <f t="shared" si="7"/>
        <v>\I:</v>
      </c>
      <c r="AD122" t="s">
        <v>17</v>
      </c>
      <c r="AH122" t="s">
        <v>82</v>
      </c>
      <c r="AI122">
        <v>0</v>
      </c>
      <c r="AJ122">
        <v>2</v>
      </c>
      <c r="AK122">
        <v>3</v>
      </c>
      <c r="AL122" t="s">
        <v>82</v>
      </c>
      <c r="AM122" t="s">
        <v>93</v>
      </c>
    </row>
    <row r="123" spans="1:39" x14ac:dyDescent="0.3">
      <c r="Y123" t="str">
        <f t="shared" si="4"/>
        <v>\I:</v>
      </c>
      <c r="Z123">
        <f t="shared" si="5"/>
        <v>0</v>
      </c>
      <c r="AA123" s="4">
        <f t="shared" si="6"/>
        <v>0.25</v>
      </c>
      <c r="AB123">
        <v>3</v>
      </c>
      <c r="AC123" s="4" t="str">
        <f t="shared" si="7"/>
        <v>\I:</v>
      </c>
      <c r="AD123" t="s">
        <v>17</v>
      </c>
      <c r="AH123" t="s">
        <v>82</v>
      </c>
      <c r="AI123">
        <v>0</v>
      </c>
      <c r="AJ123">
        <v>2</v>
      </c>
      <c r="AK123">
        <v>3</v>
      </c>
      <c r="AL123" t="s">
        <v>82</v>
      </c>
      <c r="AM123" t="s">
        <v>93</v>
      </c>
    </row>
    <row r="124" spans="1:39" x14ac:dyDescent="0.3">
      <c r="Y124" t="str">
        <f t="shared" si="4"/>
        <v>\I:</v>
      </c>
      <c r="Z124">
        <f t="shared" si="5"/>
        <v>0</v>
      </c>
      <c r="AA124" s="4">
        <f t="shared" si="6"/>
        <v>0.25</v>
      </c>
      <c r="AB124">
        <v>3</v>
      </c>
      <c r="AC124" s="4" t="str">
        <f t="shared" si="7"/>
        <v>\I:</v>
      </c>
      <c r="AD124" t="s">
        <v>17</v>
      </c>
      <c r="AH124" t="s">
        <v>82</v>
      </c>
      <c r="AI124">
        <v>0</v>
      </c>
      <c r="AJ124">
        <v>2</v>
      </c>
      <c r="AK124">
        <v>3</v>
      </c>
      <c r="AL124" t="s">
        <v>82</v>
      </c>
      <c r="AM124" t="s">
        <v>93</v>
      </c>
    </row>
    <row r="125" spans="1:39" x14ac:dyDescent="0.3">
      <c r="Y125" t="str">
        <f t="shared" si="4"/>
        <v>\I:</v>
      </c>
      <c r="Z125">
        <f t="shared" si="5"/>
        <v>0</v>
      </c>
      <c r="AA125" s="4">
        <f t="shared" si="6"/>
        <v>0.25</v>
      </c>
      <c r="AB125">
        <v>3</v>
      </c>
      <c r="AC125" s="4" t="str">
        <f t="shared" si="7"/>
        <v>\I:</v>
      </c>
      <c r="AD125" t="s">
        <v>17</v>
      </c>
      <c r="AH125" t="s">
        <v>82</v>
      </c>
      <c r="AI125">
        <v>0</v>
      </c>
      <c r="AJ125">
        <v>2</v>
      </c>
      <c r="AK125">
        <v>3</v>
      </c>
      <c r="AL125" t="s">
        <v>82</v>
      </c>
      <c r="AM125" t="s">
        <v>93</v>
      </c>
    </row>
    <row r="126" spans="1:39" x14ac:dyDescent="0.3">
      <c r="Y126" t="str">
        <f t="shared" si="4"/>
        <v>\I:</v>
      </c>
      <c r="Z126">
        <f t="shared" si="5"/>
        <v>0</v>
      </c>
      <c r="AA126" s="4">
        <f t="shared" si="6"/>
        <v>0.25</v>
      </c>
      <c r="AB126">
        <v>3</v>
      </c>
      <c r="AC126" s="4" t="str">
        <f t="shared" si="7"/>
        <v>\I:</v>
      </c>
      <c r="AD126" t="s">
        <v>17</v>
      </c>
      <c r="AH126" t="s">
        <v>82</v>
      </c>
      <c r="AI126">
        <v>0</v>
      </c>
      <c r="AJ126">
        <v>2</v>
      </c>
      <c r="AK126">
        <v>3</v>
      </c>
      <c r="AL126" t="s">
        <v>82</v>
      </c>
      <c r="AM126" t="s">
        <v>93</v>
      </c>
    </row>
    <row r="127" spans="1:39" x14ac:dyDescent="0.3">
      <c r="Y127" t="str">
        <f t="shared" si="4"/>
        <v>\I:</v>
      </c>
      <c r="Z127">
        <f t="shared" si="5"/>
        <v>0</v>
      </c>
      <c r="AA127" s="4">
        <f t="shared" si="6"/>
        <v>0.25</v>
      </c>
      <c r="AB127">
        <v>3</v>
      </c>
      <c r="AC127" s="4" t="str">
        <f t="shared" si="7"/>
        <v>\I:</v>
      </c>
      <c r="AD127" t="s">
        <v>17</v>
      </c>
      <c r="AH127" t="s">
        <v>82</v>
      </c>
      <c r="AI127">
        <v>0</v>
      </c>
      <c r="AJ127">
        <v>2</v>
      </c>
      <c r="AK127">
        <v>3</v>
      </c>
      <c r="AL127" t="s">
        <v>82</v>
      </c>
      <c r="AM127" t="s">
        <v>93</v>
      </c>
    </row>
    <row r="128" spans="1:39" x14ac:dyDescent="0.3">
      <c r="Y128" t="str">
        <f t="shared" si="4"/>
        <v>\I:</v>
      </c>
      <c r="Z128">
        <f t="shared" si="5"/>
        <v>0</v>
      </c>
      <c r="AA128" s="4">
        <f t="shared" si="6"/>
        <v>0.25</v>
      </c>
      <c r="AB128">
        <v>3</v>
      </c>
      <c r="AC128" s="4" t="str">
        <f t="shared" si="7"/>
        <v>\I:</v>
      </c>
      <c r="AD128" t="s">
        <v>17</v>
      </c>
      <c r="AH128" t="s">
        <v>82</v>
      </c>
      <c r="AI128">
        <v>0</v>
      </c>
      <c r="AJ128">
        <v>2</v>
      </c>
      <c r="AK128">
        <v>3</v>
      </c>
      <c r="AL128" t="s">
        <v>82</v>
      </c>
      <c r="AM128" t="s">
        <v>93</v>
      </c>
    </row>
    <row r="129" spans="25:39" x14ac:dyDescent="0.3">
      <c r="Y129" t="str">
        <f t="shared" si="4"/>
        <v>\I:</v>
      </c>
      <c r="Z129">
        <f t="shared" si="5"/>
        <v>0</v>
      </c>
      <c r="AA129" s="4">
        <f t="shared" si="6"/>
        <v>0.25</v>
      </c>
      <c r="AB129">
        <v>3</v>
      </c>
      <c r="AC129" s="4" t="str">
        <f t="shared" si="7"/>
        <v>\I:</v>
      </c>
      <c r="AD129" t="s">
        <v>17</v>
      </c>
      <c r="AH129" t="s">
        <v>82</v>
      </c>
      <c r="AI129">
        <v>0</v>
      </c>
      <c r="AJ129">
        <v>2</v>
      </c>
      <c r="AK129">
        <v>3</v>
      </c>
      <c r="AL129" t="s">
        <v>82</v>
      </c>
      <c r="AM129" t="s">
        <v>93</v>
      </c>
    </row>
    <row r="130" spans="25:39" x14ac:dyDescent="0.3">
      <c r="Y130" t="str">
        <f t="shared" si="4"/>
        <v>\I:</v>
      </c>
      <c r="Z130">
        <f t="shared" si="5"/>
        <v>0</v>
      </c>
      <c r="AA130" s="4">
        <f t="shared" si="6"/>
        <v>0.25</v>
      </c>
      <c r="AB130">
        <v>3</v>
      </c>
      <c r="AC130" s="4" t="str">
        <f t="shared" si="7"/>
        <v>\I:</v>
      </c>
      <c r="AD130" t="s">
        <v>17</v>
      </c>
      <c r="AH130" t="s">
        <v>82</v>
      </c>
      <c r="AI130">
        <v>0</v>
      </c>
      <c r="AJ130">
        <v>2</v>
      </c>
      <c r="AK130">
        <v>3</v>
      </c>
      <c r="AL130" t="s">
        <v>82</v>
      </c>
      <c r="AM130" t="s">
        <v>93</v>
      </c>
    </row>
    <row r="131" spans="25:39" x14ac:dyDescent="0.3">
      <c r="Y131" t="str">
        <f t="shared" si="4"/>
        <v>\I:</v>
      </c>
      <c r="Z131">
        <f t="shared" si="5"/>
        <v>0</v>
      </c>
      <c r="AA131" s="4">
        <f t="shared" si="6"/>
        <v>0.25</v>
      </c>
      <c r="AB131">
        <v>3</v>
      </c>
      <c r="AC131" s="4" t="str">
        <f t="shared" si="7"/>
        <v>\I:</v>
      </c>
      <c r="AD131" t="s">
        <v>17</v>
      </c>
      <c r="AH131" t="s">
        <v>82</v>
      </c>
      <c r="AI131">
        <v>0</v>
      </c>
      <c r="AJ131">
        <v>2</v>
      </c>
      <c r="AK131">
        <v>3</v>
      </c>
      <c r="AL131" t="s">
        <v>82</v>
      </c>
      <c r="AM131" t="s">
        <v>93</v>
      </c>
    </row>
    <row r="132" spans="25:39" x14ac:dyDescent="0.3">
      <c r="Y132" t="str">
        <f t="shared" si="4"/>
        <v>\I:</v>
      </c>
      <c r="Z132">
        <f t="shared" si="5"/>
        <v>0</v>
      </c>
      <c r="AA132" s="4">
        <f t="shared" si="6"/>
        <v>0.25</v>
      </c>
      <c r="AB132">
        <v>3</v>
      </c>
      <c r="AC132" s="4" t="str">
        <f t="shared" si="7"/>
        <v>\I:</v>
      </c>
      <c r="AD132" t="s">
        <v>17</v>
      </c>
      <c r="AH132" t="s">
        <v>82</v>
      </c>
      <c r="AI132">
        <v>0</v>
      </c>
      <c r="AJ132">
        <v>2</v>
      </c>
      <c r="AK132">
        <v>3</v>
      </c>
      <c r="AL132" t="s">
        <v>82</v>
      </c>
      <c r="AM132" t="s">
        <v>93</v>
      </c>
    </row>
    <row r="133" spans="25:39" x14ac:dyDescent="0.3">
      <c r="Y133" t="str">
        <f t="shared" ref="Y133:Y196" si="8">IF($A133="","\I:",A133)</f>
        <v>\I:</v>
      </c>
      <c r="Z133">
        <f t="shared" ref="Z133:Z196" si="9">B133</f>
        <v>0</v>
      </c>
      <c r="AA133" s="4">
        <f t="shared" ref="AA133:AA196" si="10">MAX(IFERROR(AVERAGE(R133:S133),$AF$1),$AF$1)</f>
        <v>0.25</v>
      </c>
      <c r="AB133">
        <v>3</v>
      </c>
      <c r="AC133" s="4" t="str">
        <f t="shared" ref="AC133:AC196" si="11">IF($A133="","\I:","NCAP_CHPR")</f>
        <v>\I:</v>
      </c>
      <c r="AD133" t="s">
        <v>17</v>
      </c>
      <c r="AH133" t="s">
        <v>82</v>
      </c>
      <c r="AI133">
        <v>0</v>
      </c>
      <c r="AJ133">
        <v>2</v>
      </c>
      <c r="AK133">
        <v>3</v>
      </c>
      <c r="AL133" t="s">
        <v>82</v>
      </c>
      <c r="AM133" t="s">
        <v>93</v>
      </c>
    </row>
    <row r="134" spans="25:39" x14ac:dyDescent="0.3">
      <c r="Y134" t="str">
        <f t="shared" si="8"/>
        <v>\I:</v>
      </c>
      <c r="Z134">
        <f t="shared" si="9"/>
        <v>0</v>
      </c>
      <c r="AA134" s="4">
        <f t="shared" si="10"/>
        <v>0.25</v>
      </c>
      <c r="AB134">
        <v>3</v>
      </c>
      <c r="AC134" s="4" t="str">
        <f t="shared" si="11"/>
        <v>\I:</v>
      </c>
      <c r="AD134" t="s">
        <v>17</v>
      </c>
      <c r="AH134" t="s">
        <v>82</v>
      </c>
      <c r="AI134">
        <v>0</v>
      </c>
      <c r="AJ134">
        <v>2</v>
      </c>
      <c r="AK134">
        <v>3</v>
      </c>
      <c r="AL134" t="s">
        <v>82</v>
      </c>
      <c r="AM134" t="s">
        <v>93</v>
      </c>
    </row>
    <row r="135" spans="25:39" x14ac:dyDescent="0.3">
      <c r="Y135" t="str">
        <f t="shared" si="8"/>
        <v>\I:</v>
      </c>
      <c r="Z135">
        <f t="shared" si="9"/>
        <v>0</v>
      </c>
      <c r="AA135" s="4">
        <f t="shared" si="10"/>
        <v>0.25</v>
      </c>
      <c r="AB135">
        <v>3</v>
      </c>
      <c r="AC135" s="4" t="str">
        <f t="shared" si="11"/>
        <v>\I:</v>
      </c>
      <c r="AD135" t="s">
        <v>17</v>
      </c>
      <c r="AH135" t="s">
        <v>82</v>
      </c>
      <c r="AI135">
        <v>0</v>
      </c>
      <c r="AJ135">
        <v>2</v>
      </c>
      <c r="AK135">
        <v>3</v>
      </c>
      <c r="AL135" t="s">
        <v>82</v>
      </c>
      <c r="AM135" t="s">
        <v>93</v>
      </c>
    </row>
    <row r="136" spans="25:39" x14ac:dyDescent="0.3">
      <c r="Y136" t="str">
        <f t="shared" si="8"/>
        <v>\I:</v>
      </c>
      <c r="Z136">
        <f t="shared" si="9"/>
        <v>0</v>
      </c>
      <c r="AA136" s="4">
        <f t="shared" si="10"/>
        <v>0.25</v>
      </c>
      <c r="AB136">
        <v>3</v>
      </c>
      <c r="AC136" s="4" t="str">
        <f t="shared" si="11"/>
        <v>\I:</v>
      </c>
      <c r="AD136" t="s">
        <v>17</v>
      </c>
      <c r="AH136" t="s">
        <v>82</v>
      </c>
      <c r="AI136">
        <v>0</v>
      </c>
      <c r="AJ136">
        <v>2</v>
      </c>
      <c r="AK136">
        <v>3</v>
      </c>
      <c r="AL136" t="s">
        <v>82</v>
      </c>
      <c r="AM136" t="s">
        <v>93</v>
      </c>
    </row>
    <row r="137" spans="25:39" x14ac:dyDescent="0.3">
      <c r="Y137" t="str">
        <f t="shared" si="8"/>
        <v>\I:</v>
      </c>
      <c r="Z137">
        <f t="shared" si="9"/>
        <v>0</v>
      </c>
      <c r="AA137" s="4">
        <f t="shared" si="10"/>
        <v>0.25</v>
      </c>
      <c r="AB137">
        <v>3</v>
      </c>
      <c r="AC137" s="4" t="str">
        <f t="shared" si="11"/>
        <v>\I:</v>
      </c>
      <c r="AD137" t="s">
        <v>17</v>
      </c>
      <c r="AH137" t="s">
        <v>82</v>
      </c>
      <c r="AI137">
        <v>0</v>
      </c>
      <c r="AJ137">
        <v>2</v>
      </c>
      <c r="AK137">
        <v>3</v>
      </c>
      <c r="AL137" t="s">
        <v>82</v>
      </c>
      <c r="AM137" t="s">
        <v>93</v>
      </c>
    </row>
    <row r="138" spans="25:39" x14ac:dyDescent="0.3">
      <c r="Y138" t="str">
        <f t="shared" si="8"/>
        <v>\I:</v>
      </c>
      <c r="Z138">
        <f t="shared" si="9"/>
        <v>0</v>
      </c>
      <c r="AA138" s="4">
        <f t="shared" si="10"/>
        <v>0.25</v>
      </c>
      <c r="AB138">
        <v>3</v>
      </c>
      <c r="AC138" s="4" t="str">
        <f t="shared" si="11"/>
        <v>\I:</v>
      </c>
      <c r="AD138" t="s">
        <v>17</v>
      </c>
      <c r="AH138" t="s">
        <v>82</v>
      </c>
      <c r="AI138">
        <v>0</v>
      </c>
      <c r="AJ138">
        <v>2</v>
      </c>
      <c r="AK138">
        <v>3</v>
      </c>
      <c r="AL138" t="s">
        <v>82</v>
      </c>
      <c r="AM138" t="s">
        <v>93</v>
      </c>
    </row>
    <row r="139" spans="25:39" x14ac:dyDescent="0.3">
      <c r="Y139" t="str">
        <f t="shared" si="8"/>
        <v>\I:</v>
      </c>
      <c r="Z139">
        <f t="shared" si="9"/>
        <v>0</v>
      </c>
      <c r="AA139" s="4">
        <f t="shared" si="10"/>
        <v>0.25</v>
      </c>
      <c r="AB139">
        <v>3</v>
      </c>
      <c r="AC139" s="4" t="str">
        <f t="shared" si="11"/>
        <v>\I:</v>
      </c>
      <c r="AD139" t="s">
        <v>17</v>
      </c>
      <c r="AH139" t="s">
        <v>82</v>
      </c>
      <c r="AI139">
        <v>0</v>
      </c>
      <c r="AJ139">
        <v>2</v>
      </c>
      <c r="AK139">
        <v>3</v>
      </c>
      <c r="AL139" t="s">
        <v>82</v>
      </c>
      <c r="AM139" t="s">
        <v>93</v>
      </c>
    </row>
    <row r="140" spans="25:39" x14ac:dyDescent="0.3">
      <c r="Y140" t="str">
        <f t="shared" si="8"/>
        <v>\I:</v>
      </c>
      <c r="Z140">
        <f t="shared" si="9"/>
        <v>0</v>
      </c>
      <c r="AA140" s="4">
        <f t="shared" si="10"/>
        <v>0.25</v>
      </c>
      <c r="AB140">
        <v>3</v>
      </c>
      <c r="AC140" s="4" t="str">
        <f t="shared" si="11"/>
        <v>\I:</v>
      </c>
      <c r="AD140" t="s">
        <v>17</v>
      </c>
      <c r="AH140" t="s">
        <v>82</v>
      </c>
      <c r="AI140">
        <v>0</v>
      </c>
      <c r="AJ140">
        <v>2</v>
      </c>
      <c r="AK140">
        <v>3</v>
      </c>
      <c r="AL140" t="s">
        <v>82</v>
      </c>
      <c r="AM140" t="s">
        <v>93</v>
      </c>
    </row>
    <row r="141" spans="25:39" x14ac:dyDescent="0.3">
      <c r="Y141" t="str">
        <f t="shared" si="8"/>
        <v>\I:</v>
      </c>
      <c r="Z141">
        <f t="shared" si="9"/>
        <v>0</v>
      </c>
      <c r="AA141" s="4">
        <f t="shared" si="10"/>
        <v>0.25</v>
      </c>
      <c r="AB141">
        <v>3</v>
      </c>
      <c r="AC141" s="4" t="str">
        <f t="shared" si="11"/>
        <v>\I:</v>
      </c>
      <c r="AD141" t="s">
        <v>17</v>
      </c>
      <c r="AH141" t="s">
        <v>82</v>
      </c>
      <c r="AI141">
        <v>0</v>
      </c>
      <c r="AJ141">
        <v>2</v>
      </c>
      <c r="AK141">
        <v>3</v>
      </c>
      <c r="AL141" t="s">
        <v>82</v>
      </c>
      <c r="AM141" t="s">
        <v>93</v>
      </c>
    </row>
    <row r="142" spans="25:39" x14ac:dyDescent="0.3">
      <c r="Y142" t="str">
        <f t="shared" si="8"/>
        <v>\I:</v>
      </c>
      <c r="Z142">
        <f t="shared" si="9"/>
        <v>0</v>
      </c>
      <c r="AA142" s="4">
        <f t="shared" si="10"/>
        <v>0.25</v>
      </c>
      <c r="AB142">
        <v>3</v>
      </c>
      <c r="AC142" s="4" t="str">
        <f t="shared" si="11"/>
        <v>\I:</v>
      </c>
      <c r="AD142" t="s">
        <v>17</v>
      </c>
      <c r="AH142" t="s">
        <v>82</v>
      </c>
      <c r="AI142">
        <v>0</v>
      </c>
      <c r="AJ142">
        <v>2</v>
      </c>
      <c r="AK142">
        <v>3</v>
      </c>
      <c r="AL142" t="s">
        <v>82</v>
      </c>
      <c r="AM142" t="s">
        <v>93</v>
      </c>
    </row>
    <row r="143" spans="25:39" x14ac:dyDescent="0.3">
      <c r="Y143" t="str">
        <f t="shared" si="8"/>
        <v>\I:</v>
      </c>
      <c r="Z143">
        <f t="shared" si="9"/>
        <v>0</v>
      </c>
      <c r="AA143" s="4">
        <f t="shared" si="10"/>
        <v>0.25</v>
      </c>
      <c r="AB143">
        <v>3</v>
      </c>
      <c r="AC143" s="4" t="str">
        <f t="shared" si="11"/>
        <v>\I:</v>
      </c>
      <c r="AD143" t="s">
        <v>17</v>
      </c>
      <c r="AH143" t="s">
        <v>82</v>
      </c>
      <c r="AI143">
        <v>0</v>
      </c>
      <c r="AJ143">
        <v>2</v>
      </c>
      <c r="AK143">
        <v>3</v>
      </c>
      <c r="AL143" t="s">
        <v>82</v>
      </c>
      <c r="AM143" t="s">
        <v>93</v>
      </c>
    </row>
    <row r="144" spans="25:39" x14ac:dyDescent="0.3">
      <c r="Y144" t="str">
        <f t="shared" si="8"/>
        <v>\I:</v>
      </c>
      <c r="Z144">
        <f t="shared" si="9"/>
        <v>0</v>
      </c>
      <c r="AA144" s="4">
        <f t="shared" si="10"/>
        <v>0.25</v>
      </c>
      <c r="AB144">
        <v>3</v>
      </c>
      <c r="AC144" s="4" t="str">
        <f t="shared" si="11"/>
        <v>\I:</v>
      </c>
      <c r="AD144" t="s">
        <v>17</v>
      </c>
      <c r="AH144" t="s">
        <v>82</v>
      </c>
      <c r="AI144">
        <v>0</v>
      </c>
      <c r="AJ144">
        <v>2</v>
      </c>
      <c r="AK144">
        <v>3</v>
      </c>
      <c r="AL144" t="s">
        <v>82</v>
      </c>
      <c r="AM144" t="s">
        <v>93</v>
      </c>
    </row>
    <row r="145" spans="25:39" x14ac:dyDescent="0.3">
      <c r="Y145" t="str">
        <f t="shared" si="8"/>
        <v>\I:</v>
      </c>
      <c r="Z145">
        <f t="shared" si="9"/>
        <v>0</v>
      </c>
      <c r="AA145" s="4">
        <f t="shared" si="10"/>
        <v>0.25</v>
      </c>
      <c r="AB145">
        <v>3</v>
      </c>
      <c r="AC145" s="4" t="str">
        <f t="shared" si="11"/>
        <v>\I:</v>
      </c>
      <c r="AD145" t="s">
        <v>17</v>
      </c>
      <c r="AH145" t="s">
        <v>82</v>
      </c>
      <c r="AI145">
        <v>0</v>
      </c>
      <c r="AJ145">
        <v>2</v>
      </c>
      <c r="AK145">
        <v>3</v>
      </c>
      <c r="AL145" t="s">
        <v>82</v>
      </c>
      <c r="AM145" t="s">
        <v>93</v>
      </c>
    </row>
    <row r="146" spans="25:39" x14ac:dyDescent="0.3">
      <c r="Y146" t="str">
        <f t="shared" si="8"/>
        <v>\I:</v>
      </c>
      <c r="Z146">
        <f t="shared" si="9"/>
        <v>0</v>
      </c>
      <c r="AA146" s="4">
        <f t="shared" si="10"/>
        <v>0.25</v>
      </c>
      <c r="AB146">
        <v>3</v>
      </c>
      <c r="AC146" s="4" t="str">
        <f t="shared" si="11"/>
        <v>\I:</v>
      </c>
      <c r="AD146" t="s">
        <v>17</v>
      </c>
      <c r="AH146" t="s">
        <v>82</v>
      </c>
      <c r="AI146">
        <v>0</v>
      </c>
      <c r="AJ146">
        <v>2</v>
      </c>
      <c r="AK146">
        <v>3</v>
      </c>
      <c r="AL146" t="s">
        <v>82</v>
      </c>
      <c r="AM146" t="s">
        <v>93</v>
      </c>
    </row>
    <row r="147" spans="25:39" x14ac:dyDescent="0.3">
      <c r="Y147" t="str">
        <f t="shared" si="8"/>
        <v>\I:</v>
      </c>
      <c r="Z147">
        <f t="shared" si="9"/>
        <v>0</v>
      </c>
      <c r="AA147" s="4">
        <f t="shared" si="10"/>
        <v>0.25</v>
      </c>
      <c r="AB147">
        <v>3</v>
      </c>
      <c r="AC147" s="4" t="str">
        <f t="shared" si="11"/>
        <v>\I:</v>
      </c>
      <c r="AD147" t="s">
        <v>17</v>
      </c>
      <c r="AH147" t="s">
        <v>82</v>
      </c>
      <c r="AI147">
        <v>0</v>
      </c>
      <c r="AJ147">
        <v>2</v>
      </c>
      <c r="AK147">
        <v>3</v>
      </c>
      <c r="AL147" t="s">
        <v>82</v>
      </c>
      <c r="AM147" t="s">
        <v>93</v>
      </c>
    </row>
    <row r="148" spans="25:39" x14ac:dyDescent="0.3">
      <c r="Y148" t="str">
        <f t="shared" si="8"/>
        <v>\I:</v>
      </c>
      <c r="Z148">
        <f t="shared" si="9"/>
        <v>0</v>
      </c>
      <c r="AA148" s="4">
        <f t="shared" si="10"/>
        <v>0.25</v>
      </c>
      <c r="AB148">
        <v>3</v>
      </c>
      <c r="AC148" s="4" t="str">
        <f t="shared" si="11"/>
        <v>\I:</v>
      </c>
      <c r="AD148" t="s">
        <v>17</v>
      </c>
      <c r="AH148" t="s">
        <v>82</v>
      </c>
      <c r="AI148">
        <v>0</v>
      </c>
      <c r="AJ148">
        <v>2</v>
      </c>
      <c r="AK148">
        <v>3</v>
      </c>
      <c r="AL148" t="s">
        <v>82</v>
      </c>
      <c r="AM148" t="s">
        <v>93</v>
      </c>
    </row>
    <row r="149" spans="25:39" x14ac:dyDescent="0.3">
      <c r="Y149" t="str">
        <f t="shared" si="8"/>
        <v>\I:</v>
      </c>
      <c r="Z149">
        <f t="shared" si="9"/>
        <v>0</v>
      </c>
      <c r="AA149" s="4">
        <f t="shared" si="10"/>
        <v>0.25</v>
      </c>
      <c r="AB149">
        <v>3</v>
      </c>
      <c r="AC149" s="4" t="str">
        <f t="shared" si="11"/>
        <v>\I:</v>
      </c>
      <c r="AD149" t="s">
        <v>17</v>
      </c>
      <c r="AH149" t="s">
        <v>82</v>
      </c>
      <c r="AI149">
        <v>0</v>
      </c>
      <c r="AJ149">
        <v>2</v>
      </c>
      <c r="AK149">
        <v>3</v>
      </c>
      <c r="AL149" t="s">
        <v>82</v>
      </c>
      <c r="AM149" t="s">
        <v>93</v>
      </c>
    </row>
    <row r="150" spans="25:39" x14ac:dyDescent="0.3">
      <c r="Y150" t="str">
        <f t="shared" si="8"/>
        <v>\I:</v>
      </c>
      <c r="Z150">
        <f t="shared" si="9"/>
        <v>0</v>
      </c>
      <c r="AA150" s="4">
        <f t="shared" si="10"/>
        <v>0.25</v>
      </c>
      <c r="AB150">
        <v>3</v>
      </c>
      <c r="AC150" s="4" t="str">
        <f t="shared" si="11"/>
        <v>\I:</v>
      </c>
      <c r="AD150" t="s">
        <v>17</v>
      </c>
      <c r="AH150" t="s">
        <v>82</v>
      </c>
      <c r="AI150">
        <v>0</v>
      </c>
      <c r="AJ150">
        <v>2</v>
      </c>
      <c r="AK150">
        <v>3</v>
      </c>
      <c r="AL150" t="s">
        <v>82</v>
      </c>
      <c r="AM150" t="s">
        <v>93</v>
      </c>
    </row>
    <row r="151" spans="25:39" x14ac:dyDescent="0.3">
      <c r="Y151" t="str">
        <f t="shared" si="8"/>
        <v>\I:</v>
      </c>
      <c r="Z151">
        <f t="shared" si="9"/>
        <v>0</v>
      </c>
      <c r="AA151" s="4">
        <f t="shared" si="10"/>
        <v>0.25</v>
      </c>
      <c r="AB151">
        <v>3</v>
      </c>
      <c r="AC151" s="4" t="str">
        <f t="shared" si="11"/>
        <v>\I:</v>
      </c>
      <c r="AD151" t="s">
        <v>17</v>
      </c>
      <c r="AH151" t="s">
        <v>82</v>
      </c>
      <c r="AI151">
        <v>0</v>
      </c>
      <c r="AJ151">
        <v>2</v>
      </c>
      <c r="AK151">
        <v>3</v>
      </c>
      <c r="AL151" t="s">
        <v>82</v>
      </c>
      <c r="AM151" t="s">
        <v>93</v>
      </c>
    </row>
    <row r="152" spans="25:39" x14ac:dyDescent="0.3">
      <c r="Y152" t="str">
        <f t="shared" si="8"/>
        <v>\I:</v>
      </c>
      <c r="Z152">
        <f t="shared" si="9"/>
        <v>0</v>
      </c>
      <c r="AA152" s="4">
        <f t="shared" si="10"/>
        <v>0.25</v>
      </c>
      <c r="AB152">
        <v>3</v>
      </c>
      <c r="AC152" s="4" t="str">
        <f t="shared" si="11"/>
        <v>\I:</v>
      </c>
      <c r="AD152" t="s">
        <v>17</v>
      </c>
      <c r="AH152" t="s">
        <v>82</v>
      </c>
      <c r="AI152">
        <v>0</v>
      </c>
      <c r="AJ152">
        <v>2</v>
      </c>
      <c r="AK152">
        <v>3</v>
      </c>
      <c r="AL152" t="s">
        <v>82</v>
      </c>
      <c r="AM152" t="s">
        <v>93</v>
      </c>
    </row>
    <row r="153" spans="25:39" x14ac:dyDescent="0.3">
      <c r="Y153" t="str">
        <f t="shared" si="8"/>
        <v>\I:</v>
      </c>
      <c r="Z153">
        <f t="shared" si="9"/>
        <v>0</v>
      </c>
      <c r="AA153" s="4">
        <f t="shared" si="10"/>
        <v>0.25</v>
      </c>
      <c r="AB153">
        <v>3</v>
      </c>
      <c r="AC153" s="4" t="str">
        <f t="shared" si="11"/>
        <v>\I:</v>
      </c>
      <c r="AD153" t="s">
        <v>17</v>
      </c>
      <c r="AH153" t="s">
        <v>82</v>
      </c>
      <c r="AI153">
        <v>0</v>
      </c>
      <c r="AJ153">
        <v>2</v>
      </c>
      <c r="AK153">
        <v>3</v>
      </c>
      <c r="AL153" t="s">
        <v>82</v>
      </c>
      <c r="AM153" t="s">
        <v>93</v>
      </c>
    </row>
    <row r="154" spans="25:39" x14ac:dyDescent="0.3">
      <c r="Y154" t="str">
        <f t="shared" si="8"/>
        <v>\I:</v>
      </c>
      <c r="Z154">
        <f t="shared" si="9"/>
        <v>0</v>
      </c>
      <c r="AA154" s="4">
        <f t="shared" si="10"/>
        <v>0.25</v>
      </c>
      <c r="AB154">
        <v>3</v>
      </c>
      <c r="AC154" s="4" t="str">
        <f t="shared" si="11"/>
        <v>\I:</v>
      </c>
      <c r="AD154" t="s">
        <v>17</v>
      </c>
      <c r="AH154" t="s">
        <v>82</v>
      </c>
      <c r="AI154">
        <v>0</v>
      </c>
      <c r="AJ154">
        <v>2</v>
      </c>
      <c r="AK154">
        <v>3</v>
      </c>
      <c r="AL154" t="s">
        <v>82</v>
      </c>
      <c r="AM154" t="s">
        <v>93</v>
      </c>
    </row>
    <row r="155" spans="25:39" x14ac:dyDescent="0.3">
      <c r="Y155" t="str">
        <f t="shared" si="8"/>
        <v>\I:</v>
      </c>
      <c r="Z155">
        <f t="shared" si="9"/>
        <v>0</v>
      </c>
      <c r="AA155" s="4">
        <f t="shared" si="10"/>
        <v>0.25</v>
      </c>
      <c r="AB155">
        <v>3</v>
      </c>
      <c r="AC155" s="4" t="str">
        <f t="shared" si="11"/>
        <v>\I:</v>
      </c>
      <c r="AD155" t="s">
        <v>17</v>
      </c>
      <c r="AH155" t="s">
        <v>82</v>
      </c>
      <c r="AI155">
        <v>0</v>
      </c>
      <c r="AJ155">
        <v>2</v>
      </c>
      <c r="AK155">
        <v>3</v>
      </c>
      <c r="AL155" t="s">
        <v>82</v>
      </c>
      <c r="AM155" t="s">
        <v>93</v>
      </c>
    </row>
    <row r="156" spans="25:39" x14ac:dyDescent="0.3">
      <c r="Y156" t="str">
        <f t="shared" si="8"/>
        <v>\I:</v>
      </c>
      <c r="Z156">
        <f t="shared" si="9"/>
        <v>0</v>
      </c>
      <c r="AA156" s="4">
        <f t="shared" si="10"/>
        <v>0.25</v>
      </c>
      <c r="AB156">
        <v>3</v>
      </c>
      <c r="AC156" s="4" t="str">
        <f t="shared" si="11"/>
        <v>\I:</v>
      </c>
      <c r="AD156" t="s">
        <v>17</v>
      </c>
      <c r="AH156" t="s">
        <v>82</v>
      </c>
      <c r="AI156">
        <v>0</v>
      </c>
      <c r="AJ156">
        <v>2</v>
      </c>
      <c r="AK156">
        <v>3</v>
      </c>
      <c r="AL156" t="s">
        <v>82</v>
      </c>
      <c r="AM156" t="s">
        <v>93</v>
      </c>
    </row>
    <row r="157" spans="25:39" x14ac:dyDescent="0.3">
      <c r="Y157" t="str">
        <f t="shared" si="8"/>
        <v>\I:</v>
      </c>
      <c r="Z157">
        <f t="shared" si="9"/>
        <v>0</v>
      </c>
      <c r="AA157" s="4">
        <f t="shared" si="10"/>
        <v>0.25</v>
      </c>
      <c r="AB157">
        <v>3</v>
      </c>
      <c r="AC157" s="4" t="str">
        <f t="shared" si="11"/>
        <v>\I:</v>
      </c>
      <c r="AD157" t="s">
        <v>17</v>
      </c>
      <c r="AH157" t="s">
        <v>82</v>
      </c>
      <c r="AI157">
        <v>0</v>
      </c>
      <c r="AJ157">
        <v>2</v>
      </c>
      <c r="AK157">
        <v>3</v>
      </c>
      <c r="AL157" t="s">
        <v>82</v>
      </c>
      <c r="AM157" t="s">
        <v>93</v>
      </c>
    </row>
    <row r="158" spans="25:39" x14ac:dyDescent="0.3">
      <c r="Y158" t="str">
        <f t="shared" si="8"/>
        <v>\I:</v>
      </c>
      <c r="Z158">
        <f t="shared" si="9"/>
        <v>0</v>
      </c>
      <c r="AA158" s="4">
        <f t="shared" si="10"/>
        <v>0.25</v>
      </c>
      <c r="AB158">
        <v>3</v>
      </c>
      <c r="AC158" s="4" t="str">
        <f t="shared" si="11"/>
        <v>\I:</v>
      </c>
      <c r="AD158" t="s">
        <v>17</v>
      </c>
      <c r="AH158" t="s">
        <v>82</v>
      </c>
      <c r="AI158">
        <v>0</v>
      </c>
      <c r="AJ158">
        <v>2</v>
      </c>
      <c r="AK158">
        <v>3</v>
      </c>
      <c r="AL158" t="s">
        <v>82</v>
      </c>
      <c r="AM158" t="s">
        <v>93</v>
      </c>
    </row>
    <row r="159" spans="25:39" x14ac:dyDescent="0.3">
      <c r="Y159" t="str">
        <f t="shared" si="8"/>
        <v>\I:</v>
      </c>
      <c r="Z159">
        <f t="shared" si="9"/>
        <v>0</v>
      </c>
      <c r="AA159" s="4">
        <f t="shared" si="10"/>
        <v>0.25</v>
      </c>
      <c r="AB159">
        <v>3</v>
      </c>
      <c r="AC159" s="4" t="str">
        <f t="shared" si="11"/>
        <v>\I:</v>
      </c>
      <c r="AD159" t="s">
        <v>17</v>
      </c>
      <c r="AH159" t="s">
        <v>82</v>
      </c>
      <c r="AI159">
        <v>0</v>
      </c>
      <c r="AJ159">
        <v>2</v>
      </c>
      <c r="AK159">
        <v>3</v>
      </c>
      <c r="AL159" t="s">
        <v>82</v>
      </c>
      <c r="AM159" t="s">
        <v>93</v>
      </c>
    </row>
    <row r="160" spans="25:39" x14ac:dyDescent="0.3">
      <c r="Y160" t="str">
        <f t="shared" si="8"/>
        <v>\I:</v>
      </c>
      <c r="Z160">
        <f t="shared" si="9"/>
        <v>0</v>
      </c>
      <c r="AA160" s="4">
        <f t="shared" si="10"/>
        <v>0.25</v>
      </c>
      <c r="AB160">
        <v>3</v>
      </c>
      <c r="AC160" s="4" t="str">
        <f t="shared" si="11"/>
        <v>\I:</v>
      </c>
      <c r="AD160" t="s">
        <v>17</v>
      </c>
      <c r="AH160" t="s">
        <v>82</v>
      </c>
      <c r="AI160">
        <v>0</v>
      </c>
      <c r="AJ160">
        <v>2</v>
      </c>
      <c r="AK160">
        <v>3</v>
      </c>
      <c r="AL160" t="s">
        <v>82</v>
      </c>
      <c r="AM160" t="s">
        <v>93</v>
      </c>
    </row>
    <row r="161" spans="25:39" x14ac:dyDescent="0.3">
      <c r="Y161" t="str">
        <f t="shared" si="8"/>
        <v>\I:</v>
      </c>
      <c r="Z161">
        <f t="shared" si="9"/>
        <v>0</v>
      </c>
      <c r="AA161" s="4">
        <f t="shared" si="10"/>
        <v>0.25</v>
      </c>
      <c r="AB161">
        <v>3</v>
      </c>
      <c r="AC161" s="4" t="str">
        <f t="shared" si="11"/>
        <v>\I:</v>
      </c>
      <c r="AD161" t="s">
        <v>17</v>
      </c>
      <c r="AH161" t="s">
        <v>82</v>
      </c>
      <c r="AI161">
        <v>0</v>
      </c>
      <c r="AJ161">
        <v>2</v>
      </c>
      <c r="AK161">
        <v>3</v>
      </c>
      <c r="AL161" t="s">
        <v>82</v>
      </c>
      <c r="AM161" t="s">
        <v>93</v>
      </c>
    </row>
    <row r="162" spans="25:39" x14ac:dyDescent="0.3">
      <c r="Y162" t="str">
        <f t="shared" si="8"/>
        <v>\I:</v>
      </c>
      <c r="Z162">
        <f t="shared" si="9"/>
        <v>0</v>
      </c>
      <c r="AA162" s="4">
        <f t="shared" si="10"/>
        <v>0.25</v>
      </c>
      <c r="AB162">
        <v>3</v>
      </c>
      <c r="AC162" s="4" t="str">
        <f t="shared" si="11"/>
        <v>\I:</v>
      </c>
      <c r="AD162" t="s">
        <v>17</v>
      </c>
      <c r="AH162" t="s">
        <v>82</v>
      </c>
      <c r="AI162">
        <v>0</v>
      </c>
      <c r="AJ162">
        <v>2</v>
      </c>
      <c r="AK162">
        <v>3</v>
      </c>
      <c r="AL162" t="s">
        <v>82</v>
      </c>
      <c r="AM162" t="s">
        <v>93</v>
      </c>
    </row>
    <row r="163" spans="25:39" x14ac:dyDescent="0.3">
      <c r="Y163" t="str">
        <f t="shared" si="8"/>
        <v>\I:</v>
      </c>
      <c r="Z163">
        <f t="shared" si="9"/>
        <v>0</v>
      </c>
      <c r="AA163" s="4">
        <f t="shared" si="10"/>
        <v>0.25</v>
      </c>
      <c r="AB163">
        <v>3</v>
      </c>
      <c r="AC163" s="4" t="str">
        <f t="shared" si="11"/>
        <v>\I:</v>
      </c>
      <c r="AD163" t="s">
        <v>17</v>
      </c>
      <c r="AH163" t="s">
        <v>82</v>
      </c>
      <c r="AI163">
        <v>0</v>
      </c>
      <c r="AJ163">
        <v>2</v>
      </c>
      <c r="AK163">
        <v>3</v>
      </c>
      <c r="AL163" t="s">
        <v>82</v>
      </c>
      <c r="AM163" t="s">
        <v>93</v>
      </c>
    </row>
    <row r="164" spans="25:39" x14ac:dyDescent="0.3">
      <c r="Y164" t="str">
        <f t="shared" si="8"/>
        <v>\I:</v>
      </c>
      <c r="Z164">
        <f t="shared" si="9"/>
        <v>0</v>
      </c>
      <c r="AA164" s="4">
        <f t="shared" si="10"/>
        <v>0.25</v>
      </c>
      <c r="AB164">
        <v>3</v>
      </c>
      <c r="AC164" s="4" t="str">
        <f t="shared" si="11"/>
        <v>\I:</v>
      </c>
      <c r="AD164" t="s">
        <v>17</v>
      </c>
      <c r="AH164" t="s">
        <v>82</v>
      </c>
      <c r="AI164">
        <v>0</v>
      </c>
      <c r="AJ164">
        <v>2</v>
      </c>
      <c r="AK164">
        <v>3</v>
      </c>
      <c r="AL164" t="s">
        <v>82</v>
      </c>
      <c r="AM164" t="s">
        <v>93</v>
      </c>
    </row>
    <row r="165" spans="25:39" x14ac:dyDescent="0.3">
      <c r="Y165" t="str">
        <f t="shared" si="8"/>
        <v>\I:</v>
      </c>
      <c r="Z165">
        <f t="shared" si="9"/>
        <v>0</v>
      </c>
      <c r="AA165" s="4">
        <f t="shared" si="10"/>
        <v>0.25</v>
      </c>
      <c r="AB165">
        <v>3</v>
      </c>
      <c r="AC165" s="4" t="str">
        <f t="shared" si="11"/>
        <v>\I:</v>
      </c>
      <c r="AD165" t="s">
        <v>17</v>
      </c>
      <c r="AH165" t="s">
        <v>82</v>
      </c>
      <c r="AI165">
        <v>0</v>
      </c>
      <c r="AJ165">
        <v>2</v>
      </c>
      <c r="AK165">
        <v>3</v>
      </c>
      <c r="AL165" t="s">
        <v>82</v>
      </c>
      <c r="AM165" t="s">
        <v>93</v>
      </c>
    </row>
    <row r="166" spans="25:39" x14ac:dyDescent="0.3">
      <c r="Y166" t="str">
        <f t="shared" si="8"/>
        <v>\I:</v>
      </c>
      <c r="Z166">
        <f t="shared" si="9"/>
        <v>0</v>
      </c>
      <c r="AA166" s="4">
        <f t="shared" si="10"/>
        <v>0.25</v>
      </c>
      <c r="AB166">
        <v>3</v>
      </c>
      <c r="AC166" s="4" t="str">
        <f t="shared" si="11"/>
        <v>\I:</v>
      </c>
      <c r="AD166" t="s">
        <v>17</v>
      </c>
      <c r="AH166" t="s">
        <v>82</v>
      </c>
      <c r="AI166">
        <v>0</v>
      </c>
      <c r="AJ166">
        <v>2</v>
      </c>
      <c r="AK166">
        <v>3</v>
      </c>
      <c r="AL166" t="s">
        <v>82</v>
      </c>
      <c r="AM166" t="s">
        <v>93</v>
      </c>
    </row>
    <row r="167" spans="25:39" x14ac:dyDescent="0.3">
      <c r="Y167" t="str">
        <f t="shared" si="8"/>
        <v>\I:</v>
      </c>
      <c r="Z167">
        <f t="shared" si="9"/>
        <v>0</v>
      </c>
      <c r="AA167" s="4">
        <f t="shared" si="10"/>
        <v>0.25</v>
      </c>
      <c r="AB167">
        <v>3</v>
      </c>
      <c r="AC167" s="4" t="str">
        <f t="shared" si="11"/>
        <v>\I:</v>
      </c>
      <c r="AD167" t="s">
        <v>17</v>
      </c>
      <c r="AH167" t="s">
        <v>82</v>
      </c>
      <c r="AI167">
        <v>0</v>
      </c>
      <c r="AJ167">
        <v>2</v>
      </c>
      <c r="AK167">
        <v>3</v>
      </c>
      <c r="AL167" t="s">
        <v>82</v>
      </c>
      <c r="AM167" t="s">
        <v>93</v>
      </c>
    </row>
    <row r="168" spans="25:39" x14ac:dyDescent="0.3">
      <c r="Y168" t="str">
        <f t="shared" si="8"/>
        <v>\I:</v>
      </c>
      <c r="Z168">
        <f t="shared" si="9"/>
        <v>0</v>
      </c>
      <c r="AA168" s="4">
        <f t="shared" si="10"/>
        <v>0.25</v>
      </c>
      <c r="AB168">
        <v>3</v>
      </c>
      <c r="AC168" s="4" t="str">
        <f t="shared" si="11"/>
        <v>\I:</v>
      </c>
      <c r="AD168" t="s">
        <v>17</v>
      </c>
      <c r="AH168" t="s">
        <v>82</v>
      </c>
      <c r="AI168">
        <v>0</v>
      </c>
      <c r="AJ168">
        <v>2</v>
      </c>
      <c r="AK168">
        <v>3</v>
      </c>
      <c r="AL168" t="s">
        <v>82</v>
      </c>
      <c r="AM168" t="s">
        <v>93</v>
      </c>
    </row>
    <row r="169" spans="25:39" x14ac:dyDescent="0.3">
      <c r="Y169" t="str">
        <f t="shared" si="8"/>
        <v>\I:</v>
      </c>
      <c r="Z169">
        <f t="shared" si="9"/>
        <v>0</v>
      </c>
      <c r="AA169" s="4">
        <f t="shared" si="10"/>
        <v>0.25</v>
      </c>
      <c r="AB169">
        <v>3</v>
      </c>
      <c r="AC169" s="4" t="str">
        <f t="shared" si="11"/>
        <v>\I:</v>
      </c>
      <c r="AD169" t="s">
        <v>17</v>
      </c>
      <c r="AH169" t="s">
        <v>82</v>
      </c>
      <c r="AI169">
        <v>0</v>
      </c>
      <c r="AJ169">
        <v>2</v>
      </c>
      <c r="AK169">
        <v>3</v>
      </c>
      <c r="AL169" t="s">
        <v>82</v>
      </c>
      <c r="AM169" t="s">
        <v>93</v>
      </c>
    </row>
    <row r="170" spans="25:39" x14ac:dyDescent="0.3">
      <c r="Y170" t="str">
        <f t="shared" si="8"/>
        <v>\I:</v>
      </c>
      <c r="Z170">
        <f t="shared" si="9"/>
        <v>0</v>
      </c>
      <c r="AA170" s="4">
        <f t="shared" si="10"/>
        <v>0.25</v>
      </c>
      <c r="AB170">
        <v>3</v>
      </c>
      <c r="AC170" s="4" t="str">
        <f t="shared" si="11"/>
        <v>\I:</v>
      </c>
      <c r="AD170" t="s">
        <v>17</v>
      </c>
      <c r="AH170" t="s">
        <v>82</v>
      </c>
      <c r="AI170">
        <v>0</v>
      </c>
      <c r="AJ170">
        <v>2</v>
      </c>
      <c r="AK170">
        <v>3</v>
      </c>
      <c r="AL170" t="s">
        <v>82</v>
      </c>
      <c r="AM170" t="s">
        <v>93</v>
      </c>
    </row>
    <row r="171" spans="25:39" x14ac:dyDescent="0.3">
      <c r="Y171" t="str">
        <f t="shared" si="8"/>
        <v>\I:</v>
      </c>
      <c r="Z171">
        <f t="shared" si="9"/>
        <v>0</v>
      </c>
      <c r="AA171" s="4">
        <f t="shared" si="10"/>
        <v>0.25</v>
      </c>
      <c r="AB171">
        <v>3</v>
      </c>
      <c r="AC171" s="4" t="str">
        <f t="shared" si="11"/>
        <v>\I:</v>
      </c>
      <c r="AD171" t="s">
        <v>17</v>
      </c>
      <c r="AH171" t="s">
        <v>82</v>
      </c>
      <c r="AI171">
        <v>0</v>
      </c>
      <c r="AJ171">
        <v>2</v>
      </c>
      <c r="AK171">
        <v>3</v>
      </c>
      <c r="AL171" t="s">
        <v>82</v>
      </c>
      <c r="AM171" t="s">
        <v>93</v>
      </c>
    </row>
    <row r="172" spans="25:39" x14ac:dyDescent="0.3">
      <c r="Y172" t="str">
        <f t="shared" si="8"/>
        <v>\I:</v>
      </c>
      <c r="Z172">
        <f t="shared" si="9"/>
        <v>0</v>
      </c>
      <c r="AA172" s="4">
        <f t="shared" si="10"/>
        <v>0.25</v>
      </c>
      <c r="AB172">
        <v>3</v>
      </c>
      <c r="AC172" s="4" t="str">
        <f t="shared" si="11"/>
        <v>\I:</v>
      </c>
      <c r="AD172" t="s">
        <v>17</v>
      </c>
      <c r="AH172" t="s">
        <v>82</v>
      </c>
      <c r="AI172">
        <v>0</v>
      </c>
      <c r="AJ172">
        <v>2</v>
      </c>
      <c r="AK172">
        <v>3</v>
      </c>
      <c r="AL172" t="s">
        <v>82</v>
      </c>
      <c r="AM172" t="s">
        <v>93</v>
      </c>
    </row>
    <row r="173" spans="25:39" x14ac:dyDescent="0.3">
      <c r="Y173" t="str">
        <f t="shared" si="8"/>
        <v>\I:</v>
      </c>
      <c r="Z173">
        <f t="shared" si="9"/>
        <v>0</v>
      </c>
      <c r="AA173" s="4">
        <f t="shared" si="10"/>
        <v>0.25</v>
      </c>
      <c r="AB173">
        <v>3</v>
      </c>
      <c r="AC173" s="4" t="str">
        <f t="shared" si="11"/>
        <v>\I:</v>
      </c>
      <c r="AD173" t="s">
        <v>17</v>
      </c>
      <c r="AH173" t="s">
        <v>82</v>
      </c>
      <c r="AI173">
        <v>0</v>
      </c>
      <c r="AJ173">
        <v>2</v>
      </c>
      <c r="AK173">
        <v>3</v>
      </c>
      <c r="AL173" t="s">
        <v>82</v>
      </c>
      <c r="AM173" t="s">
        <v>93</v>
      </c>
    </row>
    <row r="174" spans="25:39" x14ac:dyDescent="0.3">
      <c r="Y174" t="str">
        <f t="shared" si="8"/>
        <v>\I:</v>
      </c>
      <c r="Z174">
        <f t="shared" si="9"/>
        <v>0</v>
      </c>
      <c r="AA174" s="4">
        <f t="shared" si="10"/>
        <v>0.25</v>
      </c>
      <c r="AB174">
        <v>3</v>
      </c>
      <c r="AC174" s="4" t="str">
        <f t="shared" si="11"/>
        <v>\I:</v>
      </c>
      <c r="AD174" t="s">
        <v>17</v>
      </c>
      <c r="AH174" t="s">
        <v>82</v>
      </c>
      <c r="AI174">
        <v>0</v>
      </c>
      <c r="AJ174">
        <v>2</v>
      </c>
      <c r="AK174">
        <v>3</v>
      </c>
      <c r="AL174" t="s">
        <v>82</v>
      </c>
      <c r="AM174" t="s">
        <v>93</v>
      </c>
    </row>
    <row r="175" spans="25:39" x14ac:dyDescent="0.3">
      <c r="Y175" t="str">
        <f t="shared" si="8"/>
        <v>\I:</v>
      </c>
      <c r="Z175">
        <f t="shared" si="9"/>
        <v>0</v>
      </c>
      <c r="AA175" s="4">
        <f t="shared" si="10"/>
        <v>0.25</v>
      </c>
      <c r="AB175">
        <v>3</v>
      </c>
      <c r="AC175" s="4" t="str">
        <f t="shared" si="11"/>
        <v>\I:</v>
      </c>
      <c r="AD175" t="s">
        <v>17</v>
      </c>
      <c r="AH175" t="s">
        <v>82</v>
      </c>
      <c r="AI175">
        <v>0</v>
      </c>
      <c r="AJ175">
        <v>2</v>
      </c>
      <c r="AK175">
        <v>3</v>
      </c>
      <c r="AL175" t="s">
        <v>82</v>
      </c>
      <c r="AM175" t="s">
        <v>93</v>
      </c>
    </row>
    <row r="176" spans="25:39" x14ac:dyDescent="0.3">
      <c r="Y176" t="str">
        <f t="shared" si="8"/>
        <v>\I:</v>
      </c>
      <c r="Z176">
        <f t="shared" si="9"/>
        <v>0</v>
      </c>
      <c r="AA176" s="4">
        <f t="shared" si="10"/>
        <v>0.25</v>
      </c>
      <c r="AB176">
        <v>3</v>
      </c>
      <c r="AC176" s="4" t="str">
        <f t="shared" si="11"/>
        <v>\I:</v>
      </c>
      <c r="AD176" t="s">
        <v>17</v>
      </c>
      <c r="AH176" t="s">
        <v>82</v>
      </c>
      <c r="AI176">
        <v>0</v>
      </c>
      <c r="AJ176">
        <v>2</v>
      </c>
      <c r="AK176">
        <v>3</v>
      </c>
      <c r="AL176" t="s">
        <v>82</v>
      </c>
      <c r="AM176" t="s">
        <v>93</v>
      </c>
    </row>
    <row r="177" spans="25:39" x14ac:dyDescent="0.3">
      <c r="Y177" t="str">
        <f t="shared" si="8"/>
        <v>\I:</v>
      </c>
      <c r="Z177">
        <f t="shared" si="9"/>
        <v>0</v>
      </c>
      <c r="AA177" s="4">
        <f t="shared" si="10"/>
        <v>0.25</v>
      </c>
      <c r="AB177">
        <v>3</v>
      </c>
      <c r="AC177" s="4" t="str">
        <f t="shared" si="11"/>
        <v>\I:</v>
      </c>
      <c r="AD177" t="s">
        <v>17</v>
      </c>
      <c r="AH177" t="s">
        <v>82</v>
      </c>
      <c r="AI177">
        <v>0</v>
      </c>
      <c r="AJ177">
        <v>2</v>
      </c>
      <c r="AK177">
        <v>3</v>
      </c>
      <c r="AL177" t="s">
        <v>82</v>
      </c>
      <c r="AM177" t="s">
        <v>93</v>
      </c>
    </row>
    <row r="178" spans="25:39" x14ac:dyDescent="0.3">
      <c r="Y178" t="str">
        <f t="shared" si="8"/>
        <v>\I:</v>
      </c>
      <c r="Z178">
        <f t="shared" si="9"/>
        <v>0</v>
      </c>
      <c r="AA178" s="4">
        <f t="shared" si="10"/>
        <v>0.25</v>
      </c>
      <c r="AB178">
        <v>3</v>
      </c>
      <c r="AC178" s="4" t="str">
        <f t="shared" si="11"/>
        <v>\I:</v>
      </c>
      <c r="AD178" t="s">
        <v>17</v>
      </c>
      <c r="AH178" t="s">
        <v>82</v>
      </c>
      <c r="AI178">
        <v>0</v>
      </c>
      <c r="AJ178">
        <v>2</v>
      </c>
      <c r="AK178">
        <v>3</v>
      </c>
      <c r="AL178" t="s">
        <v>82</v>
      </c>
      <c r="AM178" t="s">
        <v>93</v>
      </c>
    </row>
    <row r="179" spans="25:39" x14ac:dyDescent="0.3">
      <c r="Y179" t="str">
        <f t="shared" si="8"/>
        <v>\I:</v>
      </c>
      <c r="Z179">
        <f t="shared" si="9"/>
        <v>0</v>
      </c>
      <c r="AA179" s="4">
        <f t="shared" si="10"/>
        <v>0.25</v>
      </c>
      <c r="AB179">
        <v>3</v>
      </c>
      <c r="AC179" s="4" t="str">
        <f t="shared" si="11"/>
        <v>\I:</v>
      </c>
      <c r="AD179" t="s">
        <v>17</v>
      </c>
      <c r="AH179" t="s">
        <v>82</v>
      </c>
      <c r="AI179">
        <v>0</v>
      </c>
      <c r="AJ179">
        <v>2</v>
      </c>
      <c r="AK179">
        <v>3</v>
      </c>
      <c r="AL179" t="s">
        <v>82</v>
      </c>
      <c r="AM179" t="s">
        <v>93</v>
      </c>
    </row>
    <row r="180" spans="25:39" x14ac:dyDescent="0.3">
      <c r="Y180" t="str">
        <f t="shared" si="8"/>
        <v>\I:</v>
      </c>
      <c r="Z180">
        <f t="shared" si="9"/>
        <v>0</v>
      </c>
      <c r="AA180" s="4">
        <f t="shared" si="10"/>
        <v>0.25</v>
      </c>
      <c r="AB180">
        <v>3</v>
      </c>
      <c r="AC180" s="4" t="str">
        <f t="shared" si="11"/>
        <v>\I:</v>
      </c>
      <c r="AD180" t="s">
        <v>17</v>
      </c>
      <c r="AH180" t="s">
        <v>82</v>
      </c>
      <c r="AI180">
        <v>0</v>
      </c>
      <c r="AJ180">
        <v>2</v>
      </c>
      <c r="AK180">
        <v>3</v>
      </c>
      <c r="AL180" t="s">
        <v>82</v>
      </c>
      <c r="AM180" t="s">
        <v>93</v>
      </c>
    </row>
    <row r="181" spans="25:39" x14ac:dyDescent="0.3">
      <c r="Y181" t="str">
        <f t="shared" si="8"/>
        <v>\I:</v>
      </c>
      <c r="Z181">
        <f t="shared" si="9"/>
        <v>0</v>
      </c>
      <c r="AA181" s="4">
        <f t="shared" si="10"/>
        <v>0.25</v>
      </c>
      <c r="AB181">
        <v>3</v>
      </c>
      <c r="AC181" s="4" t="str">
        <f t="shared" si="11"/>
        <v>\I:</v>
      </c>
      <c r="AD181" t="s">
        <v>17</v>
      </c>
      <c r="AH181" t="s">
        <v>82</v>
      </c>
      <c r="AI181">
        <v>0</v>
      </c>
      <c r="AJ181">
        <v>2</v>
      </c>
      <c r="AK181">
        <v>3</v>
      </c>
      <c r="AL181" t="s">
        <v>82</v>
      </c>
      <c r="AM181" t="s">
        <v>93</v>
      </c>
    </row>
    <row r="182" spans="25:39" x14ac:dyDescent="0.3">
      <c r="Y182" t="str">
        <f t="shared" si="8"/>
        <v>\I:</v>
      </c>
      <c r="Z182">
        <f t="shared" si="9"/>
        <v>0</v>
      </c>
      <c r="AA182" s="4">
        <f t="shared" si="10"/>
        <v>0.25</v>
      </c>
      <c r="AB182">
        <v>3</v>
      </c>
      <c r="AC182" s="4" t="str">
        <f t="shared" si="11"/>
        <v>\I:</v>
      </c>
      <c r="AD182" t="s">
        <v>17</v>
      </c>
      <c r="AH182" t="s">
        <v>82</v>
      </c>
      <c r="AI182">
        <v>0</v>
      </c>
      <c r="AJ182">
        <v>2</v>
      </c>
      <c r="AK182">
        <v>3</v>
      </c>
      <c r="AL182" t="s">
        <v>82</v>
      </c>
      <c r="AM182" t="s">
        <v>93</v>
      </c>
    </row>
    <row r="183" spans="25:39" x14ac:dyDescent="0.3">
      <c r="Y183" t="str">
        <f t="shared" si="8"/>
        <v>\I:</v>
      </c>
      <c r="Z183">
        <f t="shared" si="9"/>
        <v>0</v>
      </c>
      <c r="AA183" s="4">
        <f t="shared" si="10"/>
        <v>0.25</v>
      </c>
      <c r="AB183">
        <v>3</v>
      </c>
      <c r="AC183" s="4" t="str">
        <f t="shared" si="11"/>
        <v>\I:</v>
      </c>
      <c r="AD183" t="s">
        <v>17</v>
      </c>
      <c r="AH183" t="s">
        <v>82</v>
      </c>
      <c r="AI183">
        <v>0</v>
      </c>
      <c r="AJ183">
        <v>2</v>
      </c>
      <c r="AK183">
        <v>3</v>
      </c>
      <c r="AL183" t="s">
        <v>82</v>
      </c>
      <c r="AM183" t="s">
        <v>93</v>
      </c>
    </row>
    <row r="184" spans="25:39" x14ac:dyDescent="0.3">
      <c r="Y184" t="str">
        <f t="shared" si="8"/>
        <v>\I:</v>
      </c>
      <c r="Z184">
        <f t="shared" si="9"/>
        <v>0</v>
      </c>
      <c r="AA184" s="4">
        <f t="shared" si="10"/>
        <v>0.25</v>
      </c>
      <c r="AB184">
        <v>3</v>
      </c>
      <c r="AC184" s="4" t="str">
        <f t="shared" si="11"/>
        <v>\I:</v>
      </c>
      <c r="AD184" t="s">
        <v>17</v>
      </c>
      <c r="AH184" t="s">
        <v>82</v>
      </c>
      <c r="AI184">
        <v>0</v>
      </c>
      <c r="AJ184">
        <v>2</v>
      </c>
      <c r="AK184">
        <v>3</v>
      </c>
      <c r="AL184" t="s">
        <v>82</v>
      </c>
      <c r="AM184" t="s">
        <v>93</v>
      </c>
    </row>
    <row r="185" spans="25:39" x14ac:dyDescent="0.3">
      <c r="Y185" t="str">
        <f t="shared" si="8"/>
        <v>\I:</v>
      </c>
      <c r="Z185">
        <f t="shared" si="9"/>
        <v>0</v>
      </c>
      <c r="AA185" s="4">
        <f t="shared" si="10"/>
        <v>0.25</v>
      </c>
      <c r="AB185">
        <v>3</v>
      </c>
      <c r="AC185" s="4" t="str">
        <f t="shared" si="11"/>
        <v>\I:</v>
      </c>
      <c r="AD185" t="s">
        <v>17</v>
      </c>
      <c r="AH185" t="s">
        <v>82</v>
      </c>
      <c r="AI185">
        <v>0</v>
      </c>
      <c r="AJ185">
        <v>2</v>
      </c>
      <c r="AK185">
        <v>3</v>
      </c>
      <c r="AL185" t="s">
        <v>82</v>
      </c>
      <c r="AM185" t="s">
        <v>93</v>
      </c>
    </row>
    <row r="186" spans="25:39" x14ac:dyDescent="0.3">
      <c r="Y186" t="str">
        <f t="shared" si="8"/>
        <v>\I:</v>
      </c>
      <c r="Z186">
        <f t="shared" si="9"/>
        <v>0</v>
      </c>
      <c r="AA186" s="4">
        <f t="shared" si="10"/>
        <v>0.25</v>
      </c>
      <c r="AB186">
        <v>3</v>
      </c>
      <c r="AC186" s="4" t="str">
        <f t="shared" si="11"/>
        <v>\I:</v>
      </c>
      <c r="AD186" t="s">
        <v>17</v>
      </c>
      <c r="AH186" t="s">
        <v>82</v>
      </c>
      <c r="AI186">
        <v>0</v>
      </c>
      <c r="AJ186">
        <v>2</v>
      </c>
      <c r="AK186">
        <v>3</v>
      </c>
      <c r="AL186" t="s">
        <v>82</v>
      </c>
      <c r="AM186" t="s">
        <v>93</v>
      </c>
    </row>
    <row r="187" spans="25:39" x14ac:dyDescent="0.3">
      <c r="Y187" t="str">
        <f t="shared" si="8"/>
        <v>\I:</v>
      </c>
      <c r="Z187">
        <f t="shared" si="9"/>
        <v>0</v>
      </c>
      <c r="AA187" s="4">
        <f t="shared" si="10"/>
        <v>0.25</v>
      </c>
      <c r="AB187">
        <v>3</v>
      </c>
      <c r="AC187" s="4" t="str">
        <f t="shared" si="11"/>
        <v>\I:</v>
      </c>
      <c r="AD187" t="s">
        <v>17</v>
      </c>
      <c r="AH187" t="s">
        <v>82</v>
      </c>
      <c r="AI187">
        <v>0</v>
      </c>
      <c r="AJ187">
        <v>2</v>
      </c>
      <c r="AK187">
        <v>3</v>
      </c>
      <c r="AL187" t="s">
        <v>82</v>
      </c>
      <c r="AM187" t="s">
        <v>93</v>
      </c>
    </row>
    <row r="188" spans="25:39" x14ac:dyDescent="0.3">
      <c r="Y188" t="str">
        <f t="shared" si="8"/>
        <v>\I:</v>
      </c>
      <c r="Z188">
        <f t="shared" si="9"/>
        <v>0</v>
      </c>
      <c r="AA188" s="4">
        <f t="shared" si="10"/>
        <v>0.25</v>
      </c>
      <c r="AB188">
        <v>3</v>
      </c>
      <c r="AC188" s="4" t="str">
        <f t="shared" si="11"/>
        <v>\I:</v>
      </c>
      <c r="AD188" t="s">
        <v>17</v>
      </c>
      <c r="AH188" t="s">
        <v>82</v>
      </c>
      <c r="AI188">
        <v>0</v>
      </c>
      <c r="AJ188">
        <v>2</v>
      </c>
      <c r="AK188">
        <v>3</v>
      </c>
      <c r="AL188" t="s">
        <v>82</v>
      </c>
      <c r="AM188" t="s">
        <v>93</v>
      </c>
    </row>
    <row r="189" spans="25:39" x14ac:dyDescent="0.3">
      <c r="Y189" t="str">
        <f t="shared" si="8"/>
        <v>\I:</v>
      </c>
      <c r="Z189">
        <f t="shared" si="9"/>
        <v>0</v>
      </c>
      <c r="AA189" s="4">
        <f t="shared" si="10"/>
        <v>0.25</v>
      </c>
      <c r="AB189">
        <v>3</v>
      </c>
      <c r="AC189" s="4" t="str">
        <f t="shared" si="11"/>
        <v>\I:</v>
      </c>
      <c r="AD189" t="s">
        <v>17</v>
      </c>
      <c r="AH189" t="s">
        <v>82</v>
      </c>
      <c r="AI189">
        <v>0</v>
      </c>
      <c r="AJ189">
        <v>2</v>
      </c>
      <c r="AK189">
        <v>3</v>
      </c>
      <c r="AL189" t="s">
        <v>82</v>
      </c>
      <c r="AM189" t="s">
        <v>93</v>
      </c>
    </row>
    <row r="190" spans="25:39" x14ac:dyDescent="0.3">
      <c r="Y190" t="str">
        <f t="shared" si="8"/>
        <v>\I:</v>
      </c>
      <c r="Z190">
        <f t="shared" si="9"/>
        <v>0</v>
      </c>
      <c r="AA190" s="4">
        <f t="shared" si="10"/>
        <v>0.25</v>
      </c>
      <c r="AB190">
        <v>3</v>
      </c>
      <c r="AC190" s="4" t="str">
        <f t="shared" si="11"/>
        <v>\I:</v>
      </c>
      <c r="AD190" t="s">
        <v>17</v>
      </c>
      <c r="AH190" t="s">
        <v>82</v>
      </c>
      <c r="AI190">
        <v>0</v>
      </c>
      <c r="AJ190">
        <v>2</v>
      </c>
      <c r="AK190">
        <v>3</v>
      </c>
      <c r="AL190" t="s">
        <v>82</v>
      </c>
      <c r="AM190" t="s">
        <v>93</v>
      </c>
    </row>
    <row r="191" spans="25:39" x14ac:dyDescent="0.3">
      <c r="Y191" t="str">
        <f t="shared" si="8"/>
        <v>\I:</v>
      </c>
      <c r="Z191">
        <f t="shared" si="9"/>
        <v>0</v>
      </c>
      <c r="AA191" s="4">
        <f t="shared" si="10"/>
        <v>0.25</v>
      </c>
      <c r="AB191">
        <v>3</v>
      </c>
      <c r="AC191" s="4" t="str">
        <f t="shared" si="11"/>
        <v>\I:</v>
      </c>
      <c r="AD191" t="s">
        <v>17</v>
      </c>
      <c r="AH191" t="s">
        <v>82</v>
      </c>
      <c r="AI191">
        <v>0</v>
      </c>
      <c r="AJ191">
        <v>2</v>
      </c>
      <c r="AK191">
        <v>3</v>
      </c>
      <c r="AL191" t="s">
        <v>82</v>
      </c>
      <c r="AM191" t="s">
        <v>93</v>
      </c>
    </row>
    <row r="192" spans="25:39" x14ac:dyDescent="0.3">
      <c r="Y192" t="str">
        <f t="shared" si="8"/>
        <v>\I:</v>
      </c>
      <c r="Z192">
        <f t="shared" si="9"/>
        <v>0</v>
      </c>
      <c r="AA192" s="4">
        <f t="shared" si="10"/>
        <v>0.25</v>
      </c>
      <c r="AB192">
        <v>3</v>
      </c>
      <c r="AC192" s="4" t="str">
        <f t="shared" si="11"/>
        <v>\I:</v>
      </c>
      <c r="AD192" t="s">
        <v>17</v>
      </c>
      <c r="AH192" t="s">
        <v>82</v>
      </c>
      <c r="AI192">
        <v>0</v>
      </c>
      <c r="AJ192">
        <v>2</v>
      </c>
      <c r="AK192">
        <v>3</v>
      </c>
      <c r="AL192" t="s">
        <v>82</v>
      </c>
      <c r="AM192" t="s">
        <v>93</v>
      </c>
    </row>
    <row r="193" spans="25:39" x14ac:dyDescent="0.3">
      <c r="Y193" t="str">
        <f t="shared" si="8"/>
        <v>\I:</v>
      </c>
      <c r="Z193">
        <f t="shared" si="9"/>
        <v>0</v>
      </c>
      <c r="AA193" s="4">
        <f t="shared" si="10"/>
        <v>0.25</v>
      </c>
      <c r="AB193">
        <v>3</v>
      </c>
      <c r="AC193" s="4" t="str">
        <f t="shared" si="11"/>
        <v>\I:</v>
      </c>
      <c r="AD193" t="s">
        <v>17</v>
      </c>
      <c r="AH193" t="s">
        <v>82</v>
      </c>
      <c r="AI193">
        <v>0</v>
      </c>
      <c r="AJ193">
        <v>2</v>
      </c>
      <c r="AK193">
        <v>3</v>
      </c>
      <c r="AL193" t="s">
        <v>82</v>
      </c>
      <c r="AM193" t="s">
        <v>93</v>
      </c>
    </row>
    <row r="194" spans="25:39" x14ac:dyDescent="0.3">
      <c r="Y194" t="str">
        <f t="shared" si="8"/>
        <v>\I:</v>
      </c>
      <c r="Z194">
        <f t="shared" si="9"/>
        <v>0</v>
      </c>
      <c r="AA194" s="4">
        <f t="shared" si="10"/>
        <v>0.25</v>
      </c>
      <c r="AB194">
        <v>3</v>
      </c>
      <c r="AC194" s="4" t="str">
        <f t="shared" si="11"/>
        <v>\I:</v>
      </c>
      <c r="AD194" t="s">
        <v>17</v>
      </c>
      <c r="AH194" t="s">
        <v>82</v>
      </c>
      <c r="AI194">
        <v>0</v>
      </c>
      <c r="AJ194">
        <v>2</v>
      </c>
      <c r="AK194">
        <v>3</v>
      </c>
      <c r="AL194" t="s">
        <v>82</v>
      </c>
      <c r="AM194" t="s">
        <v>93</v>
      </c>
    </row>
    <row r="195" spans="25:39" x14ac:dyDescent="0.3">
      <c r="Y195" t="str">
        <f t="shared" si="8"/>
        <v>\I:</v>
      </c>
      <c r="Z195">
        <f t="shared" si="9"/>
        <v>0</v>
      </c>
      <c r="AA195" s="4">
        <f t="shared" si="10"/>
        <v>0.25</v>
      </c>
      <c r="AB195">
        <v>3</v>
      </c>
      <c r="AC195" s="4" t="str">
        <f t="shared" si="11"/>
        <v>\I:</v>
      </c>
      <c r="AD195" t="s">
        <v>17</v>
      </c>
      <c r="AH195" t="s">
        <v>82</v>
      </c>
      <c r="AI195">
        <v>0</v>
      </c>
      <c r="AJ195">
        <v>2</v>
      </c>
      <c r="AK195">
        <v>3</v>
      </c>
      <c r="AL195" t="s">
        <v>82</v>
      </c>
      <c r="AM195" t="s">
        <v>93</v>
      </c>
    </row>
    <row r="196" spans="25:39" x14ac:dyDescent="0.3">
      <c r="Y196" t="str">
        <f t="shared" si="8"/>
        <v>\I:</v>
      </c>
      <c r="Z196">
        <f t="shared" si="9"/>
        <v>0</v>
      </c>
      <c r="AA196" s="4">
        <f t="shared" si="10"/>
        <v>0.25</v>
      </c>
      <c r="AB196">
        <v>3</v>
      </c>
      <c r="AC196" s="4" t="str">
        <f t="shared" si="11"/>
        <v>\I:</v>
      </c>
      <c r="AD196" t="s">
        <v>17</v>
      </c>
      <c r="AH196" t="s">
        <v>82</v>
      </c>
      <c r="AI196">
        <v>0</v>
      </c>
      <c r="AJ196">
        <v>2</v>
      </c>
      <c r="AK196">
        <v>3</v>
      </c>
      <c r="AL196" t="s">
        <v>82</v>
      </c>
      <c r="AM196" t="s">
        <v>93</v>
      </c>
    </row>
    <row r="197" spans="25:39" x14ac:dyDescent="0.3">
      <c r="Y197" t="str">
        <f t="shared" ref="Y197:Y260" si="12">IF($A197="","\I:",A197)</f>
        <v>\I:</v>
      </c>
      <c r="Z197">
        <f t="shared" ref="Z197:Z260" si="13">B197</f>
        <v>0</v>
      </c>
      <c r="AA197" s="4">
        <f t="shared" ref="AA197:AA260" si="14">MAX(IFERROR(AVERAGE(R197:S197),$AF$1),$AF$1)</f>
        <v>0.25</v>
      </c>
      <c r="AB197">
        <v>3</v>
      </c>
      <c r="AC197" s="4" t="str">
        <f t="shared" ref="AC197:AC260" si="15">IF($A197="","\I:","NCAP_CHPR")</f>
        <v>\I:</v>
      </c>
      <c r="AD197" t="s">
        <v>17</v>
      </c>
      <c r="AH197" t="s">
        <v>82</v>
      </c>
      <c r="AI197">
        <v>0</v>
      </c>
      <c r="AJ197">
        <v>2</v>
      </c>
      <c r="AK197">
        <v>3</v>
      </c>
      <c r="AL197" t="s">
        <v>82</v>
      </c>
      <c r="AM197" t="s">
        <v>93</v>
      </c>
    </row>
    <row r="198" spans="25:39" x14ac:dyDescent="0.3">
      <c r="Y198" t="str">
        <f t="shared" si="12"/>
        <v>\I:</v>
      </c>
      <c r="Z198">
        <f t="shared" si="13"/>
        <v>0</v>
      </c>
      <c r="AA198" s="4">
        <f t="shared" si="14"/>
        <v>0.25</v>
      </c>
      <c r="AB198">
        <v>3</v>
      </c>
      <c r="AC198" s="4" t="str">
        <f t="shared" si="15"/>
        <v>\I:</v>
      </c>
      <c r="AD198" t="s">
        <v>17</v>
      </c>
      <c r="AH198" t="s">
        <v>82</v>
      </c>
      <c r="AI198">
        <v>0</v>
      </c>
      <c r="AJ198">
        <v>2</v>
      </c>
      <c r="AK198">
        <v>3</v>
      </c>
      <c r="AL198" t="s">
        <v>82</v>
      </c>
      <c r="AM198" t="s">
        <v>93</v>
      </c>
    </row>
    <row r="199" spans="25:39" x14ac:dyDescent="0.3">
      <c r="Y199" t="str">
        <f t="shared" si="12"/>
        <v>\I:</v>
      </c>
      <c r="Z199">
        <f t="shared" si="13"/>
        <v>0</v>
      </c>
      <c r="AA199" s="4">
        <f t="shared" si="14"/>
        <v>0.25</v>
      </c>
      <c r="AB199">
        <v>3</v>
      </c>
      <c r="AC199" s="4" t="str">
        <f t="shared" si="15"/>
        <v>\I:</v>
      </c>
      <c r="AD199" t="s">
        <v>17</v>
      </c>
      <c r="AH199" t="s">
        <v>82</v>
      </c>
      <c r="AI199">
        <v>0</v>
      </c>
      <c r="AJ199">
        <v>2</v>
      </c>
      <c r="AK199">
        <v>3</v>
      </c>
      <c r="AL199" t="s">
        <v>82</v>
      </c>
      <c r="AM199" t="s">
        <v>93</v>
      </c>
    </row>
    <row r="200" spans="25:39" x14ac:dyDescent="0.3">
      <c r="Y200" t="str">
        <f t="shared" si="12"/>
        <v>\I:</v>
      </c>
      <c r="Z200">
        <f t="shared" si="13"/>
        <v>0</v>
      </c>
      <c r="AA200" s="4">
        <f t="shared" si="14"/>
        <v>0.25</v>
      </c>
      <c r="AB200">
        <v>3</v>
      </c>
      <c r="AC200" s="4" t="str">
        <f t="shared" si="15"/>
        <v>\I:</v>
      </c>
      <c r="AD200" t="s">
        <v>17</v>
      </c>
      <c r="AH200" t="s">
        <v>82</v>
      </c>
      <c r="AI200">
        <v>0</v>
      </c>
      <c r="AJ200">
        <v>2</v>
      </c>
      <c r="AK200">
        <v>3</v>
      </c>
      <c r="AL200" t="s">
        <v>82</v>
      </c>
      <c r="AM200" t="s">
        <v>93</v>
      </c>
    </row>
    <row r="201" spans="25:39" x14ac:dyDescent="0.3">
      <c r="Y201" t="str">
        <f t="shared" si="12"/>
        <v>\I:</v>
      </c>
      <c r="Z201">
        <f t="shared" si="13"/>
        <v>0</v>
      </c>
      <c r="AA201" s="4">
        <f t="shared" si="14"/>
        <v>0.25</v>
      </c>
      <c r="AB201">
        <v>3</v>
      </c>
      <c r="AC201" s="4" t="str">
        <f t="shared" si="15"/>
        <v>\I:</v>
      </c>
      <c r="AD201" t="s">
        <v>17</v>
      </c>
      <c r="AH201" t="s">
        <v>82</v>
      </c>
      <c r="AI201">
        <v>0</v>
      </c>
      <c r="AJ201">
        <v>2</v>
      </c>
      <c r="AK201">
        <v>3</v>
      </c>
      <c r="AL201" t="s">
        <v>82</v>
      </c>
      <c r="AM201" t="s">
        <v>93</v>
      </c>
    </row>
    <row r="202" spans="25:39" x14ac:dyDescent="0.3">
      <c r="Y202" t="str">
        <f t="shared" si="12"/>
        <v>\I:</v>
      </c>
      <c r="Z202">
        <f t="shared" si="13"/>
        <v>0</v>
      </c>
      <c r="AA202" s="4">
        <f t="shared" si="14"/>
        <v>0.25</v>
      </c>
      <c r="AB202">
        <v>3</v>
      </c>
      <c r="AC202" s="4" t="str">
        <f t="shared" si="15"/>
        <v>\I:</v>
      </c>
      <c r="AD202" t="s">
        <v>17</v>
      </c>
      <c r="AH202" t="s">
        <v>82</v>
      </c>
      <c r="AI202">
        <v>0</v>
      </c>
      <c r="AJ202">
        <v>2</v>
      </c>
      <c r="AK202">
        <v>3</v>
      </c>
      <c r="AL202" t="s">
        <v>82</v>
      </c>
      <c r="AM202" t="s">
        <v>93</v>
      </c>
    </row>
    <row r="203" spans="25:39" x14ac:dyDescent="0.3">
      <c r="Y203" t="str">
        <f t="shared" si="12"/>
        <v>\I:</v>
      </c>
      <c r="Z203">
        <f t="shared" si="13"/>
        <v>0</v>
      </c>
      <c r="AA203" s="4">
        <f t="shared" si="14"/>
        <v>0.25</v>
      </c>
      <c r="AB203">
        <v>3</v>
      </c>
      <c r="AC203" s="4" t="str">
        <f t="shared" si="15"/>
        <v>\I:</v>
      </c>
      <c r="AD203" t="s">
        <v>17</v>
      </c>
      <c r="AH203" t="s">
        <v>82</v>
      </c>
      <c r="AI203">
        <v>0</v>
      </c>
      <c r="AJ203">
        <v>2</v>
      </c>
      <c r="AK203">
        <v>3</v>
      </c>
      <c r="AL203" t="s">
        <v>82</v>
      </c>
      <c r="AM203" t="s">
        <v>93</v>
      </c>
    </row>
    <row r="204" spans="25:39" x14ac:dyDescent="0.3">
      <c r="Y204" t="str">
        <f t="shared" si="12"/>
        <v>\I:</v>
      </c>
      <c r="Z204">
        <f t="shared" si="13"/>
        <v>0</v>
      </c>
      <c r="AA204" s="4">
        <f t="shared" si="14"/>
        <v>0.25</v>
      </c>
      <c r="AB204">
        <v>3</v>
      </c>
      <c r="AC204" s="4" t="str">
        <f t="shared" si="15"/>
        <v>\I:</v>
      </c>
      <c r="AD204" t="s">
        <v>17</v>
      </c>
      <c r="AH204" t="s">
        <v>82</v>
      </c>
      <c r="AI204">
        <v>0</v>
      </c>
      <c r="AJ204">
        <v>2</v>
      </c>
      <c r="AK204">
        <v>3</v>
      </c>
      <c r="AL204" t="s">
        <v>82</v>
      </c>
      <c r="AM204" t="s">
        <v>93</v>
      </c>
    </row>
    <row r="205" spans="25:39" x14ac:dyDescent="0.3">
      <c r="Y205" t="str">
        <f t="shared" si="12"/>
        <v>\I:</v>
      </c>
      <c r="Z205">
        <f t="shared" si="13"/>
        <v>0</v>
      </c>
      <c r="AA205" s="4">
        <f t="shared" si="14"/>
        <v>0.25</v>
      </c>
      <c r="AB205">
        <v>3</v>
      </c>
      <c r="AC205" s="4" t="str">
        <f t="shared" si="15"/>
        <v>\I:</v>
      </c>
      <c r="AD205" t="s">
        <v>17</v>
      </c>
      <c r="AH205" t="s">
        <v>82</v>
      </c>
      <c r="AI205">
        <v>0</v>
      </c>
      <c r="AJ205">
        <v>2</v>
      </c>
      <c r="AK205">
        <v>3</v>
      </c>
      <c r="AL205" t="s">
        <v>82</v>
      </c>
      <c r="AM205" t="s">
        <v>93</v>
      </c>
    </row>
    <row r="206" spans="25:39" x14ac:dyDescent="0.3">
      <c r="Y206" t="str">
        <f t="shared" si="12"/>
        <v>\I:</v>
      </c>
      <c r="Z206">
        <f t="shared" si="13"/>
        <v>0</v>
      </c>
      <c r="AA206" s="4">
        <f t="shared" si="14"/>
        <v>0.25</v>
      </c>
      <c r="AB206">
        <v>3</v>
      </c>
      <c r="AC206" s="4" t="str">
        <f t="shared" si="15"/>
        <v>\I:</v>
      </c>
      <c r="AD206" t="s">
        <v>17</v>
      </c>
      <c r="AH206" t="s">
        <v>82</v>
      </c>
      <c r="AI206">
        <v>0</v>
      </c>
      <c r="AJ206">
        <v>2</v>
      </c>
      <c r="AK206">
        <v>3</v>
      </c>
      <c r="AL206" t="s">
        <v>82</v>
      </c>
      <c r="AM206" t="s">
        <v>93</v>
      </c>
    </row>
    <row r="207" spans="25:39" x14ac:dyDescent="0.3">
      <c r="Y207" t="str">
        <f t="shared" si="12"/>
        <v>\I:</v>
      </c>
      <c r="Z207">
        <f t="shared" si="13"/>
        <v>0</v>
      </c>
      <c r="AA207" s="4">
        <f t="shared" si="14"/>
        <v>0.25</v>
      </c>
      <c r="AB207">
        <v>3</v>
      </c>
      <c r="AC207" s="4" t="str">
        <f t="shared" si="15"/>
        <v>\I:</v>
      </c>
      <c r="AD207" t="s">
        <v>17</v>
      </c>
      <c r="AH207" t="s">
        <v>82</v>
      </c>
      <c r="AI207">
        <v>0</v>
      </c>
      <c r="AJ207">
        <v>2</v>
      </c>
      <c r="AK207">
        <v>3</v>
      </c>
      <c r="AL207" t="s">
        <v>82</v>
      </c>
      <c r="AM207" t="s">
        <v>93</v>
      </c>
    </row>
    <row r="208" spans="25:39" x14ac:dyDescent="0.3">
      <c r="Y208" t="str">
        <f t="shared" si="12"/>
        <v>\I:</v>
      </c>
      <c r="Z208">
        <f t="shared" si="13"/>
        <v>0</v>
      </c>
      <c r="AA208" s="4">
        <f t="shared" si="14"/>
        <v>0.25</v>
      </c>
      <c r="AB208">
        <v>3</v>
      </c>
      <c r="AC208" s="4" t="str">
        <f t="shared" si="15"/>
        <v>\I:</v>
      </c>
      <c r="AD208" t="s">
        <v>17</v>
      </c>
      <c r="AH208" t="s">
        <v>82</v>
      </c>
      <c r="AI208">
        <v>0</v>
      </c>
      <c r="AJ208">
        <v>2</v>
      </c>
      <c r="AK208">
        <v>3</v>
      </c>
      <c r="AL208" t="s">
        <v>82</v>
      </c>
      <c r="AM208" t="s">
        <v>93</v>
      </c>
    </row>
    <row r="209" spans="25:39" x14ac:dyDescent="0.3">
      <c r="Y209" t="str">
        <f t="shared" si="12"/>
        <v>\I:</v>
      </c>
      <c r="Z209">
        <f t="shared" si="13"/>
        <v>0</v>
      </c>
      <c r="AA209" s="4">
        <f t="shared" si="14"/>
        <v>0.25</v>
      </c>
      <c r="AB209">
        <v>3</v>
      </c>
      <c r="AC209" s="4" t="str">
        <f t="shared" si="15"/>
        <v>\I:</v>
      </c>
      <c r="AD209" t="s">
        <v>17</v>
      </c>
      <c r="AH209" t="s">
        <v>82</v>
      </c>
      <c r="AI209">
        <v>0</v>
      </c>
      <c r="AJ209">
        <v>2</v>
      </c>
      <c r="AK209">
        <v>3</v>
      </c>
      <c r="AL209" t="s">
        <v>82</v>
      </c>
      <c r="AM209" t="s">
        <v>93</v>
      </c>
    </row>
    <row r="210" spans="25:39" x14ac:dyDescent="0.3">
      <c r="Y210" t="str">
        <f t="shared" si="12"/>
        <v>\I:</v>
      </c>
      <c r="Z210">
        <f t="shared" si="13"/>
        <v>0</v>
      </c>
      <c r="AA210" s="4">
        <f t="shared" si="14"/>
        <v>0.25</v>
      </c>
      <c r="AB210">
        <v>3</v>
      </c>
      <c r="AC210" s="4" t="str">
        <f t="shared" si="15"/>
        <v>\I:</v>
      </c>
      <c r="AD210" t="s">
        <v>17</v>
      </c>
      <c r="AH210" t="s">
        <v>82</v>
      </c>
      <c r="AI210">
        <v>0</v>
      </c>
      <c r="AJ210">
        <v>2</v>
      </c>
      <c r="AK210">
        <v>3</v>
      </c>
      <c r="AL210" t="s">
        <v>82</v>
      </c>
      <c r="AM210" t="s">
        <v>93</v>
      </c>
    </row>
    <row r="211" spans="25:39" x14ac:dyDescent="0.3">
      <c r="Y211" t="str">
        <f t="shared" si="12"/>
        <v>\I:</v>
      </c>
      <c r="Z211">
        <f t="shared" si="13"/>
        <v>0</v>
      </c>
      <c r="AA211" s="4">
        <f t="shared" si="14"/>
        <v>0.25</v>
      </c>
      <c r="AB211">
        <v>3</v>
      </c>
      <c r="AC211" s="4" t="str">
        <f t="shared" si="15"/>
        <v>\I:</v>
      </c>
      <c r="AD211" t="s">
        <v>17</v>
      </c>
      <c r="AH211" t="s">
        <v>82</v>
      </c>
      <c r="AI211">
        <v>0</v>
      </c>
      <c r="AJ211">
        <v>2</v>
      </c>
      <c r="AK211">
        <v>3</v>
      </c>
      <c r="AL211" t="s">
        <v>82</v>
      </c>
      <c r="AM211" t="s">
        <v>93</v>
      </c>
    </row>
    <row r="212" spans="25:39" x14ac:dyDescent="0.3">
      <c r="Y212" t="str">
        <f t="shared" si="12"/>
        <v>\I:</v>
      </c>
      <c r="Z212">
        <f t="shared" si="13"/>
        <v>0</v>
      </c>
      <c r="AA212" s="4">
        <f t="shared" si="14"/>
        <v>0.25</v>
      </c>
      <c r="AB212">
        <v>3</v>
      </c>
      <c r="AC212" s="4" t="str">
        <f t="shared" si="15"/>
        <v>\I:</v>
      </c>
      <c r="AD212" t="s">
        <v>17</v>
      </c>
      <c r="AH212" t="s">
        <v>82</v>
      </c>
      <c r="AI212">
        <v>0</v>
      </c>
      <c r="AJ212">
        <v>2</v>
      </c>
      <c r="AK212">
        <v>3</v>
      </c>
      <c r="AL212" t="s">
        <v>82</v>
      </c>
      <c r="AM212" t="s">
        <v>93</v>
      </c>
    </row>
    <row r="213" spans="25:39" x14ac:dyDescent="0.3">
      <c r="Y213" t="str">
        <f t="shared" si="12"/>
        <v>\I:</v>
      </c>
      <c r="Z213">
        <f t="shared" si="13"/>
        <v>0</v>
      </c>
      <c r="AA213" s="4">
        <f t="shared" si="14"/>
        <v>0.25</v>
      </c>
      <c r="AB213">
        <v>3</v>
      </c>
      <c r="AC213" s="4" t="str">
        <f t="shared" si="15"/>
        <v>\I:</v>
      </c>
      <c r="AD213" t="s">
        <v>17</v>
      </c>
      <c r="AH213" t="s">
        <v>82</v>
      </c>
      <c r="AI213">
        <v>0</v>
      </c>
      <c r="AJ213">
        <v>2</v>
      </c>
      <c r="AK213">
        <v>3</v>
      </c>
      <c r="AL213" t="s">
        <v>82</v>
      </c>
      <c r="AM213" t="s">
        <v>93</v>
      </c>
    </row>
    <row r="214" spans="25:39" x14ac:dyDescent="0.3">
      <c r="Y214" t="str">
        <f t="shared" si="12"/>
        <v>\I:</v>
      </c>
      <c r="Z214">
        <f t="shared" si="13"/>
        <v>0</v>
      </c>
      <c r="AA214" s="4">
        <f t="shared" si="14"/>
        <v>0.25</v>
      </c>
      <c r="AB214">
        <v>3</v>
      </c>
      <c r="AC214" s="4" t="str">
        <f t="shared" si="15"/>
        <v>\I:</v>
      </c>
      <c r="AD214" t="s">
        <v>17</v>
      </c>
      <c r="AH214" t="s">
        <v>82</v>
      </c>
      <c r="AI214">
        <v>0</v>
      </c>
      <c r="AJ214">
        <v>2</v>
      </c>
      <c r="AK214">
        <v>3</v>
      </c>
      <c r="AL214" t="s">
        <v>82</v>
      </c>
      <c r="AM214" t="s">
        <v>93</v>
      </c>
    </row>
    <row r="215" spans="25:39" x14ac:dyDescent="0.3">
      <c r="Y215" t="str">
        <f t="shared" si="12"/>
        <v>\I:</v>
      </c>
      <c r="Z215">
        <f t="shared" si="13"/>
        <v>0</v>
      </c>
      <c r="AA215" s="4">
        <f t="shared" si="14"/>
        <v>0.25</v>
      </c>
      <c r="AB215">
        <v>3</v>
      </c>
      <c r="AC215" s="4" t="str">
        <f t="shared" si="15"/>
        <v>\I:</v>
      </c>
      <c r="AD215" t="s">
        <v>17</v>
      </c>
      <c r="AH215" t="s">
        <v>82</v>
      </c>
      <c r="AI215">
        <v>0</v>
      </c>
      <c r="AJ215">
        <v>2</v>
      </c>
      <c r="AK215">
        <v>3</v>
      </c>
      <c r="AL215" t="s">
        <v>82</v>
      </c>
      <c r="AM215" t="s">
        <v>93</v>
      </c>
    </row>
    <row r="216" spans="25:39" x14ac:dyDescent="0.3">
      <c r="Y216" t="str">
        <f t="shared" si="12"/>
        <v>\I:</v>
      </c>
      <c r="Z216">
        <f t="shared" si="13"/>
        <v>0</v>
      </c>
      <c r="AA216" s="4">
        <f t="shared" si="14"/>
        <v>0.25</v>
      </c>
      <c r="AB216">
        <v>3</v>
      </c>
      <c r="AC216" s="4" t="str">
        <f t="shared" si="15"/>
        <v>\I:</v>
      </c>
      <c r="AD216" t="s">
        <v>17</v>
      </c>
      <c r="AH216" t="s">
        <v>82</v>
      </c>
      <c r="AI216">
        <v>0</v>
      </c>
      <c r="AJ216">
        <v>2</v>
      </c>
      <c r="AK216">
        <v>3</v>
      </c>
      <c r="AL216" t="s">
        <v>82</v>
      </c>
      <c r="AM216" t="s">
        <v>93</v>
      </c>
    </row>
    <row r="217" spans="25:39" x14ac:dyDescent="0.3">
      <c r="Y217" t="str">
        <f t="shared" si="12"/>
        <v>\I:</v>
      </c>
      <c r="Z217">
        <f t="shared" si="13"/>
        <v>0</v>
      </c>
      <c r="AA217" s="4">
        <f t="shared" si="14"/>
        <v>0.25</v>
      </c>
      <c r="AB217">
        <v>3</v>
      </c>
      <c r="AC217" s="4" t="str">
        <f t="shared" si="15"/>
        <v>\I:</v>
      </c>
      <c r="AD217" t="s">
        <v>17</v>
      </c>
      <c r="AH217" t="s">
        <v>82</v>
      </c>
      <c r="AI217">
        <v>0</v>
      </c>
      <c r="AJ217">
        <v>2</v>
      </c>
      <c r="AK217">
        <v>3</v>
      </c>
      <c r="AL217" t="s">
        <v>82</v>
      </c>
      <c r="AM217" t="s">
        <v>93</v>
      </c>
    </row>
    <row r="218" spans="25:39" x14ac:dyDescent="0.3">
      <c r="Y218" t="str">
        <f t="shared" si="12"/>
        <v>\I:</v>
      </c>
      <c r="Z218">
        <f t="shared" si="13"/>
        <v>0</v>
      </c>
      <c r="AA218" s="4">
        <f t="shared" si="14"/>
        <v>0.25</v>
      </c>
      <c r="AB218">
        <v>3</v>
      </c>
      <c r="AC218" s="4" t="str">
        <f t="shared" si="15"/>
        <v>\I:</v>
      </c>
      <c r="AD218" t="s">
        <v>17</v>
      </c>
      <c r="AH218" t="s">
        <v>82</v>
      </c>
      <c r="AI218">
        <v>0</v>
      </c>
      <c r="AJ218">
        <v>2</v>
      </c>
      <c r="AK218">
        <v>3</v>
      </c>
      <c r="AL218" t="s">
        <v>82</v>
      </c>
      <c r="AM218" t="s">
        <v>93</v>
      </c>
    </row>
    <row r="219" spans="25:39" x14ac:dyDescent="0.3">
      <c r="Y219" t="str">
        <f t="shared" si="12"/>
        <v>\I:</v>
      </c>
      <c r="Z219">
        <f t="shared" si="13"/>
        <v>0</v>
      </c>
      <c r="AA219" s="4">
        <f t="shared" si="14"/>
        <v>0.25</v>
      </c>
      <c r="AB219">
        <v>3</v>
      </c>
      <c r="AC219" s="4" t="str">
        <f t="shared" si="15"/>
        <v>\I:</v>
      </c>
      <c r="AD219" t="s">
        <v>17</v>
      </c>
      <c r="AH219" t="s">
        <v>82</v>
      </c>
      <c r="AI219">
        <v>0</v>
      </c>
      <c r="AJ219">
        <v>2</v>
      </c>
      <c r="AK219">
        <v>3</v>
      </c>
      <c r="AL219" t="s">
        <v>82</v>
      </c>
      <c r="AM219" t="s">
        <v>93</v>
      </c>
    </row>
    <row r="220" spans="25:39" x14ac:dyDescent="0.3">
      <c r="Y220" t="str">
        <f t="shared" si="12"/>
        <v>\I:</v>
      </c>
      <c r="Z220">
        <f t="shared" si="13"/>
        <v>0</v>
      </c>
      <c r="AA220" s="4">
        <f t="shared" si="14"/>
        <v>0.25</v>
      </c>
      <c r="AB220">
        <v>3</v>
      </c>
      <c r="AC220" s="4" t="str">
        <f t="shared" si="15"/>
        <v>\I:</v>
      </c>
      <c r="AD220" t="s">
        <v>17</v>
      </c>
      <c r="AH220" t="s">
        <v>82</v>
      </c>
      <c r="AI220">
        <v>0</v>
      </c>
      <c r="AJ220">
        <v>2</v>
      </c>
      <c r="AK220">
        <v>3</v>
      </c>
      <c r="AL220" t="s">
        <v>82</v>
      </c>
      <c r="AM220" t="s">
        <v>93</v>
      </c>
    </row>
    <row r="221" spans="25:39" x14ac:dyDescent="0.3">
      <c r="Y221" t="str">
        <f t="shared" si="12"/>
        <v>\I:</v>
      </c>
      <c r="Z221">
        <f t="shared" si="13"/>
        <v>0</v>
      </c>
      <c r="AA221" s="4">
        <f t="shared" si="14"/>
        <v>0.25</v>
      </c>
      <c r="AB221">
        <v>3</v>
      </c>
      <c r="AC221" s="4" t="str">
        <f t="shared" si="15"/>
        <v>\I:</v>
      </c>
      <c r="AD221" t="s">
        <v>17</v>
      </c>
      <c r="AH221" t="s">
        <v>82</v>
      </c>
      <c r="AI221">
        <v>0</v>
      </c>
      <c r="AJ221">
        <v>2</v>
      </c>
      <c r="AK221">
        <v>3</v>
      </c>
      <c r="AL221" t="s">
        <v>82</v>
      </c>
      <c r="AM221" t="s">
        <v>93</v>
      </c>
    </row>
    <row r="222" spans="25:39" x14ac:dyDescent="0.3">
      <c r="Y222" t="str">
        <f t="shared" si="12"/>
        <v>\I:</v>
      </c>
      <c r="Z222">
        <f t="shared" si="13"/>
        <v>0</v>
      </c>
      <c r="AA222" s="4">
        <f t="shared" si="14"/>
        <v>0.25</v>
      </c>
      <c r="AB222">
        <v>3</v>
      </c>
      <c r="AC222" s="4" t="str">
        <f t="shared" si="15"/>
        <v>\I:</v>
      </c>
      <c r="AD222" t="s">
        <v>17</v>
      </c>
      <c r="AH222" t="s">
        <v>82</v>
      </c>
      <c r="AI222">
        <v>0</v>
      </c>
      <c r="AJ222">
        <v>2</v>
      </c>
      <c r="AK222">
        <v>3</v>
      </c>
      <c r="AL222" t="s">
        <v>82</v>
      </c>
      <c r="AM222" t="s">
        <v>93</v>
      </c>
    </row>
    <row r="223" spans="25:39" x14ac:dyDescent="0.3">
      <c r="Y223" t="str">
        <f t="shared" si="12"/>
        <v>\I:</v>
      </c>
      <c r="Z223">
        <f t="shared" si="13"/>
        <v>0</v>
      </c>
      <c r="AA223" s="4">
        <f t="shared" si="14"/>
        <v>0.25</v>
      </c>
      <c r="AB223">
        <v>3</v>
      </c>
      <c r="AC223" s="4" t="str">
        <f t="shared" si="15"/>
        <v>\I:</v>
      </c>
      <c r="AD223" t="s">
        <v>17</v>
      </c>
      <c r="AH223" t="s">
        <v>82</v>
      </c>
      <c r="AI223">
        <v>0</v>
      </c>
      <c r="AJ223">
        <v>2</v>
      </c>
      <c r="AK223">
        <v>3</v>
      </c>
      <c r="AL223" t="s">
        <v>82</v>
      </c>
      <c r="AM223" t="s">
        <v>93</v>
      </c>
    </row>
    <row r="224" spans="25:39" x14ac:dyDescent="0.3">
      <c r="Y224" t="str">
        <f t="shared" si="12"/>
        <v>\I:</v>
      </c>
      <c r="Z224">
        <f t="shared" si="13"/>
        <v>0</v>
      </c>
      <c r="AA224" s="4">
        <f t="shared" si="14"/>
        <v>0.25</v>
      </c>
      <c r="AB224">
        <v>3</v>
      </c>
      <c r="AC224" s="4" t="str">
        <f t="shared" si="15"/>
        <v>\I:</v>
      </c>
      <c r="AD224" t="s">
        <v>17</v>
      </c>
      <c r="AH224" t="s">
        <v>82</v>
      </c>
      <c r="AI224">
        <v>0</v>
      </c>
      <c r="AJ224">
        <v>2</v>
      </c>
      <c r="AK224">
        <v>3</v>
      </c>
      <c r="AL224" t="s">
        <v>82</v>
      </c>
      <c r="AM224" t="s">
        <v>93</v>
      </c>
    </row>
    <row r="225" spans="25:39" x14ac:dyDescent="0.3">
      <c r="Y225" t="str">
        <f t="shared" si="12"/>
        <v>\I:</v>
      </c>
      <c r="Z225">
        <f t="shared" si="13"/>
        <v>0</v>
      </c>
      <c r="AA225" s="4">
        <f t="shared" si="14"/>
        <v>0.25</v>
      </c>
      <c r="AB225">
        <v>3</v>
      </c>
      <c r="AC225" s="4" t="str">
        <f t="shared" si="15"/>
        <v>\I:</v>
      </c>
      <c r="AD225" t="s">
        <v>17</v>
      </c>
      <c r="AH225" t="s">
        <v>82</v>
      </c>
      <c r="AI225">
        <v>0</v>
      </c>
      <c r="AJ225">
        <v>2</v>
      </c>
      <c r="AK225">
        <v>3</v>
      </c>
      <c r="AL225" t="s">
        <v>82</v>
      </c>
      <c r="AM225" t="s">
        <v>93</v>
      </c>
    </row>
    <row r="226" spans="25:39" x14ac:dyDescent="0.3">
      <c r="Y226" t="str">
        <f t="shared" si="12"/>
        <v>\I:</v>
      </c>
      <c r="Z226">
        <f t="shared" si="13"/>
        <v>0</v>
      </c>
      <c r="AA226" s="4">
        <f t="shared" si="14"/>
        <v>0.25</v>
      </c>
      <c r="AB226">
        <v>3</v>
      </c>
      <c r="AC226" s="4" t="str">
        <f t="shared" si="15"/>
        <v>\I:</v>
      </c>
      <c r="AD226" t="s">
        <v>17</v>
      </c>
      <c r="AH226" t="s">
        <v>82</v>
      </c>
      <c r="AI226">
        <v>0</v>
      </c>
      <c r="AJ226">
        <v>2</v>
      </c>
      <c r="AK226">
        <v>3</v>
      </c>
      <c r="AL226" t="s">
        <v>82</v>
      </c>
      <c r="AM226" t="s">
        <v>93</v>
      </c>
    </row>
    <row r="227" spans="25:39" x14ac:dyDescent="0.3">
      <c r="Y227" t="str">
        <f t="shared" si="12"/>
        <v>\I:</v>
      </c>
      <c r="Z227">
        <f t="shared" si="13"/>
        <v>0</v>
      </c>
      <c r="AA227" s="4">
        <f t="shared" si="14"/>
        <v>0.25</v>
      </c>
      <c r="AB227">
        <v>3</v>
      </c>
      <c r="AC227" s="4" t="str">
        <f t="shared" si="15"/>
        <v>\I:</v>
      </c>
      <c r="AD227" t="s">
        <v>17</v>
      </c>
      <c r="AH227" t="s">
        <v>82</v>
      </c>
      <c r="AI227">
        <v>0</v>
      </c>
      <c r="AJ227">
        <v>2</v>
      </c>
      <c r="AK227">
        <v>3</v>
      </c>
      <c r="AL227" t="s">
        <v>82</v>
      </c>
      <c r="AM227" t="s">
        <v>93</v>
      </c>
    </row>
    <row r="228" spans="25:39" x14ac:dyDescent="0.3">
      <c r="Y228" t="str">
        <f t="shared" si="12"/>
        <v>\I:</v>
      </c>
      <c r="Z228">
        <f t="shared" si="13"/>
        <v>0</v>
      </c>
      <c r="AA228" s="4">
        <f t="shared" si="14"/>
        <v>0.25</v>
      </c>
      <c r="AB228">
        <v>3</v>
      </c>
      <c r="AC228" s="4" t="str">
        <f t="shared" si="15"/>
        <v>\I:</v>
      </c>
      <c r="AD228" t="s">
        <v>17</v>
      </c>
      <c r="AH228" t="s">
        <v>82</v>
      </c>
      <c r="AI228">
        <v>0</v>
      </c>
      <c r="AJ228">
        <v>2</v>
      </c>
      <c r="AK228">
        <v>3</v>
      </c>
      <c r="AL228" t="s">
        <v>82</v>
      </c>
      <c r="AM228" t="s">
        <v>93</v>
      </c>
    </row>
    <row r="229" spans="25:39" x14ac:dyDescent="0.3">
      <c r="Y229" t="str">
        <f t="shared" si="12"/>
        <v>\I:</v>
      </c>
      <c r="Z229">
        <f t="shared" si="13"/>
        <v>0</v>
      </c>
      <c r="AA229" s="4">
        <f t="shared" si="14"/>
        <v>0.25</v>
      </c>
      <c r="AB229">
        <v>3</v>
      </c>
      <c r="AC229" s="4" t="str">
        <f t="shared" si="15"/>
        <v>\I:</v>
      </c>
      <c r="AD229" t="s">
        <v>17</v>
      </c>
      <c r="AH229" t="s">
        <v>82</v>
      </c>
      <c r="AI229">
        <v>0</v>
      </c>
      <c r="AJ229">
        <v>2</v>
      </c>
      <c r="AK229">
        <v>3</v>
      </c>
      <c r="AL229" t="s">
        <v>82</v>
      </c>
      <c r="AM229" t="s">
        <v>93</v>
      </c>
    </row>
    <row r="230" spans="25:39" x14ac:dyDescent="0.3">
      <c r="Y230" t="str">
        <f t="shared" si="12"/>
        <v>\I:</v>
      </c>
      <c r="Z230">
        <f t="shared" si="13"/>
        <v>0</v>
      </c>
      <c r="AA230" s="4">
        <f t="shared" si="14"/>
        <v>0.25</v>
      </c>
      <c r="AB230">
        <v>3</v>
      </c>
      <c r="AC230" s="4" t="str">
        <f t="shared" si="15"/>
        <v>\I:</v>
      </c>
      <c r="AD230" t="s">
        <v>17</v>
      </c>
      <c r="AH230" t="s">
        <v>82</v>
      </c>
      <c r="AI230">
        <v>0</v>
      </c>
      <c r="AJ230">
        <v>2</v>
      </c>
      <c r="AK230">
        <v>3</v>
      </c>
      <c r="AL230" t="s">
        <v>82</v>
      </c>
      <c r="AM230" t="s">
        <v>93</v>
      </c>
    </row>
    <row r="231" spans="25:39" x14ac:dyDescent="0.3">
      <c r="Y231" t="str">
        <f t="shared" si="12"/>
        <v>\I:</v>
      </c>
      <c r="Z231">
        <f t="shared" si="13"/>
        <v>0</v>
      </c>
      <c r="AA231" s="4">
        <f t="shared" si="14"/>
        <v>0.25</v>
      </c>
      <c r="AB231">
        <v>3</v>
      </c>
      <c r="AC231" s="4" t="str">
        <f t="shared" si="15"/>
        <v>\I:</v>
      </c>
      <c r="AD231" t="s">
        <v>17</v>
      </c>
      <c r="AH231" t="s">
        <v>82</v>
      </c>
      <c r="AI231">
        <v>0</v>
      </c>
      <c r="AJ231">
        <v>2</v>
      </c>
      <c r="AK231">
        <v>3</v>
      </c>
      <c r="AL231" t="s">
        <v>82</v>
      </c>
      <c r="AM231" t="s">
        <v>93</v>
      </c>
    </row>
    <row r="232" spans="25:39" x14ac:dyDescent="0.3">
      <c r="Y232" t="str">
        <f t="shared" si="12"/>
        <v>\I:</v>
      </c>
      <c r="Z232">
        <f t="shared" si="13"/>
        <v>0</v>
      </c>
      <c r="AA232" s="4">
        <f t="shared" si="14"/>
        <v>0.25</v>
      </c>
      <c r="AB232">
        <v>3</v>
      </c>
      <c r="AC232" s="4" t="str">
        <f t="shared" si="15"/>
        <v>\I:</v>
      </c>
      <c r="AD232" t="s">
        <v>17</v>
      </c>
      <c r="AH232" t="s">
        <v>82</v>
      </c>
      <c r="AI232">
        <v>0</v>
      </c>
      <c r="AJ232">
        <v>2</v>
      </c>
      <c r="AK232">
        <v>3</v>
      </c>
      <c r="AL232" t="s">
        <v>82</v>
      </c>
      <c r="AM232" t="s">
        <v>93</v>
      </c>
    </row>
    <row r="233" spans="25:39" x14ac:dyDescent="0.3">
      <c r="Y233" t="str">
        <f t="shared" si="12"/>
        <v>\I:</v>
      </c>
      <c r="Z233">
        <f t="shared" si="13"/>
        <v>0</v>
      </c>
      <c r="AA233" s="4">
        <f t="shared" si="14"/>
        <v>0.25</v>
      </c>
      <c r="AB233">
        <v>3</v>
      </c>
      <c r="AC233" s="4" t="str">
        <f t="shared" si="15"/>
        <v>\I:</v>
      </c>
      <c r="AD233" t="s">
        <v>17</v>
      </c>
      <c r="AH233" t="s">
        <v>82</v>
      </c>
      <c r="AI233">
        <v>0</v>
      </c>
      <c r="AJ233">
        <v>2</v>
      </c>
      <c r="AK233">
        <v>3</v>
      </c>
      <c r="AL233" t="s">
        <v>82</v>
      </c>
      <c r="AM233" t="s">
        <v>93</v>
      </c>
    </row>
    <row r="234" spans="25:39" x14ac:dyDescent="0.3">
      <c r="Y234" t="str">
        <f t="shared" si="12"/>
        <v>\I:</v>
      </c>
      <c r="Z234">
        <f t="shared" si="13"/>
        <v>0</v>
      </c>
      <c r="AA234" s="4">
        <f t="shared" si="14"/>
        <v>0.25</v>
      </c>
      <c r="AB234">
        <v>3</v>
      </c>
      <c r="AC234" s="4" t="str">
        <f t="shared" si="15"/>
        <v>\I:</v>
      </c>
      <c r="AD234" t="s">
        <v>17</v>
      </c>
      <c r="AH234" t="s">
        <v>82</v>
      </c>
      <c r="AI234">
        <v>0</v>
      </c>
      <c r="AJ234">
        <v>2</v>
      </c>
      <c r="AK234">
        <v>3</v>
      </c>
      <c r="AL234" t="s">
        <v>82</v>
      </c>
      <c r="AM234" t="s">
        <v>93</v>
      </c>
    </row>
    <row r="235" spans="25:39" x14ac:dyDescent="0.3">
      <c r="Y235" t="str">
        <f t="shared" si="12"/>
        <v>\I:</v>
      </c>
      <c r="Z235">
        <f t="shared" si="13"/>
        <v>0</v>
      </c>
      <c r="AA235" s="4">
        <f t="shared" si="14"/>
        <v>0.25</v>
      </c>
      <c r="AB235">
        <v>3</v>
      </c>
      <c r="AC235" s="4" t="str">
        <f t="shared" si="15"/>
        <v>\I:</v>
      </c>
      <c r="AD235" t="s">
        <v>17</v>
      </c>
      <c r="AH235" t="s">
        <v>82</v>
      </c>
      <c r="AI235">
        <v>0</v>
      </c>
      <c r="AJ235">
        <v>2</v>
      </c>
      <c r="AK235">
        <v>3</v>
      </c>
      <c r="AL235" t="s">
        <v>82</v>
      </c>
      <c r="AM235" t="s">
        <v>93</v>
      </c>
    </row>
    <row r="236" spans="25:39" x14ac:dyDescent="0.3">
      <c r="Y236" t="str">
        <f t="shared" si="12"/>
        <v>\I:</v>
      </c>
      <c r="Z236">
        <f t="shared" si="13"/>
        <v>0</v>
      </c>
      <c r="AA236" s="4">
        <f t="shared" si="14"/>
        <v>0.25</v>
      </c>
      <c r="AB236">
        <v>3</v>
      </c>
      <c r="AC236" s="4" t="str">
        <f t="shared" si="15"/>
        <v>\I:</v>
      </c>
      <c r="AD236" t="s">
        <v>17</v>
      </c>
      <c r="AH236" t="s">
        <v>82</v>
      </c>
      <c r="AI236">
        <v>0</v>
      </c>
      <c r="AJ236">
        <v>2</v>
      </c>
      <c r="AK236">
        <v>3</v>
      </c>
      <c r="AL236" t="s">
        <v>82</v>
      </c>
      <c r="AM236" t="s">
        <v>93</v>
      </c>
    </row>
    <row r="237" spans="25:39" x14ac:dyDescent="0.3">
      <c r="Y237" t="str">
        <f t="shared" si="12"/>
        <v>\I:</v>
      </c>
      <c r="Z237">
        <f t="shared" si="13"/>
        <v>0</v>
      </c>
      <c r="AA237" s="4">
        <f t="shared" si="14"/>
        <v>0.25</v>
      </c>
      <c r="AB237">
        <v>3</v>
      </c>
      <c r="AC237" s="4" t="str">
        <f t="shared" si="15"/>
        <v>\I:</v>
      </c>
      <c r="AD237" t="s">
        <v>17</v>
      </c>
      <c r="AH237" t="s">
        <v>82</v>
      </c>
      <c r="AI237">
        <v>0</v>
      </c>
      <c r="AJ237">
        <v>2</v>
      </c>
      <c r="AK237">
        <v>3</v>
      </c>
      <c r="AL237" t="s">
        <v>82</v>
      </c>
      <c r="AM237" t="s">
        <v>93</v>
      </c>
    </row>
    <row r="238" spans="25:39" x14ac:dyDescent="0.3">
      <c r="Y238" t="str">
        <f t="shared" si="12"/>
        <v>\I:</v>
      </c>
      <c r="Z238">
        <f t="shared" si="13"/>
        <v>0</v>
      </c>
      <c r="AA238" s="4">
        <f t="shared" si="14"/>
        <v>0.25</v>
      </c>
      <c r="AB238">
        <v>3</v>
      </c>
      <c r="AC238" s="4" t="str">
        <f t="shared" si="15"/>
        <v>\I:</v>
      </c>
      <c r="AD238" t="s">
        <v>17</v>
      </c>
      <c r="AH238" t="s">
        <v>82</v>
      </c>
      <c r="AI238">
        <v>0</v>
      </c>
      <c r="AJ238">
        <v>2</v>
      </c>
      <c r="AK238">
        <v>3</v>
      </c>
      <c r="AL238" t="s">
        <v>82</v>
      </c>
      <c r="AM238" t="s">
        <v>93</v>
      </c>
    </row>
    <row r="239" spans="25:39" x14ac:dyDescent="0.3">
      <c r="Y239" t="str">
        <f t="shared" si="12"/>
        <v>\I:</v>
      </c>
      <c r="Z239">
        <f t="shared" si="13"/>
        <v>0</v>
      </c>
      <c r="AA239" s="4">
        <f t="shared" si="14"/>
        <v>0.25</v>
      </c>
      <c r="AB239">
        <v>3</v>
      </c>
      <c r="AC239" s="4" t="str">
        <f t="shared" si="15"/>
        <v>\I:</v>
      </c>
      <c r="AD239" t="s">
        <v>17</v>
      </c>
      <c r="AH239" t="s">
        <v>82</v>
      </c>
      <c r="AI239">
        <v>0</v>
      </c>
      <c r="AJ239">
        <v>2</v>
      </c>
      <c r="AK239">
        <v>3</v>
      </c>
      <c r="AL239" t="s">
        <v>82</v>
      </c>
      <c r="AM239" t="s">
        <v>93</v>
      </c>
    </row>
    <row r="240" spans="25:39" x14ac:dyDescent="0.3">
      <c r="Y240" t="str">
        <f t="shared" si="12"/>
        <v>\I:</v>
      </c>
      <c r="Z240">
        <f t="shared" si="13"/>
        <v>0</v>
      </c>
      <c r="AA240" s="4">
        <f t="shared" si="14"/>
        <v>0.25</v>
      </c>
      <c r="AB240">
        <v>3</v>
      </c>
      <c r="AC240" s="4" t="str">
        <f t="shared" si="15"/>
        <v>\I:</v>
      </c>
      <c r="AD240" t="s">
        <v>17</v>
      </c>
      <c r="AH240" t="s">
        <v>82</v>
      </c>
      <c r="AI240">
        <v>0</v>
      </c>
      <c r="AJ240">
        <v>2</v>
      </c>
      <c r="AK240">
        <v>3</v>
      </c>
      <c r="AL240" t="s">
        <v>82</v>
      </c>
      <c r="AM240" t="s">
        <v>93</v>
      </c>
    </row>
    <row r="241" spans="25:39" x14ac:dyDescent="0.3">
      <c r="Y241" t="str">
        <f t="shared" si="12"/>
        <v>\I:</v>
      </c>
      <c r="Z241">
        <f t="shared" si="13"/>
        <v>0</v>
      </c>
      <c r="AA241" s="4">
        <f t="shared" si="14"/>
        <v>0.25</v>
      </c>
      <c r="AB241">
        <v>3</v>
      </c>
      <c r="AC241" s="4" t="str">
        <f t="shared" si="15"/>
        <v>\I:</v>
      </c>
      <c r="AD241" t="s">
        <v>17</v>
      </c>
      <c r="AH241" t="s">
        <v>82</v>
      </c>
      <c r="AI241">
        <v>0</v>
      </c>
      <c r="AJ241">
        <v>2</v>
      </c>
      <c r="AK241">
        <v>3</v>
      </c>
      <c r="AL241" t="s">
        <v>82</v>
      </c>
      <c r="AM241" t="s">
        <v>93</v>
      </c>
    </row>
    <row r="242" spans="25:39" x14ac:dyDescent="0.3">
      <c r="Y242" t="str">
        <f t="shared" si="12"/>
        <v>\I:</v>
      </c>
      <c r="Z242">
        <f t="shared" si="13"/>
        <v>0</v>
      </c>
      <c r="AA242" s="4">
        <f t="shared" si="14"/>
        <v>0.25</v>
      </c>
      <c r="AB242">
        <v>3</v>
      </c>
      <c r="AC242" s="4" t="str">
        <f t="shared" si="15"/>
        <v>\I:</v>
      </c>
      <c r="AD242" t="s">
        <v>17</v>
      </c>
      <c r="AH242" t="s">
        <v>82</v>
      </c>
      <c r="AI242">
        <v>0</v>
      </c>
      <c r="AJ242">
        <v>2</v>
      </c>
      <c r="AK242">
        <v>3</v>
      </c>
      <c r="AL242" t="s">
        <v>82</v>
      </c>
      <c r="AM242" t="s">
        <v>93</v>
      </c>
    </row>
    <row r="243" spans="25:39" x14ac:dyDescent="0.3">
      <c r="Y243" t="str">
        <f t="shared" si="12"/>
        <v>\I:</v>
      </c>
      <c r="Z243">
        <f t="shared" si="13"/>
        <v>0</v>
      </c>
      <c r="AA243" s="4">
        <f t="shared" si="14"/>
        <v>0.25</v>
      </c>
      <c r="AB243">
        <v>3</v>
      </c>
      <c r="AC243" s="4" t="str">
        <f t="shared" si="15"/>
        <v>\I:</v>
      </c>
      <c r="AD243" t="s">
        <v>17</v>
      </c>
      <c r="AH243" t="s">
        <v>82</v>
      </c>
      <c r="AI243">
        <v>0</v>
      </c>
      <c r="AJ243">
        <v>2</v>
      </c>
      <c r="AK243">
        <v>3</v>
      </c>
      <c r="AL243" t="s">
        <v>82</v>
      </c>
      <c r="AM243" t="s">
        <v>93</v>
      </c>
    </row>
    <row r="244" spans="25:39" x14ac:dyDescent="0.3">
      <c r="Y244" t="str">
        <f t="shared" si="12"/>
        <v>\I:</v>
      </c>
      <c r="Z244">
        <f t="shared" si="13"/>
        <v>0</v>
      </c>
      <c r="AA244" s="4">
        <f t="shared" si="14"/>
        <v>0.25</v>
      </c>
      <c r="AB244">
        <v>3</v>
      </c>
      <c r="AC244" s="4" t="str">
        <f t="shared" si="15"/>
        <v>\I:</v>
      </c>
      <c r="AD244" t="s">
        <v>17</v>
      </c>
      <c r="AH244" t="s">
        <v>82</v>
      </c>
      <c r="AI244">
        <v>0</v>
      </c>
      <c r="AJ244">
        <v>2</v>
      </c>
      <c r="AK244">
        <v>3</v>
      </c>
      <c r="AL244" t="s">
        <v>82</v>
      </c>
      <c r="AM244" t="s">
        <v>93</v>
      </c>
    </row>
    <row r="245" spans="25:39" x14ac:dyDescent="0.3">
      <c r="Y245" t="str">
        <f t="shared" si="12"/>
        <v>\I:</v>
      </c>
      <c r="Z245">
        <f t="shared" si="13"/>
        <v>0</v>
      </c>
      <c r="AA245" s="4">
        <f t="shared" si="14"/>
        <v>0.25</v>
      </c>
      <c r="AB245">
        <v>3</v>
      </c>
      <c r="AC245" s="4" t="str">
        <f t="shared" si="15"/>
        <v>\I:</v>
      </c>
      <c r="AD245" t="s">
        <v>17</v>
      </c>
      <c r="AH245" t="s">
        <v>82</v>
      </c>
      <c r="AI245">
        <v>0</v>
      </c>
      <c r="AJ245">
        <v>2</v>
      </c>
      <c r="AK245">
        <v>3</v>
      </c>
      <c r="AL245" t="s">
        <v>82</v>
      </c>
      <c r="AM245" t="s">
        <v>93</v>
      </c>
    </row>
    <row r="246" spans="25:39" x14ac:dyDescent="0.3">
      <c r="Y246" t="str">
        <f t="shared" si="12"/>
        <v>\I:</v>
      </c>
      <c r="Z246">
        <f t="shared" si="13"/>
        <v>0</v>
      </c>
      <c r="AA246" s="4">
        <f t="shared" si="14"/>
        <v>0.25</v>
      </c>
      <c r="AB246">
        <v>3</v>
      </c>
      <c r="AC246" s="4" t="str">
        <f t="shared" si="15"/>
        <v>\I:</v>
      </c>
      <c r="AD246" t="s">
        <v>17</v>
      </c>
      <c r="AH246" t="s">
        <v>82</v>
      </c>
      <c r="AI246">
        <v>0</v>
      </c>
      <c r="AJ246">
        <v>2</v>
      </c>
      <c r="AK246">
        <v>3</v>
      </c>
      <c r="AL246" t="s">
        <v>82</v>
      </c>
      <c r="AM246" t="s">
        <v>93</v>
      </c>
    </row>
    <row r="247" spans="25:39" x14ac:dyDescent="0.3">
      <c r="Y247" t="str">
        <f t="shared" si="12"/>
        <v>\I:</v>
      </c>
      <c r="Z247">
        <f t="shared" si="13"/>
        <v>0</v>
      </c>
      <c r="AA247" s="4">
        <f t="shared" si="14"/>
        <v>0.25</v>
      </c>
      <c r="AB247">
        <v>3</v>
      </c>
      <c r="AC247" s="4" t="str">
        <f t="shared" si="15"/>
        <v>\I:</v>
      </c>
      <c r="AD247" t="s">
        <v>17</v>
      </c>
      <c r="AH247" t="s">
        <v>82</v>
      </c>
      <c r="AI247">
        <v>0</v>
      </c>
      <c r="AJ247">
        <v>2</v>
      </c>
      <c r="AK247">
        <v>3</v>
      </c>
      <c r="AL247" t="s">
        <v>82</v>
      </c>
      <c r="AM247" t="s">
        <v>93</v>
      </c>
    </row>
    <row r="248" spans="25:39" x14ac:dyDescent="0.3">
      <c r="Y248" t="str">
        <f t="shared" si="12"/>
        <v>\I:</v>
      </c>
      <c r="Z248">
        <f t="shared" si="13"/>
        <v>0</v>
      </c>
      <c r="AA248" s="4">
        <f t="shared" si="14"/>
        <v>0.25</v>
      </c>
      <c r="AB248">
        <v>3</v>
      </c>
      <c r="AC248" s="4" t="str">
        <f t="shared" si="15"/>
        <v>\I:</v>
      </c>
      <c r="AD248" t="s">
        <v>17</v>
      </c>
      <c r="AH248" t="s">
        <v>82</v>
      </c>
      <c r="AI248">
        <v>0</v>
      </c>
      <c r="AJ248">
        <v>2</v>
      </c>
      <c r="AK248">
        <v>3</v>
      </c>
      <c r="AL248" t="s">
        <v>82</v>
      </c>
      <c r="AM248" t="s">
        <v>93</v>
      </c>
    </row>
    <row r="249" spans="25:39" x14ac:dyDescent="0.3">
      <c r="Y249" t="str">
        <f t="shared" si="12"/>
        <v>\I:</v>
      </c>
      <c r="Z249">
        <f t="shared" si="13"/>
        <v>0</v>
      </c>
      <c r="AA249" s="4">
        <f t="shared" si="14"/>
        <v>0.25</v>
      </c>
      <c r="AB249">
        <v>3</v>
      </c>
      <c r="AC249" s="4" t="str">
        <f t="shared" si="15"/>
        <v>\I:</v>
      </c>
      <c r="AD249" t="s">
        <v>17</v>
      </c>
      <c r="AH249" t="s">
        <v>82</v>
      </c>
      <c r="AI249">
        <v>0</v>
      </c>
      <c r="AJ249">
        <v>2</v>
      </c>
      <c r="AK249">
        <v>3</v>
      </c>
      <c r="AL249" t="s">
        <v>82</v>
      </c>
      <c r="AM249" t="s">
        <v>93</v>
      </c>
    </row>
    <row r="250" spans="25:39" x14ac:dyDescent="0.3">
      <c r="Y250" t="str">
        <f t="shared" si="12"/>
        <v>\I:</v>
      </c>
      <c r="Z250">
        <f t="shared" si="13"/>
        <v>0</v>
      </c>
      <c r="AA250" s="4">
        <f t="shared" si="14"/>
        <v>0.25</v>
      </c>
      <c r="AB250">
        <v>3</v>
      </c>
      <c r="AC250" s="4" t="str">
        <f t="shared" si="15"/>
        <v>\I:</v>
      </c>
      <c r="AD250" t="s">
        <v>17</v>
      </c>
      <c r="AH250" t="s">
        <v>82</v>
      </c>
      <c r="AI250">
        <v>0</v>
      </c>
      <c r="AJ250">
        <v>2</v>
      </c>
      <c r="AK250">
        <v>3</v>
      </c>
      <c r="AL250" t="s">
        <v>82</v>
      </c>
      <c r="AM250" t="s">
        <v>93</v>
      </c>
    </row>
    <row r="251" spans="25:39" x14ac:dyDescent="0.3">
      <c r="Y251" t="str">
        <f t="shared" si="12"/>
        <v>\I:</v>
      </c>
      <c r="Z251">
        <f t="shared" si="13"/>
        <v>0</v>
      </c>
      <c r="AA251" s="4">
        <f t="shared" si="14"/>
        <v>0.25</v>
      </c>
      <c r="AB251">
        <v>3</v>
      </c>
      <c r="AC251" s="4" t="str">
        <f t="shared" si="15"/>
        <v>\I:</v>
      </c>
      <c r="AD251" t="s">
        <v>17</v>
      </c>
      <c r="AH251" t="s">
        <v>82</v>
      </c>
      <c r="AI251">
        <v>0</v>
      </c>
      <c r="AJ251">
        <v>2</v>
      </c>
      <c r="AK251">
        <v>3</v>
      </c>
      <c r="AL251" t="s">
        <v>82</v>
      </c>
      <c r="AM251" t="s">
        <v>93</v>
      </c>
    </row>
    <row r="252" spans="25:39" x14ac:dyDescent="0.3">
      <c r="Y252" t="str">
        <f t="shared" si="12"/>
        <v>\I:</v>
      </c>
      <c r="Z252">
        <f t="shared" si="13"/>
        <v>0</v>
      </c>
      <c r="AA252" s="4">
        <f t="shared" si="14"/>
        <v>0.25</v>
      </c>
      <c r="AB252">
        <v>3</v>
      </c>
      <c r="AC252" s="4" t="str">
        <f t="shared" si="15"/>
        <v>\I:</v>
      </c>
      <c r="AD252" t="s">
        <v>17</v>
      </c>
      <c r="AH252" t="s">
        <v>82</v>
      </c>
      <c r="AI252">
        <v>0</v>
      </c>
      <c r="AJ252">
        <v>2</v>
      </c>
      <c r="AK252">
        <v>3</v>
      </c>
      <c r="AL252" t="s">
        <v>82</v>
      </c>
      <c r="AM252" t="s">
        <v>93</v>
      </c>
    </row>
    <row r="253" spans="25:39" x14ac:dyDescent="0.3">
      <c r="Y253" t="str">
        <f t="shared" si="12"/>
        <v>\I:</v>
      </c>
      <c r="Z253">
        <f t="shared" si="13"/>
        <v>0</v>
      </c>
      <c r="AA253" s="4">
        <f t="shared" si="14"/>
        <v>0.25</v>
      </c>
      <c r="AB253">
        <v>3</v>
      </c>
      <c r="AC253" s="4" t="str">
        <f t="shared" si="15"/>
        <v>\I:</v>
      </c>
      <c r="AD253" t="s">
        <v>17</v>
      </c>
      <c r="AH253" t="s">
        <v>82</v>
      </c>
      <c r="AI253">
        <v>0</v>
      </c>
      <c r="AJ253">
        <v>2</v>
      </c>
      <c r="AK253">
        <v>3</v>
      </c>
      <c r="AL253" t="s">
        <v>82</v>
      </c>
      <c r="AM253" t="s">
        <v>93</v>
      </c>
    </row>
    <row r="254" spans="25:39" x14ac:dyDescent="0.3">
      <c r="Y254" t="str">
        <f t="shared" si="12"/>
        <v>\I:</v>
      </c>
      <c r="Z254">
        <f t="shared" si="13"/>
        <v>0</v>
      </c>
      <c r="AA254" s="4">
        <f t="shared" si="14"/>
        <v>0.25</v>
      </c>
      <c r="AB254">
        <v>3</v>
      </c>
      <c r="AC254" s="4" t="str">
        <f t="shared" si="15"/>
        <v>\I:</v>
      </c>
      <c r="AD254" t="s">
        <v>17</v>
      </c>
      <c r="AH254" t="s">
        <v>82</v>
      </c>
      <c r="AI254">
        <v>0</v>
      </c>
      <c r="AJ254">
        <v>2</v>
      </c>
      <c r="AK254">
        <v>3</v>
      </c>
      <c r="AL254" t="s">
        <v>82</v>
      </c>
      <c r="AM254" t="s">
        <v>93</v>
      </c>
    </row>
    <row r="255" spans="25:39" x14ac:dyDescent="0.3">
      <c r="Y255" t="str">
        <f t="shared" si="12"/>
        <v>\I:</v>
      </c>
      <c r="Z255">
        <f t="shared" si="13"/>
        <v>0</v>
      </c>
      <c r="AA255" s="4">
        <f t="shared" si="14"/>
        <v>0.25</v>
      </c>
      <c r="AB255">
        <v>3</v>
      </c>
      <c r="AC255" s="4" t="str">
        <f t="shared" si="15"/>
        <v>\I:</v>
      </c>
      <c r="AD255" t="s">
        <v>17</v>
      </c>
      <c r="AH255" t="s">
        <v>82</v>
      </c>
      <c r="AI255">
        <v>0</v>
      </c>
      <c r="AJ255">
        <v>2</v>
      </c>
      <c r="AK255">
        <v>3</v>
      </c>
      <c r="AL255" t="s">
        <v>82</v>
      </c>
      <c r="AM255" t="s">
        <v>93</v>
      </c>
    </row>
    <row r="256" spans="25:39" x14ac:dyDescent="0.3">
      <c r="Y256" t="str">
        <f t="shared" si="12"/>
        <v>\I:</v>
      </c>
      <c r="Z256">
        <f t="shared" si="13"/>
        <v>0</v>
      </c>
      <c r="AA256" s="4">
        <f t="shared" si="14"/>
        <v>0.25</v>
      </c>
      <c r="AB256">
        <v>3</v>
      </c>
      <c r="AC256" s="4" t="str">
        <f t="shared" si="15"/>
        <v>\I:</v>
      </c>
      <c r="AD256" t="s">
        <v>17</v>
      </c>
      <c r="AH256" t="s">
        <v>82</v>
      </c>
      <c r="AI256">
        <v>0</v>
      </c>
      <c r="AJ256">
        <v>2</v>
      </c>
      <c r="AK256">
        <v>3</v>
      </c>
      <c r="AL256" t="s">
        <v>82</v>
      </c>
      <c r="AM256" t="s">
        <v>93</v>
      </c>
    </row>
    <row r="257" spans="25:39" x14ac:dyDescent="0.3">
      <c r="Y257" t="str">
        <f t="shared" si="12"/>
        <v>\I:</v>
      </c>
      <c r="Z257">
        <f t="shared" si="13"/>
        <v>0</v>
      </c>
      <c r="AA257" s="4">
        <f t="shared" si="14"/>
        <v>0.25</v>
      </c>
      <c r="AB257">
        <v>3</v>
      </c>
      <c r="AC257" s="4" t="str">
        <f t="shared" si="15"/>
        <v>\I:</v>
      </c>
      <c r="AD257" t="s">
        <v>17</v>
      </c>
      <c r="AH257" t="s">
        <v>82</v>
      </c>
      <c r="AI257">
        <v>0</v>
      </c>
      <c r="AJ257">
        <v>2</v>
      </c>
      <c r="AK257">
        <v>3</v>
      </c>
      <c r="AL257" t="s">
        <v>82</v>
      </c>
      <c r="AM257" t="s">
        <v>93</v>
      </c>
    </row>
    <row r="258" spans="25:39" x14ac:dyDescent="0.3">
      <c r="Y258" t="str">
        <f t="shared" si="12"/>
        <v>\I:</v>
      </c>
      <c r="Z258">
        <f t="shared" si="13"/>
        <v>0</v>
      </c>
      <c r="AA258" s="4">
        <f t="shared" si="14"/>
        <v>0.25</v>
      </c>
      <c r="AB258">
        <v>3</v>
      </c>
      <c r="AC258" s="4" t="str">
        <f t="shared" si="15"/>
        <v>\I:</v>
      </c>
      <c r="AD258" t="s">
        <v>17</v>
      </c>
      <c r="AH258" t="s">
        <v>82</v>
      </c>
      <c r="AI258">
        <v>0</v>
      </c>
      <c r="AJ258">
        <v>2</v>
      </c>
      <c r="AK258">
        <v>3</v>
      </c>
      <c r="AL258" t="s">
        <v>82</v>
      </c>
      <c r="AM258" t="s">
        <v>93</v>
      </c>
    </row>
    <row r="259" spans="25:39" x14ac:dyDescent="0.3">
      <c r="Y259" t="str">
        <f t="shared" si="12"/>
        <v>\I:</v>
      </c>
      <c r="Z259">
        <f t="shared" si="13"/>
        <v>0</v>
      </c>
      <c r="AA259" s="4">
        <f t="shared" si="14"/>
        <v>0.25</v>
      </c>
      <c r="AB259">
        <v>3</v>
      </c>
      <c r="AC259" s="4" t="str">
        <f t="shared" si="15"/>
        <v>\I:</v>
      </c>
      <c r="AD259" t="s">
        <v>17</v>
      </c>
      <c r="AH259" t="s">
        <v>82</v>
      </c>
      <c r="AI259">
        <v>0</v>
      </c>
      <c r="AJ259">
        <v>2</v>
      </c>
      <c r="AK259">
        <v>3</v>
      </c>
      <c r="AL259" t="s">
        <v>82</v>
      </c>
      <c r="AM259" t="s">
        <v>93</v>
      </c>
    </row>
    <row r="260" spans="25:39" x14ac:dyDescent="0.3">
      <c r="Y260" t="str">
        <f t="shared" si="12"/>
        <v>\I:</v>
      </c>
      <c r="Z260">
        <f t="shared" si="13"/>
        <v>0</v>
      </c>
      <c r="AA260" s="4">
        <f t="shared" si="14"/>
        <v>0.25</v>
      </c>
      <c r="AB260">
        <v>3</v>
      </c>
      <c r="AC260" s="4" t="str">
        <f t="shared" si="15"/>
        <v>\I:</v>
      </c>
      <c r="AD260" t="s">
        <v>17</v>
      </c>
      <c r="AH260" t="s">
        <v>82</v>
      </c>
      <c r="AI260">
        <v>0</v>
      </c>
      <c r="AJ260">
        <v>2</v>
      </c>
      <c r="AK260">
        <v>3</v>
      </c>
      <c r="AL260" t="s">
        <v>82</v>
      </c>
      <c r="AM260" t="s">
        <v>93</v>
      </c>
    </row>
    <row r="261" spans="25:39" x14ac:dyDescent="0.3">
      <c r="Y261" t="str">
        <f t="shared" ref="Y261:Y283" si="16">IF($A261="","\I:",A261)</f>
        <v>\I:</v>
      </c>
      <c r="Z261">
        <f t="shared" ref="Z261:Z283" si="17">B261</f>
        <v>0</v>
      </c>
      <c r="AA261" s="4">
        <f t="shared" ref="AA261:AA283" si="18">MAX(IFERROR(AVERAGE(R261:S261),$AF$1),$AF$1)</f>
        <v>0.25</v>
      </c>
      <c r="AB261">
        <v>3</v>
      </c>
      <c r="AC261" s="4" t="str">
        <f t="shared" ref="AC261:AC283" si="19">IF($A261="","\I:","NCAP_CHPR")</f>
        <v>\I:</v>
      </c>
      <c r="AD261" t="s">
        <v>17</v>
      </c>
      <c r="AH261" t="s">
        <v>82</v>
      </c>
      <c r="AI261">
        <v>0</v>
      </c>
      <c r="AJ261">
        <v>2</v>
      </c>
      <c r="AK261">
        <v>3</v>
      </c>
      <c r="AL261" t="s">
        <v>82</v>
      </c>
      <c r="AM261" t="s">
        <v>93</v>
      </c>
    </row>
    <row r="262" spans="25:39" x14ac:dyDescent="0.3">
      <c r="Y262" t="str">
        <f t="shared" si="16"/>
        <v>\I:</v>
      </c>
      <c r="Z262">
        <f t="shared" si="17"/>
        <v>0</v>
      </c>
      <c r="AA262" s="4">
        <f t="shared" si="18"/>
        <v>0.25</v>
      </c>
      <c r="AB262">
        <v>3</v>
      </c>
      <c r="AC262" s="4" t="str">
        <f t="shared" si="19"/>
        <v>\I:</v>
      </c>
      <c r="AD262" t="s">
        <v>17</v>
      </c>
      <c r="AH262" t="s">
        <v>82</v>
      </c>
      <c r="AI262">
        <v>0</v>
      </c>
      <c r="AJ262">
        <v>2</v>
      </c>
      <c r="AK262">
        <v>3</v>
      </c>
      <c r="AL262" t="s">
        <v>82</v>
      </c>
      <c r="AM262" t="s">
        <v>93</v>
      </c>
    </row>
    <row r="263" spans="25:39" x14ac:dyDescent="0.3">
      <c r="Y263" t="str">
        <f t="shared" si="16"/>
        <v>\I:</v>
      </c>
      <c r="Z263">
        <f t="shared" si="17"/>
        <v>0</v>
      </c>
      <c r="AA263" s="4">
        <f t="shared" si="18"/>
        <v>0.25</v>
      </c>
      <c r="AB263">
        <v>3</v>
      </c>
      <c r="AC263" s="4" t="str">
        <f t="shared" si="19"/>
        <v>\I:</v>
      </c>
      <c r="AD263" t="s">
        <v>17</v>
      </c>
      <c r="AH263" t="s">
        <v>82</v>
      </c>
      <c r="AI263">
        <v>0</v>
      </c>
      <c r="AJ263">
        <v>2</v>
      </c>
      <c r="AK263">
        <v>3</v>
      </c>
      <c r="AL263" t="s">
        <v>82</v>
      </c>
      <c r="AM263" t="s">
        <v>93</v>
      </c>
    </row>
    <row r="264" spans="25:39" x14ac:dyDescent="0.3">
      <c r="Y264" t="str">
        <f t="shared" si="16"/>
        <v>\I:</v>
      </c>
      <c r="Z264">
        <f t="shared" si="17"/>
        <v>0</v>
      </c>
      <c r="AA264" s="4">
        <f t="shared" si="18"/>
        <v>0.25</v>
      </c>
      <c r="AB264">
        <v>3</v>
      </c>
      <c r="AC264" s="4" t="str">
        <f t="shared" si="19"/>
        <v>\I:</v>
      </c>
      <c r="AD264" t="s">
        <v>17</v>
      </c>
      <c r="AH264" t="s">
        <v>82</v>
      </c>
      <c r="AI264">
        <v>0</v>
      </c>
      <c r="AJ264">
        <v>2</v>
      </c>
      <c r="AK264">
        <v>3</v>
      </c>
      <c r="AL264" t="s">
        <v>82</v>
      </c>
      <c r="AM264" t="s">
        <v>93</v>
      </c>
    </row>
    <row r="265" spans="25:39" x14ac:dyDescent="0.3">
      <c r="Y265" t="str">
        <f t="shared" si="16"/>
        <v>\I:</v>
      </c>
      <c r="Z265">
        <f t="shared" si="17"/>
        <v>0</v>
      </c>
      <c r="AA265" s="4">
        <f t="shared" si="18"/>
        <v>0.25</v>
      </c>
      <c r="AB265">
        <v>3</v>
      </c>
      <c r="AC265" s="4" t="str">
        <f t="shared" si="19"/>
        <v>\I:</v>
      </c>
      <c r="AD265" t="s">
        <v>17</v>
      </c>
      <c r="AH265" t="s">
        <v>82</v>
      </c>
      <c r="AI265">
        <v>0</v>
      </c>
      <c r="AJ265">
        <v>2</v>
      </c>
      <c r="AK265">
        <v>3</v>
      </c>
      <c r="AL265" t="s">
        <v>82</v>
      </c>
      <c r="AM265" t="s">
        <v>93</v>
      </c>
    </row>
    <row r="266" spans="25:39" x14ac:dyDescent="0.3">
      <c r="Y266" t="str">
        <f t="shared" si="16"/>
        <v>\I:</v>
      </c>
      <c r="Z266">
        <f t="shared" si="17"/>
        <v>0</v>
      </c>
      <c r="AA266" s="4">
        <f t="shared" si="18"/>
        <v>0.25</v>
      </c>
      <c r="AB266">
        <v>3</v>
      </c>
      <c r="AC266" s="4" t="str">
        <f t="shared" si="19"/>
        <v>\I:</v>
      </c>
      <c r="AD266" t="s">
        <v>17</v>
      </c>
      <c r="AH266" t="s">
        <v>82</v>
      </c>
      <c r="AI266">
        <v>0</v>
      </c>
      <c r="AJ266">
        <v>2</v>
      </c>
      <c r="AK266">
        <v>3</v>
      </c>
      <c r="AL266" t="s">
        <v>82</v>
      </c>
      <c r="AM266" t="s">
        <v>93</v>
      </c>
    </row>
    <row r="267" spans="25:39" x14ac:dyDescent="0.3">
      <c r="Y267" t="str">
        <f t="shared" si="16"/>
        <v>\I:</v>
      </c>
      <c r="Z267">
        <f t="shared" si="17"/>
        <v>0</v>
      </c>
      <c r="AA267" s="4">
        <f t="shared" si="18"/>
        <v>0.25</v>
      </c>
      <c r="AB267">
        <v>3</v>
      </c>
      <c r="AC267" s="4" t="str">
        <f t="shared" si="19"/>
        <v>\I:</v>
      </c>
      <c r="AD267" t="s">
        <v>17</v>
      </c>
      <c r="AH267" t="s">
        <v>82</v>
      </c>
      <c r="AI267">
        <v>0</v>
      </c>
      <c r="AJ267">
        <v>2</v>
      </c>
      <c r="AK267">
        <v>3</v>
      </c>
      <c r="AL267" t="s">
        <v>82</v>
      </c>
      <c r="AM267" t="s">
        <v>93</v>
      </c>
    </row>
    <row r="268" spans="25:39" x14ac:dyDescent="0.3">
      <c r="Y268" t="str">
        <f t="shared" si="16"/>
        <v>\I:</v>
      </c>
      <c r="Z268">
        <f t="shared" si="17"/>
        <v>0</v>
      </c>
      <c r="AA268" s="4">
        <f t="shared" si="18"/>
        <v>0.25</v>
      </c>
      <c r="AB268">
        <v>3</v>
      </c>
      <c r="AC268" s="4" t="str">
        <f t="shared" si="19"/>
        <v>\I:</v>
      </c>
      <c r="AD268" t="s">
        <v>17</v>
      </c>
      <c r="AH268" t="s">
        <v>82</v>
      </c>
      <c r="AI268">
        <v>0</v>
      </c>
      <c r="AJ268">
        <v>2</v>
      </c>
      <c r="AK268">
        <v>3</v>
      </c>
      <c r="AL268" t="s">
        <v>82</v>
      </c>
      <c r="AM268" t="s">
        <v>93</v>
      </c>
    </row>
    <row r="269" spans="25:39" x14ac:dyDescent="0.3">
      <c r="Y269" t="str">
        <f t="shared" si="16"/>
        <v>\I:</v>
      </c>
      <c r="Z269">
        <f t="shared" si="17"/>
        <v>0</v>
      </c>
      <c r="AA269" s="4">
        <f t="shared" si="18"/>
        <v>0.25</v>
      </c>
      <c r="AB269">
        <v>3</v>
      </c>
      <c r="AC269" s="4" t="str">
        <f t="shared" si="19"/>
        <v>\I:</v>
      </c>
      <c r="AD269" t="s">
        <v>17</v>
      </c>
      <c r="AH269" t="s">
        <v>82</v>
      </c>
      <c r="AI269">
        <v>0</v>
      </c>
      <c r="AJ269">
        <v>2</v>
      </c>
      <c r="AK269">
        <v>3</v>
      </c>
      <c r="AL269" t="s">
        <v>82</v>
      </c>
      <c r="AM269" t="s">
        <v>93</v>
      </c>
    </row>
    <row r="270" spans="25:39" x14ac:dyDescent="0.3">
      <c r="Y270" t="str">
        <f t="shared" si="16"/>
        <v>\I:</v>
      </c>
      <c r="Z270">
        <f t="shared" si="17"/>
        <v>0</v>
      </c>
      <c r="AA270" s="4">
        <f t="shared" si="18"/>
        <v>0.25</v>
      </c>
      <c r="AB270">
        <v>3</v>
      </c>
      <c r="AC270" s="4" t="str">
        <f t="shared" si="19"/>
        <v>\I:</v>
      </c>
      <c r="AD270" t="s">
        <v>17</v>
      </c>
      <c r="AH270" t="s">
        <v>82</v>
      </c>
      <c r="AI270">
        <v>0</v>
      </c>
      <c r="AJ270">
        <v>2</v>
      </c>
      <c r="AK270">
        <v>3</v>
      </c>
      <c r="AL270" t="s">
        <v>82</v>
      </c>
      <c r="AM270" t="s">
        <v>93</v>
      </c>
    </row>
    <row r="271" spans="25:39" x14ac:dyDescent="0.3">
      <c r="Y271" t="str">
        <f t="shared" si="16"/>
        <v>\I:</v>
      </c>
      <c r="Z271">
        <f t="shared" si="17"/>
        <v>0</v>
      </c>
      <c r="AA271" s="4">
        <f t="shared" si="18"/>
        <v>0.25</v>
      </c>
      <c r="AB271">
        <v>3</v>
      </c>
      <c r="AC271" s="4" t="str">
        <f t="shared" si="19"/>
        <v>\I:</v>
      </c>
      <c r="AD271" t="s">
        <v>17</v>
      </c>
      <c r="AH271" t="s">
        <v>82</v>
      </c>
      <c r="AI271">
        <v>0</v>
      </c>
      <c r="AJ271">
        <v>2</v>
      </c>
      <c r="AK271">
        <v>3</v>
      </c>
      <c r="AL271" t="s">
        <v>82</v>
      </c>
      <c r="AM271" t="s">
        <v>93</v>
      </c>
    </row>
    <row r="272" spans="25:39" x14ac:dyDescent="0.3">
      <c r="Y272" t="str">
        <f t="shared" si="16"/>
        <v>\I:</v>
      </c>
      <c r="Z272">
        <f t="shared" si="17"/>
        <v>0</v>
      </c>
      <c r="AA272" s="4">
        <f t="shared" si="18"/>
        <v>0.25</v>
      </c>
      <c r="AB272">
        <v>3</v>
      </c>
      <c r="AC272" s="4" t="str">
        <f t="shared" si="19"/>
        <v>\I:</v>
      </c>
      <c r="AD272" t="s">
        <v>17</v>
      </c>
      <c r="AH272" t="s">
        <v>82</v>
      </c>
      <c r="AI272">
        <v>0</v>
      </c>
      <c r="AJ272">
        <v>2</v>
      </c>
      <c r="AK272">
        <v>3</v>
      </c>
      <c r="AL272" t="s">
        <v>82</v>
      </c>
      <c r="AM272" t="s">
        <v>93</v>
      </c>
    </row>
    <row r="273" spans="25:39" x14ac:dyDescent="0.3">
      <c r="Y273" t="str">
        <f t="shared" si="16"/>
        <v>\I:</v>
      </c>
      <c r="Z273">
        <f t="shared" si="17"/>
        <v>0</v>
      </c>
      <c r="AA273" s="4">
        <f t="shared" si="18"/>
        <v>0.25</v>
      </c>
      <c r="AB273">
        <v>3</v>
      </c>
      <c r="AC273" s="4" t="str">
        <f t="shared" si="19"/>
        <v>\I:</v>
      </c>
      <c r="AD273" t="s">
        <v>17</v>
      </c>
      <c r="AH273" t="s">
        <v>82</v>
      </c>
      <c r="AI273">
        <v>0</v>
      </c>
      <c r="AJ273">
        <v>2</v>
      </c>
      <c r="AK273">
        <v>3</v>
      </c>
      <c r="AL273" t="s">
        <v>82</v>
      </c>
      <c r="AM273" t="s">
        <v>93</v>
      </c>
    </row>
    <row r="274" spans="25:39" x14ac:dyDescent="0.3">
      <c r="Y274" t="str">
        <f t="shared" si="16"/>
        <v>\I:</v>
      </c>
      <c r="Z274">
        <f t="shared" si="17"/>
        <v>0</v>
      </c>
      <c r="AA274" s="4">
        <f t="shared" si="18"/>
        <v>0.25</v>
      </c>
      <c r="AB274">
        <v>3</v>
      </c>
      <c r="AC274" s="4" t="str">
        <f t="shared" si="19"/>
        <v>\I:</v>
      </c>
      <c r="AD274" t="s">
        <v>17</v>
      </c>
      <c r="AH274" t="s">
        <v>82</v>
      </c>
      <c r="AI274">
        <v>0</v>
      </c>
      <c r="AJ274">
        <v>2</v>
      </c>
      <c r="AK274">
        <v>3</v>
      </c>
      <c r="AL274" t="s">
        <v>82</v>
      </c>
      <c r="AM274" t="s">
        <v>93</v>
      </c>
    </row>
    <row r="275" spans="25:39" x14ac:dyDescent="0.3">
      <c r="Y275" t="str">
        <f t="shared" si="16"/>
        <v>\I:</v>
      </c>
      <c r="Z275">
        <f t="shared" si="17"/>
        <v>0</v>
      </c>
      <c r="AA275" s="4">
        <f t="shared" si="18"/>
        <v>0.25</v>
      </c>
      <c r="AB275">
        <v>3</v>
      </c>
      <c r="AC275" s="4" t="str">
        <f t="shared" si="19"/>
        <v>\I:</v>
      </c>
      <c r="AD275" t="s">
        <v>17</v>
      </c>
      <c r="AH275" t="s">
        <v>82</v>
      </c>
      <c r="AI275">
        <v>0</v>
      </c>
      <c r="AJ275">
        <v>2</v>
      </c>
      <c r="AK275">
        <v>3</v>
      </c>
      <c r="AL275" t="s">
        <v>82</v>
      </c>
      <c r="AM275" t="s">
        <v>93</v>
      </c>
    </row>
    <row r="276" spans="25:39" x14ac:dyDescent="0.3">
      <c r="Y276" t="str">
        <f t="shared" si="16"/>
        <v>\I:</v>
      </c>
      <c r="Z276">
        <f t="shared" si="17"/>
        <v>0</v>
      </c>
      <c r="AA276" s="4">
        <f t="shared" si="18"/>
        <v>0.25</v>
      </c>
      <c r="AB276">
        <v>3</v>
      </c>
      <c r="AC276" s="4" t="str">
        <f t="shared" si="19"/>
        <v>\I:</v>
      </c>
      <c r="AD276" t="s">
        <v>17</v>
      </c>
      <c r="AH276" t="s">
        <v>82</v>
      </c>
      <c r="AI276">
        <v>0</v>
      </c>
      <c r="AJ276">
        <v>2</v>
      </c>
      <c r="AK276">
        <v>3</v>
      </c>
      <c r="AL276" t="s">
        <v>82</v>
      </c>
      <c r="AM276" t="s">
        <v>93</v>
      </c>
    </row>
    <row r="277" spans="25:39" x14ac:dyDescent="0.3">
      <c r="Y277" t="str">
        <f t="shared" si="16"/>
        <v>\I:</v>
      </c>
      <c r="Z277">
        <f t="shared" si="17"/>
        <v>0</v>
      </c>
      <c r="AA277" s="4">
        <f t="shared" si="18"/>
        <v>0.25</v>
      </c>
      <c r="AB277">
        <v>3</v>
      </c>
      <c r="AC277" s="4" t="str">
        <f t="shared" si="19"/>
        <v>\I:</v>
      </c>
      <c r="AD277" t="s">
        <v>17</v>
      </c>
      <c r="AH277" t="s">
        <v>82</v>
      </c>
      <c r="AI277">
        <v>0</v>
      </c>
      <c r="AJ277">
        <v>2</v>
      </c>
      <c r="AK277">
        <v>3</v>
      </c>
      <c r="AL277" t="s">
        <v>82</v>
      </c>
      <c r="AM277" t="s">
        <v>93</v>
      </c>
    </row>
    <row r="278" spans="25:39" x14ac:dyDescent="0.3">
      <c r="Y278" t="str">
        <f t="shared" si="16"/>
        <v>\I:</v>
      </c>
      <c r="Z278">
        <f t="shared" si="17"/>
        <v>0</v>
      </c>
      <c r="AA278" s="4">
        <f t="shared" si="18"/>
        <v>0.25</v>
      </c>
      <c r="AB278">
        <v>3</v>
      </c>
      <c r="AC278" s="4" t="str">
        <f t="shared" si="19"/>
        <v>\I:</v>
      </c>
      <c r="AD278" t="s">
        <v>17</v>
      </c>
      <c r="AH278" t="s">
        <v>82</v>
      </c>
      <c r="AI278">
        <v>0</v>
      </c>
      <c r="AJ278">
        <v>2</v>
      </c>
      <c r="AK278">
        <v>3</v>
      </c>
      <c r="AL278" t="s">
        <v>82</v>
      </c>
      <c r="AM278" t="s">
        <v>93</v>
      </c>
    </row>
    <row r="279" spans="25:39" x14ac:dyDescent="0.3">
      <c r="Y279" t="str">
        <f t="shared" si="16"/>
        <v>\I:</v>
      </c>
      <c r="Z279">
        <f t="shared" si="17"/>
        <v>0</v>
      </c>
      <c r="AA279" s="4">
        <f t="shared" si="18"/>
        <v>0.25</v>
      </c>
      <c r="AB279">
        <v>3</v>
      </c>
      <c r="AC279" s="4" t="str">
        <f t="shared" si="19"/>
        <v>\I:</v>
      </c>
      <c r="AD279" t="s">
        <v>17</v>
      </c>
      <c r="AH279" t="s">
        <v>82</v>
      </c>
      <c r="AI279">
        <v>0</v>
      </c>
      <c r="AJ279">
        <v>2</v>
      </c>
      <c r="AK279">
        <v>3</v>
      </c>
      <c r="AL279" t="s">
        <v>82</v>
      </c>
      <c r="AM279" t="s">
        <v>93</v>
      </c>
    </row>
    <row r="280" spans="25:39" x14ac:dyDescent="0.3">
      <c r="Y280" t="str">
        <f t="shared" si="16"/>
        <v>\I:</v>
      </c>
      <c r="Z280">
        <f t="shared" si="17"/>
        <v>0</v>
      </c>
      <c r="AA280" s="4">
        <f t="shared" si="18"/>
        <v>0.25</v>
      </c>
      <c r="AB280">
        <v>3</v>
      </c>
      <c r="AC280" s="4" t="str">
        <f t="shared" si="19"/>
        <v>\I:</v>
      </c>
      <c r="AD280" t="s">
        <v>17</v>
      </c>
      <c r="AH280" t="s">
        <v>82</v>
      </c>
      <c r="AI280">
        <v>0</v>
      </c>
      <c r="AJ280">
        <v>2</v>
      </c>
      <c r="AK280">
        <v>3</v>
      </c>
      <c r="AL280" t="s">
        <v>82</v>
      </c>
      <c r="AM280" t="s">
        <v>93</v>
      </c>
    </row>
    <row r="281" spans="25:39" x14ac:dyDescent="0.3">
      <c r="Y281" t="str">
        <f t="shared" si="16"/>
        <v>\I:</v>
      </c>
      <c r="Z281">
        <f t="shared" si="17"/>
        <v>0</v>
      </c>
      <c r="AA281" s="4">
        <f t="shared" si="18"/>
        <v>0.25</v>
      </c>
      <c r="AB281">
        <v>3</v>
      </c>
      <c r="AC281" s="4" t="str">
        <f t="shared" si="19"/>
        <v>\I:</v>
      </c>
      <c r="AD281" t="s">
        <v>17</v>
      </c>
      <c r="AH281" t="s">
        <v>82</v>
      </c>
      <c r="AI281">
        <v>0</v>
      </c>
      <c r="AJ281">
        <v>2</v>
      </c>
      <c r="AK281">
        <v>3</v>
      </c>
      <c r="AL281" t="s">
        <v>82</v>
      </c>
      <c r="AM281" t="s">
        <v>93</v>
      </c>
    </row>
    <row r="282" spans="25:39" x14ac:dyDescent="0.3">
      <c r="Y282" t="str">
        <f t="shared" si="16"/>
        <v>\I:</v>
      </c>
      <c r="Z282">
        <f t="shared" si="17"/>
        <v>0</v>
      </c>
      <c r="AA282" s="4">
        <f t="shared" si="18"/>
        <v>0.25</v>
      </c>
      <c r="AB282">
        <v>3</v>
      </c>
      <c r="AC282" s="4" t="str">
        <f t="shared" si="19"/>
        <v>\I:</v>
      </c>
      <c r="AD282" t="s">
        <v>17</v>
      </c>
      <c r="AH282" t="s">
        <v>82</v>
      </c>
      <c r="AI282">
        <v>0</v>
      </c>
      <c r="AJ282">
        <v>2</v>
      </c>
      <c r="AK282">
        <v>3</v>
      </c>
      <c r="AL282" t="s">
        <v>82</v>
      </c>
      <c r="AM282" t="s">
        <v>93</v>
      </c>
    </row>
    <row r="283" spans="25:39" x14ac:dyDescent="0.3">
      <c r="Y283" t="str">
        <f t="shared" si="16"/>
        <v>\I:</v>
      </c>
      <c r="Z283">
        <f t="shared" si="17"/>
        <v>0</v>
      </c>
      <c r="AA283" s="4">
        <f t="shared" si="18"/>
        <v>0.25</v>
      </c>
      <c r="AB283">
        <v>3</v>
      </c>
      <c r="AC283" s="4" t="str">
        <f t="shared" si="19"/>
        <v>\I:</v>
      </c>
      <c r="AD283" t="s">
        <v>17</v>
      </c>
      <c r="AH283" t="s">
        <v>82</v>
      </c>
      <c r="AI283">
        <v>0</v>
      </c>
      <c r="AJ283">
        <v>2</v>
      </c>
      <c r="AK283">
        <v>3</v>
      </c>
      <c r="AL283" t="s">
        <v>82</v>
      </c>
      <c r="AM283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6D96-01CA-4A39-9422-14EE6ECCC347}">
  <dimension ref="B3:K49"/>
  <sheetViews>
    <sheetView workbookViewId="0">
      <selection activeCell="E5" sqref="E5"/>
    </sheetView>
  </sheetViews>
  <sheetFormatPr defaultRowHeight="14.4" x14ac:dyDescent="0.3"/>
  <cols>
    <col min="2" max="2" width="11.88671875" bestFit="1" customWidth="1"/>
    <col min="4" max="4" width="12.77734375" bestFit="1" customWidth="1"/>
  </cols>
  <sheetData>
    <row r="3" spans="2:11" x14ac:dyDescent="0.3">
      <c r="B3" t="s">
        <v>14</v>
      </c>
    </row>
    <row r="4" spans="2:11" x14ac:dyDescent="0.3">
      <c r="B4" t="s">
        <v>64</v>
      </c>
      <c r="C4" t="s">
        <v>12</v>
      </c>
      <c r="D4" t="s">
        <v>65</v>
      </c>
      <c r="E4" t="s">
        <v>66</v>
      </c>
      <c r="F4" t="s">
        <v>24</v>
      </c>
      <c r="G4" t="s">
        <v>67</v>
      </c>
      <c r="H4" t="s">
        <v>68</v>
      </c>
      <c r="I4">
        <v>2025</v>
      </c>
      <c r="J4">
        <v>2050</v>
      </c>
      <c r="K4">
        <v>0</v>
      </c>
    </row>
    <row r="5" spans="2:11" x14ac:dyDescent="0.3">
      <c r="B5" t="s">
        <v>69</v>
      </c>
      <c r="C5" t="s">
        <v>45</v>
      </c>
      <c r="D5" t="s">
        <v>70</v>
      </c>
      <c r="E5" t="s">
        <v>71</v>
      </c>
      <c r="F5" t="s">
        <v>72</v>
      </c>
      <c r="G5" t="s">
        <v>72</v>
      </c>
      <c r="H5" t="s">
        <v>73</v>
      </c>
      <c r="I5">
        <v>0</v>
      </c>
      <c r="J5">
        <v>0</v>
      </c>
      <c r="K5">
        <v>3</v>
      </c>
    </row>
    <row r="6" spans="2:11" x14ac:dyDescent="0.3">
      <c r="B6" t="s">
        <v>69</v>
      </c>
      <c r="C6" t="s">
        <v>45</v>
      </c>
      <c r="D6" t="s">
        <v>74</v>
      </c>
      <c r="E6" t="s">
        <v>75</v>
      </c>
      <c r="F6" t="s">
        <v>72</v>
      </c>
      <c r="G6" t="s">
        <v>72</v>
      </c>
      <c r="H6" t="s">
        <v>73</v>
      </c>
      <c r="I6">
        <v>0</v>
      </c>
      <c r="J6">
        <v>0</v>
      </c>
      <c r="K6">
        <v>3</v>
      </c>
    </row>
    <row r="7" spans="2:11" x14ac:dyDescent="0.3">
      <c r="B7" t="s">
        <v>69</v>
      </c>
      <c r="C7" t="s">
        <v>45</v>
      </c>
      <c r="D7" t="s">
        <v>76</v>
      </c>
      <c r="E7" t="s">
        <v>77</v>
      </c>
      <c r="F7" t="s">
        <v>72</v>
      </c>
      <c r="G7" t="s">
        <v>72</v>
      </c>
      <c r="H7" t="s">
        <v>73</v>
      </c>
      <c r="I7">
        <v>0</v>
      </c>
      <c r="J7">
        <v>0</v>
      </c>
      <c r="K7">
        <v>3</v>
      </c>
    </row>
    <row r="8" spans="2:11" x14ac:dyDescent="0.3">
      <c r="B8" t="s">
        <v>69</v>
      </c>
      <c r="C8" t="s">
        <v>45</v>
      </c>
      <c r="D8" t="s">
        <v>78</v>
      </c>
      <c r="E8" t="s">
        <v>79</v>
      </c>
      <c r="F8" t="s">
        <v>72</v>
      </c>
      <c r="G8" t="s">
        <v>72</v>
      </c>
      <c r="H8" t="s">
        <v>73</v>
      </c>
      <c r="I8">
        <v>0.89739092388507524</v>
      </c>
      <c r="J8">
        <v>0.1994202053077945</v>
      </c>
      <c r="K8">
        <v>3</v>
      </c>
    </row>
    <row r="9" spans="2:11" x14ac:dyDescent="0.3">
      <c r="B9" t="s">
        <v>69</v>
      </c>
      <c r="C9" t="s">
        <v>45</v>
      </c>
      <c r="D9" t="s">
        <v>80</v>
      </c>
      <c r="E9" t="s">
        <v>81</v>
      </c>
      <c r="F9" t="s">
        <v>72</v>
      </c>
      <c r="G9" t="s">
        <v>72</v>
      </c>
      <c r="H9" t="s">
        <v>73</v>
      </c>
      <c r="I9">
        <v>2.6090761149247838E-3</v>
      </c>
      <c r="J9">
        <v>5.7979469220550744E-4</v>
      </c>
      <c r="K9">
        <v>3</v>
      </c>
    </row>
    <row r="10" spans="2:11" x14ac:dyDescent="0.3">
      <c r="B10" t="s">
        <v>69</v>
      </c>
      <c r="C10" t="s">
        <v>46</v>
      </c>
      <c r="D10" t="s">
        <v>70</v>
      </c>
      <c r="E10" t="s">
        <v>71</v>
      </c>
      <c r="F10" t="s">
        <v>72</v>
      </c>
      <c r="G10" t="s">
        <v>72</v>
      </c>
      <c r="H10" t="s">
        <v>73</v>
      </c>
      <c r="I10">
        <v>0</v>
      </c>
      <c r="J10">
        <v>0</v>
      </c>
      <c r="K10">
        <v>3</v>
      </c>
    </row>
    <row r="11" spans="2:11" x14ac:dyDescent="0.3">
      <c r="B11" t="s">
        <v>69</v>
      </c>
      <c r="C11" t="s">
        <v>46</v>
      </c>
      <c r="D11" t="s">
        <v>74</v>
      </c>
      <c r="E11" t="s">
        <v>75</v>
      </c>
      <c r="F11" t="s">
        <v>72</v>
      </c>
      <c r="G11" t="s">
        <v>72</v>
      </c>
      <c r="H11" t="s">
        <v>73</v>
      </c>
      <c r="I11">
        <v>0.78661783076616654</v>
      </c>
      <c r="J11">
        <v>0.17480396239248144</v>
      </c>
      <c r="K11">
        <v>3</v>
      </c>
    </row>
    <row r="12" spans="2:11" x14ac:dyDescent="0.3">
      <c r="B12" t="s">
        <v>69</v>
      </c>
      <c r="C12" t="s">
        <v>46</v>
      </c>
      <c r="D12" t="s">
        <v>76</v>
      </c>
      <c r="E12" t="s">
        <v>77</v>
      </c>
      <c r="F12" t="s">
        <v>72</v>
      </c>
      <c r="G12" t="s">
        <v>72</v>
      </c>
      <c r="H12" t="s">
        <v>73</v>
      </c>
      <c r="I12">
        <v>0</v>
      </c>
      <c r="J12">
        <v>0</v>
      </c>
      <c r="K12">
        <v>3</v>
      </c>
    </row>
    <row r="13" spans="2:11" x14ac:dyDescent="0.3">
      <c r="B13" t="s">
        <v>69</v>
      </c>
      <c r="C13" t="s">
        <v>46</v>
      </c>
      <c r="D13" t="s">
        <v>78</v>
      </c>
      <c r="E13" t="s">
        <v>79</v>
      </c>
      <c r="F13" t="s">
        <v>72</v>
      </c>
      <c r="G13" t="s">
        <v>72</v>
      </c>
      <c r="H13" t="s">
        <v>73</v>
      </c>
      <c r="I13">
        <v>0.11338216923383355</v>
      </c>
      <c r="J13">
        <v>2.5196037607518568E-2</v>
      </c>
      <c r="K13">
        <v>3</v>
      </c>
    </row>
    <row r="14" spans="2:11" x14ac:dyDescent="0.3">
      <c r="B14" t="s">
        <v>69</v>
      </c>
      <c r="C14" t="s">
        <v>46</v>
      </c>
      <c r="D14" t="s">
        <v>80</v>
      </c>
      <c r="E14" t="s">
        <v>81</v>
      </c>
      <c r="F14" t="s">
        <v>72</v>
      </c>
      <c r="G14" t="s">
        <v>72</v>
      </c>
      <c r="H14" t="s">
        <v>73</v>
      </c>
      <c r="I14">
        <v>0</v>
      </c>
      <c r="J14">
        <v>0</v>
      </c>
      <c r="K14">
        <v>3</v>
      </c>
    </row>
    <row r="15" spans="2:11" x14ac:dyDescent="0.3">
      <c r="B15" t="s">
        <v>69</v>
      </c>
      <c r="C15" t="s">
        <v>50</v>
      </c>
      <c r="D15" t="s">
        <v>70</v>
      </c>
      <c r="E15" t="s">
        <v>71</v>
      </c>
      <c r="F15" t="s">
        <v>72</v>
      </c>
      <c r="G15" t="s">
        <v>72</v>
      </c>
      <c r="H15" t="s">
        <v>73</v>
      </c>
      <c r="I15">
        <v>0.14740349556690302</v>
      </c>
      <c r="J15">
        <v>3.2756332348200669E-2</v>
      </c>
      <c r="K15">
        <v>3</v>
      </c>
    </row>
    <row r="16" spans="2:11" x14ac:dyDescent="0.3">
      <c r="B16" t="s">
        <v>69</v>
      </c>
      <c r="C16" t="s">
        <v>50</v>
      </c>
      <c r="D16" t="s">
        <v>74</v>
      </c>
      <c r="E16" t="s">
        <v>75</v>
      </c>
      <c r="F16" t="s">
        <v>72</v>
      </c>
      <c r="G16" t="s">
        <v>72</v>
      </c>
      <c r="H16" t="s">
        <v>73</v>
      </c>
      <c r="I16">
        <v>0.32600559906564708</v>
      </c>
      <c r="J16">
        <v>7.2445688681254908E-2</v>
      </c>
      <c r="K16">
        <v>3</v>
      </c>
    </row>
    <row r="17" spans="2:11" x14ac:dyDescent="0.3">
      <c r="B17" t="s">
        <v>69</v>
      </c>
      <c r="C17" t="s">
        <v>50</v>
      </c>
      <c r="D17" t="s">
        <v>76</v>
      </c>
      <c r="E17" t="s">
        <v>77</v>
      </c>
      <c r="F17" t="s">
        <v>72</v>
      </c>
      <c r="G17" t="s">
        <v>72</v>
      </c>
      <c r="H17" t="s">
        <v>73</v>
      </c>
      <c r="I17">
        <v>1.5578562329652634E-3</v>
      </c>
      <c r="J17">
        <v>3.4619027399228081E-4</v>
      </c>
      <c r="K17">
        <v>3</v>
      </c>
    </row>
    <row r="18" spans="2:11" x14ac:dyDescent="0.3">
      <c r="B18" t="s">
        <v>69</v>
      </c>
      <c r="C18" t="s">
        <v>50</v>
      </c>
      <c r="D18" t="s">
        <v>78</v>
      </c>
      <c r="E18" t="s">
        <v>79</v>
      </c>
      <c r="F18" t="s">
        <v>72</v>
      </c>
      <c r="G18" t="s">
        <v>72</v>
      </c>
      <c r="H18" t="s">
        <v>73</v>
      </c>
      <c r="I18">
        <v>0.38436297165246192</v>
      </c>
      <c r="J18">
        <v>8.5413993700547086E-2</v>
      </c>
      <c r="K18">
        <v>3</v>
      </c>
    </row>
    <row r="19" spans="2:11" x14ac:dyDescent="0.3">
      <c r="B19" t="s">
        <v>69</v>
      </c>
      <c r="C19" t="s">
        <v>50</v>
      </c>
      <c r="D19" t="s">
        <v>80</v>
      </c>
      <c r="E19" t="s">
        <v>81</v>
      </c>
      <c r="F19" t="s">
        <v>72</v>
      </c>
      <c r="G19" t="s">
        <v>72</v>
      </c>
      <c r="H19" t="s">
        <v>73</v>
      </c>
      <c r="I19">
        <v>4.0670077482022692E-2</v>
      </c>
      <c r="J19">
        <v>9.0377949960050424E-3</v>
      </c>
      <c r="K19">
        <v>3</v>
      </c>
    </row>
    <row r="20" spans="2:11" x14ac:dyDescent="0.3">
      <c r="B20" t="s">
        <v>69</v>
      </c>
      <c r="C20" t="s">
        <v>56</v>
      </c>
      <c r="D20" t="s">
        <v>70</v>
      </c>
      <c r="E20" t="s">
        <v>71</v>
      </c>
      <c r="F20" t="s">
        <v>72</v>
      </c>
      <c r="G20" t="s">
        <v>72</v>
      </c>
      <c r="H20" t="s">
        <v>73</v>
      </c>
      <c r="I20">
        <v>5.3090685682081454E-4</v>
      </c>
      <c r="J20">
        <v>1.1797930151573656E-4</v>
      </c>
      <c r="K20">
        <v>3</v>
      </c>
    </row>
    <row r="21" spans="2:11" x14ac:dyDescent="0.3">
      <c r="B21" t="s">
        <v>69</v>
      </c>
      <c r="C21" t="s">
        <v>56</v>
      </c>
      <c r="D21" t="s">
        <v>74</v>
      </c>
      <c r="E21" t="s">
        <v>75</v>
      </c>
      <c r="F21" t="s">
        <v>72</v>
      </c>
      <c r="G21" t="s">
        <v>72</v>
      </c>
      <c r="H21" t="s">
        <v>73</v>
      </c>
      <c r="I21">
        <v>0.87239893145979819</v>
      </c>
      <c r="J21">
        <v>0.1938664292132885</v>
      </c>
      <c r="K21">
        <v>3</v>
      </c>
    </row>
    <row r="22" spans="2:11" x14ac:dyDescent="0.3">
      <c r="B22" t="s">
        <v>69</v>
      </c>
      <c r="C22" t="s">
        <v>56</v>
      </c>
      <c r="D22" t="s">
        <v>76</v>
      </c>
      <c r="E22" t="s">
        <v>77</v>
      </c>
      <c r="F22" t="s">
        <v>72</v>
      </c>
      <c r="G22" t="s">
        <v>72</v>
      </c>
      <c r="H22" t="s">
        <v>73</v>
      </c>
      <c r="I22">
        <v>0</v>
      </c>
      <c r="J22">
        <v>0</v>
      </c>
      <c r="K22">
        <v>3</v>
      </c>
    </row>
    <row r="23" spans="2:11" x14ac:dyDescent="0.3">
      <c r="B23" t="s">
        <v>69</v>
      </c>
      <c r="C23" t="s">
        <v>56</v>
      </c>
      <c r="D23" t="s">
        <v>78</v>
      </c>
      <c r="E23" t="s">
        <v>79</v>
      </c>
      <c r="F23" t="s">
        <v>72</v>
      </c>
      <c r="G23" t="s">
        <v>72</v>
      </c>
      <c r="H23" t="s">
        <v>73</v>
      </c>
      <c r="I23">
        <v>4.6912448881783128E-3</v>
      </c>
      <c r="J23">
        <v>1.042498864039625E-3</v>
      </c>
      <c r="K23">
        <v>3</v>
      </c>
    </row>
    <row r="24" spans="2:11" x14ac:dyDescent="0.3">
      <c r="B24" t="s">
        <v>69</v>
      </c>
      <c r="C24" t="s">
        <v>56</v>
      </c>
      <c r="D24" t="s">
        <v>80</v>
      </c>
      <c r="E24" t="s">
        <v>81</v>
      </c>
      <c r="F24" t="s">
        <v>72</v>
      </c>
      <c r="G24" t="s">
        <v>72</v>
      </c>
      <c r="H24" t="s">
        <v>73</v>
      </c>
      <c r="I24">
        <v>2.2378916795202677E-2</v>
      </c>
      <c r="J24">
        <v>4.9730926211561501E-3</v>
      </c>
      <c r="K24">
        <v>3</v>
      </c>
    </row>
    <row r="25" spans="2:11" x14ac:dyDescent="0.3">
      <c r="B25" t="s">
        <v>69</v>
      </c>
      <c r="C25" t="s">
        <v>57</v>
      </c>
      <c r="D25" t="s">
        <v>70</v>
      </c>
      <c r="E25" t="s">
        <v>71</v>
      </c>
      <c r="F25" t="s">
        <v>72</v>
      </c>
      <c r="G25" t="s">
        <v>72</v>
      </c>
      <c r="H25" t="s">
        <v>73</v>
      </c>
      <c r="I25">
        <v>5.23584565358154E-5</v>
      </c>
      <c r="J25">
        <v>1.1635212563514533E-5</v>
      </c>
      <c r="K25">
        <v>3</v>
      </c>
    </row>
    <row r="26" spans="2:11" x14ac:dyDescent="0.3">
      <c r="B26" t="s">
        <v>69</v>
      </c>
      <c r="C26" t="s">
        <v>57</v>
      </c>
      <c r="D26" t="s">
        <v>74</v>
      </c>
      <c r="E26" t="s">
        <v>75</v>
      </c>
      <c r="F26" t="s">
        <v>72</v>
      </c>
      <c r="G26" t="s">
        <v>72</v>
      </c>
      <c r="H26" t="s">
        <v>73</v>
      </c>
      <c r="I26">
        <v>0.22998834845370436</v>
      </c>
      <c r="J26">
        <v>5.1108521878600967E-2</v>
      </c>
      <c r="K26">
        <v>3</v>
      </c>
    </row>
    <row r="27" spans="2:11" x14ac:dyDescent="0.3">
      <c r="B27" t="s">
        <v>69</v>
      </c>
      <c r="C27" t="s">
        <v>57</v>
      </c>
      <c r="D27" t="s">
        <v>76</v>
      </c>
      <c r="E27" t="s">
        <v>77</v>
      </c>
      <c r="F27" t="s">
        <v>72</v>
      </c>
      <c r="G27" t="s">
        <v>72</v>
      </c>
      <c r="H27" t="s">
        <v>73</v>
      </c>
      <c r="I27">
        <v>6.7509798216925775E-4</v>
      </c>
      <c r="J27">
        <v>1.5002177381539064E-4</v>
      </c>
      <c r="K27">
        <v>3</v>
      </c>
    </row>
    <row r="28" spans="2:11" x14ac:dyDescent="0.3">
      <c r="B28" t="s">
        <v>69</v>
      </c>
      <c r="C28" t="s">
        <v>57</v>
      </c>
      <c r="D28" t="s">
        <v>78</v>
      </c>
      <c r="E28" t="s">
        <v>79</v>
      </c>
      <c r="F28" t="s">
        <v>72</v>
      </c>
      <c r="G28" t="s">
        <v>72</v>
      </c>
      <c r="H28" t="s">
        <v>73</v>
      </c>
      <c r="I28">
        <v>0.6567776561289479</v>
      </c>
      <c r="J28">
        <v>0.14595059025087731</v>
      </c>
      <c r="K28">
        <v>3</v>
      </c>
    </row>
    <row r="29" spans="2:11" x14ac:dyDescent="0.3">
      <c r="B29" t="s">
        <v>69</v>
      </c>
      <c r="C29" t="s">
        <v>57</v>
      </c>
      <c r="D29" t="s">
        <v>80</v>
      </c>
      <c r="E29" t="s">
        <v>81</v>
      </c>
      <c r="F29" t="s">
        <v>72</v>
      </c>
      <c r="G29" t="s">
        <v>72</v>
      </c>
      <c r="H29" t="s">
        <v>73</v>
      </c>
      <c r="I29">
        <v>1.2506538978642708E-2</v>
      </c>
      <c r="J29">
        <v>2.7792308841428238E-3</v>
      </c>
      <c r="K29">
        <v>3</v>
      </c>
    </row>
    <row r="30" spans="2:11" x14ac:dyDescent="0.3">
      <c r="B30" t="s">
        <v>69</v>
      </c>
      <c r="C30" t="s">
        <v>58</v>
      </c>
      <c r="D30" t="s">
        <v>70</v>
      </c>
      <c r="E30" t="s">
        <v>71</v>
      </c>
      <c r="F30" t="s">
        <v>72</v>
      </c>
      <c r="G30" t="s">
        <v>72</v>
      </c>
      <c r="H30" t="s">
        <v>73</v>
      </c>
      <c r="I30">
        <v>1.7603820451099768E-2</v>
      </c>
      <c r="J30">
        <v>3.9119601002443934E-3</v>
      </c>
      <c r="K30">
        <v>3</v>
      </c>
    </row>
    <row r="31" spans="2:11" x14ac:dyDescent="0.3">
      <c r="B31" t="s">
        <v>69</v>
      </c>
      <c r="C31" t="s">
        <v>58</v>
      </c>
      <c r="D31" t="s">
        <v>74</v>
      </c>
      <c r="E31" t="s">
        <v>75</v>
      </c>
      <c r="F31" t="s">
        <v>72</v>
      </c>
      <c r="G31" t="s">
        <v>72</v>
      </c>
      <c r="H31" t="s">
        <v>73</v>
      </c>
      <c r="I31">
        <v>0.27959548945348933</v>
      </c>
      <c r="J31">
        <v>6.2132330989664301E-2</v>
      </c>
      <c r="K31">
        <v>3</v>
      </c>
    </row>
    <row r="32" spans="2:11" x14ac:dyDescent="0.3">
      <c r="B32" t="s">
        <v>69</v>
      </c>
      <c r="C32" t="s">
        <v>58</v>
      </c>
      <c r="D32" t="s">
        <v>76</v>
      </c>
      <c r="E32" t="s">
        <v>77</v>
      </c>
      <c r="F32" t="s">
        <v>72</v>
      </c>
      <c r="G32" t="s">
        <v>72</v>
      </c>
      <c r="H32" t="s">
        <v>73</v>
      </c>
      <c r="I32">
        <v>0</v>
      </c>
      <c r="J32">
        <v>0</v>
      </c>
      <c r="K32">
        <v>3</v>
      </c>
    </row>
    <row r="33" spans="2:11" x14ac:dyDescent="0.3">
      <c r="B33" t="s">
        <v>69</v>
      </c>
      <c r="C33" t="s">
        <v>58</v>
      </c>
      <c r="D33" t="s">
        <v>78</v>
      </c>
      <c r="E33" t="s">
        <v>79</v>
      </c>
      <c r="F33" t="s">
        <v>72</v>
      </c>
      <c r="G33" t="s">
        <v>72</v>
      </c>
      <c r="H33" t="s">
        <v>73</v>
      </c>
      <c r="I33">
        <v>0.42223972719002001</v>
      </c>
      <c r="J33">
        <v>9.3831050486671119E-2</v>
      </c>
      <c r="K33">
        <v>3</v>
      </c>
    </row>
    <row r="34" spans="2:11" x14ac:dyDescent="0.3">
      <c r="B34" t="s">
        <v>69</v>
      </c>
      <c r="C34" t="s">
        <v>58</v>
      </c>
      <c r="D34" t="s">
        <v>80</v>
      </c>
      <c r="E34" t="s">
        <v>81</v>
      </c>
      <c r="F34" t="s">
        <v>72</v>
      </c>
      <c r="G34" t="s">
        <v>72</v>
      </c>
      <c r="H34" t="s">
        <v>73</v>
      </c>
      <c r="I34">
        <v>0.18056096290539098</v>
      </c>
      <c r="J34">
        <v>4.0124658423420223E-2</v>
      </c>
      <c r="K34">
        <v>3</v>
      </c>
    </row>
    <row r="35" spans="2:11" x14ac:dyDescent="0.3">
      <c r="B35" t="s">
        <v>69</v>
      </c>
      <c r="C35" t="s">
        <v>59</v>
      </c>
      <c r="D35" t="s">
        <v>70</v>
      </c>
      <c r="E35" t="s">
        <v>71</v>
      </c>
      <c r="F35" t="s">
        <v>72</v>
      </c>
      <c r="G35" t="s">
        <v>72</v>
      </c>
      <c r="H35" t="s">
        <v>73</v>
      </c>
      <c r="I35">
        <v>4.0928302345468563E-3</v>
      </c>
      <c r="J35">
        <v>9.0951782989930139E-4</v>
      </c>
      <c r="K35">
        <v>3</v>
      </c>
    </row>
    <row r="36" spans="2:11" x14ac:dyDescent="0.3">
      <c r="B36" t="s">
        <v>69</v>
      </c>
      <c r="C36" t="s">
        <v>59</v>
      </c>
      <c r="D36" t="s">
        <v>74</v>
      </c>
      <c r="E36" t="s">
        <v>75</v>
      </c>
      <c r="F36" t="s">
        <v>72</v>
      </c>
      <c r="G36" t="s">
        <v>72</v>
      </c>
      <c r="H36" t="s">
        <v>73</v>
      </c>
      <c r="I36">
        <v>0.52262440917509068</v>
      </c>
      <c r="J36">
        <v>0.1161387575944646</v>
      </c>
      <c r="K36">
        <v>3</v>
      </c>
    </row>
    <row r="37" spans="2:11" x14ac:dyDescent="0.3">
      <c r="B37" t="s">
        <v>69</v>
      </c>
      <c r="C37" t="s">
        <v>59</v>
      </c>
      <c r="D37" t="s">
        <v>76</v>
      </c>
      <c r="E37" t="s">
        <v>77</v>
      </c>
      <c r="F37" t="s">
        <v>72</v>
      </c>
      <c r="G37" t="s">
        <v>72</v>
      </c>
      <c r="H37" t="s">
        <v>73</v>
      </c>
      <c r="I37">
        <v>1.9402042752056054E-5</v>
      </c>
      <c r="J37">
        <v>4.3115650560124571E-6</v>
      </c>
      <c r="K37">
        <v>3</v>
      </c>
    </row>
    <row r="38" spans="2:11" x14ac:dyDescent="0.3">
      <c r="B38" t="s">
        <v>69</v>
      </c>
      <c r="C38" t="s">
        <v>59</v>
      </c>
      <c r="D38" t="s">
        <v>78</v>
      </c>
      <c r="E38" t="s">
        <v>79</v>
      </c>
      <c r="F38" t="s">
        <v>72</v>
      </c>
      <c r="G38" t="s">
        <v>72</v>
      </c>
      <c r="H38" t="s">
        <v>73</v>
      </c>
      <c r="I38">
        <v>0.35016049938208221</v>
      </c>
      <c r="J38">
        <v>7.7813444307129387E-2</v>
      </c>
      <c r="K38">
        <v>3</v>
      </c>
    </row>
    <row r="39" spans="2:11" x14ac:dyDescent="0.3">
      <c r="B39" t="s">
        <v>69</v>
      </c>
      <c r="C39" t="s">
        <v>59</v>
      </c>
      <c r="D39" t="s">
        <v>80</v>
      </c>
      <c r="E39" t="s">
        <v>81</v>
      </c>
      <c r="F39" t="s">
        <v>72</v>
      </c>
      <c r="G39" t="s">
        <v>72</v>
      </c>
      <c r="H39" t="s">
        <v>73</v>
      </c>
      <c r="I39">
        <v>2.3102859165528351E-2</v>
      </c>
      <c r="J39">
        <v>5.1339687034507447E-3</v>
      </c>
      <c r="K39">
        <v>3</v>
      </c>
    </row>
    <row r="40" spans="2:11" x14ac:dyDescent="0.3">
      <c r="B40" t="s">
        <v>69</v>
      </c>
      <c r="C40" t="s">
        <v>60</v>
      </c>
      <c r="D40" t="s">
        <v>70</v>
      </c>
      <c r="E40" t="s">
        <v>71</v>
      </c>
      <c r="F40" t="s">
        <v>72</v>
      </c>
      <c r="G40" t="s">
        <v>72</v>
      </c>
      <c r="H40" t="s">
        <v>73</v>
      </c>
      <c r="I40">
        <v>6.8984102788460941E-2</v>
      </c>
      <c r="J40">
        <v>1.5329800619657989E-2</v>
      </c>
      <c r="K40">
        <v>3</v>
      </c>
    </row>
    <row r="41" spans="2:11" x14ac:dyDescent="0.3">
      <c r="B41" t="s">
        <v>69</v>
      </c>
      <c r="C41" t="s">
        <v>60</v>
      </c>
      <c r="D41" t="s">
        <v>74</v>
      </c>
      <c r="E41" t="s">
        <v>75</v>
      </c>
      <c r="F41" t="s">
        <v>72</v>
      </c>
      <c r="G41" t="s">
        <v>72</v>
      </c>
      <c r="H41" t="s">
        <v>73</v>
      </c>
      <c r="I41">
        <v>5.622305641588022E-2</v>
      </c>
      <c r="J41">
        <v>1.249401253686227E-2</v>
      </c>
      <c r="K41">
        <v>3</v>
      </c>
    </row>
    <row r="42" spans="2:11" x14ac:dyDescent="0.3">
      <c r="B42" t="s">
        <v>69</v>
      </c>
      <c r="C42" t="s">
        <v>60</v>
      </c>
      <c r="D42" t="s">
        <v>76</v>
      </c>
      <c r="E42" t="s">
        <v>77</v>
      </c>
      <c r="F42" t="s">
        <v>72</v>
      </c>
      <c r="G42" t="s">
        <v>72</v>
      </c>
      <c r="H42" t="s">
        <v>73</v>
      </c>
      <c r="I42">
        <v>1.1255013458331552E-3</v>
      </c>
      <c r="J42">
        <v>2.5011141018514558E-4</v>
      </c>
      <c r="K42">
        <v>3</v>
      </c>
    </row>
    <row r="43" spans="2:11" x14ac:dyDescent="0.3">
      <c r="B43" t="s">
        <v>69</v>
      </c>
      <c r="C43" t="s">
        <v>60</v>
      </c>
      <c r="D43" t="s">
        <v>78</v>
      </c>
      <c r="E43" t="s">
        <v>79</v>
      </c>
      <c r="F43" t="s">
        <v>72</v>
      </c>
      <c r="G43" t="s">
        <v>72</v>
      </c>
      <c r="H43" t="s">
        <v>73</v>
      </c>
      <c r="I43">
        <v>0.67689775549695841</v>
      </c>
      <c r="J43">
        <v>0.15042172344376856</v>
      </c>
      <c r="K43">
        <v>3</v>
      </c>
    </row>
    <row r="44" spans="2:11" x14ac:dyDescent="0.3">
      <c r="B44" t="s">
        <v>69</v>
      </c>
      <c r="C44" t="s">
        <v>60</v>
      </c>
      <c r="D44" t="s">
        <v>80</v>
      </c>
      <c r="E44" t="s">
        <v>81</v>
      </c>
      <c r="F44" t="s">
        <v>72</v>
      </c>
      <c r="G44" t="s">
        <v>72</v>
      </c>
      <c r="H44" t="s">
        <v>73</v>
      </c>
      <c r="I44">
        <v>9.6769583952867305E-2</v>
      </c>
      <c r="J44">
        <v>2.1504351989526067E-2</v>
      </c>
      <c r="K44">
        <v>3</v>
      </c>
    </row>
    <row r="45" spans="2:11" x14ac:dyDescent="0.3">
      <c r="B45" t="s">
        <v>69</v>
      </c>
      <c r="C45" t="s">
        <v>82</v>
      </c>
      <c r="D45" t="s">
        <v>70</v>
      </c>
      <c r="E45" t="s">
        <v>71</v>
      </c>
      <c r="F45" t="s">
        <v>72</v>
      </c>
      <c r="G45" t="s">
        <v>72</v>
      </c>
      <c r="H45" t="s">
        <v>73</v>
      </c>
      <c r="I45">
        <v>2.2350577272776704E-2</v>
      </c>
      <c r="J45">
        <v>4.9667949495059349E-3</v>
      </c>
      <c r="K45">
        <v>3</v>
      </c>
    </row>
    <row r="46" spans="2:11" x14ac:dyDescent="0.3">
      <c r="B46" t="s">
        <v>69</v>
      </c>
      <c r="C46" t="s">
        <v>82</v>
      </c>
      <c r="D46" t="s">
        <v>74</v>
      </c>
      <c r="E46" t="s">
        <v>75</v>
      </c>
      <c r="F46" t="s">
        <v>72</v>
      </c>
      <c r="G46" t="s">
        <v>72</v>
      </c>
      <c r="H46" t="s">
        <v>73</v>
      </c>
      <c r="I46">
        <v>0.50450958038331584</v>
      </c>
      <c r="J46">
        <v>0.1121132400851813</v>
      </c>
      <c r="K46">
        <v>3</v>
      </c>
    </row>
    <row r="47" spans="2:11" x14ac:dyDescent="0.3">
      <c r="B47" t="s">
        <v>69</v>
      </c>
      <c r="C47" t="s">
        <v>82</v>
      </c>
      <c r="D47" t="s">
        <v>76</v>
      </c>
      <c r="E47" t="s">
        <v>77</v>
      </c>
      <c r="F47" t="s">
        <v>72</v>
      </c>
      <c r="G47" t="s">
        <v>72</v>
      </c>
      <c r="H47" t="s">
        <v>73</v>
      </c>
      <c r="I47">
        <v>4.3744632264732495E-4</v>
      </c>
      <c r="J47">
        <v>9.7210293921627772E-5</v>
      </c>
      <c r="K47">
        <v>3</v>
      </c>
    </row>
    <row r="48" spans="2:11" x14ac:dyDescent="0.3">
      <c r="B48" t="s">
        <v>69</v>
      </c>
      <c r="C48" t="s">
        <v>82</v>
      </c>
      <c r="D48" t="s">
        <v>78</v>
      </c>
      <c r="E48" t="s">
        <v>79</v>
      </c>
      <c r="F48" t="s">
        <v>72</v>
      </c>
      <c r="G48" t="s">
        <v>72</v>
      </c>
      <c r="H48" t="s">
        <v>73</v>
      </c>
      <c r="I48">
        <v>0.35375437091420703</v>
      </c>
      <c r="J48">
        <v>7.8612082425379343E-2</v>
      </c>
      <c r="K48">
        <v>3</v>
      </c>
    </row>
    <row r="49" spans="2:11" x14ac:dyDescent="0.3">
      <c r="B49" t="s">
        <v>69</v>
      </c>
      <c r="C49" t="s">
        <v>82</v>
      </c>
      <c r="D49" t="s">
        <v>80</v>
      </c>
      <c r="E49" t="s">
        <v>81</v>
      </c>
      <c r="F49" t="s">
        <v>72</v>
      </c>
      <c r="G49" t="s">
        <v>72</v>
      </c>
      <c r="H49" t="s">
        <v>73</v>
      </c>
      <c r="I49">
        <v>1.8948025107053429E-2</v>
      </c>
      <c r="J49">
        <v>4.2106722460118727E-3</v>
      </c>
      <c r="K4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utilzation_limits</vt:lpstr>
      <vt:lpstr>CHP_elecEFF</vt:lpstr>
      <vt:lpstr>CHP_CHPR</vt:lpstr>
      <vt:lpstr>CHP_shares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Mahmoud Mobir</cp:lastModifiedBy>
  <dcterms:created xsi:type="dcterms:W3CDTF">2019-03-18T11:12:00Z</dcterms:created>
  <dcterms:modified xsi:type="dcterms:W3CDTF">2021-12-23T15:26:47Z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42629420757293</vt:r8>
  </property>
</Properties>
</file>