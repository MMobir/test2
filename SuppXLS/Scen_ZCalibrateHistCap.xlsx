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B6FC5F79-9E88-4EB6-B43B-66F9FAA2238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eadme" sheetId="3" r:id="rId1"/>
    <sheet name="ELE CAP" sheetId="1" r:id="rId2"/>
    <sheet name="CHP CA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" i="2" l="1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A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Z6" i="2"/>
  <c r="X6" i="2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AZ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6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A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A5" i="1"/>
  <c r="X6" i="1"/>
</calcChain>
</file>

<file path=xl/sharedStrings.xml><?xml version="1.0" encoding="utf-8"?>
<sst xmlns="http://schemas.openxmlformats.org/spreadsheetml/2006/main" count="705" uniqueCount="50">
  <si>
    <t>Processset</t>
  </si>
  <si>
    <t>ELEBIO</t>
  </si>
  <si>
    <t>ELECOA</t>
  </si>
  <si>
    <t>ELEGAS</t>
  </si>
  <si>
    <t>ELEGEO</t>
  </si>
  <si>
    <t>ELEHYD</t>
  </si>
  <si>
    <t>ELENUC</t>
  </si>
  <si>
    <t>ELEOIL</t>
  </si>
  <si>
    <t>ELESOL</t>
  </si>
  <si>
    <t>ELESTG</t>
  </si>
  <si>
    <t>ELEWAS</t>
  </si>
  <si>
    <t>ELEWIN</t>
  </si>
  <si>
    <t>Period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</si>
  <si>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</si>
  <si>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</si>
  <si>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</si>
  <si>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</si>
  <si>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</si>
  <si>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</si>
  <si>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</si>
  <si>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</si>
  <si>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</si>
  <si>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</si>
  <si>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</si>
  <si>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</si>
  <si>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</si>
  <si>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</si>
  <si>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</si>
  <si>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</si>
  <si>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</si>
  <si>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CHPBIO</t>
  </si>
  <si>
    <t>CHPCOA</t>
  </si>
  <si>
    <t>CHPCRD</t>
  </si>
  <si>
    <t>CHPDST</t>
  </si>
  <si>
    <t>CHPGAS</t>
  </si>
  <si>
    <t>CHPNUC</t>
  </si>
  <si>
    <t>CHPOIL</t>
  </si>
  <si>
    <t>CHPWAS</t>
  </si>
  <si>
    <t>Attribute</t>
  </si>
  <si>
    <t>Year</t>
  </si>
  <si>
    <t>Pset_SET</t>
  </si>
  <si>
    <t>Limtype</t>
  </si>
  <si>
    <t>UP</t>
  </si>
  <si>
    <t>Relaxation factor -up</t>
  </si>
  <si>
    <t>Relaxation factor - lo</t>
  </si>
  <si>
    <t>LO</t>
  </si>
  <si>
    <t>~TFM_INS</t>
  </si>
  <si>
    <t>CAP_BND</t>
  </si>
  <si>
    <t>Relaxation factor - up</t>
  </si>
  <si>
    <t>Deactivate~TFM_INS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</si>
</sst>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4CB"/>
        <bgColor rgb="FFFFF4C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8">
    <xf numFmtId="0" fontId="0" fillId="0" borderId="0" xfId="0" applyNumberFormat="1" applyFont="1" applyFill="1" applyBorder="1" applyAlignment="1" applyProtection="1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 applyProtection="1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49" fontId="0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9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6060-DA15-4971-A3E8-D93249B15A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P122"/>
  <sheetViews>
    <sheetView tabSelected="1" topLeftCell="N1" zoomScaleNormal="100" workbookViewId="0">
      <selection activeCell="W5" sqref="W5"/>
    </sheetView>
  </sheetViews>
  <sheetFormatPr defaultColWidth="9.33203125" defaultRowHeight="14.4" x14ac:dyDescent="0.3"/>
  <cols>
    <col min="1" max="1" width="8.5546875" bestFit="1" customWidth="1"/>
    <col min="2" max="2" width="5.33203125" bestFit="1" customWidth="1"/>
    <col min="3" max="3" width="5.77734375" bestFit="1" customWidth="1"/>
    <col min="4" max="7" width="5.6640625" bestFit="1" customWidth="1"/>
    <col min="8" max="8" width="6.5546875" bestFit="1" customWidth="1"/>
    <col min="9" max="9" width="5.6640625" bestFit="1" customWidth="1"/>
    <col min="10" max="11" width="6.5546875" bestFit="1" customWidth="1"/>
    <col min="12" max="13" width="5.6640625" bestFit="1" customWidth="1"/>
    <col min="14" max="14" width="4.77734375" bestFit="1" customWidth="1"/>
    <col min="15" max="15" width="6.5546875" bestFit="1" customWidth="1"/>
    <col min="16" max="19" width="5.6640625" bestFit="1" customWidth="1"/>
    <col min="25" max="25" width="9.33203125" style="8"/>
    <col min="26" max="26" width="9.33203125" customWidth="1"/>
  </cols>
  <sheetData>
    <row r="1" spans="2:68" s="8" customFormat="1" x14ac:dyDescent="0.3">
      <c r="W1" s="16" t="s">
        <v>43</v>
      </c>
      <c r="Z1" s="17">
        <v>0.1</v>
      </c>
      <c r="AV1" s="16" t="s">
        <v>44</v>
      </c>
      <c r="AY1" s="17">
        <v>0.1</v>
      </c>
    </row>
    <row r="2" spans="2:68" s="8" customFormat="1" x14ac:dyDescent="0.3"/>
    <row r="3" spans="2:68" s="8" customFormat="1" x14ac:dyDescent="0.3"/>
    <row r="4" spans="2:68" ht="18.75" customHeight="1" x14ac:dyDescent="0.3">
      <c r="W4" t="s">
        <v>49</v>
      </c>
      <c r="AV4" s="8" t="s">
        <v>49</v>
      </c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</row>
    <row r="5" spans="2:68" ht="18.75" customHeight="1" x14ac:dyDescent="0.3">
      <c r="B5" s="1" t="s">
        <v>0</v>
      </c>
      <c r="C5" s="1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W5" t="s">
        <v>38</v>
      </c>
      <c r="X5" t="s">
        <v>40</v>
      </c>
      <c r="Y5" s="8" t="s">
        <v>41</v>
      </c>
      <c r="Z5" t="s">
        <v>39</v>
      </c>
      <c r="AA5" s="15" t="str">
        <f t="shared" ref="AA5:AQ5" si="0">D5</f>
        <v>AFR_N</v>
      </c>
      <c r="AB5" s="15" t="str">
        <f t="shared" si="0"/>
        <v>AFR_S</v>
      </c>
      <c r="AC5" s="15" t="str">
        <f t="shared" si="0"/>
        <v>ANZ</v>
      </c>
      <c r="AD5" s="15" t="str">
        <f t="shared" si="0"/>
        <v>BRZ</v>
      </c>
      <c r="AE5" s="15" t="str">
        <f t="shared" si="0"/>
        <v>CAN</v>
      </c>
      <c r="AF5" s="15" t="str">
        <f t="shared" si="0"/>
        <v>CHI</v>
      </c>
      <c r="AG5" s="15" t="str">
        <f t="shared" si="0"/>
        <v>CSA</v>
      </c>
      <c r="AH5" s="15" t="str">
        <f t="shared" si="0"/>
        <v>EUR</v>
      </c>
      <c r="AI5" s="15" t="str">
        <f t="shared" si="0"/>
        <v>IND</v>
      </c>
      <c r="AJ5" s="15" t="str">
        <f t="shared" si="0"/>
        <v>JPN</v>
      </c>
      <c r="AK5" s="15" t="str">
        <f t="shared" si="0"/>
        <v>MID</v>
      </c>
      <c r="AL5" s="15" t="str">
        <f t="shared" si="0"/>
        <v>MXC</v>
      </c>
      <c r="AM5" s="15" t="str">
        <f t="shared" si="0"/>
        <v>OAS</v>
      </c>
      <c r="AN5" s="15" t="str">
        <f t="shared" si="0"/>
        <v>RUS</v>
      </c>
      <c r="AO5" s="15" t="str">
        <f t="shared" si="0"/>
        <v>SKO</v>
      </c>
      <c r="AP5" s="15" t="str">
        <f t="shared" si="0"/>
        <v>URA</v>
      </c>
      <c r="AQ5" s="15" t="str">
        <f t="shared" si="0"/>
        <v>USA</v>
      </c>
      <c r="AV5" s="8" t="s">
        <v>38</v>
      </c>
      <c r="AW5" s="8" t="s">
        <v>40</v>
      </c>
      <c r="AX5" s="8" t="s">
        <v>41</v>
      </c>
      <c r="AY5" s="8" t="s">
        <v>39</v>
      </c>
      <c r="AZ5" s="15" t="s">
        <v>13</v>
      </c>
      <c r="BA5" s="15" t="s">
        <v>14</v>
      </c>
      <c r="BB5" s="15" t="s">
        <v>15</v>
      </c>
      <c r="BC5" s="15" t="s">
        <v>16</v>
      </c>
      <c r="BD5" s="15" t="s">
        <v>17</v>
      </c>
      <c r="BE5" s="15" t="s">
        <v>18</v>
      </c>
      <c r="BF5" s="15" t="s">
        <v>19</v>
      </c>
      <c r="BG5" s="15" t="s">
        <v>20</v>
      </c>
      <c r="BH5" s="15" t="s">
        <v>21</v>
      </c>
      <c r="BI5" s="15" t="s">
        <v>22</v>
      </c>
      <c r="BJ5" s="15" t="s">
        <v>23</v>
      </c>
      <c r="BK5" s="15" t="s">
        <v>24</v>
      </c>
      <c r="BL5" s="15" t="s">
        <v>25</v>
      </c>
      <c r="BM5" s="15" t="s">
        <v>26</v>
      </c>
      <c r="BN5" s="15" t="s">
        <v>27</v>
      </c>
      <c r="BO5" s="15" t="s">
        <v>28</v>
      </c>
      <c r="BP5" s="15" t="s">
        <v>29</v>
      </c>
    </row>
    <row r="6" spans="2:68" ht="18.75" customHeight="1" x14ac:dyDescent="0.3">
      <c r="B6" s="2" t="s">
        <v>1</v>
      </c>
      <c r="C6" s="3">
        <v>2017</v>
      </c>
      <c r="D6" s="4"/>
      <c r="E6" s="6">
        <v>0.97274739728618698</v>
      </c>
      <c r="F6" s="6">
        <v>0.106677343923976</v>
      </c>
      <c r="G6" s="6">
        <v>0.12535575058534601</v>
      </c>
      <c r="H6" s="6">
        <v>1.45712437365884</v>
      </c>
      <c r="I6" s="6">
        <v>2.4619852811196199</v>
      </c>
      <c r="J6" s="6">
        <v>2.8615077179108499</v>
      </c>
      <c r="K6" s="6">
        <v>8.0556610038648593</v>
      </c>
      <c r="L6" s="6">
        <v>6.91214910138424</v>
      </c>
      <c r="M6" s="6">
        <v>1.40129907843038</v>
      </c>
      <c r="N6" s="6">
        <v>2.2342424209550399E-3</v>
      </c>
      <c r="O6" s="6">
        <v>0.21937534892013399</v>
      </c>
      <c r="P6" s="6">
        <v>4.0671687824326401</v>
      </c>
      <c r="Q6" s="7"/>
      <c r="R6" s="6">
        <v>0.24038660590671901</v>
      </c>
      <c r="S6" s="6">
        <v>2.3167625245786701E-2</v>
      </c>
      <c r="T6" s="6">
        <v>7.9455532284441599</v>
      </c>
      <c r="W6" t="str">
        <f>IF(C6&gt;2021, "*","CAP_BND")</f>
        <v>CAP_BND</v>
      </c>
      <c r="X6" s="15" t="str">
        <f>B6</f>
        <v>ELEBIO</v>
      </c>
      <c r="Y6" s="15" t="s">
        <v>42</v>
      </c>
      <c r="Z6">
        <f>C6</f>
        <v>2017</v>
      </c>
      <c r="AA6" s="8">
        <f>D6*(1+$Z$1)</f>
        <v>0</v>
      </c>
      <c r="AB6" s="8">
        <f t="shared" ref="AB6:AQ6" si="1">E6*(1+$Z$1)</f>
        <v>1.0700221370148058</v>
      </c>
      <c r="AC6" s="8">
        <f t="shared" si="1"/>
        <v>0.11734507831637361</v>
      </c>
      <c r="AD6" s="8">
        <f t="shared" si="1"/>
        <v>0.13789132564388062</v>
      </c>
      <c r="AE6" s="8">
        <f t="shared" si="1"/>
        <v>1.602836811024724</v>
      </c>
      <c r="AF6" s="8">
        <f t="shared" si="1"/>
        <v>2.7081838092315822</v>
      </c>
      <c r="AG6" s="8">
        <f t="shared" si="1"/>
        <v>3.1476584897019353</v>
      </c>
      <c r="AH6" s="8">
        <f t="shared" si="1"/>
        <v>8.8612271042513466</v>
      </c>
      <c r="AI6" s="8">
        <f t="shared" si="1"/>
        <v>7.6033640115226646</v>
      </c>
      <c r="AJ6" s="8">
        <f t="shared" si="1"/>
        <v>1.5414289862734181</v>
      </c>
      <c r="AK6" s="8">
        <f t="shared" si="1"/>
        <v>2.457666663050544E-3</v>
      </c>
      <c r="AL6" s="8">
        <f t="shared" si="1"/>
        <v>0.24131288381214741</v>
      </c>
      <c r="AM6" s="8">
        <f t="shared" si="1"/>
        <v>4.4738856606759043</v>
      </c>
      <c r="AN6" s="8">
        <f t="shared" si="1"/>
        <v>0</v>
      </c>
      <c r="AO6" s="8">
        <f t="shared" si="1"/>
        <v>0.26442526649739095</v>
      </c>
      <c r="AP6" s="8">
        <f t="shared" si="1"/>
        <v>2.5484387770365373E-2</v>
      </c>
      <c r="AQ6" s="8">
        <f t="shared" si="1"/>
        <v>8.7401085512885768</v>
      </c>
      <c r="AV6" t="str">
        <f>IF(C6&gt;2021, "*","CAP_BND")</f>
        <v>CAP_BND</v>
      </c>
      <c r="AW6" s="15" t="str">
        <f>B6</f>
        <v>ELEBIO</v>
      </c>
      <c r="AX6" t="s">
        <v>45</v>
      </c>
      <c r="AY6">
        <f>C6</f>
        <v>2017</v>
      </c>
      <c r="AZ6">
        <f>D6*(1-$AY$1)</f>
        <v>0</v>
      </c>
      <c r="BA6" s="8">
        <f t="shared" ref="BA6:BP6" si="2">E6*(1-$AY$1)</f>
        <v>0.87547265755756831</v>
      </c>
      <c r="BB6" s="8">
        <f t="shared" si="2"/>
        <v>9.6009609531578402E-2</v>
      </c>
      <c r="BC6" s="8">
        <f t="shared" si="2"/>
        <v>0.11282017552681141</v>
      </c>
      <c r="BD6" s="8">
        <f t="shared" si="2"/>
        <v>1.3114119362929559</v>
      </c>
      <c r="BE6" s="8">
        <f t="shared" si="2"/>
        <v>2.215786753007658</v>
      </c>
      <c r="BF6" s="8">
        <f t="shared" si="2"/>
        <v>2.575356946119765</v>
      </c>
      <c r="BG6" s="8">
        <f t="shared" si="2"/>
        <v>7.2500949034783737</v>
      </c>
      <c r="BH6" s="8">
        <f t="shared" si="2"/>
        <v>6.2209341912458163</v>
      </c>
      <c r="BI6" s="8">
        <f t="shared" si="2"/>
        <v>1.261169170587342</v>
      </c>
      <c r="BJ6" s="8">
        <f t="shared" si="2"/>
        <v>2.0108181788595358E-3</v>
      </c>
      <c r="BK6" s="8">
        <f t="shared" si="2"/>
        <v>0.19743781402812061</v>
      </c>
      <c r="BL6" s="8">
        <f t="shared" si="2"/>
        <v>3.6604519041893764</v>
      </c>
      <c r="BM6" s="8">
        <f t="shared" si="2"/>
        <v>0</v>
      </c>
      <c r="BN6" s="8">
        <f t="shared" si="2"/>
        <v>0.21634794531604712</v>
      </c>
      <c r="BO6" s="8">
        <f t="shared" si="2"/>
        <v>2.0850862721208032E-2</v>
      </c>
      <c r="BP6" s="8">
        <f t="shared" si="2"/>
        <v>7.1509979055997439</v>
      </c>
    </row>
    <row r="7" spans="2:68" ht="18.75" customHeight="1" x14ac:dyDescent="0.3">
      <c r="B7" s="2" t="s">
        <v>1</v>
      </c>
      <c r="C7" s="3">
        <v>2018</v>
      </c>
      <c r="D7" s="4"/>
      <c r="E7" s="6">
        <v>0.97274739728618698</v>
      </c>
      <c r="F7" s="6">
        <v>0.106677343923976</v>
      </c>
      <c r="G7" s="6">
        <v>0.12535575058534601</v>
      </c>
      <c r="H7" s="6">
        <v>1.52425032795099</v>
      </c>
      <c r="I7" s="6">
        <v>2.5137669983133399</v>
      </c>
      <c r="J7" s="6">
        <v>2.8797921122744898</v>
      </c>
      <c r="K7" s="6">
        <v>9.3230673067793504</v>
      </c>
      <c r="L7" s="6">
        <v>6.91214910138424</v>
      </c>
      <c r="M7" s="6">
        <v>1.57300755705494</v>
      </c>
      <c r="N7" s="6">
        <v>2.2342424209550399E-3</v>
      </c>
      <c r="O7" s="6">
        <v>0.21937534892013399</v>
      </c>
      <c r="P7" s="6">
        <v>4.1986033211827198</v>
      </c>
      <c r="Q7" s="7"/>
      <c r="R7" s="6">
        <v>0.24038660590671901</v>
      </c>
      <c r="S7" s="6">
        <v>2.3167625245786701E-2</v>
      </c>
      <c r="T7" s="6">
        <v>8.2167325195173504</v>
      </c>
      <c r="W7" s="8" t="str">
        <f t="shared" ref="W7:W70" si="3">IF(C7&gt;2021, "*","CAP_BND")</f>
        <v>CAP_BND</v>
      </c>
      <c r="X7" s="15" t="str">
        <f t="shared" ref="X7:X70" si="4">B7</f>
        <v>ELEBIO</v>
      </c>
      <c r="Y7" s="15" t="s">
        <v>42</v>
      </c>
      <c r="Z7" s="8">
        <f t="shared" ref="Z7:Z70" si="5">C7</f>
        <v>2018</v>
      </c>
      <c r="AA7" s="8">
        <f t="shared" ref="AA7:AA70" si="6">D7*(1+$Z$1)</f>
        <v>0</v>
      </c>
      <c r="AB7" s="8">
        <f t="shared" ref="AB7:AB70" si="7">E7*(1+$Z$1)</f>
        <v>1.0700221370148058</v>
      </c>
      <c r="AC7" s="8">
        <f t="shared" ref="AC7:AC70" si="8">F7*(1+$Z$1)</f>
        <v>0.11734507831637361</v>
      </c>
      <c r="AD7" s="8">
        <f t="shared" ref="AD7:AD70" si="9">G7*(1+$Z$1)</f>
        <v>0.13789132564388062</v>
      </c>
      <c r="AE7" s="8">
        <f t="shared" ref="AE7:AE70" si="10">H7*(1+$Z$1)</f>
        <v>1.6766753607460891</v>
      </c>
      <c r="AF7" s="8">
        <f t="shared" ref="AF7:AF70" si="11">I7*(1+$Z$1)</f>
        <v>2.7651436981446742</v>
      </c>
      <c r="AG7" s="8">
        <f t="shared" ref="AG7:AG70" si="12">J7*(1+$Z$1)</f>
        <v>3.1677713235019391</v>
      </c>
      <c r="AH7" s="8">
        <f t="shared" ref="AH7:AH70" si="13">K7*(1+$Z$1)</f>
        <v>10.255374037457287</v>
      </c>
      <c r="AI7" s="8">
        <f t="shared" ref="AI7:AI70" si="14">L7*(1+$Z$1)</f>
        <v>7.6033640115226646</v>
      </c>
      <c r="AJ7" s="8">
        <f t="shared" ref="AJ7:AJ70" si="15">M7*(1+$Z$1)</f>
        <v>1.7303083127604342</v>
      </c>
      <c r="AK7" s="8">
        <f t="shared" ref="AK7:AK70" si="16">N7*(1+$Z$1)</f>
        <v>2.457666663050544E-3</v>
      </c>
      <c r="AL7" s="8">
        <f t="shared" ref="AL7:AL70" si="17">O7*(1+$Z$1)</f>
        <v>0.24131288381214741</v>
      </c>
      <c r="AM7" s="8">
        <f t="shared" ref="AM7:AM70" si="18">P7*(1+$Z$1)</f>
        <v>4.6184636533009922</v>
      </c>
      <c r="AN7" s="8">
        <f t="shared" ref="AN7:AN70" si="19">Q7*(1+$Z$1)</f>
        <v>0</v>
      </c>
      <c r="AO7" s="8">
        <f t="shared" ref="AO7:AO70" si="20">R7*(1+$Z$1)</f>
        <v>0.26442526649739095</v>
      </c>
      <c r="AP7" s="8">
        <f t="shared" ref="AP7:AP70" si="21">S7*(1+$Z$1)</f>
        <v>2.5484387770365373E-2</v>
      </c>
      <c r="AQ7" s="8">
        <f t="shared" ref="AQ7:AQ70" si="22">T7*(1+$Z$1)</f>
        <v>9.0384057714690869</v>
      </c>
      <c r="AV7" s="8" t="str">
        <f t="shared" ref="AV7:AV70" si="23">IF(C7&gt;2021, "*","CAP_BND")</f>
        <v>CAP_BND</v>
      </c>
      <c r="AW7" s="15" t="str">
        <f t="shared" ref="AW7:AW70" si="24">B7</f>
        <v>ELEBIO</v>
      </c>
      <c r="AX7" s="8" t="s">
        <v>45</v>
      </c>
      <c r="AY7" s="8">
        <f t="shared" ref="AY7:AY70" si="25">C7</f>
        <v>2018</v>
      </c>
      <c r="AZ7" s="8">
        <f t="shared" ref="AZ7:AZ70" si="26">D7*(1-$AY$1)</f>
        <v>0</v>
      </c>
      <c r="BA7" s="8">
        <f t="shared" ref="BA7:BA70" si="27">E7*(1-$AY$1)</f>
        <v>0.87547265755756831</v>
      </c>
      <c r="BB7" s="8">
        <f t="shared" ref="BB7:BB70" si="28">F7*(1-$AY$1)</f>
        <v>9.6009609531578402E-2</v>
      </c>
      <c r="BC7" s="8">
        <f t="shared" ref="BC7:BC70" si="29">G7*(1-$AY$1)</f>
        <v>0.11282017552681141</v>
      </c>
      <c r="BD7" s="8">
        <f t="shared" ref="BD7:BD70" si="30">H7*(1-$AY$1)</f>
        <v>1.3718252951558911</v>
      </c>
      <c r="BE7" s="8">
        <f t="shared" ref="BE7:BE70" si="31">I7*(1-$AY$1)</f>
        <v>2.2623902984820061</v>
      </c>
      <c r="BF7" s="8">
        <f t="shared" ref="BF7:BF70" si="32">J7*(1-$AY$1)</f>
        <v>2.591812901047041</v>
      </c>
      <c r="BG7" s="8">
        <f t="shared" ref="BG7:BG70" si="33">K7*(1-$AY$1)</f>
        <v>8.3907605761014157</v>
      </c>
      <c r="BH7" s="8">
        <f t="shared" ref="BH7:BH70" si="34">L7*(1-$AY$1)</f>
        <v>6.2209341912458163</v>
      </c>
      <c r="BI7" s="8">
        <f t="shared" ref="BI7:BI70" si="35">M7*(1-$AY$1)</f>
        <v>1.415706801349446</v>
      </c>
      <c r="BJ7" s="8">
        <f t="shared" ref="BJ7:BJ70" si="36">N7*(1-$AY$1)</f>
        <v>2.0108181788595358E-3</v>
      </c>
      <c r="BK7" s="8">
        <f t="shared" ref="BK7:BK70" si="37">O7*(1-$AY$1)</f>
        <v>0.19743781402812061</v>
      </c>
      <c r="BL7" s="8">
        <f t="shared" ref="BL7:BL70" si="38">P7*(1-$AY$1)</f>
        <v>3.7787429890644479</v>
      </c>
      <c r="BM7" s="8">
        <f t="shared" ref="BM7:BM70" si="39">Q7*(1-$AY$1)</f>
        <v>0</v>
      </c>
      <c r="BN7" s="8">
        <f t="shared" ref="BN7:BN70" si="40">R7*(1-$AY$1)</f>
        <v>0.21634794531604712</v>
      </c>
      <c r="BO7" s="8">
        <f t="shared" ref="BO7:BO70" si="41">S7*(1-$AY$1)</f>
        <v>2.0850862721208032E-2</v>
      </c>
      <c r="BP7" s="8">
        <f t="shared" ref="BP7:BP70" si="42">T7*(1-$AY$1)</f>
        <v>7.3950592675656157</v>
      </c>
    </row>
    <row r="8" spans="2:68" ht="18.75" customHeight="1" x14ac:dyDescent="0.3">
      <c r="B8" s="2" t="s">
        <v>1</v>
      </c>
      <c r="C8" s="3">
        <v>2019</v>
      </c>
      <c r="D8" s="4"/>
      <c r="E8" s="6">
        <v>0.57594839226235695</v>
      </c>
      <c r="F8" s="6">
        <v>0.106677343923976</v>
      </c>
      <c r="G8" s="6">
        <v>0.10965410626151401</v>
      </c>
      <c r="H8" s="6">
        <v>1.52425032795099</v>
      </c>
      <c r="I8" s="6">
        <v>2.5137669983133399</v>
      </c>
      <c r="J8" s="6">
        <v>1.46705025832724</v>
      </c>
      <c r="K8" s="6">
        <v>9.3230673067793504</v>
      </c>
      <c r="L8" s="6">
        <v>6.91214910138424</v>
      </c>
      <c r="M8" s="6">
        <v>1.57300755705494</v>
      </c>
      <c r="N8" s="6">
        <v>2.2342424209550399E-3</v>
      </c>
      <c r="O8" s="6">
        <v>0.21937534892013399</v>
      </c>
      <c r="P8" s="6">
        <v>3.0741078229876999</v>
      </c>
      <c r="Q8" s="7"/>
      <c r="R8" s="6">
        <v>0.24038660590671901</v>
      </c>
      <c r="S8" s="6">
        <v>2.3167625245786701E-2</v>
      </c>
      <c r="T8" s="6">
        <v>6.0563375006343403</v>
      </c>
      <c r="W8" s="8" t="str">
        <f t="shared" si="3"/>
        <v>CAP_BND</v>
      </c>
      <c r="X8" s="15" t="str">
        <f t="shared" si="4"/>
        <v>ELEBIO</v>
      </c>
      <c r="Y8" s="15" t="s">
        <v>42</v>
      </c>
      <c r="Z8" s="8">
        <f t="shared" si="5"/>
        <v>2019</v>
      </c>
      <c r="AA8" s="8">
        <f t="shared" si="6"/>
        <v>0</v>
      </c>
      <c r="AB8" s="8">
        <f t="shared" si="7"/>
        <v>0.63354323148859271</v>
      </c>
      <c r="AC8" s="8">
        <f t="shared" si="8"/>
        <v>0.11734507831637361</v>
      </c>
      <c r="AD8" s="8">
        <f t="shared" si="9"/>
        <v>0.12061951688766542</v>
      </c>
      <c r="AE8" s="8">
        <f t="shared" si="10"/>
        <v>1.6766753607460891</v>
      </c>
      <c r="AF8" s="8">
        <f t="shared" si="11"/>
        <v>2.7651436981446742</v>
      </c>
      <c r="AG8" s="8">
        <f t="shared" si="12"/>
        <v>1.6137552841599641</v>
      </c>
      <c r="AH8" s="8">
        <f t="shared" si="13"/>
        <v>10.255374037457287</v>
      </c>
      <c r="AI8" s="8">
        <f t="shared" si="14"/>
        <v>7.6033640115226646</v>
      </c>
      <c r="AJ8" s="8">
        <f t="shared" si="15"/>
        <v>1.7303083127604342</v>
      </c>
      <c r="AK8" s="8">
        <f t="shared" si="16"/>
        <v>2.457666663050544E-3</v>
      </c>
      <c r="AL8" s="8">
        <f t="shared" si="17"/>
        <v>0.24131288381214741</v>
      </c>
      <c r="AM8" s="8">
        <f t="shared" si="18"/>
        <v>3.3815186052864701</v>
      </c>
      <c r="AN8" s="8">
        <f t="shared" si="19"/>
        <v>0</v>
      </c>
      <c r="AO8" s="8">
        <f t="shared" si="20"/>
        <v>0.26442526649739095</v>
      </c>
      <c r="AP8" s="8">
        <f t="shared" si="21"/>
        <v>2.5484387770365373E-2</v>
      </c>
      <c r="AQ8" s="8">
        <f t="shared" si="22"/>
        <v>6.6619712506977748</v>
      </c>
      <c r="AV8" s="8" t="str">
        <f t="shared" si="23"/>
        <v>CAP_BND</v>
      </c>
      <c r="AW8" s="15" t="str">
        <f t="shared" si="24"/>
        <v>ELEBIO</v>
      </c>
      <c r="AX8" s="8" t="s">
        <v>45</v>
      </c>
      <c r="AY8" s="8">
        <f t="shared" si="25"/>
        <v>2019</v>
      </c>
      <c r="AZ8" s="8">
        <f t="shared" si="26"/>
        <v>0</v>
      </c>
      <c r="BA8" s="8">
        <f t="shared" si="27"/>
        <v>0.5183535530361213</v>
      </c>
      <c r="BB8" s="8">
        <f t="shared" si="28"/>
        <v>9.6009609531578402E-2</v>
      </c>
      <c r="BC8" s="8">
        <f t="shared" si="29"/>
        <v>9.8688695635362603E-2</v>
      </c>
      <c r="BD8" s="8">
        <f t="shared" si="30"/>
        <v>1.3718252951558911</v>
      </c>
      <c r="BE8" s="8">
        <f t="shared" si="31"/>
        <v>2.2623902984820061</v>
      </c>
      <c r="BF8" s="8">
        <f t="shared" si="32"/>
        <v>1.320345232494516</v>
      </c>
      <c r="BG8" s="8">
        <f t="shared" si="33"/>
        <v>8.3907605761014157</v>
      </c>
      <c r="BH8" s="8">
        <f t="shared" si="34"/>
        <v>6.2209341912458163</v>
      </c>
      <c r="BI8" s="8">
        <f t="shared" si="35"/>
        <v>1.415706801349446</v>
      </c>
      <c r="BJ8" s="8">
        <f t="shared" si="36"/>
        <v>2.0108181788595358E-3</v>
      </c>
      <c r="BK8" s="8">
        <f t="shared" si="37"/>
        <v>0.19743781402812061</v>
      </c>
      <c r="BL8" s="8">
        <f t="shared" si="38"/>
        <v>2.7666970406889302</v>
      </c>
      <c r="BM8" s="8">
        <f t="shared" si="39"/>
        <v>0</v>
      </c>
      <c r="BN8" s="8">
        <f t="shared" si="40"/>
        <v>0.21634794531604712</v>
      </c>
      <c r="BO8" s="8">
        <f t="shared" si="41"/>
        <v>2.0850862721208032E-2</v>
      </c>
      <c r="BP8" s="8">
        <f t="shared" si="42"/>
        <v>5.4507037505709066</v>
      </c>
    </row>
    <row r="9" spans="2:68" ht="18.75" customHeight="1" x14ac:dyDescent="0.3">
      <c r="B9" s="2" t="s">
        <v>1</v>
      </c>
      <c r="C9" s="3">
        <v>2020</v>
      </c>
      <c r="D9" s="4"/>
      <c r="E9" s="6">
        <v>0.553459726042141</v>
      </c>
      <c r="F9" s="6">
        <v>0.106677343923976</v>
      </c>
      <c r="G9" s="6">
        <v>0</v>
      </c>
      <c r="H9" s="6">
        <v>1.2274070116226301</v>
      </c>
      <c r="I9" s="6">
        <v>2.5137669983133399</v>
      </c>
      <c r="J9" s="6">
        <v>1.46705025832724</v>
      </c>
      <c r="K9" s="6">
        <v>9.3230673067793504</v>
      </c>
      <c r="L9" s="6">
        <v>6.91214910138424</v>
      </c>
      <c r="M9" s="6">
        <v>1.57300755705494</v>
      </c>
      <c r="N9" s="6">
        <v>2.2342424209550399E-3</v>
      </c>
      <c r="O9" s="6">
        <v>0.21937534892013399</v>
      </c>
      <c r="P9" s="6">
        <v>2.4899543174318399</v>
      </c>
      <c r="Q9" s="7"/>
      <c r="R9" s="6">
        <v>0.24038660590671901</v>
      </c>
      <c r="S9" s="6">
        <v>2.3167625245786701E-2</v>
      </c>
      <c r="T9" s="6">
        <v>5.7580402804538497</v>
      </c>
      <c r="W9" s="8" t="str">
        <f t="shared" si="3"/>
        <v>CAP_BND</v>
      </c>
      <c r="X9" s="15" t="str">
        <f t="shared" si="4"/>
        <v>ELEBIO</v>
      </c>
      <c r="Y9" s="15" t="s">
        <v>42</v>
      </c>
      <c r="Z9" s="8">
        <f t="shared" si="5"/>
        <v>2020</v>
      </c>
      <c r="AA9" s="8">
        <f t="shared" si="6"/>
        <v>0</v>
      </c>
      <c r="AB9" s="8">
        <f t="shared" si="7"/>
        <v>0.60880569864635514</v>
      </c>
      <c r="AC9" s="8">
        <f t="shared" si="8"/>
        <v>0.11734507831637361</v>
      </c>
      <c r="AD9" s="8">
        <f t="shared" si="9"/>
        <v>0</v>
      </c>
      <c r="AE9" s="8">
        <f t="shared" si="10"/>
        <v>1.3501477127848933</v>
      </c>
      <c r="AF9" s="8">
        <f t="shared" si="11"/>
        <v>2.7651436981446742</v>
      </c>
      <c r="AG9" s="8">
        <f t="shared" si="12"/>
        <v>1.6137552841599641</v>
      </c>
      <c r="AH9" s="8">
        <f t="shared" si="13"/>
        <v>10.255374037457287</v>
      </c>
      <c r="AI9" s="8">
        <f t="shared" si="14"/>
        <v>7.6033640115226646</v>
      </c>
      <c r="AJ9" s="8">
        <f t="shared" si="15"/>
        <v>1.7303083127604342</v>
      </c>
      <c r="AK9" s="8">
        <f t="shared" si="16"/>
        <v>2.457666663050544E-3</v>
      </c>
      <c r="AL9" s="8">
        <f t="shared" si="17"/>
        <v>0.24131288381214741</v>
      </c>
      <c r="AM9" s="8">
        <f t="shared" si="18"/>
        <v>2.7389497491750241</v>
      </c>
      <c r="AN9" s="8">
        <f t="shared" si="19"/>
        <v>0</v>
      </c>
      <c r="AO9" s="8">
        <f t="shared" si="20"/>
        <v>0.26442526649739095</v>
      </c>
      <c r="AP9" s="8">
        <f t="shared" si="21"/>
        <v>2.5484387770365373E-2</v>
      </c>
      <c r="AQ9" s="8">
        <f t="shared" si="22"/>
        <v>6.3338443084992351</v>
      </c>
      <c r="AV9" s="8" t="str">
        <f t="shared" si="23"/>
        <v>CAP_BND</v>
      </c>
      <c r="AW9" s="15" t="str">
        <f t="shared" si="24"/>
        <v>ELEBIO</v>
      </c>
      <c r="AX9" s="8" t="s">
        <v>45</v>
      </c>
      <c r="AY9" s="8">
        <f t="shared" si="25"/>
        <v>2020</v>
      </c>
      <c r="AZ9" s="8">
        <f t="shared" si="26"/>
        <v>0</v>
      </c>
      <c r="BA9" s="8">
        <f t="shared" si="27"/>
        <v>0.49811375343792691</v>
      </c>
      <c r="BB9" s="8">
        <f t="shared" si="28"/>
        <v>9.6009609531578402E-2</v>
      </c>
      <c r="BC9" s="8">
        <f t="shared" si="29"/>
        <v>0</v>
      </c>
      <c r="BD9" s="8">
        <f t="shared" si="30"/>
        <v>1.1046663104603671</v>
      </c>
      <c r="BE9" s="8">
        <f t="shared" si="31"/>
        <v>2.2623902984820061</v>
      </c>
      <c r="BF9" s="8">
        <f t="shared" si="32"/>
        <v>1.320345232494516</v>
      </c>
      <c r="BG9" s="8">
        <f t="shared" si="33"/>
        <v>8.3907605761014157</v>
      </c>
      <c r="BH9" s="8">
        <f t="shared" si="34"/>
        <v>6.2209341912458163</v>
      </c>
      <c r="BI9" s="8">
        <f t="shared" si="35"/>
        <v>1.415706801349446</v>
      </c>
      <c r="BJ9" s="8">
        <f t="shared" si="36"/>
        <v>2.0108181788595358E-3</v>
      </c>
      <c r="BK9" s="8">
        <f t="shared" si="37"/>
        <v>0.19743781402812061</v>
      </c>
      <c r="BL9" s="8">
        <f t="shared" si="38"/>
        <v>2.2409588856886562</v>
      </c>
      <c r="BM9" s="8">
        <f t="shared" si="39"/>
        <v>0</v>
      </c>
      <c r="BN9" s="8">
        <f t="shared" si="40"/>
        <v>0.21634794531604712</v>
      </c>
      <c r="BO9" s="8">
        <f t="shared" si="41"/>
        <v>2.0850862721208032E-2</v>
      </c>
      <c r="BP9" s="8">
        <f t="shared" si="42"/>
        <v>5.1822362524084653</v>
      </c>
    </row>
    <row r="10" spans="2:68" ht="18.75" customHeight="1" x14ac:dyDescent="0.3">
      <c r="B10" s="2" t="s">
        <v>1</v>
      </c>
      <c r="C10" s="3">
        <v>2021</v>
      </c>
      <c r="D10" s="4"/>
      <c r="E10" s="6">
        <v>0.553459726042141</v>
      </c>
      <c r="F10" s="6">
        <v>0.106677343923976</v>
      </c>
      <c r="G10" s="6">
        <v>0</v>
      </c>
      <c r="H10" s="6">
        <v>0.43124003066809202</v>
      </c>
      <c r="I10" s="6">
        <v>2.5137669983133399</v>
      </c>
      <c r="J10" s="6">
        <v>1.46705025832724</v>
      </c>
      <c r="K10" s="6">
        <v>9.3230673067793504</v>
      </c>
      <c r="L10" s="6">
        <v>6.91214910138424</v>
      </c>
      <c r="M10" s="6">
        <v>1.57300755705494</v>
      </c>
      <c r="N10" s="6">
        <v>2.2342424209550399E-3</v>
      </c>
      <c r="O10" s="6">
        <v>0</v>
      </c>
      <c r="P10" s="6">
        <v>2.4899543174318399</v>
      </c>
      <c r="Q10" s="7"/>
      <c r="R10" s="6">
        <v>0.24038660590671901</v>
      </c>
      <c r="S10" s="6">
        <v>2.3167625245786701E-2</v>
      </c>
      <c r="T10" s="6">
        <v>3.3440104068990899</v>
      </c>
      <c r="W10" s="8" t="str">
        <f t="shared" si="3"/>
        <v>CAP_BND</v>
      </c>
      <c r="X10" s="15" t="str">
        <f t="shared" si="4"/>
        <v>ELEBIO</v>
      </c>
      <c r="Y10" s="15" t="s">
        <v>42</v>
      </c>
      <c r="Z10" s="8">
        <f t="shared" si="5"/>
        <v>2021</v>
      </c>
      <c r="AA10" s="8">
        <f t="shared" si="6"/>
        <v>0</v>
      </c>
      <c r="AB10" s="8">
        <f t="shared" si="7"/>
        <v>0.60880569864635514</v>
      </c>
      <c r="AC10" s="8">
        <f t="shared" si="8"/>
        <v>0.11734507831637361</v>
      </c>
      <c r="AD10" s="8">
        <f t="shared" si="9"/>
        <v>0</v>
      </c>
      <c r="AE10" s="8">
        <f t="shared" si="10"/>
        <v>0.47436403373490127</v>
      </c>
      <c r="AF10" s="8">
        <f t="shared" si="11"/>
        <v>2.7651436981446742</v>
      </c>
      <c r="AG10" s="8">
        <f t="shared" si="12"/>
        <v>1.6137552841599641</v>
      </c>
      <c r="AH10" s="8">
        <f t="shared" si="13"/>
        <v>10.255374037457287</v>
      </c>
      <c r="AI10" s="8">
        <f t="shared" si="14"/>
        <v>7.6033640115226646</v>
      </c>
      <c r="AJ10" s="8">
        <f t="shared" si="15"/>
        <v>1.7303083127604342</v>
      </c>
      <c r="AK10" s="8">
        <f t="shared" si="16"/>
        <v>2.457666663050544E-3</v>
      </c>
      <c r="AL10" s="8">
        <f t="shared" si="17"/>
        <v>0</v>
      </c>
      <c r="AM10" s="8">
        <f t="shared" si="18"/>
        <v>2.7389497491750241</v>
      </c>
      <c r="AN10" s="8">
        <f t="shared" si="19"/>
        <v>0</v>
      </c>
      <c r="AO10" s="8">
        <f t="shared" si="20"/>
        <v>0.26442526649739095</v>
      </c>
      <c r="AP10" s="8">
        <f t="shared" si="21"/>
        <v>2.5484387770365373E-2</v>
      </c>
      <c r="AQ10" s="8">
        <f t="shared" si="22"/>
        <v>3.6784114475889993</v>
      </c>
      <c r="AV10" s="8" t="str">
        <f t="shared" si="23"/>
        <v>CAP_BND</v>
      </c>
      <c r="AW10" s="15" t="str">
        <f t="shared" si="24"/>
        <v>ELEBIO</v>
      </c>
      <c r="AX10" s="8" t="s">
        <v>45</v>
      </c>
      <c r="AY10" s="8">
        <f t="shared" si="25"/>
        <v>2021</v>
      </c>
      <c r="AZ10" s="8">
        <f t="shared" si="26"/>
        <v>0</v>
      </c>
      <c r="BA10" s="8">
        <f t="shared" si="27"/>
        <v>0.49811375343792691</v>
      </c>
      <c r="BB10" s="8">
        <f t="shared" si="28"/>
        <v>9.6009609531578402E-2</v>
      </c>
      <c r="BC10" s="8">
        <f t="shared" si="29"/>
        <v>0</v>
      </c>
      <c r="BD10" s="8">
        <f t="shared" si="30"/>
        <v>0.38811602760128283</v>
      </c>
      <c r="BE10" s="8">
        <f t="shared" si="31"/>
        <v>2.2623902984820061</v>
      </c>
      <c r="BF10" s="8">
        <f t="shared" si="32"/>
        <v>1.320345232494516</v>
      </c>
      <c r="BG10" s="8">
        <f t="shared" si="33"/>
        <v>8.3907605761014157</v>
      </c>
      <c r="BH10" s="8">
        <f t="shared" si="34"/>
        <v>6.2209341912458163</v>
      </c>
      <c r="BI10" s="8">
        <f t="shared" si="35"/>
        <v>1.415706801349446</v>
      </c>
      <c r="BJ10" s="8">
        <f t="shared" si="36"/>
        <v>2.0108181788595358E-3</v>
      </c>
      <c r="BK10" s="8">
        <f t="shared" si="37"/>
        <v>0</v>
      </c>
      <c r="BL10" s="8">
        <f t="shared" si="38"/>
        <v>2.2409588856886562</v>
      </c>
      <c r="BM10" s="8">
        <f t="shared" si="39"/>
        <v>0</v>
      </c>
      <c r="BN10" s="8">
        <f t="shared" si="40"/>
        <v>0.21634794531604712</v>
      </c>
      <c r="BO10" s="8">
        <f t="shared" si="41"/>
        <v>2.0850862721208032E-2</v>
      </c>
      <c r="BP10" s="8">
        <f t="shared" si="42"/>
        <v>3.009609366209181</v>
      </c>
    </row>
    <row r="11" spans="2:68" ht="18.75" customHeight="1" x14ac:dyDescent="0.3">
      <c r="B11" s="2" t="s">
        <v>1</v>
      </c>
      <c r="C11" s="3">
        <v>2030</v>
      </c>
      <c r="D11" s="5">
        <v>4.03058199311706E-3</v>
      </c>
      <c r="E11" s="6">
        <v>0.55749030803525801</v>
      </c>
      <c r="F11" s="6">
        <v>0.110707925917093</v>
      </c>
      <c r="G11" s="6">
        <v>4.03058199311706E-3</v>
      </c>
      <c r="H11" s="6">
        <v>6.1333225901049199E-2</v>
      </c>
      <c r="I11" s="6">
        <v>2.5177975803064498</v>
      </c>
      <c r="J11" s="6">
        <v>4.03058199311706E-3</v>
      </c>
      <c r="K11" s="6">
        <v>6.0291872471572798</v>
      </c>
      <c r="L11" s="6">
        <v>6.9161796833773499</v>
      </c>
      <c r="M11" s="6">
        <v>1.3862612963449299</v>
      </c>
      <c r="N11" s="6">
        <v>6.2648244140721E-3</v>
      </c>
      <c r="O11" s="6">
        <v>4.03058199311706E-3</v>
      </c>
      <c r="P11" s="6">
        <v>0.198748417178402</v>
      </c>
      <c r="Q11" s="6">
        <v>4.03058199311706E-3</v>
      </c>
      <c r="R11" s="6">
        <v>0.24441718789983599</v>
      </c>
      <c r="S11" s="6">
        <v>2.7198207238903802E-2</v>
      </c>
      <c r="T11" s="6">
        <v>0.40627986375166703</v>
      </c>
      <c r="W11" s="8" t="str">
        <f t="shared" si="3"/>
        <v>*</v>
      </c>
      <c r="X11" s="15" t="str">
        <f t="shared" si="4"/>
        <v>ELEBIO</v>
      </c>
      <c r="Y11" s="15" t="s">
        <v>42</v>
      </c>
      <c r="Z11" s="8">
        <f t="shared" si="5"/>
        <v>2030</v>
      </c>
      <c r="AA11" s="8">
        <f t="shared" si="6"/>
        <v>4.4336401924287665E-3</v>
      </c>
      <c r="AB11" s="8">
        <f t="shared" si="7"/>
        <v>0.6132393388387839</v>
      </c>
      <c r="AC11" s="8">
        <f t="shared" si="8"/>
        <v>0.12177871850880231</v>
      </c>
      <c r="AD11" s="8">
        <f t="shared" si="9"/>
        <v>4.4336401924287665E-3</v>
      </c>
      <c r="AE11" s="8">
        <f t="shared" si="10"/>
        <v>6.7466548491154119E-2</v>
      </c>
      <c r="AF11" s="8">
        <f t="shared" si="11"/>
        <v>2.7695773383370952</v>
      </c>
      <c r="AG11" s="8">
        <f t="shared" si="12"/>
        <v>4.4336401924287665E-3</v>
      </c>
      <c r="AH11" s="8">
        <f t="shared" si="13"/>
        <v>6.632105971873008</v>
      </c>
      <c r="AI11" s="8">
        <f t="shared" si="14"/>
        <v>7.6077976517150852</v>
      </c>
      <c r="AJ11" s="8">
        <f t="shared" si="15"/>
        <v>1.524887425979423</v>
      </c>
      <c r="AK11" s="8">
        <f t="shared" si="16"/>
        <v>6.8913068554793105E-3</v>
      </c>
      <c r="AL11" s="8">
        <f t="shared" si="17"/>
        <v>4.4336401924287665E-3</v>
      </c>
      <c r="AM11" s="8">
        <f t="shared" si="18"/>
        <v>0.21862325889624221</v>
      </c>
      <c r="AN11" s="8">
        <f t="shared" si="19"/>
        <v>4.4336401924287665E-3</v>
      </c>
      <c r="AO11" s="8">
        <f t="shared" si="20"/>
        <v>0.2688589066898196</v>
      </c>
      <c r="AP11" s="8">
        <f t="shared" si="21"/>
        <v>2.9918027962794184E-2</v>
      </c>
      <c r="AQ11" s="8">
        <f t="shared" si="22"/>
        <v>0.44690785012683376</v>
      </c>
      <c r="AV11" s="8" t="str">
        <f t="shared" si="23"/>
        <v>*</v>
      </c>
      <c r="AW11" s="15" t="str">
        <f t="shared" si="24"/>
        <v>ELEBIO</v>
      </c>
      <c r="AX11" s="8" t="s">
        <v>45</v>
      </c>
      <c r="AY11" s="8">
        <f t="shared" si="25"/>
        <v>2030</v>
      </c>
      <c r="AZ11" s="8">
        <f t="shared" si="26"/>
        <v>3.627523793805354E-3</v>
      </c>
      <c r="BA11" s="8">
        <f t="shared" si="27"/>
        <v>0.50174127723173223</v>
      </c>
      <c r="BB11" s="8">
        <f t="shared" si="28"/>
        <v>9.9637133325383695E-2</v>
      </c>
      <c r="BC11" s="8">
        <f t="shared" si="29"/>
        <v>3.627523793805354E-3</v>
      </c>
      <c r="BD11" s="8">
        <f t="shared" si="30"/>
        <v>5.5199903310944279E-2</v>
      </c>
      <c r="BE11" s="8">
        <f t="shared" si="31"/>
        <v>2.2660178222758049</v>
      </c>
      <c r="BF11" s="8">
        <f t="shared" si="32"/>
        <v>3.627523793805354E-3</v>
      </c>
      <c r="BG11" s="8">
        <f t="shared" si="33"/>
        <v>5.4262685224415517</v>
      </c>
      <c r="BH11" s="8">
        <f t="shared" si="34"/>
        <v>6.2245617150396146</v>
      </c>
      <c r="BI11" s="8">
        <f t="shared" si="35"/>
        <v>1.2476351667104368</v>
      </c>
      <c r="BJ11" s="8">
        <f t="shared" si="36"/>
        <v>5.6383419726648903E-3</v>
      </c>
      <c r="BK11" s="8">
        <f t="shared" si="37"/>
        <v>3.627523793805354E-3</v>
      </c>
      <c r="BL11" s="8">
        <f t="shared" si="38"/>
        <v>0.17887357546056179</v>
      </c>
      <c r="BM11" s="8">
        <f t="shared" si="39"/>
        <v>3.627523793805354E-3</v>
      </c>
      <c r="BN11" s="8">
        <f t="shared" si="40"/>
        <v>0.21997546910985238</v>
      </c>
      <c r="BO11" s="8">
        <f t="shared" si="41"/>
        <v>2.4478386515013422E-2</v>
      </c>
      <c r="BP11" s="8">
        <f t="shared" si="42"/>
        <v>0.36565187737650034</v>
      </c>
    </row>
    <row r="12" spans="2:68" ht="18.75" customHeight="1" x14ac:dyDescent="0.3">
      <c r="B12" s="2" t="s">
        <v>1</v>
      </c>
      <c r="C12" s="3">
        <v>2040</v>
      </c>
      <c r="D12" s="5">
        <v>1.20917459793512E-2</v>
      </c>
      <c r="E12" s="6">
        <v>0.56555147202149203</v>
      </c>
      <c r="F12" s="6">
        <v>0.12658600938291301</v>
      </c>
      <c r="G12" s="6">
        <v>1.20917459793512E-2</v>
      </c>
      <c r="H12" s="6">
        <v>6.9394389887283206E-2</v>
      </c>
      <c r="I12" s="6">
        <v>2.5271852929816299</v>
      </c>
      <c r="J12" s="6">
        <v>1.20917459793512E-2</v>
      </c>
      <c r="K12" s="6">
        <v>6.0372484111435103</v>
      </c>
      <c r="L12" s="6">
        <v>6.9242408473635901</v>
      </c>
      <c r="M12" s="6">
        <v>1.39300710568637</v>
      </c>
      <c r="N12" s="6">
        <v>1.4325988400306199E-2</v>
      </c>
      <c r="O12" s="6">
        <v>1.20917459793512E-2</v>
      </c>
      <c r="P12" s="6">
        <v>0.20680958116463599</v>
      </c>
      <c r="Q12" s="6">
        <v>1.20917459793512E-2</v>
      </c>
      <c r="R12" s="6">
        <v>0.25523280749933502</v>
      </c>
      <c r="S12" s="6">
        <v>3.5259371225137899E-2</v>
      </c>
      <c r="T12" s="6">
        <v>0.41434102773790099</v>
      </c>
      <c r="W12" s="8" t="str">
        <f t="shared" si="3"/>
        <v>*</v>
      </c>
      <c r="X12" s="15" t="str">
        <f t="shared" si="4"/>
        <v>ELEBIO</v>
      </c>
      <c r="Y12" s="15" t="s">
        <v>42</v>
      </c>
      <c r="Z12" s="8">
        <f t="shared" si="5"/>
        <v>2040</v>
      </c>
      <c r="AA12" s="8">
        <f t="shared" si="6"/>
        <v>1.3300920577286322E-2</v>
      </c>
      <c r="AB12" s="8">
        <f t="shared" si="7"/>
        <v>0.6221066192236413</v>
      </c>
      <c r="AC12" s="8">
        <f t="shared" si="8"/>
        <v>0.13924461032120433</v>
      </c>
      <c r="AD12" s="8">
        <f t="shared" si="9"/>
        <v>1.3300920577286322E-2</v>
      </c>
      <c r="AE12" s="8">
        <f t="shared" si="10"/>
        <v>7.6333828876011534E-2</v>
      </c>
      <c r="AF12" s="8">
        <f t="shared" si="11"/>
        <v>2.7799038222797932</v>
      </c>
      <c r="AG12" s="8">
        <f t="shared" si="12"/>
        <v>1.3300920577286322E-2</v>
      </c>
      <c r="AH12" s="8">
        <f t="shared" si="13"/>
        <v>6.6409732522578615</v>
      </c>
      <c r="AI12" s="8">
        <f t="shared" si="14"/>
        <v>7.6166649320999493</v>
      </c>
      <c r="AJ12" s="8">
        <f t="shared" si="15"/>
        <v>1.532307816255007</v>
      </c>
      <c r="AK12" s="8">
        <f t="shared" si="16"/>
        <v>1.5758587240336821E-2</v>
      </c>
      <c r="AL12" s="8">
        <f t="shared" si="17"/>
        <v>1.3300920577286322E-2</v>
      </c>
      <c r="AM12" s="8">
        <f t="shared" si="18"/>
        <v>0.22749053928109961</v>
      </c>
      <c r="AN12" s="8">
        <f t="shared" si="19"/>
        <v>1.3300920577286322E-2</v>
      </c>
      <c r="AO12" s="8">
        <f t="shared" si="20"/>
        <v>0.28075608824926856</v>
      </c>
      <c r="AP12" s="8">
        <f t="shared" si="21"/>
        <v>3.878530834765169E-2</v>
      </c>
      <c r="AQ12" s="8">
        <f t="shared" si="22"/>
        <v>0.45577513051169111</v>
      </c>
      <c r="AV12" s="8" t="str">
        <f t="shared" si="23"/>
        <v>*</v>
      </c>
      <c r="AW12" s="15" t="str">
        <f t="shared" si="24"/>
        <v>ELEBIO</v>
      </c>
      <c r="AX12" s="8" t="s">
        <v>45</v>
      </c>
      <c r="AY12" s="8">
        <f t="shared" si="25"/>
        <v>2040</v>
      </c>
      <c r="AZ12" s="8">
        <f t="shared" si="26"/>
        <v>1.088257138141608E-2</v>
      </c>
      <c r="BA12" s="8">
        <f t="shared" si="27"/>
        <v>0.50899632481934287</v>
      </c>
      <c r="BB12" s="8">
        <f t="shared" si="28"/>
        <v>0.11392740844462171</v>
      </c>
      <c r="BC12" s="8">
        <f t="shared" si="29"/>
        <v>1.088257138141608E-2</v>
      </c>
      <c r="BD12" s="8">
        <f t="shared" si="30"/>
        <v>6.2454950898554885E-2</v>
      </c>
      <c r="BE12" s="8">
        <f t="shared" si="31"/>
        <v>2.274466763683467</v>
      </c>
      <c r="BF12" s="8">
        <f t="shared" si="32"/>
        <v>1.088257138141608E-2</v>
      </c>
      <c r="BG12" s="8">
        <f t="shared" si="33"/>
        <v>5.4335235700291591</v>
      </c>
      <c r="BH12" s="8">
        <f t="shared" si="34"/>
        <v>6.2318167626272309</v>
      </c>
      <c r="BI12" s="8">
        <f t="shared" si="35"/>
        <v>1.253706395117733</v>
      </c>
      <c r="BJ12" s="8">
        <f t="shared" si="36"/>
        <v>1.2893389560275579E-2</v>
      </c>
      <c r="BK12" s="8">
        <f t="shared" si="37"/>
        <v>1.088257138141608E-2</v>
      </c>
      <c r="BL12" s="8">
        <f t="shared" si="38"/>
        <v>0.1861286230481724</v>
      </c>
      <c r="BM12" s="8">
        <f t="shared" si="39"/>
        <v>1.088257138141608E-2</v>
      </c>
      <c r="BN12" s="8">
        <f t="shared" si="40"/>
        <v>0.22970952674940154</v>
      </c>
      <c r="BO12" s="8">
        <f t="shared" si="41"/>
        <v>3.1733434102624108E-2</v>
      </c>
      <c r="BP12" s="8">
        <f t="shared" si="42"/>
        <v>0.37290692496411088</v>
      </c>
    </row>
    <row r="13" spans="2:68" ht="18.75" customHeight="1" x14ac:dyDescent="0.3">
      <c r="B13" s="2" t="s">
        <v>1</v>
      </c>
      <c r="C13" s="3">
        <v>2050</v>
      </c>
      <c r="D13" s="5">
        <v>2.0152909965585299E-2</v>
      </c>
      <c r="E13" s="6">
        <v>0.57361263600772605</v>
      </c>
      <c r="F13" s="6">
        <v>0.13985845302220501</v>
      </c>
      <c r="G13" s="6">
        <v>2.0152909965585299E-2</v>
      </c>
      <c r="H13" s="6">
        <v>7.7455553873517394E-2</v>
      </c>
      <c r="I13" s="6">
        <v>2.53613082276049</v>
      </c>
      <c r="J13" s="6">
        <v>2.0152909965585299E-2</v>
      </c>
      <c r="K13" s="6">
        <v>6.0468346213041198</v>
      </c>
      <c r="L13" s="6">
        <v>6.9323020113498197</v>
      </c>
      <c r="M13" s="6">
        <v>5.7625623065857798</v>
      </c>
      <c r="N13" s="6">
        <v>2.23871523865403E-2</v>
      </c>
      <c r="O13" s="6">
        <v>2.0152909965585299E-2</v>
      </c>
      <c r="P13" s="6">
        <v>0.21487074515087001</v>
      </c>
      <c r="Q13" s="6">
        <v>1.98927717409552</v>
      </c>
      <c r="R13" s="6">
        <v>0.27374903254100402</v>
      </c>
      <c r="S13" s="6">
        <v>4.3320535211371997E-2</v>
      </c>
      <c r="T13" s="6">
        <v>0.42461310620570702</v>
      </c>
      <c r="W13" s="8" t="str">
        <f t="shared" si="3"/>
        <v>*</v>
      </c>
      <c r="X13" s="15" t="str">
        <f t="shared" si="4"/>
        <v>ELEBIO</v>
      </c>
      <c r="Y13" s="15" t="s">
        <v>42</v>
      </c>
      <c r="Z13" s="8">
        <f t="shared" si="5"/>
        <v>2050</v>
      </c>
      <c r="AA13" s="8">
        <f t="shared" si="6"/>
        <v>2.2168200962143832E-2</v>
      </c>
      <c r="AB13" s="8">
        <f t="shared" si="7"/>
        <v>0.6309738996084987</v>
      </c>
      <c r="AC13" s="8">
        <f t="shared" si="8"/>
        <v>0.15384429832442553</v>
      </c>
      <c r="AD13" s="8">
        <f t="shared" si="9"/>
        <v>2.2168200962143832E-2</v>
      </c>
      <c r="AE13" s="8">
        <f t="shared" si="10"/>
        <v>8.5201109260869143E-2</v>
      </c>
      <c r="AF13" s="8">
        <f t="shared" si="11"/>
        <v>2.7897439050365391</v>
      </c>
      <c r="AG13" s="8">
        <f t="shared" si="12"/>
        <v>2.2168200962143832E-2</v>
      </c>
      <c r="AH13" s="8">
        <f t="shared" si="13"/>
        <v>6.6515180834345324</v>
      </c>
      <c r="AI13" s="8">
        <f t="shared" si="14"/>
        <v>7.625532212484802</v>
      </c>
      <c r="AJ13" s="8">
        <f t="shared" si="15"/>
        <v>6.3388185372443582</v>
      </c>
      <c r="AK13" s="8">
        <f t="shared" si="16"/>
        <v>2.4625867625194333E-2</v>
      </c>
      <c r="AL13" s="8">
        <f t="shared" si="17"/>
        <v>2.2168200962143832E-2</v>
      </c>
      <c r="AM13" s="8">
        <f t="shared" si="18"/>
        <v>0.23635781966595704</v>
      </c>
      <c r="AN13" s="8">
        <f t="shared" si="19"/>
        <v>2.1882048915050722</v>
      </c>
      <c r="AO13" s="8">
        <f t="shared" si="20"/>
        <v>0.30112393579510444</v>
      </c>
      <c r="AP13" s="8">
        <f t="shared" si="21"/>
        <v>4.7652588732509202E-2</v>
      </c>
      <c r="AQ13" s="8">
        <f t="shared" si="22"/>
        <v>0.46707441682627776</v>
      </c>
      <c r="AV13" s="8" t="str">
        <f t="shared" si="23"/>
        <v>*</v>
      </c>
      <c r="AW13" s="15" t="str">
        <f t="shared" si="24"/>
        <v>ELEBIO</v>
      </c>
      <c r="AX13" s="8" t="s">
        <v>45</v>
      </c>
      <c r="AY13" s="8">
        <f t="shared" si="25"/>
        <v>2050</v>
      </c>
      <c r="AZ13" s="8">
        <f t="shared" si="26"/>
        <v>1.813761896902677E-2</v>
      </c>
      <c r="BA13" s="8">
        <f t="shared" si="27"/>
        <v>0.51625137240695351</v>
      </c>
      <c r="BB13" s="8">
        <f t="shared" si="28"/>
        <v>0.12587260771998451</v>
      </c>
      <c r="BC13" s="8">
        <f t="shared" si="29"/>
        <v>1.813761896902677E-2</v>
      </c>
      <c r="BD13" s="8">
        <f t="shared" si="30"/>
        <v>6.9709998486165659E-2</v>
      </c>
      <c r="BE13" s="8">
        <f t="shared" si="31"/>
        <v>2.2825177404844412</v>
      </c>
      <c r="BF13" s="8">
        <f t="shared" si="32"/>
        <v>1.813761896902677E-2</v>
      </c>
      <c r="BG13" s="8">
        <f t="shared" si="33"/>
        <v>5.442151159173708</v>
      </c>
      <c r="BH13" s="8">
        <f t="shared" si="34"/>
        <v>6.2390718102148375</v>
      </c>
      <c r="BI13" s="8">
        <f t="shared" si="35"/>
        <v>5.1863060759272024</v>
      </c>
      <c r="BJ13" s="8">
        <f t="shared" si="36"/>
        <v>2.0148437147886271E-2</v>
      </c>
      <c r="BK13" s="8">
        <f t="shared" si="37"/>
        <v>1.813761896902677E-2</v>
      </c>
      <c r="BL13" s="8">
        <f t="shared" si="38"/>
        <v>0.19338367063578302</v>
      </c>
      <c r="BM13" s="8">
        <f t="shared" si="39"/>
        <v>1.7903494566859679</v>
      </c>
      <c r="BN13" s="8">
        <f t="shared" si="40"/>
        <v>0.24637412928690364</v>
      </c>
      <c r="BO13" s="8">
        <f t="shared" si="41"/>
        <v>3.8988481690234798E-2</v>
      </c>
      <c r="BP13" s="8">
        <f t="shared" si="42"/>
        <v>0.38215179558513634</v>
      </c>
    </row>
    <row r="14" spans="2:68" ht="18.75" customHeight="1" x14ac:dyDescent="0.3">
      <c r="B14" s="2" t="s">
        <v>1</v>
      </c>
      <c r="C14" s="3">
        <v>2060</v>
      </c>
      <c r="D14" s="5">
        <v>2.6870546620780401E-2</v>
      </c>
      <c r="E14" s="6">
        <v>0.58033027266292103</v>
      </c>
      <c r="F14" s="6">
        <v>0.18570890476246699</v>
      </c>
      <c r="G14" s="6">
        <v>2.6870546620780401E-2</v>
      </c>
      <c r="H14" s="6">
        <v>8.4173190528712402E-2</v>
      </c>
      <c r="I14" s="6">
        <v>2.54358543090955</v>
      </c>
      <c r="J14" s="6">
        <v>2.6870546620780401E-2</v>
      </c>
      <c r="K14" s="6">
        <v>6.0520272117849396</v>
      </c>
      <c r="L14" s="6">
        <v>6.9390196480050204</v>
      </c>
      <c r="M14" s="6">
        <v>9.8322613715306204</v>
      </c>
      <c r="N14" s="6">
        <v>2.9104789041735399E-2</v>
      </c>
      <c r="O14" s="6">
        <v>2.6870546620780401E-2</v>
      </c>
      <c r="P14" s="6">
        <v>0.22158838180606499</v>
      </c>
      <c r="Q14" s="6">
        <v>3.8272518266065898</v>
      </c>
      <c r="R14" s="6">
        <v>0.28486984141909799</v>
      </c>
      <c r="S14" s="6">
        <v>5.0038171866567102E-2</v>
      </c>
      <c r="T14" s="6">
        <v>0.43206771435475999</v>
      </c>
      <c r="W14" s="8" t="str">
        <f t="shared" si="3"/>
        <v>*</v>
      </c>
      <c r="X14" s="15" t="str">
        <f t="shared" si="4"/>
        <v>ELEBIO</v>
      </c>
      <c r="Y14" s="15" t="s">
        <v>42</v>
      </c>
      <c r="Z14" s="8">
        <f t="shared" si="5"/>
        <v>2060</v>
      </c>
      <c r="AA14" s="8">
        <f t="shared" si="6"/>
        <v>2.9557601282858444E-2</v>
      </c>
      <c r="AB14" s="8">
        <f t="shared" si="7"/>
        <v>0.63836329992921315</v>
      </c>
      <c r="AC14" s="8">
        <f t="shared" si="8"/>
        <v>0.2042797952387137</v>
      </c>
      <c r="AD14" s="8">
        <f t="shared" si="9"/>
        <v>2.9557601282858444E-2</v>
      </c>
      <c r="AE14" s="8">
        <f t="shared" si="10"/>
        <v>9.2590509581583644E-2</v>
      </c>
      <c r="AF14" s="8">
        <f t="shared" si="11"/>
        <v>2.7979439740005052</v>
      </c>
      <c r="AG14" s="8">
        <f t="shared" si="12"/>
        <v>2.9557601282858444E-2</v>
      </c>
      <c r="AH14" s="8">
        <f t="shared" si="13"/>
        <v>6.6572299329634346</v>
      </c>
      <c r="AI14" s="8">
        <f t="shared" si="14"/>
        <v>7.6329216128055233</v>
      </c>
      <c r="AJ14" s="8">
        <f t="shared" si="15"/>
        <v>10.815487508683683</v>
      </c>
      <c r="AK14" s="8">
        <f t="shared" si="16"/>
        <v>3.2015267945908941E-2</v>
      </c>
      <c r="AL14" s="8">
        <f t="shared" si="17"/>
        <v>2.9557601282858444E-2</v>
      </c>
      <c r="AM14" s="8">
        <f t="shared" si="18"/>
        <v>0.24374721998667151</v>
      </c>
      <c r="AN14" s="8">
        <f t="shared" si="19"/>
        <v>4.2099770092672495</v>
      </c>
      <c r="AO14" s="8">
        <f t="shared" si="20"/>
        <v>0.3133568255610078</v>
      </c>
      <c r="AP14" s="8">
        <f t="shared" si="21"/>
        <v>5.5041989053223814E-2</v>
      </c>
      <c r="AQ14" s="8">
        <f t="shared" si="22"/>
        <v>0.47527448579023601</v>
      </c>
      <c r="AV14" s="8" t="str">
        <f t="shared" si="23"/>
        <v>*</v>
      </c>
      <c r="AW14" s="15" t="str">
        <f t="shared" si="24"/>
        <v>ELEBIO</v>
      </c>
      <c r="AX14" s="8" t="s">
        <v>45</v>
      </c>
      <c r="AY14" s="8">
        <f t="shared" si="25"/>
        <v>2060</v>
      </c>
      <c r="AZ14" s="8">
        <f t="shared" si="26"/>
        <v>2.4183491958702362E-2</v>
      </c>
      <c r="BA14" s="8">
        <f t="shared" si="27"/>
        <v>0.52229724539662892</v>
      </c>
      <c r="BB14" s="8">
        <f t="shared" si="28"/>
        <v>0.1671380142862203</v>
      </c>
      <c r="BC14" s="8">
        <f t="shared" si="29"/>
        <v>2.4183491958702362E-2</v>
      </c>
      <c r="BD14" s="8">
        <f t="shared" si="30"/>
        <v>7.5755871475841161E-2</v>
      </c>
      <c r="BE14" s="8">
        <f t="shared" si="31"/>
        <v>2.2892268878185953</v>
      </c>
      <c r="BF14" s="8">
        <f t="shared" si="32"/>
        <v>2.4183491958702362E-2</v>
      </c>
      <c r="BG14" s="8">
        <f t="shared" si="33"/>
        <v>5.4468244906064456</v>
      </c>
      <c r="BH14" s="8">
        <f t="shared" si="34"/>
        <v>6.2451176832045183</v>
      </c>
      <c r="BI14" s="8">
        <f t="shared" si="35"/>
        <v>8.849035234377558</v>
      </c>
      <c r="BJ14" s="8">
        <f t="shared" si="36"/>
        <v>2.619431013756186E-2</v>
      </c>
      <c r="BK14" s="8">
        <f t="shared" si="37"/>
        <v>2.4183491958702362E-2</v>
      </c>
      <c r="BL14" s="8">
        <f t="shared" si="38"/>
        <v>0.19942954362545851</v>
      </c>
      <c r="BM14" s="8">
        <f t="shared" si="39"/>
        <v>3.444526643945931</v>
      </c>
      <c r="BN14" s="8">
        <f t="shared" si="40"/>
        <v>0.25638285727718818</v>
      </c>
      <c r="BO14" s="8">
        <f t="shared" si="41"/>
        <v>4.5034354679910391E-2</v>
      </c>
      <c r="BP14" s="8">
        <f t="shared" si="42"/>
        <v>0.38886094291928402</v>
      </c>
    </row>
    <row r="15" spans="2:68" ht="18.75" customHeight="1" x14ac:dyDescent="0.3">
      <c r="B15" s="2" t="s">
        <v>1</v>
      </c>
      <c r="C15" s="3">
        <v>2070</v>
      </c>
      <c r="D15" s="5">
        <v>3.35881832759755E-2</v>
      </c>
      <c r="E15" s="6">
        <v>0.58704790931811601</v>
      </c>
      <c r="F15" s="6">
        <v>0.25208960669032798</v>
      </c>
      <c r="G15" s="6">
        <v>3.35881832759755E-2</v>
      </c>
      <c r="H15" s="6">
        <v>9.0890827183907494E-2</v>
      </c>
      <c r="I15" s="6">
        <v>2.5510400390585999</v>
      </c>
      <c r="J15" s="6">
        <v>3.35881832759755E-2</v>
      </c>
      <c r="K15" s="6">
        <v>6.0587448484401403</v>
      </c>
      <c r="L15" s="6">
        <v>6.9457372846602103</v>
      </c>
      <c r="M15" s="6">
        <v>9.8322613715306204</v>
      </c>
      <c r="N15" s="6">
        <v>3.5822425696930497E-2</v>
      </c>
      <c r="O15" s="6">
        <v>3.35881832759755E-2</v>
      </c>
      <c r="P15" s="6">
        <v>0.22830601846126</v>
      </c>
      <c r="Q15" s="6">
        <v>3.8272518266065898</v>
      </c>
      <c r="R15" s="6">
        <v>0.29599065029719301</v>
      </c>
      <c r="S15" s="6">
        <v>5.6755808521762201E-2</v>
      </c>
      <c r="T15" s="6">
        <v>0.43952232250381301</v>
      </c>
      <c r="W15" s="8" t="str">
        <f t="shared" si="3"/>
        <v>*</v>
      </c>
      <c r="X15" s="15" t="str">
        <f t="shared" si="4"/>
        <v>ELEBIO</v>
      </c>
      <c r="Y15" s="15" t="s">
        <v>42</v>
      </c>
      <c r="Z15" s="8">
        <f t="shared" si="5"/>
        <v>2070</v>
      </c>
      <c r="AA15" s="8">
        <f t="shared" si="6"/>
        <v>3.6947001603573053E-2</v>
      </c>
      <c r="AB15" s="8">
        <f t="shared" si="7"/>
        <v>0.6457527002499277</v>
      </c>
      <c r="AC15" s="8">
        <f t="shared" si="8"/>
        <v>0.27729856735936081</v>
      </c>
      <c r="AD15" s="8">
        <f t="shared" si="9"/>
        <v>3.6947001603573053E-2</v>
      </c>
      <c r="AE15" s="8">
        <f t="shared" si="10"/>
        <v>9.9979909902298256E-2</v>
      </c>
      <c r="AF15" s="8">
        <f t="shared" si="11"/>
        <v>2.8061440429644602</v>
      </c>
      <c r="AG15" s="8">
        <f t="shared" si="12"/>
        <v>3.6947001603573053E-2</v>
      </c>
      <c r="AH15" s="8">
        <f t="shared" si="13"/>
        <v>6.664619333284155</v>
      </c>
      <c r="AI15" s="8">
        <f t="shared" si="14"/>
        <v>7.6403110131262322</v>
      </c>
      <c r="AJ15" s="8">
        <f t="shared" si="15"/>
        <v>10.815487508683683</v>
      </c>
      <c r="AK15" s="8">
        <f t="shared" si="16"/>
        <v>3.9404668266623553E-2</v>
      </c>
      <c r="AL15" s="8">
        <f t="shared" si="17"/>
        <v>3.6947001603573053E-2</v>
      </c>
      <c r="AM15" s="8">
        <f t="shared" si="18"/>
        <v>0.25113662030738604</v>
      </c>
      <c r="AN15" s="8">
        <f t="shared" si="19"/>
        <v>4.2099770092672495</v>
      </c>
      <c r="AO15" s="8">
        <f t="shared" si="20"/>
        <v>0.32558971532691233</v>
      </c>
      <c r="AP15" s="8">
        <f t="shared" si="21"/>
        <v>6.2431389373938426E-2</v>
      </c>
      <c r="AQ15" s="8">
        <f t="shared" si="22"/>
        <v>0.48347455475419437</v>
      </c>
      <c r="AV15" s="8" t="str">
        <f t="shared" si="23"/>
        <v>*</v>
      </c>
      <c r="AW15" s="15" t="str">
        <f t="shared" si="24"/>
        <v>ELEBIO</v>
      </c>
      <c r="AX15" s="8" t="s">
        <v>45</v>
      </c>
      <c r="AY15" s="8">
        <f t="shared" si="25"/>
        <v>2070</v>
      </c>
      <c r="AZ15" s="8">
        <f t="shared" si="26"/>
        <v>3.0229364948377951E-2</v>
      </c>
      <c r="BA15" s="8">
        <f t="shared" si="27"/>
        <v>0.52834311838630443</v>
      </c>
      <c r="BB15" s="8">
        <f t="shared" si="28"/>
        <v>0.22688064602129518</v>
      </c>
      <c r="BC15" s="8">
        <f t="shared" si="29"/>
        <v>3.0229364948377951E-2</v>
      </c>
      <c r="BD15" s="8">
        <f t="shared" si="30"/>
        <v>8.1801744465516746E-2</v>
      </c>
      <c r="BE15" s="8">
        <f t="shared" si="31"/>
        <v>2.29593603515274</v>
      </c>
      <c r="BF15" s="8">
        <f t="shared" si="32"/>
        <v>3.0229364948377951E-2</v>
      </c>
      <c r="BG15" s="8">
        <f t="shared" si="33"/>
        <v>5.4528703635961264</v>
      </c>
      <c r="BH15" s="8">
        <f t="shared" si="34"/>
        <v>6.2511635561941894</v>
      </c>
      <c r="BI15" s="8">
        <f t="shared" si="35"/>
        <v>8.849035234377558</v>
      </c>
      <c r="BJ15" s="8">
        <f t="shared" si="36"/>
        <v>3.2240183127237448E-2</v>
      </c>
      <c r="BK15" s="8">
        <f t="shared" si="37"/>
        <v>3.0229364948377951E-2</v>
      </c>
      <c r="BL15" s="8">
        <f t="shared" si="38"/>
        <v>0.20547541661513399</v>
      </c>
      <c r="BM15" s="8">
        <f t="shared" si="39"/>
        <v>3.444526643945931</v>
      </c>
      <c r="BN15" s="8">
        <f t="shared" si="40"/>
        <v>0.2663915852674737</v>
      </c>
      <c r="BO15" s="8">
        <f t="shared" si="41"/>
        <v>5.1080227669585983E-2</v>
      </c>
      <c r="BP15" s="8">
        <f t="shared" si="42"/>
        <v>0.39557009025343171</v>
      </c>
    </row>
    <row r="16" spans="2:68" ht="18.75" customHeight="1" x14ac:dyDescent="0.3">
      <c r="B16" s="2" t="s">
        <v>1</v>
      </c>
      <c r="C16" s="3">
        <v>2080</v>
      </c>
      <c r="D16" s="5">
        <v>4.0305819931170599E-2</v>
      </c>
      <c r="E16" s="6">
        <v>0.59376554597331199</v>
      </c>
      <c r="F16" s="6">
        <v>0.27573932392193201</v>
      </c>
      <c r="G16" s="6">
        <v>4.0305819931170599E-2</v>
      </c>
      <c r="H16" s="6">
        <v>0.102030292802248</v>
      </c>
      <c r="I16" s="6">
        <v>2.5584946472076502</v>
      </c>
      <c r="J16" s="6">
        <v>4.0305819931170599E-2</v>
      </c>
      <c r="K16" s="6">
        <v>6.0654624850953303</v>
      </c>
      <c r="L16" s="6">
        <v>6.9524549213154101</v>
      </c>
      <c r="M16" s="6">
        <v>9.8322613715306204</v>
      </c>
      <c r="N16" s="6">
        <v>4.2540062352125603E-2</v>
      </c>
      <c r="O16" s="6">
        <v>4.0305819931170599E-2</v>
      </c>
      <c r="P16" s="6">
        <v>0.23502365511645601</v>
      </c>
      <c r="Q16" s="6">
        <v>3.8272518266065898</v>
      </c>
      <c r="R16" s="6">
        <v>0.30711145917528798</v>
      </c>
      <c r="S16" s="6">
        <v>6.3473445176957299E-2</v>
      </c>
      <c r="T16" s="6">
        <v>0.44697693065286498</v>
      </c>
      <c r="W16" s="8" t="str">
        <f t="shared" si="3"/>
        <v>*</v>
      </c>
      <c r="X16" s="15" t="str">
        <f t="shared" si="4"/>
        <v>ELEBIO</v>
      </c>
      <c r="Y16" s="15" t="s">
        <v>42</v>
      </c>
      <c r="Z16" s="8">
        <f t="shared" si="5"/>
        <v>2080</v>
      </c>
      <c r="AA16" s="8">
        <f t="shared" si="6"/>
        <v>4.4336401924287665E-2</v>
      </c>
      <c r="AB16" s="8">
        <f t="shared" si="7"/>
        <v>0.65314210057064326</v>
      </c>
      <c r="AC16" s="8">
        <f t="shared" si="8"/>
        <v>0.30331325631412526</v>
      </c>
      <c r="AD16" s="8">
        <f t="shared" si="9"/>
        <v>4.4336401924287665E-2</v>
      </c>
      <c r="AE16" s="8">
        <f t="shared" si="10"/>
        <v>0.1122333220824728</v>
      </c>
      <c r="AF16" s="8">
        <f t="shared" si="11"/>
        <v>2.8143441119284156</v>
      </c>
      <c r="AG16" s="8">
        <f t="shared" si="12"/>
        <v>4.4336401924287665E-2</v>
      </c>
      <c r="AH16" s="8">
        <f t="shared" si="13"/>
        <v>6.6720087336048639</v>
      </c>
      <c r="AI16" s="8">
        <f t="shared" si="14"/>
        <v>7.6477004134469517</v>
      </c>
      <c r="AJ16" s="8">
        <f t="shared" si="15"/>
        <v>10.815487508683683</v>
      </c>
      <c r="AK16" s="8">
        <f t="shared" si="16"/>
        <v>4.6794068587338165E-2</v>
      </c>
      <c r="AL16" s="8">
        <f t="shared" si="17"/>
        <v>4.4336401924287665E-2</v>
      </c>
      <c r="AM16" s="8">
        <f t="shared" si="18"/>
        <v>0.25852602062810165</v>
      </c>
      <c r="AN16" s="8">
        <f t="shared" si="19"/>
        <v>4.2099770092672495</v>
      </c>
      <c r="AO16" s="8">
        <f t="shared" si="20"/>
        <v>0.33782260509281681</v>
      </c>
      <c r="AP16" s="8">
        <f t="shared" si="21"/>
        <v>6.9820789694653038E-2</v>
      </c>
      <c r="AQ16" s="8">
        <f t="shared" si="22"/>
        <v>0.49167462371815152</v>
      </c>
      <c r="AV16" s="8" t="str">
        <f t="shared" si="23"/>
        <v>*</v>
      </c>
      <c r="AW16" s="15" t="str">
        <f t="shared" si="24"/>
        <v>ELEBIO</v>
      </c>
      <c r="AX16" s="8" t="s">
        <v>45</v>
      </c>
      <c r="AY16" s="8">
        <f t="shared" si="25"/>
        <v>2080</v>
      </c>
      <c r="AZ16" s="8">
        <f t="shared" si="26"/>
        <v>3.6275237938053539E-2</v>
      </c>
      <c r="BA16" s="8">
        <f t="shared" si="27"/>
        <v>0.53438899137598084</v>
      </c>
      <c r="BB16" s="8">
        <f t="shared" si="28"/>
        <v>0.24816539152973882</v>
      </c>
      <c r="BC16" s="8">
        <f t="shared" si="29"/>
        <v>3.6275237938053539E-2</v>
      </c>
      <c r="BD16" s="8">
        <f t="shared" si="30"/>
        <v>9.1827263522023195E-2</v>
      </c>
      <c r="BE16" s="8">
        <f t="shared" si="31"/>
        <v>2.3026451824868852</v>
      </c>
      <c r="BF16" s="8">
        <f t="shared" si="32"/>
        <v>3.6275237938053539E-2</v>
      </c>
      <c r="BG16" s="8">
        <f t="shared" si="33"/>
        <v>5.4589162365857975</v>
      </c>
      <c r="BH16" s="8">
        <f t="shared" si="34"/>
        <v>6.2572094291838694</v>
      </c>
      <c r="BI16" s="8">
        <f t="shared" si="35"/>
        <v>8.849035234377558</v>
      </c>
      <c r="BJ16" s="8">
        <f t="shared" si="36"/>
        <v>3.8286056116913041E-2</v>
      </c>
      <c r="BK16" s="8">
        <f t="shared" si="37"/>
        <v>3.6275237938053539E-2</v>
      </c>
      <c r="BL16" s="8">
        <f t="shared" si="38"/>
        <v>0.21152128960481043</v>
      </c>
      <c r="BM16" s="8">
        <f t="shared" si="39"/>
        <v>3.444526643945931</v>
      </c>
      <c r="BN16" s="8">
        <f t="shared" si="40"/>
        <v>0.27640031325775921</v>
      </c>
      <c r="BO16" s="8">
        <f t="shared" si="41"/>
        <v>5.7126100659261568E-2</v>
      </c>
      <c r="BP16" s="8">
        <f t="shared" si="42"/>
        <v>0.4022792375875785</v>
      </c>
    </row>
    <row r="17" spans="2:68" ht="18.75" customHeight="1" x14ac:dyDescent="0.3">
      <c r="B17" s="2" t="s">
        <v>2</v>
      </c>
      <c r="C17" s="3">
        <v>2017</v>
      </c>
      <c r="D17" s="6">
        <v>2.8633411776119901</v>
      </c>
      <c r="E17" s="6">
        <v>39.515608855658698</v>
      </c>
      <c r="F17" s="6">
        <v>24.111137738300201</v>
      </c>
      <c r="G17" s="6">
        <v>2.0290861327877701</v>
      </c>
      <c r="H17" s="6">
        <v>6.9918047717002496</v>
      </c>
      <c r="I17" s="6">
        <v>564.58362241881298</v>
      </c>
      <c r="J17" s="6">
        <v>3.30913552916047</v>
      </c>
      <c r="K17" s="6">
        <v>76.3800707198955</v>
      </c>
      <c r="L17" s="6">
        <v>219.289592939735</v>
      </c>
      <c r="M17" s="6">
        <v>56.935182249580002</v>
      </c>
      <c r="N17" s="6">
        <v>0</v>
      </c>
      <c r="O17" s="6">
        <v>11.672441560560699</v>
      </c>
      <c r="P17" s="6">
        <v>89.927926040043104</v>
      </c>
      <c r="Q17" s="7"/>
      <c r="R17" s="6">
        <v>28.862565687059099</v>
      </c>
      <c r="S17" s="6">
        <v>29.591187032171</v>
      </c>
      <c r="T17" s="6">
        <v>241.67066885325701</v>
      </c>
      <c r="W17" s="8" t="str">
        <f t="shared" si="3"/>
        <v>CAP_BND</v>
      </c>
      <c r="X17" s="15" t="str">
        <f t="shared" si="4"/>
        <v>ELECOA</v>
      </c>
      <c r="Y17" s="15" t="s">
        <v>42</v>
      </c>
      <c r="Z17" s="8">
        <f t="shared" si="5"/>
        <v>2017</v>
      </c>
      <c r="AA17" s="8">
        <f t="shared" si="6"/>
        <v>3.1496752953731892</v>
      </c>
      <c r="AB17" s="8">
        <f t="shared" si="7"/>
        <v>43.467169741224573</v>
      </c>
      <c r="AC17" s="8">
        <f t="shared" si="8"/>
        <v>26.522251512130222</v>
      </c>
      <c r="AD17" s="8">
        <f t="shared" si="9"/>
        <v>2.2319947460665475</v>
      </c>
      <c r="AE17" s="8">
        <f t="shared" si="10"/>
        <v>7.690985248870275</v>
      </c>
      <c r="AF17" s="8">
        <f t="shared" si="11"/>
        <v>621.04198466069431</v>
      </c>
      <c r="AG17" s="8">
        <f t="shared" si="12"/>
        <v>3.6400490820765175</v>
      </c>
      <c r="AH17" s="8">
        <f t="shared" si="13"/>
        <v>84.018077791885062</v>
      </c>
      <c r="AI17" s="8">
        <f t="shared" si="14"/>
        <v>241.21855223370852</v>
      </c>
      <c r="AJ17" s="8">
        <f t="shared" si="15"/>
        <v>62.628700474538007</v>
      </c>
      <c r="AK17" s="8">
        <f t="shared" si="16"/>
        <v>0</v>
      </c>
      <c r="AL17" s="8">
        <f t="shared" si="17"/>
        <v>12.839685716616771</v>
      </c>
      <c r="AM17" s="8">
        <f t="shared" si="18"/>
        <v>98.920718644047426</v>
      </c>
      <c r="AN17" s="8">
        <f t="shared" si="19"/>
        <v>0</v>
      </c>
      <c r="AO17" s="8">
        <f t="shared" si="20"/>
        <v>31.748822255765013</v>
      </c>
      <c r="AP17" s="8">
        <f t="shared" si="21"/>
        <v>32.5503057353881</v>
      </c>
      <c r="AQ17" s="8">
        <f t="shared" si="22"/>
        <v>265.83773573858275</v>
      </c>
      <c r="AV17" s="8" t="str">
        <f t="shared" si="23"/>
        <v>CAP_BND</v>
      </c>
      <c r="AW17" s="15" t="str">
        <f t="shared" si="24"/>
        <v>ELECOA</v>
      </c>
      <c r="AX17" s="8" t="s">
        <v>45</v>
      </c>
      <c r="AY17" s="8">
        <f t="shared" si="25"/>
        <v>2017</v>
      </c>
      <c r="AZ17" s="8">
        <f t="shared" si="26"/>
        <v>2.577007059850791</v>
      </c>
      <c r="BA17" s="8">
        <f t="shared" si="27"/>
        <v>35.56404797009283</v>
      </c>
      <c r="BB17" s="8">
        <f t="shared" si="28"/>
        <v>21.70002396447018</v>
      </c>
      <c r="BC17" s="8">
        <f t="shared" si="29"/>
        <v>1.8261775195089931</v>
      </c>
      <c r="BD17" s="8">
        <f t="shared" si="30"/>
        <v>6.2926242945302251</v>
      </c>
      <c r="BE17" s="8">
        <f t="shared" si="31"/>
        <v>508.1252601769317</v>
      </c>
      <c r="BF17" s="8">
        <f t="shared" si="32"/>
        <v>2.9782219762444231</v>
      </c>
      <c r="BG17" s="8">
        <f t="shared" si="33"/>
        <v>68.742063647905951</v>
      </c>
      <c r="BH17" s="8">
        <f t="shared" si="34"/>
        <v>197.36063364576151</v>
      </c>
      <c r="BI17" s="8">
        <f t="shared" si="35"/>
        <v>51.241664024622004</v>
      </c>
      <c r="BJ17" s="8">
        <f t="shared" si="36"/>
        <v>0</v>
      </c>
      <c r="BK17" s="8">
        <f t="shared" si="37"/>
        <v>10.50519740450463</v>
      </c>
      <c r="BL17" s="8">
        <f t="shared" si="38"/>
        <v>80.935133436038797</v>
      </c>
      <c r="BM17" s="8">
        <f t="shared" si="39"/>
        <v>0</v>
      </c>
      <c r="BN17" s="8">
        <f t="shared" si="40"/>
        <v>25.976309118353189</v>
      </c>
      <c r="BO17" s="8">
        <f t="shared" si="41"/>
        <v>26.632068328953899</v>
      </c>
      <c r="BP17" s="8">
        <f t="shared" si="42"/>
        <v>217.5036019679313</v>
      </c>
    </row>
    <row r="18" spans="2:68" ht="18.75" customHeight="1" x14ac:dyDescent="0.3">
      <c r="B18" s="2" t="s">
        <v>2</v>
      </c>
      <c r="C18" s="3">
        <v>2018</v>
      </c>
      <c r="D18" s="6">
        <v>4.16323992381907</v>
      </c>
      <c r="E18" s="6">
        <v>39.515608855658698</v>
      </c>
      <c r="F18" s="6">
        <v>24.111137738300201</v>
      </c>
      <c r="G18" s="6">
        <v>2.0290861327877701</v>
      </c>
      <c r="H18" s="6">
        <v>5.8839103340914498</v>
      </c>
      <c r="I18" s="6">
        <v>578.63515729954304</v>
      </c>
      <c r="J18" s="6">
        <v>3.30913552916047</v>
      </c>
      <c r="K18" s="6">
        <v>74.998235164247504</v>
      </c>
      <c r="L18" s="6">
        <v>225.204343365136</v>
      </c>
      <c r="M18" s="6">
        <v>57.509209136411798</v>
      </c>
      <c r="N18" s="6">
        <v>0</v>
      </c>
      <c r="O18" s="6">
        <v>11.9218100779201</v>
      </c>
      <c r="P18" s="6">
        <v>95.958199168755499</v>
      </c>
      <c r="Q18" s="7"/>
      <c r="R18" s="6">
        <v>28.862565687059099</v>
      </c>
      <c r="S18" s="6">
        <v>29.881023020582699</v>
      </c>
      <c r="T18" s="6">
        <v>241.67066885325701</v>
      </c>
      <c r="W18" s="8" t="str">
        <f t="shared" si="3"/>
        <v>CAP_BND</v>
      </c>
      <c r="X18" s="15" t="str">
        <f t="shared" si="4"/>
        <v>ELECOA</v>
      </c>
      <c r="Y18" s="15" t="s">
        <v>42</v>
      </c>
      <c r="Z18" s="8">
        <f t="shared" si="5"/>
        <v>2018</v>
      </c>
      <c r="AA18" s="8">
        <f t="shared" si="6"/>
        <v>4.5795639162009776</v>
      </c>
      <c r="AB18" s="8">
        <f t="shared" si="7"/>
        <v>43.467169741224573</v>
      </c>
      <c r="AC18" s="8">
        <f t="shared" si="8"/>
        <v>26.522251512130222</v>
      </c>
      <c r="AD18" s="8">
        <f t="shared" si="9"/>
        <v>2.2319947460665475</v>
      </c>
      <c r="AE18" s="8">
        <f t="shared" si="10"/>
        <v>6.4723013675005951</v>
      </c>
      <c r="AF18" s="8">
        <f t="shared" si="11"/>
        <v>636.49867302949735</v>
      </c>
      <c r="AG18" s="8">
        <f t="shared" si="12"/>
        <v>3.6400490820765175</v>
      </c>
      <c r="AH18" s="8">
        <f t="shared" si="13"/>
        <v>82.498058680672258</v>
      </c>
      <c r="AI18" s="8">
        <f t="shared" si="14"/>
        <v>247.72477770164963</v>
      </c>
      <c r="AJ18" s="8">
        <f t="shared" si="15"/>
        <v>63.260130050052986</v>
      </c>
      <c r="AK18" s="8">
        <f t="shared" si="16"/>
        <v>0</v>
      </c>
      <c r="AL18" s="8">
        <f t="shared" si="17"/>
        <v>13.11399108571211</v>
      </c>
      <c r="AM18" s="8">
        <f t="shared" si="18"/>
        <v>105.55401908563105</v>
      </c>
      <c r="AN18" s="8">
        <f t="shared" si="19"/>
        <v>0</v>
      </c>
      <c r="AO18" s="8">
        <f t="shared" si="20"/>
        <v>31.748822255765013</v>
      </c>
      <c r="AP18" s="8">
        <f t="shared" si="21"/>
        <v>32.869125322640969</v>
      </c>
      <c r="AQ18" s="8">
        <f t="shared" si="22"/>
        <v>265.83773573858275</v>
      </c>
      <c r="AV18" s="8" t="str">
        <f t="shared" si="23"/>
        <v>CAP_BND</v>
      </c>
      <c r="AW18" s="15" t="str">
        <f t="shared" si="24"/>
        <v>ELECOA</v>
      </c>
      <c r="AX18" s="8" t="s">
        <v>45</v>
      </c>
      <c r="AY18" s="8">
        <f t="shared" si="25"/>
        <v>2018</v>
      </c>
      <c r="AZ18" s="8">
        <f t="shared" si="26"/>
        <v>3.7469159314371629</v>
      </c>
      <c r="BA18" s="8">
        <f t="shared" si="27"/>
        <v>35.56404797009283</v>
      </c>
      <c r="BB18" s="8">
        <f t="shared" si="28"/>
        <v>21.70002396447018</v>
      </c>
      <c r="BC18" s="8">
        <f t="shared" si="29"/>
        <v>1.8261775195089931</v>
      </c>
      <c r="BD18" s="8">
        <f t="shared" si="30"/>
        <v>5.2955193006823054</v>
      </c>
      <c r="BE18" s="8">
        <f t="shared" si="31"/>
        <v>520.77164156958872</v>
      </c>
      <c r="BF18" s="8">
        <f t="shared" si="32"/>
        <v>2.9782219762444231</v>
      </c>
      <c r="BG18" s="8">
        <f t="shared" si="33"/>
        <v>67.498411647822749</v>
      </c>
      <c r="BH18" s="8">
        <f t="shared" si="34"/>
        <v>202.68390902862239</v>
      </c>
      <c r="BI18" s="8">
        <f t="shared" si="35"/>
        <v>51.758288222770616</v>
      </c>
      <c r="BJ18" s="8">
        <f t="shared" si="36"/>
        <v>0</v>
      </c>
      <c r="BK18" s="8">
        <f t="shared" si="37"/>
        <v>10.729629070128089</v>
      </c>
      <c r="BL18" s="8">
        <f t="shared" si="38"/>
        <v>86.362379251879958</v>
      </c>
      <c r="BM18" s="8">
        <f t="shared" si="39"/>
        <v>0</v>
      </c>
      <c r="BN18" s="8">
        <f t="shared" si="40"/>
        <v>25.976309118353189</v>
      </c>
      <c r="BO18" s="8">
        <f t="shared" si="41"/>
        <v>26.892920718524429</v>
      </c>
      <c r="BP18" s="8">
        <f t="shared" si="42"/>
        <v>217.5036019679313</v>
      </c>
    </row>
    <row r="19" spans="2:68" ht="18.75" customHeight="1" x14ac:dyDescent="0.3">
      <c r="B19" s="2" t="s">
        <v>2</v>
      </c>
      <c r="C19" s="3">
        <v>2019</v>
      </c>
      <c r="D19" s="6">
        <v>4.16323992381907</v>
      </c>
      <c r="E19" s="6">
        <v>41.031219515017</v>
      </c>
      <c r="F19" s="6">
        <v>24.111137738300201</v>
      </c>
      <c r="G19" s="6">
        <v>0.21710946519931601</v>
      </c>
      <c r="H19" s="6">
        <v>3.0950796397146201</v>
      </c>
      <c r="I19" s="6">
        <v>589.85614309780601</v>
      </c>
      <c r="J19" s="6">
        <v>1.2776784567200099</v>
      </c>
      <c r="K19" s="6">
        <v>49.688333456589397</v>
      </c>
      <c r="L19" s="6">
        <v>218.472979551799</v>
      </c>
      <c r="M19" s="6">
        <v>56.8555163532004</v>
      </c>
      <c r="N19" s="6">
        <v>0</v>
      </c>
      <c r="O19" s="6">
        <v>12.295862853959299</v>
      </c>
      <c r="P19" s="6">
        <v>102.320079109109</v>
      </c>
      <c r="Q19" s="7"/>
      <c r="R19" s="6">
        <v>27.4503318723688</v>
      </c>
      <c r="S19" s="6">
        <v>17.3743298400254</v>
      </c>
      <c r="T19" s="6">
        <v>241.50624922311599</v>
      </c>
      <c r="W19" s="8" t="str">
        <f t="shared" si="3"/>
        <v>CAP_BND</v>
      </c>
      <c r="X19" s="15" t="str">
        <f t="shared" si="4"/>
        <v>ELECOA</v>
      </c>
      <c r="Y19" s="15" t="s">
        <v>42</v>
      </c>
      <c r="Z19" s="8">
        <f t="shared" si="5"/>
        <v>2019</v>
      </c>
      <c r="AA19" s="8">
        <f t="shared" si="6"/>
        <v>4.5795639162009776</v>
      </c>
      <c r="AB19" s="8">
        <f t="shared" si="7"/>
        <v>45.134341466518705</v>
      </c>
      <c r="AC19" s="8">
        <f t="shared" si="8"/>
        <v>26.522251512130222</v>
      </c>
      <c r="AD19" s="8">
        <f t="shared" si="9"/>
        <v>0.23882041171924762</v>
      </c>
      <c r="AE19" s="8">
        <f t="shared" si="10"/>
        <v>3.4045876036860823</v>
      </c>
      <c r="AF19" s="8">
        <f t="shared" si="11"/>
        <v>648.84175740758667</v>
      </c>
      <c r="AG19" s="8">
        <f t="shared" si="12"/>
        <v>1.405446302392011</v>
      </c>
      <c r="AH19" s="8">
        <f t="shared" si="13"/>
        <v>54.657166802248341</v>
      </c>
      <c r="AI19" s="8">
        <f t="shared" si="14"/>
        <v>240.32027750697893</v>
      </c>
      <c r="AJ19" s="8">
        <f t="shared" si="15"/>
        <v>62.541067988520446</v>
      </c>
      <c r="AK19" s="8">
        <f t="shared" si="16"/>
        <v>0</v>
      </c>
      <c r="AL19" s="8">
        <f t="shared" si="17"/>
        <v>13.52544913935523</v>
      </c>
      <c r="AM19" s="8">
        <f t="shared" si="18"/>
        <v>112.55208702001991</v>
      </c>
      <c r="AN19" s="8">
        <f t="shared" si="19"/>
        <v>0</v>
      </c>
      <c r="AO19" s="8">
        <f t="shared" si="20"/>
        <v>30.195365059605681</v>
      </c>
      <c r="AP19" s="8">
        <f t="shared" si="21"/>
        <v>19.111762824027942</v>
      </c>
      <c r="AQ19" s="8">
        <f t="shared" si="22"/>
        <v>265.65687414542759</v>
      </c>
      <c r="AV19" s="8" t="str">
        <f t="shared" si="23"/>
        <v>CAP_BND</v>
      </c>
      <c r="AW19" s="15" t="str">
        <f t="shared" si="24"/>
        <v>ELECOA</v>
      </c>
      <c r="AX19" s="8" t="s">
        <v>45</v>
      </c>
      <c r="AY19" s="8">
        <f t="shared" si="25"/>
        <v>2019</v>
      </c>
      <c r="AZ19" s="8">
        <f t="shared" si="26"/>
        <v>3.7469159314371629</v>
      </c>
      <c r="BA19" s="8">
        <f t="shared" si="27"/>
        <v>36.928097563515301</v>
      </c>
      <c r="BB19" s="8">
        <f t="shared" si="28"/>
        <v>21.70002396447018</v>
      </c>
      <c r="BC19" s="8">
        <f t="shared" si="29"/>
        <v>0.1953985186793844</v>
      </c>
      <c r="BD19" s="8">
        <f t="shared" si="30"/>
        <v>2.7855716757431583</v>
      </c>
      <c r="BE19" s="8">
        <f t="shared" si="31"/>
        <v>530.87052878802547</v>
      </c>
      <c r="BF19" s="8">
        <f t="shared" si="32"/>
        <v>1.1499106110480088</v>
      </c>
      <c r="BG19" s="8">
        <f t="shared" si="33"/>
        <v>44.719500110930461</v>
      </c>
      <c r="BH19" s="8">
        <f t="shared" si="34"/>
        <v>196.6256815966191</v>
      </c>
      <c r="BI19" s="8">
        <f t="shared" si="35"/>
        <v>51.169964717880362</v>
      </c>
      <c r="BJ19" s="8">
        <f t="shared" si="36"/>
        <v>0</v>
      </c>
      <c r="BK19" s="8">
        <f t="shared" si="37"/>
        <v>11.066276568563369</v>
      </c>
      <c r="BL19" s="8">
        <f t="shared" si="38"/>
        <v>92.088071198198108</v>
      </c>
      <c r="BM19" s="8">
        <f t="shared" si="39"/>
        <v>0</v>
      </c>
      <c r="BN19" s="8">
        <f t="shared" si="40"/>
        <v>24.705298685131922</v>
      </c>
      <c r="BO19" s="8">
        <f t="shared" si="41"/>
        <v>15.63689685602286</v>
      </c>
      <c r="BP19" s="8">
        <f t="shared" si="42"/>
        <v>217.35562430080438</v>
      </c>
    </row>
    <row r="20" spans="2:68" ht="18.75" customHeight="1" x14ac:dyDescent="0.3">
      <c r="B20" s="2" t="s">
        <v>2</v>
      </c>
      <c r="C20" s="3">
        <v>2020</v>
      </c>
      <c r="D20" s="6">
        <v>9.8125364319923093E-4</v>
      </c>
      <c r="E20" s="6">
        <v>35.474296393850203</v>
      </c>
      <c r="F20" s="6">
        <v>23.64941041897</v>
      </c>
      <c r="G20" s="6">
        <v>6.3965498662599295E-4</v>
      </c>
      <c r="H20" s="6">
        <v>0.64895134919559105</v>
      </c>
      <c r="I20" s="6">
        <v>574.20795694384503</v>
      </c>
      <c r="J20" s="6">
        <v>0.71104566063089003</v>
      </c>
      <c r="K20" s="6">
        <v>19.072432086547799</v>
      </c>
      <c r="L20" s="6">
        <v>191.390465134377</v>
      </c>
      <c r="M20" s="6">
        <v>46.091794829056703</v>
      </c>
      <c r="N20" s="6">
        <v>1.5276391808071299</v>
      </c>
      <c r="O20" s="6">
        <v>9.4952212711945094E-3</v>
      </c>
      <c r="P20" s="6">
        <v>87.831952037067694</v>
      </c>
      <c r="Q20" s="7"/>
      <c r="R20" s="6">
        <v>24.980198983258401</v>
      </c>
      <c r="S20" s="6">
        <v>8.9681250069367007</v>
      </c>
      <c r="T20" s="6">
        <v>219.18370221326299</v>
      </c>
      <c r="W20" s="8" t="str">
        <f t="shared" si="3"/>
        <v>CAP_BND</v>
      </c>
      <c r="X20" s="15" t="str">
        <f t="shared" si="4"/>
        <v>ELECOA</v>
      </c>
      <c r="Y20" s="15" t="s">
        <v>42</v>
      </c>
      <c r="Z20" s="8">
        <f t="shared" si="5"/>
        <v>2020</v>
      </c>
      <c r="AA20" s="8">
        <f t="shared" si="6"/>
        <v>1.079379007519154E-3</v>
      </c>
      <c r="AB20" s="8">
        <f t="shared" si="7"/>
        <v>39.021726033235225</v>
      </c>
      <c r="AC20" s="8">
        <f t="shared" si="8"/>
        <v>26.014351460867001</v>
      </c>
      <c r="AD20" s="8">
        <f t="shared" si="9"/>
        <v>7.0362048528859226E-4</v>
      </c>
      <c r="AE20" s="8">
        <f t="shared" si="10"/>
        <v>0.71384648411515017</v>
      </c>
      <c r="AF20" s="8">
        <f t="shared" si="11"/>
        <v>631.62875263822957</v>
      </c>
      <c r="AG20" s="8">
        <f t="shared" si="12"/>
        <v>0.78215022669397904</v>
      </c>
      <c r="AH20" s="8">
        <f t="shared" si="13"/>
        <v>20.979675295202579</v>
      </c>
      <c r="AI20" s="8">
        <f t="shared" si="14"/>
        <v>210.5295116478147</v>
      </c>
      <c r="AJ20" s="8">
        <f t="shared" si="15"/>
        <v>50.700974311962376</v>
      </c>
      <c r="AK20" s="8">
        <f t="shared" si="16"/>
        <v>1.6804030988878431</v>
      </c>
      <c r="AL20" s="8">
        <f t="shared" si="17"/>
        <v>1.0444743398313961E-2</v>
      </c>
      <c r="AM20" s="8">
        <f t="shared" si="18"/>
        <v>96.615147240774476</v>
      </c>
      <c r="AN20" s="8">
        <f t="shared" si="19"/>
        <v>0</v>
      </c>
      <c r="AO20" s="8">
        <f t="shared" si="20"/>
        <v>27.478218881584244</v>
      </c>
      <c r="AP20" s="8">
        <f t="shared" si="21"/>
        <v>9.8649375076303709</v>
      </c>
      <c r="AQ20" s="8">
        <f t="shared" si="22"/>
        <v>241.1020724345893</v>
      </c>
      <c r="AV20" s="8" t="str">
        <f t="shared" si="23"/>
        <v>CAP_BND</v>
      </c>
      <c r="AW20" s="15" t="str">
        <f t="shared" si="24"/>
        <v>ELECOA</v>
      </c>
      <c r="AX20" s="8" t="s">
        <v>45</v>
      </c>
      <c r="AY20" s="8">
        <f t="shared" si="25"/>
        <v>2020</v>
      </c>
      <c r="AZ20" s="8">
        <f t="shared" si="26"/>
        <v>8.8312827887930784E-4</v>
      </c>
      <c r="BA20" s="8">
        <f t="shared" si="27"/>
        <v>31.926866754465184</v>
      </c>
      <c r="BB20" s="8">
        <f t="shared" si="28"/>
        <v>21.284469377073002</v>
      </c>
      <c r="BC20" s="8">
        <f t="shared" si="29"/>
        <v>5.7568948796339365E-4</v>
      </c>
      <c r="BD20" s="8">
        <f t="shared" si="30"/>
        <v>0.58405621427603194</v>
      </c>
      <c r="BE20" s="8">
        <f t="shared" si="31"/>
        <v>516.7871612494605</v>
      </c>
      <c r="BF20" s="8">
        <f t="shared" si="32"/>
        <v>0.63994109456780102</v>
      </c>
      <c r="BG20" s="8">
        <f t="shared" si="33"/>
        <v>17.165188877893019</v>
      </c>
      <c r="BH20" s="8">
        <f t="shared" si="34"/>
        <v>172.25141862093929</v>
      </c>
      <c r="BI20" s="8">
        <f t="shared" si="35"/>
        <v>41.482615346151036</v>
      </c>
      <c r="BJ20" s="8">
        <f t="shared" si="36"/>
        <v>1.3748752627264169</v>
      </c>
      <c r="BK20" s="8">
        <f t="shared" si="37"/>
        <v>8.5456991440750595E-3</v>
      </c>
      <c r="BL20" s="8">
        <f t="shared" si="38"/>
        <v>79.048756833360926</v>
      </c>
      <c r="BM20" s="8">
        <f t="shared" si="39"/>
        <v>0</v>
      </c>
      <c r="BN20" s="8">
        <f t="shared" si="40"/>
        <v>22.482179084932561</v>
      </c>
      <c r="BO20" s="8">
        <f t="shared" si="41"/>
        <v>8.0713125062430304</v>
      </c>
      <c r="BP20" s="8">
        <f t="shared" si="42"/>
        <v>197.2653319919367</v>
      </c>
    </row>
    <row r="21" spans="2:68" ht="18.75" customHeight="1" x14ac:dyDescent="0.3">
      <c r="B21" s="2" t="s">
        <v>2</v>
      </c>
      <c r="C21" s="3">
        <v>2021</v>
      </c>
      <c r="D21" s="6">
        <v>9.8125364319923093E-4</v>
      </c>
      <c r="E21" s="6">
        <v>0.844090094939702</v>
      </c>
      <c r="F21" s="6">
        <v>4.6203579053417396</v>
      </c>
      <c r="G21" s="6">
        <v>6.3965498662588204E-4</v>
      </c>
      <c r="H21" s="6">
        <v>2.4144333570141899E-4</v>
      </c>
      <c r="I21" s="6">
        <v>12.9189806674735</v>
      </c>
      <c r="J21" s="6">
        <v>3.5104558395895298E-3</v>
      </c>
      <c r="K21" s="6">
        <v>4.6162790324348402</v>
      </c>
      <c r="L21" s="6">
        <v>6.4840050654913997</v>
      </c>
      <c r="M21" s="6">
        <v>4.7141218355696397</v>
      </c>
      <c r="N21" s="6">
        <v>1.5276391808071299</v>
      </c>
      <c r="O21" s="6">
        <v>1.42575792427961E-3</v>
      </c>
      <c r="P21" s="6">
        <v>26.226033818539101</v>
      </c>
      <c r="Q21" s="7"/>
      <c r="R21" s="6">
        <v>22.833794625335099</v>
      </c>
      <c r="S21" s="6">
        <v>3.7225040072996502E-3</v>
      </c>
      <c r="T21" s="6">
        <v>0.63177499725395603</v>
      </c>
      <c r="W21" s="8" t="str">
        <f t="shared" si="3"/>
        <v>CAP_BND</v>
      </c>
      <c r="X21" s="15" t="str">
        <f t="shared" si="4"/>
        <v>ELECOA</v>
      </c>
      <c r="Y21" s="15" t="s">
        <v>42</v>
      </c>
      <c r="Z21" s="8">
        <f t="shared" si="5"/>
        <v>2021</v>
      </c>
      <c r="AA21" s="8">
        <f t="shared" si="6"/>
        <v>1.079379007519154E-3</v>
      </c>
      <c r="AB21" s="8">
        <f t="shared" si="7"/>
        <v>0.92849910443367223</v>
      </c>
      <c r="AC21" s="8">
        <f t="shared" si="8"/>
        <v>5.0823936958759139</v>
      </c>
      <c r="AD21" s="8">
        <f t="shared" si="9"/>
        <v>7.0362048528847029E-4</v>
      </c>
      <c r="AE21" s="8">
        <f t="shared" si="10"/>
        <v>2.6558766927156093E-4</v>
      </c>
      <c r="AF21" s="8">
        <f t="shared" si="11"/>
        <v>14.21087873422085</v>
      </c>
      <c r="AG21" s="8">
        <f t="shared" si="12"/>
        <v>3.861501423548483E-3</v>
      </c>
      <c r="AH21" s="8">
        <f t="shared" si="13"/>
        <v>5.0779069356783246</v>
      </c>
      <c r="AI21" s="8">
        <f t="shared" si="14"/>
        <v>7.1324055720405406</v>
      </c>
      <c r="AJ21" s="8">
        <f t="shared" si="15"/>
        <v>5.1855340191266039</v>
      </c>
      <c r="AK21" s="8">
        <f t="shared" si="16"/>
        <v>1.6804030988878431</v>
      </c>
      <c r="AL21" s="8">
        <f t="shared" si="17"/>
        <v>1.5683337167075712E-3</v>
      </c>
      <c r="AM21" s="8">
        <f t="shared" si="18"/>
        <v>28.848637200393014</v>
      </c>
      <c r="AN21" s="8">
        <f t="shared" si="19"/>
        <v>0</v>
      </c>
      <c r="AO21" s="8">
        <f t="shared" si="20"/>
        <v>25.117174087868609</v>
      </c>
      <c r="AP21" s="8">
        <f t="shared" si="21"/>
        <v>4.0947544080296152E-3</v>
      </c>
      <c r="AQ21" s="8">
        <f t="shared" si="22"/>
        <v>0.69495249697935169</v>
      </c>
      <c r="AV21" s="8" t="str">
        <f t="shared" si="23"/>
        <v>CAP_BND</v>
      </c>
      <c r="AW21" s="15" t="str">
        <f t="shared" si="24"/>
        <v>ELECOA</v>
      </c>
      <c r="AX21" s="8" t="s">
        <v>45</v>
      </c>
      <c r="AY21" s="8">
        <f t="shared" si="25"/>
        <v>2021</v>
      </c>
      <c r="AZ21" s="8">
        <f t="shared" si="26"/>
        <v>8.8312827887930784E-4</v>
      </c>
      <c r="BA21" s="8">
        <f t="shared" si="27"/>
        <v>0.75968108544573176</v>
      </c>
      <c r="BB21" s="8">
        <f t="shared" si="28"/>
        <v>4.1583221148075662</v>
      </c>
      <c r="BC21" s="8">
        <f t="shared" si="29"/>
        <v>5.756894879632939E-4</v>
      </c>
      <c r="BD21" s="8">
        <f t="shared" si="30"/>
        <v>2.172990021312771E-4</v>
      </c>
      <c r="BE21" s="8">
        <f t="shared" si="31"/>
        <v>11.627082600726149</v>
      </c>
      <c r="BF21" s="8">
        <f t="shared" si="32"/>
        <v>3.1594102556305771E-3</v>
      </c>
      <c r="BG21" s="8">
        <f t="shared" si="33"/>
        <v>4.1546511291913566</v>
      </c>
      <c r="BH21" s="8">
        <f t="shared" si="34"/>
        <v>5.8356045589422596</v>
      </c>
      <c r="BI21" s="8">
        <f t="shared" si="35"/>
        <v>4.2427096520126755</v>
      </c>
      <c r="BJ21" s="8">
        <f t="shared" si="36"/>
        <v>1.3748752627264169</v>
      </c>
      <c r="BK21" s="8">
        <f t="shared" si="37"/>
        <v>1.2831821318516491E-3</v>
      </c>
      <c r="BL21" s="8">
        <f t="shared" si="38"/>
        <v>23.603430436685191</v>
      </c>
      <c r="BM21" s="8">
        <f t="shared" si="39"/>
        <v>0</v>
      </c>
      <c r="BN21" s="8">
        <f t="shared" si="40"/>
        <v>20.550415162801588</v>
      </c>
      <c r="BO21" s="8">
        <f t="shared" si="41"/>
        <v>3.3502536065696852E-3</v>
      </c>
      <c r="BP21" s="8">
        <f t="shared" si="42"/>
        <v>0.56859749752856048</v>
      </c>
    </row>
    <row r="22" spans="2:68" ht="18.75" customHeight="1" x14ac:dyDescent="0.3">
      <c r="B22" s="2" t="s">
        <v>2</v>
      </c>
      <c r="C22" s="3">
        <v>2030</v>
      </c>
      <c r="D22" s="6">
        <v>4.9169984129488302E-3</v>
      </c>
      <c r="E22" s="6">
        <v>1.05364251706503E-2</v>
      </c>
      <c r="F22" s="6">
        <v>8.8511687561926098E-3</v>
      </c>
      <c r="G22" s="6">
        <v>4.5753997563754796E-3</v>
      </c>
      <c r="H22" s="6">
        <v>4.1771881054510204E-3</v>
      </c>
      <c r="I22" s="6">
        <v>1.4077402106363599E-2</v>
      </c>
      <c r="J22" s="6">
        <v>7.44620060933876E-3</v>
      </c>
      <c r="K22" s="6">
        <v>1.38740097512699E-2</v>
      </c>
      <c r="L22" s="6">
        <v>1.2827326916652599E-2</v>
      </c>
      <c r="M22" s="6">
        <v>2.6708673765814899</v>
      </c>
      <c r="N22" s="6">
        <v>1.2905573516899201E-2</v>
      </c>
      <c r="O22" s="6">
        <v>5.3615026940287197E-3</v>
      </c>
      <c r="P22" s="6">
        <v>4.8241833288397004E-3</v>
      </c>
      <c r="Q22" s="6">
        <v>3.9357447697495997E-3</v>
      </c>
      <c r="R22" s="6">
        <v>11.4037723501519</v>
      </c>
      <c r="S22" s="6">
        <v>8.4395781185525997E-3</v>
      </c>
      <c r="T22" s="6">
        <v>5.8641824422486603E-3</v>
      </c>
      <c r="W22" s="8" t="str">
        <f t="shared" si="3"/>
        <v>*</v>
      </c>
      <c r="X22" s="15" t="str">
        <f t="shared" si="4"/>
        <v>ELECOA</v>
      </c>
      <c r="Y22" s="15" t="s">
        <v>42</v>
      </c>
      <c r="Z22" s="8">
        <f t="shared" si="5"/>
        <v>2030</v>
      </c>
      <c r="AA22" s="8">
        <f t="shared" si="6"/>
        <v>5.4086982542437137E-3</v>
      </c>
      <c r="AB22" s="8">
        <f t="shared" si="7"/>
        <v>1.159006768771533E-2</v>
      </c>
      <c r="AC22" s="8">
        <f t="shared" si="8"/>
        <v>9.736285631811871E-3</v>
      </c>
      <c r="AD22" s="8">
        <f t="shared" si="9"/>
        <v>5.0329397320130276E-3</v>
      </c>
      <c r="AE22" s="8">
        <f t="shared" si="10"/>
        <v>4.5949069159961229E-3</v>
      </c>
      <c r="AF22" s="8">
        <f t="shared" si="11"/>
        <v>1.5485142316999961E-2</v>
      </c>
      <c r="AG22" s="8">
        <f t="shared" si="12"/>
        <v>8.1908206702726374E-3</v>
      </c>
      <c r="AH22" s="8">
        <f t="shared" si="13"/>
        <v>1.5261410726396892E-2</v>
      </c>
      <c r="AI22" s="8">
        <f t="shared" si="14"/>
        <v>1.4110059608317861E-2</v>
      </c>
      <c r="AJ22" s="8">
        <f t="shared" si="15"/>
        <v>2.937954114239639</v>
      </c>
      <c r="AK22" s="8">
        <f t="shared" si="16"/>
        <v>1.4196130868589122E-2</v>
      </c>
      <c r="AL22" s="8">
        <f t="shared" si="17"/>
        <v>5.8976529634315921E-3</v>
      </c>
      <c r="AM22" s="8">
        <f t="shared" si="18"/>
        <v>5.3066016617236708E-3</v>
      </c>
      <c r="AN22" s="8">
        <f t="shared" si="19"/>
        <v>4.3293192467245599E-3</v>
      </c>
      <c r="AO22" s="8">
        <f t="shared" si="20"/>
        <v>12.544149585167091</v>
      </c>
      <c r="AP22" s="8">
        <f t="shared" si="21"/>
        <v>9.2835359304078609E-3</v>
      </c>
      <c r="AQ22" s="8">
        <f t="shared" si="22"/>
        <v>6.4506006864735272E-3</v>
      </c>
      <c r="AV22" s="8" t="str">
        <f t="shared" si="23"/>
        <v>*</v>
      </c>
      <c r="AW22" s="15" t="str">
        <f t="shared" si="24"/>
        <v>ELECOA</v>
      </c>
      <c r="AX22" s="8" t="s">
        <v>45</v>
      </c>
      <c r="AY22" s="8">
        <f t="shared" si="25"/>
        <v>2030</v>
      </c>
      <c r="AZ22" s="8">
        <f t="shared" si="26"/>
        <v>4.4252985716539475E-3</v>
      </c>
      <c r="BA22" s="8">
        <f t="shared" si="27"/>
        <v>9.4827826535852696E-3</v>
      </c>
      <c r="BB22" s="8">
        <f t="shared" si="28"/>
        <v>7.9660518805733486E-3</v>
      </c>
      <c r="BC22" s="8">
        <f t="shared" si="29"/>
        <v>4.1178597807379315E-3</v>
      </c>
      <c r="BD22" s="8">
        <f t="shared" si="30"/>
        <v>3.7594692949059184E-3</v>
      </c>
      <c r="BE22" s="8">
        <f t="shared" si="31"/>
        <v>1.2669661895727239E-2</v>
      </c>
      <c r="BF22" s="8">
        <f t="shared" si="32"/>
        <v>6.7015805484048844E-3</v>
      </c>
      <c r="BG22" s="8">
        <f t="shared" si="33"/>
        <v>1.248660877614291E-2</v>
      </c>
      <c r="BH22" s="8">
        <f t="shared" si="34"/>
        <v>1.154459422498734E-2</v>
      </c>
      <c r="BI22" s="8">
        <f t="shared" si="35"/>
        <v>2.4037806389233412</v>
      </c>
      <c r="BJ22" s="8">
        <f t="shared" si="36"/>
        <v>1.1615016165209281E-2</v>
      </c>
      <c r="BK22" s="8">
        <f t="shared" si="37"/>
        <v>4.8253524246258481E-3</v>
      </c>
      <c r="BL22" s="8">
        <f t="shared" si="38"/>
        <v>4.3417649959557308E-3</v>
      </c>
      <c r="BM22" s="8">
        <f t="shared" si="39"/>
        <v>3.5421702927746399E-3</v>
      </c>
      <c r="BN22" s="8">
        <f t="shared" si="40"/>
        <v>10.26339511513671</v>
      </c>
      <c r="BO22" s="8">
        <f t="shared" si="41"/>
        <v>7.5956203066973402E-3</v>
      </c>
      <c r="BP22" s="8">
        <f t="shared" si="42"/>
        <v>5.2777641980237943E-3</v>
      </c>
    </row>
    <row r="23" spans="2:68" ht="18.75" customHeight="1" x14ac:dyDescent="0.3">
      <c r="B23" s="2" t="s">
        <v>2</v>
      </c>
      <c r="C23" s="3">
        <v>2040</v>
      </c>
      <c r="D23" s="6">
        <v>1.2788487952448E-2</v>
      </c>
      <c r="E23" s="6">
        <v>1.8407914710149499E-2</v>
      </c>
      <c r="F23" s="6">
        <v>2.4824089445380001E-2</v>
      </c>
      <c r="G23" s="6">
        <v>1.2446889295874701E-2</v>
      </c>
      <c r="H23" s="6">
        <v>1.18072343092488E-2</v>
      </c>
      <c r="I23" s="6">
        <v>2.3559952004908701E-2</v>
      </c>
      <c r="J23" s="6">
        <v>1.5317690148838299E-2</v>
      </c>
      <c r="K23" s="6">
        <v>2.1745499290769101E-2</v>
      </c>
      <c r="L23" s="6">
        <v>2.0698816456178801E-2</v>
      </c>
      <c r="M23" s="6">
        <v>2.6776131859229202</v>
      </c>
      <c r="N23" s="6">
        <v>2.0777063056398402E-2</v>
      </c>
      <c r="O23" s="6">
        <v>1.32329922335284E-2</v>
      </c>
      <c r="P23" s="6">
        <v>1.26956728683363E-2</v>
      </c>
      <c r="Q23" s="6">
        <v>1.18072343092488E-2</v>
      </c>
      <c r="R23" s="6">
        <v>11.4145944678658</v>
      </c>
      <c r="S23" s="6">
        <v>1.6311067658051601E-2</v>
      </c>
      <c r="T23" s="6">
        <v>1.37356719817479E-2</v>
      </c>
      <c r="W23" s="8" t="str">
        <f t="shared" si="3"/>
        <v>*</v>
      </c>
      <c r="X23" s="15" t="str">
        <f t="shared" si="4"/>
        <v>ELECOA</v>
      </c>
      <c r="Y23" s="15" t="s">
        <v>42</v>
      </c>
      <c r="Z23" s="8">
        <f t="shared" si="5"/>
        <v>2040</v>
      </c>
      <c r="AA23" s="8">
        <f t="shared" si="6"/>
        <v>1.4067336747692801E-2</v>
      </c>
      <c r="AB23" s="8">
        <f t="shared" si="7"/>
        <v>2.024870618116445E-2</v>
      </c>
      <c r="AC23" s="8">
        <f t="shared" si="8"/>
        <v>2.7306498389918003E-2</v>
      </c>
      <c r="AD23" s="8">
        <f t="shared" si="9"/>
        <v>1.3691578225462173E-2</v>
      </c>
      <c r="AE23" s="8">
        <f t="shared" si="10"/>
        <v>1.2987957740173681E-2</v>
      </c>
      <c r="AF23" s="8">
        <f t="shared" si="11"/>
        <v>2.5915947205399574E-2</v>
      </c>
      <c r="AG23" s="8">
        <f t="shared" si="12"/>
        <v>1.684945916372213E-2</v>
      </c>
      <c r="AH23" s="8">
        <f t="shared" si="13"/>
        <v>2.3920049219846012E-2</v>
      </c>
      <c r="AI23" s="8">
        <f t="shared" si="14"/>
        <v>2.2768698101796683E-2</v>
      </c>
      <c r="AJ23" s="8">
        <f t="shared" si="15"/>
        <v>2.9453745045152124</v>
      </c>
      <c r="AK23" s="8">
        <f t="shared" si="16"/>
        <v>2.2854769362038244E-2</v>
      </c>
      <c r="AL23" s="8">
        <f t="shared" si="17"/>
        <v>1.4556291456881242E-2</v>
      </c>
      <c r="AM23" s="8">
        <f t="shared" si="18"/>
        <v>1.3965240155169931E-2</v>
      </c>
      <c r="AN23" s="8">
        <f t="shared" si="19"/>
        <v>1.2987957740173681E-2</v>
      </c>
      <c r="AO23" s="8">
        <f t="shared" si="20"/>
        <v>12.556053914652381</v>
      </c>
      <c r="AP23" s="8">
        <f t="shared" si="21"/>
        <v>1.7942174423856764E-2</v>
      </c>
      <c r="AQ23" s="8">
        <f t="shared" si="22"/>
        <v>1.5109239179922691E-2</v>
      </c>
      <c r="AV23" s="8" t="str">
        <f t="shared" si="23"/>
        <v>*</v>
      </c>
      <c r="AW23" s="15" t="str">
        <f t="shared" si="24"/>
        <v>ELECOA</v>
      </c>
      <c r="AX23" s="8" t="s">
        <v>45</v>
      </c>
      <c r="AY23" s="8">
        <f t="shared" si="25"/>
        <v>2040</v>
      </c>
      <c r="AZ23" s="8">
        <f t="shared" si="26"/>
        <v>1.15096391572032E-2</v>
      </c>
      <c r="BA23" s="8">
        <f t="shared" si="27"/>
        <v>1.6567123239134549E-2</v>
      </c>
      <c r="BB23" s="8">
        <f t="shared" si="28"/>
        <v>2.2341680500842002E-2</v>
      </c>
      <c r="BC23" s="8">
        <f t="shared" si="29"/>
        <v>1.120220036628723E-2</v>
      </c>
      <c r="BD23" s="8">
        <f t="shared" si="30"/>
        <v>1.0626510878323921E-2</v>
      </c>
      <c r="BE23" s="8">
        <f t="shared" si="31"/>
        <v>2.120395680441783E-2</v>
      </c>
      <c r="BF23" s="8">
        <f t="shared" si="32"/>
        <v>1.378592113395447E-2</v>
      </c>
      <c r="BG23" s="8">
        <f t="shared" si="33"/>
        <v>1.9570949361692191E-2</v>
      </c>
      <c r="BH23" s="8">
        <f t="shared" si="34"/>
        <v>1.862893481056092E-2</v>
      </c>
      <c r="BI23" s="8">
        <f t="shared" si="35"/>
        <v>2.4098518673306284</v>
      </c>
      <c r="BJ23" s="8">
        <f t="shared" si="36"/>
        <v>1.8699356750758563E-2</v>
      </c>
      <c r="BK23" s="8">
        <f t="shared" si="37"/>
        <v>1.1909693010175561E-2</v>
      </c>
      <c r="BL23" s="8">
        <f t="shared" si="38"/>
        <v>1.1426105581502671E-2</v>
      </c>
      <c r="BM23" s="8">
        <f t="shared" si="39"/>
        <v>1.0626510878323921E-2</v>
      </c>
      <c r="BN23" s="8">
        <f t="shared" si="40"/>
        <v>10.27313502107922</v>
      </c>
      <c r="BO23" s="8">
        <f t="shared" si="41"/>
        <v>1.4679960892246442E-2</v>
      </c>
      <c r="BP23" s="8">
        <f t="shared" si="42"/>
        <v>1.236210478357311E-2</v>
      </c>
    </row>
    <row r="24" spans="2:68" ht="18.75" customHeight="1" x14ac:dyDescent="0.3">
      <c r="B24" s="2" t="s">
        <v>2</v>
      </c>
      <c r="C24" s="3">
        <v>2050</v>
      </c>
      <c r="D24" s="6">
        <v>2.06599774919475E-2</v>
      </c>
      <c r="E24" s="6">
        <v>2.62794042496487E-2</v>
      </c>
      <c r="F24" s="6">
        <v>3.8096533084671397E-2</v>
      </c>
      <c r="G24" s="6">
        <v>2.0318378835374001E-2</v>
      </c>
      <c r="H24" s="6">
        <v>1.9678723848748001E-2</v>
      </c>
      <c r="I24" s="6">
        <v>3.2505481783747403E-2</v>
      </c>
      <c r="J24" s="6">
        <v>2.3189179688337499E-2</v>
      </c>
      <c r="K24" s="6">
        <v>4.0552236371297602E-2</v>
      </c>
      <c r="L24" s="6">
        <v>2.8570305995651E-2</v>
      </c>
      <c r="M24" s="6">
        <v>2.69393498168504</v>
      </c>
      <c r="N24" s="6">
        <v>2.8648552595897599E-2</v>
      </c>
      <c r="O24" s="6">
        <v>2.1104481773029701E-2</v>
      </c>
      <c r="P24" s="6">
        <v>2.0567162407871799E-2</v>
      </c>
      <c r="Q24" s="6">
        <v>14.8083579547661</v>
      </c>
      <c r="R24" s="6">
        <v>11.4331990320164</v>
      </c>
      <c r="S24" s="6">
        <v>2.4182557197551E-2</v>
      </c>
      <c r="T24" s="6">
        <v>2.1607161521247101E-2</v>
      </c>
      <c r="W24" s="8" t="str">
        <f t="shared" si="3"/>
        <v>*</v>
      </c>
      <c r="X24" s="15" t="str">
        <f t="shared" si="4"/>
        <v>ELECOA</v>
      </c>
      <c r="Y24" s="15" t="s">
        <v>42</v>
      </c>
      <c r="Z24" s="8">
        <f t="shared" si="5"/>
        <v>2050</v>
      </c>
      <c r="AA24" s="8">
        <f t="shared" si="6"/>
        <v>2.2725975241142251E-2</v>
      </c>
      <c r="AB24" s="8">
        <f t="shared" si="7"/>
        <v>2.8907344674613571E-2</v>
      </c>
      <c r="AC24" s="8">
        <f t="shared" si="8"/>
        <v>4.1906186393138541E-2</v>
      </c>
      <c r="AD24" s="8">
        <f t="shared" si="9"/>
        <v>2.2350216718911402E-2</v>
      </c>
      <c r="AE24" s="8">
        <f t="shared" si="10"/>
        <v>2.1646596233622802E-2</v>
      </c>
      <c r="AF24" s="8">
        <f t="shared" si="11"/>
        <v>3.5756029962122148E-2</v>
      </c>
      <c r="AG24" s="8">
        <f t="shared" si="12"/>
        <v>2.5508097657171252E-2</v>
      </c>
      <c r="AH24" s="8">
        <f t="shared" si="13"/>
        <v>4.4607460008427365E-2</v>
      </c>
      <c r="AI24" s="8">
        <f t="shared" si="14"/>
        <v>3.1427336595216106E-2</v>
      </c>
      <c r="AJ24" s="8">
        <f t="shared" si="15"/>
        <v>2.9633284798535442</v>
      </c>
      <c r="AK24" s="8">
        <f t="shared" si="16"/>
        <v>3.1513407855487362E-2</v>
      </c>
      <c r="AL24" s="8">
        <f t="shared" si="17"/>
        <v>2.3214929950332672E-2</v>
      </c>
      <c r="AM24" s="8">
        <f t="shared" si="18"/>
        <v>2.2623878648658981E-2</v>
      </c>
      <c r="AN24" s="8">
        <f t="shared" si="19"/>
        <v>16.28919375024271</v>
      </c>
      <c r="AO24" s="8">
        <f t="shared" si="20"/>
        <v>12.576518935218042</v>
      </c>
      <c r="AP24" s="8">
        <f t="shared" si="21"/>
        <v>2.6600812917306104E-2</v>
      </c>
      <c r="AQ24" s="8">
        <f t="shared" si="22"/>
        <v>2.3767877673371813E-2</v>
      </c>
      <c r="AV24" s="8" t="str">
        <f t="shared" si="23"/>
        <v>*</v>
      </c>
      <c r="AW24" s="15" t="str">
        <f t="shared" si="24"/>
        <v>ELECOA</v>
      </c>
      <c r="AX24" s="8" t="s">
        <v>45</v>
      </c>
      <c r="AY24" s="8">
        <f t="shared" si="25"/>
        <v>2050</v>
      </c>
      <c r="AZ24" s="8">
        <f t="shared" si="26"/>
        <v>1.8593979742752752E-2</v>
      </c>
      <c r="BA24" s="8">
        <f t="shared" si="27"/>
        <v>2.3651463824683829E-2</v>
      </c>
      <c r="BB24" s="8">
        <f t="shared" si="28"/>
        <v>3.428687977620426E-2</v>
      </c>
      <c r="BC24" s="8">
        <f t="shared" si="29"/>
        <v>1.82865409518366E-2</v>
      </c>
      <c r="BD24" s="8">
        <f t="shared" si="30"/>
        <v>1.77108514638732E-2</v>
      </c>
      <c r="BE24" s="8">
        <f t="shared" si="31"/>
        <v>2.9254933605372662E-2</v>
      </c>
      <c r="BF24" s="8">
        <f t="shared" si="32"/>
        <v>2.0870261719503749E-2</v>
      </c>
      <c r="BG24" s="8">
        <f t="shared" si="33"/>
        <v>3.649701273416784E-2</v>
      </c>
      <c r="BH24" s="8">
        <f t="shared" si="34"/>
        <v>2.5713275396085901E-2</v>
      </c>
      <c r="BI24" s="8">
        <f t="shared" si="35"/>
        <v>2.4245414835165362</v>
      </c>
      <c r="BJ24" s="8">
        <f t="shared" si="36"/>
        <v>2.578369733630784E-2</v>
      </c>
      <c r="BK24" s="8">
        <f t="shared" si="37"/>
        <v>1.8994033595726732E-2</v>
      </c>
      <c r="BL24" s="8">
        <f t="shared" si="38"/>
        <v>1.851044616708462E-2</v>
      </c>
      <c r="BM24" s="8">
        <f t="shared" si="39"/>
        <v>13.32752215928949</v>
      </c>
      <c r="BN24" s="8">
        <f t="shared" si="40"/>
        <v>10.289879128814761</v>
      </c>
      <c r="BO24" s="8">
        <f t="shared" si="41"/>
        <v>2.17643014777959E-2</v>
      </c>
      <c r="BP24" s="8">
        <f t="shared" si="42"/>
        <v>1.9446445369122392E-2</v>
      </c>
    </row>
    <row r="25" spans="2:68" ht="18.75" customHeight="1" x14ac:dyDescent="0.3">
      <c r="B25" s="2" t="s">
        <v>2</v>
      </c>
      <c r="C25" s="3">
        <v>2060</v>
      </c>
      <c r="D25" s="6">
        <v>2.72195521081969E-2</v>
      </c>
      <c r="E25" s="6">
        <v>3.2838978865897997E-2</v>
      </c>
      <c r="F25" s="6">
        <v>4.91569027840809E-2</v>
      </c>
      <c r="G25" s="6">
        <v>2.6877953451623301E-2</v>
      </c>
      <c r="H25" s="6">
        <v>2.6238298464997301E-2</v>
      </c>
      <c r="I25" s="6">
        <v>3.9960089932799897E-2</v>
      </c>
      <c r="J25" s="6">
        <v>2.9748754304586799E-2</v>
      </c>
      <c r="K25" s="6">
        <v>5.4421500493899599E-2</v>
      </c>
      <c r="L25" s="6">
        <v>3.5129880611927303E-2</v>
      </c>
      <c r="M25" s="6">
        <v>2.7086781267670101</v>
      </c>
      <c r="N25" s="6">
        <v>3.5208127212146903E-2</v>
      </c>
      <c r="O25" s="6">
        <v>2.7664056389276898E-2</v>
      </c>
      <c r="P25" s="6">
        <v>2.7126737024076399E-2</v>
      </c>
      <c r="Q25" s="6">
        <v>29.7981336643014</v>
      </c>
      <c r="R25" s="6">
        <v>11.444319840894501</v>
      </c>
      <c r="S25" s="6">
        <v>3.07421318138003E-2</v>
      </c>
      <c r="T25" s="6">
        <v>2.8166736137496401E-2</v>
      </c>
      <c r="W25" s="8" t="str">
        <f t="shared" si="3"/>
        <v>*</v>
      </c>
      <c r="X25" s="15" t="str">
        <f t="shared" si="4"/>
        <v>ELECOA</v>
      </c>
      <c r="Y25" s="15" t="s">
        <v>42</v>
      </c>
      <c r="Z25" s="8">
        <f t="shared" si="5"/>
        <v>2060</v>
      </c>
      <c r="AA25" s="8">
        <f t="shared" si="6"/>
        <v>2.9941507319016594E-2</v>
      </c>
      <c r="AB25" s="8">
        <f t="shared" si="7"/>
        <v>3.6122876752487799E-2</v>
      </c>
      <c r="AC25" s="8">
        <f t="shared" si="8"/>
        <v>5.4072593062488995E-2</v>
      </c>
      <c r="AD25" s="8">
        <f t="shared" si="9"/>
        <v>2.9565748796785633E-2</v>
      </c>
      <c r="AE25" s="8">
        <f t="shared" si="10"/>
        <v>2.8862128311497034E-2</v>
      </c>
      <c r="AF25" s="8">
        <f t="shared" si="11"/>
        <v>4.3956098926079892E-2</v>
      </c>
      <c r="AG25" s="8">
        <f t="shared" si="12"/>
        <v>3.272362973504548E-2</v>
      </c>
      <c r="AH25" s="8">
        <f t="shared" si="13"/>
        <v>5.9863650543289564E-2</v>
      </c>
      <c r="AI25" s="8">
        <f t="shared" si="14"/>
        <v>3.8642868673120036E-2</v>
      </c>
      <c r="AJ25" s="8">
        <f t="shared" si="15"/>
        <v>2.9795459394437116</v>
      </c>
      <c r="AK25" s="8">
        <f t="shared" si="16"/>
        <v>3.8728939933361593E-2</v>
      </c>
      <c r="AL25" s="8">
        <f t="shared" si="17"/>
        <v>3.043046202820459E-2</v>
      </c>
      <c r="AM25" s="8">
        <f t="shared" si="18"/>
        <v>2.983941072648404E-2</v>
      </c>
      <c r="AN25" s="8">
        <f t="shared" si="19"/>
        <v>32.777947030731539</v>
      </c>
      <c r="AO25" s="8">
        <f t="shared" si="20"/>
        <v>12.588751824983952</v>
      </c>
      <c r="AP25" s="8">
        <f t="shared" si="21"/>
        <v>3.3816344995180332E-2</v>
      </c>
      <c r="AQ25" s="8">
        <f t="shared" si="22"/>
        <v>3.0983409751246044E-2</v>
      </c>
      <c r="AV25" s="8" t="str">
        <f t="shared" si="23"/>
        <v>*</v>
      </c>
      <c r="AW25" s="15" t="str">
        <f t="shared" si="24"/>
        <v>ELECOA</v>
      </c>
      <c r="AX25" s="8" t="s">
        <v>45</v>
      </c>
      <c r="AY25" s="8">
        <f t="shared" si="25"/>
        <v>2060</v>
      </c>
      <c r="AZ25" s="8">
        <f t="shared" si="26"/>
        <v>2.4497596897377211E-2</v>
      </c>
      <c r="BA25" s="8">
        <f t="shared" si="27"/>
        <v>2.9555080979308198E-2</v>
      </c>
      <c r="BB25" s="8">
        <f t="shared" si="28"/>
        <v>4.4241212505672811E-2</v>
      </c>
      <c r="BC25" s="8">
        <f t="shared" si="29"/>
        <v>2.4190158106460972E-2</v>
      </c>
      <c r="BD25" s="8">
        <f t="shared" si="30"/>
        <v>2.3614468618497572E-2</v>
      </c>
      <c r="BE25" s="8">
        <f t="shared" si="31"/>
        <v>3.5964080939519909E-2</v>
      </c>
      <c r="BF25" s="8">
        <f t="shared" si="32"/>
        <v>2.6773878874128118E-2</v>
      </c>
      <c r="BG25" s="8">
        <f t="shared" si="33"/>
        <v>4.8979350444509642E-2</v>
      </c>
      <c r="BH25" s="8">
        <f t="shared" si="34"/>
        <v>3.1616892550734577E-2</v>
      </c>
      <c r="BI25" s="8">
        <f t="shared" si="35"/>
        <v>2.4378103140903091</v>
      </c>
      <c r="BJ25" s="8">
        <f t="shared" si="36"/>
        <v>3.1687314490932213E-2</v>
      </c>
      <c r="BK25" s="8">
        <f t="shared" si="37"/>
        <v>2.489765075034921E-2</v>
      </c>
      <c r="BL25" s="8">
        <f t="shared" si="38"/>
        <v>2.4414063321668761E-2</v>
      </c>
      <c r="BM25" s="8">
        <f t="shared" si="39"/>
        <v>26.81832029787126</v>
      </c>
      <c r="BN25" s="8">
        <f t="shared" si="40"/>
        <v>10.299887856805052</v>
      </c>
      <c r="BO25" s="8">
        <f t="shared" si="41"/>
        <v>2.7667918632420272E-2</v>
      </c>
      <c r="BP25" s="8">
        <f t="shared" si="42"/>
        <v>2.5350062523746761E-2</v>
      </c>
    </row>
    <row r="26" spans="2:68" ht="18.75" customHeight="1" x14ac:dyDescent="0.3">
      <c r="B26" s="2" t="s">
        <v>2</v>
      </c>
      <c r="C26" s="3">
        <v>2070</v>
      </c>
      <c r="D26" s="6">
        <v>3.3779126724445899E-2</v>
      </c>
      <c r="E26" s="6">
        <v>3.9398553482147401E-2</v>
      </c>
      <c r="F26" s="6">
        <v>6.0217272483490701E-2</v>
      </c>
      <c r="G26" s="6">
        <v>3.3437528067872702E-2</v>
      </c>
      <c r="H26" s="6">
        <v>3.7103008545665998E-2</v>
      </c>
      <c r="I26" s="6">
        <v>4.7414698081876899E-2</v>
      </c>
      <c r="J26" s="6">
        <v>3.63083289208362E-2</v>
      </c>
      <c r="K26" s="6">
        <v>6.5542309371988294E-2</v>
      </c>
      <c r="L26" s="6">
        <v>4.16894552281767E-2</v>
      </c>
      <c r="M26" s="6">
        <v>2.7197989356451102</v>
      </c>
      <c r="N26" s="6">
        <v>4.17677018283963E-2</v>
      </c>
      <c r="O26" s="6">
        <v>3.4223631005526299E-2</v>
      </c>
      <c r="P26" s="6">
        <v>3.3686311640334199E-2</v>
      </c>
      <c r="Q26" s="6">
        <v>40.924139436141601</v>
      </c>
      <c r="R26" s="6">
        <v>11.4554406497726</v>
      </c>
      <c r="S26" s="6">
        <v>3.7301706430049701E-2</v>
      </c>
      <c r="T26" s="6">
        <v>3.4726310753745798E-2</v>
      </c>
      <c r="W26" s="8" t="str">
        <f t="shared" si="3"/>
        <v>*</v>
      </c>
      <c r="X26" s="15" t="str">
        <f t="shared" si="4"/>
        <v>ELECOA</v>
      </c>
      <c r="Y26" s="15" t="s">
        <v>42</v>
      </c>
      <c r="Z26" s="8">
        <f t="shared" si="5"/>
        <v>2070</v>
      </c>
      <c r="AA26" s="8">
        <f t="shared" si="6"/>
        <v>3.7157039396890489E-2</v>
      </c>
      <c r="AB26" s="8">
        <f t="shared" si="7"/>
        <v>4.3338408830362142E-2</v>
      </c>
      <c r="AC26" s="8">
        <f t="shared" si="8"/>
        <v>6.6238999731839776E-2</v>
      </c>
      <c r="AD26" s="8">
        <f t="shared" si="9"/>
        <v>3.6781280874659976E-2</v>
      </c>
      <c r="AE26" s="8">
        <f t="shared" si="10"/>
        <v>4.0813309400232603E-2</v>
      </c>
      <c r="AF26" s="8">
        <f t="shared" si="11"/>
        <v>5.2156167890064595E-2</v>
      </c>
      <c r="AG26" s="8">
        <f t="shared" si="12"/>
        <v>3.9939161812919823E-2</v>
      </c>
      <c r="AH26" s="8">
        <f t="shared" si="13"/>
        <v>7.2096540309187135E-2</v>
      </c>
      <c r="AI26" s="8">
        <f t="shared" si="14"/>
        <v>4.5858400750994371E-2</v>
      </c>
      <c r="AJ26" s="8">
        <f t="shared" si="15"/>
        <v>2.9917788292096215</v>
      </c>
      <c r="AK26" s="8">
        <f t="shared" si="16"/>
        <v>4.5944472011235936E-2</v>
      </c>
      <c r="AL26" s="8">
        <f t="shared" si="17"/>
        <v>3.7645994106078932E-2</v>
      </c>
      <c r="AM26" s="8">
        <f t="shared" si="18"/>
        <v>3.7054942804367622E-2</v>
      </c>
      <c r="AN26" s="8">
        <f t="shared" si="19"/>
        <v>45.016553379755763</v>
      </c>
      <c r="AO26" s="8">
        <f t="shared" si="20"/>
        <v>12.60098471474986</v>
      </c>
      <c r="AP26" s="8">
        <f t="shared" si="21"/>
        <v>4.1031877073054675E-2</v>
      </c>
      <c r="AQ26" s="8">
        <f t="shared" si="22"/>
        <v>3.8198941829120384E-2</v>
      </c>
      <c r="AV26" s="8" t="str">
        <f t="shared" si="23"/>
        <v>*</v>
      </c>
      <c r="AW26" s="15" t="str">
        <f t="shared" si="24"/>
        <v>ELECOA</v>
      </c>
      <c r="AX26" s="8" t="s">
        <v>45</v>
      </c>
      <c r="AY26" s="8">
        <f t="shared" si="25"/>
        <v>2070</v>
      </c>
      <c r="AZ26" s="8">
        <f t="shared" si="26"/>
        <v>3.0401214052001309E-2</v>
      </c>
      <c r="BA26" s="8">
        <f t="shared" si="27"/>
        <v>3.545869813393266E-2</v>
      </c>
      <c r="BB26" s="8">
        <f t="shared" si="28"/>
        <v>5.4195545235141633E-2</v>
      </c>
      <c r="BC26" s="8">
        <f t="shared" si="29"/>
        <v>3.0093775261085431E-2</v>
      </c>
      <c r="BD26" s="8">
        <f t="shared" si="30"/>
        <v>3.3392707691099401E-2</v>
      </c>
      <c r="BE26" s="8">
        <f t="shared" si="31"/>
        <v>4.2673228273689211E-2</v>
      </c>
      <c r="BF26" s="8">
        <f t="shared" si="32"/>
        <v>3.2677496028752584E-2</v>
      </c>
      <c r="BG26" s="8">
        <f t="shared" si="33"/>
        <v>5.8988078434789468E-2</v>
      </c>
      <c r="BH26" s="8">
        <f t="shared" si="34"/>
        <v>3.7520509705359029E-2</v>
      </c>
      <c r="BI26" s="8">
        <f t="shared" si="35"/>
        <v>2.4478190420805994</v>
      </c>
      <c r="BJ26" s="8">
        <f t="shared" si="36"/>
        <v>3.7590931645556672E-2</v>
      </c>
      <c r="BK26" s="8">
        <f t="shared" si="37"/>
        <v>3.0801267904973669E-2</v>
      </c>
      <c r="BL26" s="8">
        <f t="shared" si="38"/>
        <v>3.031768047630078E-2</v>
      </c>
      <c r="BM26" s="8">
        <f t="shared" si="39"/>
        <v>36.83172549252744</v>
      </c>
      <c r="BN26" s="8">
        <f t="shared" si="40"/>
        <v>10.309896584795339</v>
      </c>
      <c r="BO26" s="8">
        <f t="shared" si="41"/>
        <v>3.3571535787044735E-2</v>
      </c>
      <c r="BP26" s="8">
        <f t="shared" si="42"/>
        <v>3.125367967837122E-2</v>
      </c>
    </row>
    <row r="27" spans="2:68" ht="18.75" customHeight="1" x14ac:dyDescent="0.3">
      <c r="B27" s="2" t="s">
        <v>2</v>
      </c>
      <c r="C27" s="3">
        <v>2080</v>
      </c>
      <c r="D27" s="6">
        <v>4.0338701340695199E-2</v>
      </c>
      <c r="E27" s="6">
        <v>4.5958128098398297E-2</v>
      </c>
      <c r="F27" s="6">
        <v>7.1277642182900197E-2</v>
      </c>
      <c r="G27" s="6">
        <v>3.9997102684122002E-2</v>
      </c>
      <c r="H27" s="6">
        <v>4.4727648894315498E-2</v>
      </c>
      <c r="I27" s="6">
        <v>5.4869306230929497E-2</v>
      </c>
      <c r="J27" s="6">
        <v>4.28679035370855E-2</v>
      </c>
      <c r="K27" s="6">
        <v>7.6663118250096599E-2</v>
      </c>
      <c r="L27" s="6">
        <v>4.8249029844399001E-2</v>
      </c>
      <c r="M27" s="6">
        <v>2.7309197445232001</v>
      </c>
      <c r="N27" s="6">
        <v>4.83272764446456E-2</v>
      </c>
      <c r="O27" s="6">
        <v>4.0783205621775599E-2</v>
      </c>
      <c r="P27" s="6">
        <v>4.0245886256586101E-2</v>
      </c>
      <c r="Q27" s="6">
        <v>47.1303547095211</v>
      </c>
      <c r="R27" s="6">
        <v>11.4665614586507</v>
      </c>
      <c r="S27" s="6">
        <v>4.3861281046299001E-2</v>
      </c>
      <c r="T27" s="6">
        <v>4.1285885369973102E-2</v>
      </c>
      <c r="W27" s="8" t="str">
        <f t="shared" si="3"/>
        <v>*</v>
      </c>
      <c r="X27" s="15" t="str">
        <f t="shared" si="4"/>
        <v>ELECOA</v>
      </c>
      <c r="Y27" s="15" t="s">
        <v>42</v>
      </c>
      <c r="Z27" s="8">
        <f t="shared" si="5"/>
        <v>2080</v>
      </c>
      <c r="AA27" s="8">
        <f t="shared" si="6"/>
        <v>4.437257147476472E-2</v>
      </c>
      <c r="AB27" s="8">
        <f t="shared" si="7"/>
        <v>5.0553940908238129E-2</v>
      </c>
      <c r="AC27" s="8">
        <f t="shared" si="8"/>
        <v>7.8405406401190217E-2</v>
      </c>
      <c r="AD27" s="8">
        <f t="shared" si="9"/>
        <v>4.3996812952534207E-2</v>
      </c>
      <c r="AE27" s="8">
        <f t="shared" si="10"/>
        <v>4.9200413783747052E-2</v>
      </c>
      <c r="AF27" s="8">
        <f t="shared" si="11"/>
        <v>6.0356236854022451E-2</v>
      </c>
      <c r="AG27" s="8">
        <f t="shared" si="12"/>
        <v>4.7154693890794054E-2</v>
      </c>
      <c r="AH27" s="8">
        <f t="shared" si="13"/>
        <v>8.4329430075106265E-2</v>
      </c>
      <c r="AI27" s="8">
        <f t="shared" si="14"/>
        <v>5.3073932828838905E-2</v>
      </c>
      <c r="AJ27" s="8">
        <f t="shared" si="15"/>
        <v>3.0040117189755202</v>
      </c>
      <c r="AK27" s="8">
        <f t="shared" si="16"/>
        <v>5.3160004089110167E-2</v>
      </c>
      <c r="AL27" s="8">
        <f t="shared" si="17"/>
        <v>4.4861526183953164E-2</v>
      </c>
      <c r="AM27" s="8">
        <f t="shared" si="18"/>
        <v>4.4270474882244712E-2</v>
      </c>
      <c r="AN27" s="8">
        <f t="shared" si="19"/>
        <v>51.843390180473214</v>
      </c>
      <c r="AO27" s="8">
        <f t="shared" si="20"/>
        <v>12.613217604515771</v>
      </c>
      <c r="AP27" s="8">
        <f t="shared" si="21"/>
        <v>4.8247409150928906E-2</v>
      </c>
      <c r="AQ27" s="8">
        <f t="shared" si="22"/>
        <v>4.5414473906970419E-2</v>
      </c>
      <c r="AV27" s="8" t="str">
        <f t="shared" si="23"/>
        <v>*</v>
      </c>
      <c r="AW27" s="15" t="str">
        <f t="shared" si="24"/>
        <v>ELECOA</v>
      </c>
      <c r="AX27" s="8" t="s">
        <v>45</v>
      </c>
      <c r="AY27" s="8">
        <f t="shared" si="25"/>
        <v>2080</v>
      </c>
      <c r="AZ27" s="8">
        <f t="shared" si="26"/>
        <v>3.6304831206625678E-2</v>
      </c>
      <c r="BA27" s="8">
        <f t="shared" si="27"/>
        <v>4.1362315288558466E-2</v>
      </c>
      <c r="BB27" s="8">
        <f t="shared" si="28"/>
        <v>6.4149877964610177E-2</v>
      </c>
      <c r="BC27" s="8">
        <f t="shared" si="29"/>
        <v>3.5997392415709803E-2</v>
      </c>
      <c r="BD27" s="8">
        <f t="shared" si="30"/>
        <v>4.0254884004883952E-2</v>
      </c>
      <c r="BE27" s="8">
        <f t="shared" si="31"/>
        <v>4.9382375607836551E-2</v>
      </c>
      <c r="BF27" s="8">
        <f t="shared" si="32"/>
        <v>3.8581113183376953E-2</v>
      </c>
      <c r="BG27" s="8">
        <f t="shared" si="33"/>
        <v>6.8996806425086946E-2</v>
      </c>
      <c r="BH27" s="8">
        <f t="shared" si="34"/>
        <v>4.3424126859959104E-2</v>
      </c>
      <c r="BI27" s="8">
        <f t="shared" si="35"/>
        <v>2.4578277700708799</v>
      </c>
      <c r="BJ27" s="8">
        <f t="shared" si="36"/>
        <v>4.349454880018104E-2</v>
      </c>
      <c r="BK27" s="8">
        <f t="shared" si="37"/>
        <v>3.6704885059598041E-2</v>
      </c>
      <c r="BL27" s="8">
        <f t="shared" si="38"/>
        <v>3.622129763092749E-2</v>
      </c>
      <c r="BM27" s="8">
        <f t="shared" si="39"/>
        <v>42.417319238568993</v>
      </c>
      <c r="BN27" s="8">
        <f t="shared" si="40"/>
        <v>10.319905312785631</v>
      </c>
      <c r="BO27" s="8">
        <f t="shared" si="41"/>
        <v>3.9475152941669103E-2</v>
      </c>
      <c r="BP27" s="8">
        <f t="shared" si="42"/>
        <v>3.7157296832975792E-2</v>
      </c>
    </row>
    <row r="28" spans="2:68" ht="18.75" customHeight="1" x14ac:dyDescent="0.3">
      <c r="B28" s="2" t="s">
        <v>3</v>
      </c>
      <c r="C28" s="3">
        <v>2017</v>
      </c>
      <c r="D28" s="6">
        <v>75.916239814377306</v>
      </c>
      <c r="E28" s="6">
        <v>18.246705658910798</v>
      </c>
      <c r="F28" s="6">
        <v>16.8922635287989</v>
      </c>
      <c r="G28" s="6">
        <v>9.9860164830011708</v>
      </c>
      <c r="H28" s="6">
        <v>18.5828978694657</v>
      </c>
      <c r="I28" s="6">
        <v>48.943688663580197</v>
      </c>
      <c r="J28" s="6">
        <v>49.98177118137</v>
      </c>
      <c r="K28" s="6">
        <v>153.51832146893599</v>
      </c>
      <c r="L28" s="6">
        <v>29.1523048243948</v>
      </c>
      <c r="M28" s="6">
        <v>95.967136638318806</v>
      </c>
      <c r="N28" s="6">
        <v>210.077910459034</v>
      </c>
      <c r="O28" s="6">
        <v>43.876881886818701</v>
      </c>
      <c r="P28" s="6">
        <v>132.38322337979099</v>
      </c>
      <c r="Q28" s="6">
        <v>3.5240669754367802</v>
      </c>
      <c r="R28" s="6">
        <v>26.4691887563616</v>
      </c>
      <c r="S28" s="6">
        <v>16.0453302024526</v>
      </c>
      <c r="T28" s="6">
        <v>399.51897131492001</v>
      </c>
      <c r="W28" s="8" t="str">
        <f t="shared" si="3"/>
        <v>CAP_BND</v>
      </c>
      <c r="X28" s="15" t="str">
        <f t="shared" si="4"/>
        <v>ELEGAS</v>
      </c>
      <c r="Y28" s="15" t="s">
        <v>42</v>
      </c>
      <c r="Z28" s="8">
        <f t="shared" si="5"/>
        <v>2017</v>
      </c>
      <c r="AA28" s="8">
        <f t="shared" si="6"/>
        <v>83.507863795815041</v>
      </c>
      <c r="AB28" s="8">
        <f t="shared" si="7"/>
        <v>20.071376224801881</v>
      </c>
      <c r="AC28" s="8">
        <f t="shared" si="8"/>
        <v>18.581489881678792</v>
      </c>
      <c r="AD28" s="8">
        <f t="shared" si="9"/>
        <v>10.984618131301289</v>
      </c>
      <c r="AE28" s="8">
        <f t="shared" si="10"/>
        <v>20.441187656412271</v>
      </c>
      <c r="AF28" s="8">
        <f t="shared" si="11"/>
        <v>53.838057529938219</v>
      </c>
      <c r="AG28" s="8">
        <f t="shared" si="12"/>
        <v>54.979948299507008</v>
      </c>
      <c r="AH28" s="8">
        <f t="shared" si="13"/>
        <v>168.87015361582959</v>
      </c>
      <c r="AI28" s="8">
        <f t="shared" si="14"/>
        <v>32.06753530683428</v>
      </c>
      <c r="AJ28" s="8">
        <f t="shared" si="15"/>
        <v>105.5638503021507</v>
      </c>
      <c r="AK28" s="8">
        <f t="shared" si="16"/>
        <v>231.08570150493742</v>
      </c>
      <c r="AL28" s="8">
        <f t="shared" si="17"/>
        <v>48.264570075500572</v>
      </c>
      <c r="AM28" s="8">
        <f t="shared" si="18"/>
        <v>145.62154571777009</v>
      </c>
      <c r="AN28" s="8">
        <f t="shared" si="19"/>
        <v>3.8764736729804583</v>
      </c>
      <c r="AO28" s="8">
        <f t="shared" si="20"/>
        <v>29.116107631997764</v>
      </c>
      <c r="AP28" s="8">
        <f t="shared" si="21"/>
        <v>17.649863222697864</v>
      </c>
      <c r="AQ28" s="8">
        <f t="shared" si="22"/>
        <v>439.47086844641206</v>
      </c>
      <c r="AV28" s="8" t="str">
        <f t="shared" si="23"/>
        <v>CAP_BND</v>
      </c>
      <c r="AW28" s="15" t="str">
        <f t="shared" si="24"/>
        <v>ELEGAS</v>
      </c>
      <c r="AX28" s="8" t="s">
        <v>45</v>
      </c>
      <c r="AY28" s="8">
        <f t="shared" si="25"/>
        <v>2017</v>
      </c>
      <c r="AZ28" s="8">
        <f t="shared" si="26"/>
        <v>68.324615832939571</v>
      </c>
      <c r="BA28" s="8">
        <f t="shared" si="27"/>
        <v>16.422035093019719</v>
      </c>
      <c r="BB28" s="8">
        <f t="shared" si="28"/>
        <v>15.203037175919009</v>
      </c>
      <c r="BC28" s="8">
        <f t="shared" si="29"/>
        <v>8.9874148347010543</v>
      </c>
      <c r="BD28" s="8">
        <f t="shared" si="30"/>
        <v>16.724608082519129</v>
      </c>
      <c r="BE28" s="8">
        <f t="shared" si="31"/>
        <v>44.049319797222175</v>
      </c>
      <c r="BF28" s="8">
        <f t="shared" si="32"/>
        <v>44.983594063232999</v>
      </c>
      <c r="BG28" s="8">
        <f t="shared" si="33"/>
        <v>138.16648932204239</v>
      </c>
      <c r="BH28" s="8">
        <f t="shared" si="34"/>
        <v>26.237074341955321</v>
      </c>
      <c r="BI28" s="8">
        <f t="shared" si="35"/>
        <v>86.370422974486928</v>
      </c>
      <c r="BJ28" s="8">
        <f t="shared" si="36"/>
        <v>189.07011941313061</v>
      </c>
      <c r="BK28" s="8">
        <f t="shared" si="37"/>
        <v>39.48919369813683</v>
      </c>
      <c r="BL28" s="8">
        <f t="shared" si="38"/>
        <v>119.14490104181189</v>
      </c>
      <c r="BM28" s="8">
        <f t="shared" si="39"/>
        <v>3.171660277893102</v>
      </c>
      <c r="BN28" s="8">
        <f t="shared" si="40"/>
        <v>23.82226988072544</v>
      </c>
      <c r="BO28" s="8">
        <f t="shared" si="41"/>
        <v>14.440797182207341</v>
      </c>
      <c r="BP28" s="8">
        <f t="shared" si="42"/>
        <v>359.56707418342802</v>
      </c>
    </row>
    <row r="29" spans="2:68" ht="18.75" customHeight="1" x14ac:dyDescent="0.3">
      <c r="B29" s="2" t="s">
        <v>3</v>
      </c>
      <c r="C29" s="3">
        <v>2018</v>
      </c>
      <c r="D29" s="6">
        <v>86.516213643933597</v>
      </c>
      <c r="E29" s="6">
        <v>19.466950862782301</v>
      </c>
      <c r="F29" s="6">
        <v>16.9263639332876</v>
      </c>
      <c r="G29" s="6">
        <v>9.9860164830011708</v>
      </c>
      <c r="H29" s="6">
        <v>18.5828978694657</v>
      </c>
      <c r="I29" s="6">
        <v>54.158310076046398</v>
      </c>
      <c r="J29" s="6">
        <v>53.416816465205102</v>
      </c>
      <c r="K29" s="6">
        <v>154.76555776085499</v>
      </c>
      <c r="L29" s="6">
        <v>29.301809908357299</v>
      </c>
      <c r="M29" s="6">
        <v>98.121368170428298</v>
      </c>
      <c r="N29" s="6">
        <v>215.16361619587599</v>
      </c>
      <c r="O29" s="6">
        <v>45.346562078409796</v>
      </c>
      <c r="P29" s="6">
        <v>139.23758432225401</v>
      </c>
      <c r="Q29" s="6">
        <v>3.5431685338382199</v>
      </c>
      <c r="R29" s="6">
        <v>27.381978456616601</v>
      </c>
      <c r="S29" s="6">
        <v>16.5741887062354</v>
      </c>
      <c r="T29" s="6">
        <v>418.046754471501</v>
      </c>
      <c r="W29" s="8" t="str">
        <f t="shared" si="3"/>
        <v>CAP_BND</v>
      </c>
      <c r="X29" s="15" t="str">
        <f t="shared" si="4"/>
        <v>ELEGAS</v>
      </c>
      <c r="Y29" s="15" t="s">
        <v>42</v>
      </c>
      <c r="Z29" s="8">
        <f t="shared" si="5"/>
        <v>2018</v>
      </c>
      <c r="AA29" s="8">
        <f t="shared" si="6"/>
        <v>95.167835008326961</v>
      </c>
      <c r="AB29" s="8">
        <f t="shared" si="7"/>
        <v>21.413645949060534</v>
      </c>
      <c r="AC29" s="8">
        <f t="shared" si="8"/>
        <v>18.619000326616362</v>
      </c>
      <c r="AD29" s="8">
        <f t="shared" si="9"/>
        <v>10.984618131301289</v>
      </c>
      <c r="AE29" s="8">
        <f t="shared" si="10"/>
        <v>20.441187656412271</v>
      </c>
      <c r="AF29" s="8">
        <f t="shared" si="11"/>
        <v>59.574141083651043</v>
      </c>
      <c r="AG29" s="8">
        <f t="shared" si="12"/>
        <v>58.758498111725615</v>
      </c>
      <c r="AH29" s="8">
        <f t="shared" si="13"/>
        <v>170.24211353694051</v>
      </c>
      <c r="AI29" s="8">
        <f t="shared" si="14"/>
        <v>32.231990899193029</v>
      </c>
      <c r="AJ29" s="8">
        <f t="shared" si="15"/>
        <v>107.93350498747114</v>
      </c>
      <c r="AK29" s="8">
        <f t="shared" si="16"/>
        <v>236.67997781546362</v>
      </c>
      <c r="AL29" s="8">
        <f t="shared" si="17"/>
        <v>49.881218286250778</v>
      </c>
      <c r="AM29" s="8">
        <f t="shared" si="18"/>
        <v>153.16134275447942</v>
      </c>
      <c r="AN29" s="8">
        <f t="shared" si="19"/>
        <v>3.8974853872220421</v>
      </c>
      <c r="AO29" s="8">
        <f t="shared" si="20"/>
        <v>30.120176302278264</v>
      </c>
      <c r="AP29" s="8">
        <f t="shared" si="21"/>
        <v>18.231607576858941</v>
      </c>
      <c r="AQ29" s="8">
        <f t="shared" si="22"/>
        <v>459.85142991865115</v>
      </c>
      <c r="AV29" s="8" t="str">
        <f t="shared" si="23"/>
        <v>CAP_BND</v>
      </c>
      <c r="AW29" s="15" t="str">
        <f t="shared" si="24"/>
        <v>ELEGAS</v>
      </c>
      <c r="AX29" s="8" t="s">
        <v>45</v>
      </c>
      <c r="AY29" s="8">
        <f t="shared" si="25"/>
        <v>2018</v>
      </c>
      <c r="AZ29" s="8">
        <f t="shared" si="26"/>
        <v>77.864592279540233</v>
      </c>
      <c r="BA29" s="8">
        <f t="shared" si="27"/>
        <v>17.520255776504072</v>
      </c>
      <c r="BB29" s="8">
        <f t="shared" si="28"/>
        <v>15.23372753995884</v>
      </c>
      <c r="BC29" s="8">
        <f t="shared" si="29"/>
        <v>8.9874148347010543</v>
      </c>
      <c r="BD29" s="8">
        <f t="shared" si="30"/>
        <v>16.724608082519129</v>
      </c>
      <c r="BE29" s="8">
        <f t="shared" si="31"/>
        <v>48.74247906844176</v>
      </c>
      <c r="BF29" s="8">
        <f t="shared" si="32"/>
        <v>48.075134818684596</v>
      </c>
      <c r="BG29" s="8">
        <f t="shared" si="33"/>
        <v>139.2890019847695</v>
      </c>
      <c r="BH29" s="8">
        <f t="shared" si="34"/>
        <v>26.371628917521569</v>
      </c>
      <c r="BI29" s="8">
        <f t="shared" si="35"/>
        <v>88.309231353385471</v>
      </c>
      <c r="BJ29" s="8">
        <f t="shared" si="36"/>
        <v>193.64725457628839</v>
      </c>
      <c r="BK29" s="8">
        <f t="shared" si="37"/>
        <v>40.811905870568815</v>
      </c>
      <c r="BL29" s="8">
        <f t="shared" si="38"/>
        <v>125.31382589002861</v>
      </c>
      <c r="BM29" s="8">
        <f t="shared" si="39"/>
        <v>3.1888516804543978</v>
      </c>
      <c r="BN29" s="8">
        <f t="shared" si="40"/>
        <v>24.643780610954941</v>
      </c>
      <c r="BO29" s="8">
        <f t="shared" si="41"/>
        <v>14.916769835611861</v>
      </c>
      <c r="BP29" s="8">
        <f t="shared" si="42"/>
        <v>376.24207902435091</v>
      </c>
    </row>
    <row r="30" spans="2:68" ht="18.75" customHeight="1" x14ac:dyDescent="0.3">
      <c r="B30" s="2" t="s">
        <v>3</v>
      </c>
      <c r="C30" s="3">
        <v>2019</v>
      </c>
      <c r="D30" s="6">
        <v>92.2548880322598</v>
      </c>
      <c r="E30" s="6">
        <v>20.279066516292701</v>
      </c>
      <c r="F30" s="6">
        <v>17.3651822963126</v>
      </c>
      <c r="G30" s="6">
        <v>4.3136262849589402</v>
      </c>
      <c r="H30" s="6">
        <v>19.004388003242699</v>
      </c>
      <c r="I30" s="6">
        <v>56.923513701541602</v>
      </c>
      <c r="J30" s="6">
        <v>52.767116331268703</v>
      </c>
      <c r="K30" s="6">
        <v>156.33665701405999</v>
      </c>
      <c r="L30" s="6">
        <v>29.310115746355201</v>
      </c>
      <c r="M30" s="6">
        <v>99.615068779800396</v>
      </c>
      <c r="N30" s="6">
        <v>223.29678280887299</v>
      </c>
      <c r="O30" s="6">
        <v>48.442658061622403</v>
      </c>
      <c r="P30" s="6">
        <v>144.78673135638201</v>
      </c>
      <c r="Q30" s="6">
        <v>3.58341824618411</v>
      </c>
      <c r="R30" s="6">
        <v>27.381978456616601</v>
      </c>
      <c r="S30" s="6">
        <v>18.265351906764401</v>
      </c>
      <c r="T30" s="6">
        <v>425.11625552900199</v>
      </c>
      <c r="W30" s="8" t="str">
        <f t="shared" si="3"/>
        <v>CAP_BND</v>
      </c>
      <c r="X30" s="15" t="str">
        <f t="shared" si="4"/>
        <v>ELEGAS</v>
      </c>
      <c r="Y30" s="15" t="s">
        <v>42</v>
      </c>
      <c r="Z30" s="8">
        <f t="shared" si="5"/>
        <v>2019</v>
      </c>
      <c r="AA30" s="8">
        <f t="shared" si="6"/>
        <v>101.48037683548579</v>
      </c>
      <c r="AB30" s="8">
        <f t="shared" si="7"/>
        <v>22.306973167921974</v>
      </c>
      <c r="AC30" s="8">
        <f t="shared" si="8"/>
        <v>19.101700525943862</v>
      </c>
      <c r="AD30" s="8">
        <f t="shared" si="9"/>
        <v>4.7449889134548346</v>
      </c>
      <c r="AE30" s="8">
        <f t="shared" si="10"/>
        <v>20.904826803566969</v>
      </c>
      <c r="AF30" s="8">
        <f t="shared" si="11"/>
        <v>62.615865071695765</v>
      </c>
      <c r="AG30" s="8">
        <f t="shared" si="12"/>
        <v>58.043827964395575</v>
      </c>
      <c r="AH30" s="8">
        <f t="shared" si="13"/>
        <v>171.97032271546601</v>
      </c>
      <c r="AI30" s="8">
        <f t="shared" si="14"/>
        <v>32.241127320990721</v>
      </c>
      <c r="AJ30" s="8">
        <f t="shared" si="15"/>
        <v>109.57657565778044</v>
      </c>
      <c r="AK30" s="8">
        <f t="shared" si="16"/>
        <v>245.62646108976031</v>
      </c>
      <c r="AL30" s="8">
        <f t="shared" si="17"/>
        <v>53.286923867784651</v>
      </c>
      <c r="AM30" s="8">
        <f t="shared" si="18"/>
        <v>159.26540449202022</v>
      </c>
      <c r="AN30" s="8">
        <f t="shared" si="19"/>
        <v>3.9417600708025211</v>
      </c>
      <c r="AO30" s="8">
        <f t="shared" si="20"/>
        <v>30.120176302278264</v>
      </c>
      <c r="AP30" s="8">
        <f t="shared" si="21"/>
        <v>20.091887097440843</v>
      </c>
      <c r="AQ30" s="8">
        <f t="shared" si="22"/>
        <v>467.62788108190222</v>
      </c>
      <c r="AV30" s="8" t="str">
        <f t="shared" si="23"/>
        <v>CAP_BND</v>
      </c>
      <c r="AW30" s="15" t="str">
        <f t="shared" si="24"/>
        <v>ELEGAS</v>
      </c>
      <c r="AX30" s="8" t="s">
        <v>45</v>
      </c>
      <c r="AY30" s="8">
        <f t="shared" si="25"/>
        <v>2019</v>
      </c>
      <c r="AZ30" s="8">
        <f t="shared" si="26"/>
        <v>83.029399229033828</v>
      </c>
      <c r="BA30" s="8">
        <f t="shared" si="27"/>
        <v>18.251159864663432</v>
      </c>
      <c r="BB30" s="8">
        <f t="shared" si="28"/>
        <v>15.62866406668134</v>
      </c>
      <c r="BC30" s="8">
        <f t="shared" si="29"/>
        <v>3.8822636564630462</v>
      </c>
      <c r="BD30" s="8">
        <f t="shared" si="30"/>
        <v>17.103949202918429</v>
      </c>
      <c r="BE30" s="8">
        <f t="shared" si="31"/>
        <v>51.231162331387445</v>
      </c>
      <c r="BF30" s="8">
        <f t="shared" si="32"/>
        <v>47.49040469814183</v>
      </c>
      <c r="BG30" s="8">
        <f t="shared" si="33"/>
        <v>140.70299131265401</v>
      </c>
      <c r="BH30" s="8">
        <f t="shared" si="34"/>
        <v>26.379104171719682</v>
      </c>
      <c r="BI30" s="8">
        <f t="shared" si="35"/>
        <v>89.653561901820353</v>
      </c>
      <c r="BJ30" s="8">
        <f t="shared" si="36"/>
        <v>200.9671045279857</v>
      </c>
      <c r="BK30" s="8">
        <f t="shared" si="37"/>
        <v>43.598392255460162</v>
      </c>
      <c r="BL30" s="8">
        <f t="shared" si="38"/>
        <v>130.30805822074382</v>
      </c>
      <c r="BM30" s="8">
        <f t="shared" si="39"/>
        <v>3.2250764215656988</v>
      </c>
      <c r="BN30" s="8">
        <f t="shared" si="40"/>
        <v>24.643780610954941</v>
      </c>
      <c r="BO30" s="8">
        <f t="shared" si="41"/>
        <v>16.438816716087963</v>
      </c>
      <c r="BP30" s="8">
        <f t="shared" si="42"/>
        <v>382.60462997610182</v>
      </c>
    </row>
    <row r="31" spans="2:68" ht="18.75" customHeight="1" x14ac:dyDescent="0.3">
      <c r="B31" s="2" t="s">
        <v>3</v>
      </c>
      <c r="C31" s="3">
        <v>2020</v>
      </c>
      <c r="D31" s="6">
        <v>96.964117028744099</v>
      </c>
      <c r="E31" s="6">
        <v>21.776922683354002</v>
      </c>
      <c r="F31" s="6">
        <v>17.4549202028617</v>
      </c>
      <c r="G31" s="6">
        <v>5.7319602234592502</v>
      </c>
      <c r="H31" s="6">
        <v>20.769829535005901</v>
      </c>
      <c r="I31" s="6">
        <v>61.348670517698203</v>
      </c>
      <c r="J31" s="6">
        <v>41.505478247040003</v>
      </c>
      <c r="K31" s="6">
        <v>156.43126866567101</v>
      </c>
      <c r="L31" s="6">
        <v>29.795413995090499</v>
      </c>
      <c r="M31" s="6">
        <v>103.334308236805</v>
      </c>
      <c r="N31" s="6">
        <v>221.44660997046401</v>
      </c>
      <c r="O31" s="6">
        <v>52.974361279897501</v>
      </c>
      <c r="P31" s="6">
        <v>155.16823693363801</v>
      </c>
      <c r="Q31" s="6">
        <v>3.5847826432127801</v>
      </c>
      <c r="R31" s="6">
        <v>28.960094232948599</v>
      </c>
      <c r="S31" s="6">
        <v>19.788901126276901</v>
      </c>
      <c r="T31" s="6">
        <v>433.644272448479</v>
      </c>
      <c r="W31" s="8" t="str">
        <f t="shared" si="3"/>
        <v>CAP_BND</v>
      </c>
      <c r="X31" s="15" t="str">
        <f t="shared" si="4"/>
        <v>ELEGAS</v>
      </c>
      <c r="Y31" s="15" t="s">
        <v>42</v>
      </c>
      <c r="Z31" s="8">
        <f t="shared" si="5"/>
        <v>2020</v>
      </c>
      <c r="AA31" s="8">
        <f t="shared" si="6"/>
        <v>106.66052873161851</v>
      </c>
      <c r="AB31" s="8">
        <f t="shared" si="7"/>
        <v>23.954614951689404</v>
      </c>
      <c r="AC31" s="8">
        <f t="shared" si="8"/>
        <v>19.200412223147872</v>
      </c>
      <c r="AD31" s="8">
        <f t="shared" si="9"/>
        <v>6.3051562458051755</v>
      </c>
      <c r="AE31" s="8">
        <f t="shared" si="10"/>
        <v>22.846812488506494</v>
      </c>
      <c r="AF31" s="8">
        <f t="shared" si="11"/>
        <v>67.483537569468027</v>
      </c>
      <c r="AG31" s="8">
        <f t="shared" si="12"/>
        <v>45.656026071744009</v>
      </c>
      <c r="AH31" s="8">
        <f t="shared" si="13"/>
        <v>172.07439553223813</v>
      </c>
      <c r="AI31" s="8">
        <f t="shared" si="14"/>
        <v>32.774955394599552</v>
      </c>
      <c r="AJ31" s="8">
        <f t="shared" si="15"/>
        <v>113.66773906048552</v>
      </c>
      <c r="AK31" s="8">
        <f t="shared" si="16"/>
        <v>243.59127096751044</v>
      </c>
      <c r="AL31" s="8">
        <f t="shared" si="17"/>
        <v>58.271797407887256</v>
      </c>
      <c r="AM31" s="8">
        <f t="shared" si="18"/>
        <v>170.68506062700183</v>
      </c>
      <c r="AN31" s="8">
        <f t="shared" si="19"/>
        <v>3.9432609075340586</v>
      </c>
      <c r="AO31" s="8">
        <f t="shared" si="20"/>
        <v>31.856103656243462</v>
      </c>
      <c r="AP31" s="8">
        <f t="shared" si="21"/>
        <v>21.767791238904593</v>
      </c>
      <c r="AQ31" s="8">
        <f t="shared" si="22"/>
        <v>477.00869969332695</v>
      </c>
      <c r="AV31" s="8" t="str">
        <f t="shared" si="23"/>
        <v>CAP_BND</v>
      </c>
      <c r="AW31" s="15" t="str">
        <f t="shared" si="24"/>
        <v>ELEGAS</v>
      </c>
      <c r="AX31" s="8" t="s">
        <v>45</v>
      </c>
      <c r="AY31" s="8">
        <f t="shared" si="25"/>
        <v>2020</v>
      </c>
      <c r="AZ31" s="8">
        <f t="shared" si="26"/>
        <v>87.267705325869684</v>
      </c>
      <c r="BA31" s="8">
        <f t="shared" si="27"/>
        <v>19.599230415018603</v>
      </c>
      <c r="BB31" s="8">
        <f t="shared" si="28"/>
        <v>15.709428182575531</v>
      </c>
      <c r="BC31" s="8">
        <f t="shared" si="29"/>
        <v>5.1587642011133257</v>
      </c>
      <c r="BD31" s="8">
        <f t="shared" si="30"/>
        <v>18.692846581505311</v>
      </c>
      <c r="BE31" s="8">
        <f t="shared" si="31"/>
        <v>55.213803465928386</v>
      </c>
      <c r="BF31" s="8">
        <f t="shared" si="32"/>
        <v>37.354930422336004</v>
      </c>
      <c r="BG31" s="8">
        <f t="shared" si="33"/>
        <v>140.78814179910393</v>
      </c>
      <c r="BH31" s="8">
        <f t="shared" si="34"/>
        <v>26.81587259558145</v>
      </c>
      <c r="BI31" s="8">
        <f t="shared" si="35"/>
        <v>93.000877413124499</v>
      </c>
      <c r="BJ31" s="8">
        <f t="shared" si="36"/>
        <v>199.30194897341761</v>
      </c>
      <c r="BK31" s="8">
        <f t="shared" si="37"/>
        <v>47.676925151907753</v>
      </c>
      <c r="BL31" s="8">
        <f t="shared" si="38"/>
        <v>139.65141324027422</v>
      </c>
      <c r="BM31" s="8">
        <f t="shared" si="39"/>
        <v>3.226304378891502</v>
      </c>
      <c r="BN31" s="8">
        <f t="shared" si="40"/>
        <v>26.064084809653739</v>
      </c>
      <c r="BO31" s="8">
        <f t="shared" si="41"/>
        <v>17.810011013649213</v>
      </c>
      <c r="BP31" s="8">
        <f t="shared" si="42"/>
        <v>390.27984520363111</v>
      </c>
    </row>
    <row r="32" spans="2:68" ht="18.75" customHeight="1" x14ac:dyDescent="0.3">
      <c r="B32" s="2" t="s">
        <v>3</v>
      </c>
      <c r="C32" s="3">
        <v>2021</v>
      </c>
      <c r="D32" s="6">
        <v>65.755219269060802</v>
      </c>
      <c r="E32" s="6">
        <v>17.305410087230399</v>
      </c>
      <c r="F32" s="6">
        <v>21.624794172895999</v>
      </c>
      <c r="G32" s="6">
        <v>5.5712157104292102</v>
      </c>
      <c r="H32" s="6">
        <v>19.211092645478502</v>
      </c>
      <c r="I32" s="6">
        <v>473.20171075465299</v>
      </c>
      <c r="J32" s="6">
        <v>12.5763074001378</v>
      </c>
      <c r="K32" s="6">
        <v>54.987386903694798</v>
      </c>
      <c r="L32" s="6">
        <v>29.806407100655999</v>
      </c>
      <c r="M32" s="6">
        <v>116.196954796485</v>
      </c>
      <c r="N32" s="6">
        <v>151.526273220169</v>
      </c>
      <c r="O32" s="6">
        <v>22.674344140336601</v>
      </c>
      <c r="P32" s="6">
        <v>78.642599455226701</v>
      </c>
      <c r="Q32" s="6">
        <v>3.5847826432127801</v>
      </c>
      <c r="R32" s="6">
        <v>13.656738207660799</v>
      </c>
      <c r="S32" s="6">
        <v>18.957837399270201</v>
      </c>
      <c r="T32" s="6">
        <v>367.19478327995</v>
      </c>
      <c r="W32" s="8" t="str">
        <f t="shared" si="3"/>
        <v>CAP_BND</v>
      </c>
      <c r="X32" s="15" t="str">
        <f t="shared" si="4"/>
        <v>ELEGAS</v>
      </c>
      <c r="Y32" s="15" t="s">
        <v>42</v>
      </c>
      <c r="Z32" s="8">
        <f t="shared" si="5"/>
        <v>2021</v>
      </c>
      <c r="AA32" s="8">
        <f t="shared" si="6"/>
        <v>72.330741195966894</v>
      </c>
      <c r="AB32" s="8">
        <f t="shared" si="7"/>
        <v>19.03595109595344</v>
      </c>
      <c r="AC32" s="8">
        <f t="shared" si="8"/>
        <v>23.787273590185603</v>
      </c>
      <c r="AD32" s="8">
        <f t="shared" si="9"/>
        <v>6.128337281472132</v>
      </c>
      <c r="AE32" s="8">
        <f t="shared" si="10"/>
        <v>21.132201910026353</v>
      </c>
      <c r="AF32" s="8">
        <f t="shared" si="11"/>
        <v>520.52188183011833</v>
      </c>
      <c r="AG32" s="8">
        <f t="shared" si="12"/>
        <v>13.833938140151581</v>
      </c>
      <c r="AH32" s="8">
        <f t="shared" si="13"/>
        <v>60.486125594064283</v>
      </c>
      <c r="AI32" s="8">
        <f t="shared" si="14"/>
        <v>32.787047810721603</v>
      </c>
      <c r="AJ32" s="8">
        <f t="shared" si="15"/>
        <v>127.81665027613352</v>
      </c>
      <c r="AK32" s="8">
        <f t="shared" si="16"/>
        <v>166.67890054218591</v>
      </c>
      <c r="AL32" s="8">
        <f t="shared" si="17"/>
        <v>24.941778554370263</v>
      </c>
      <c r="AM32" s="8">
        <f t="shared" si="18"/>
        <v>86.506859400749377</v>
      </c>
      <c r="AN32" s="8">
        <f t="shared" si="19"/>
        <v>3.9432609075340586</v>
      </c>
      <c r="AO32" s="8">
        <f t="shared" si="20"/>
        <v>15.022412028426881</v>
      </c>
      <c r="AP32" s="8">
        <f t="shared" si="21"/>
        <v>20.853621139197223</v>
      </c>
      <c r="AQ32" s="8">
        <f t="shared" si="22"/>
        <v>403.91426160794504</v>
      </c>
      <c r="AV32" s="8" t="str">
        <f t="shared" si="23"/>
        <v>CAP_BND</v>
      </c>
      <c r="AW32" s="15" t="str">
        <f t="shared" si="24"/>
        <v>ELEGAS</v>
      </c>
      <c r="AX32" s="8" t="s">
        <v>45</v>
      </c>
      <c r="AY32" s="8">
        <f t="shared" si="25"/>
        <v>2021</v>
      </c>
      <c r="AZ32" s="8">
        <f t="shared" si="26"/>
        <v>59.179697342154725</v>
      </c>
      <c r="BA32" s="8">
        <f t="shared" si="27"/>
        <v>15.57486907850736</v>
      </c>
      <c r="BB32" s="8">
        <f t="shared" si="28"/>
        <v>19.4623147556064</v>
      </c>
      <c r="BC32" s="8">
        <f t="shared" si="29"/>
        <v>5.0140941393862892</v>
      </c>
      <c r="BD32" s="8">
        <f t="shared" si="30"/>
        <v>17.289983380930654</v>
      </c>
      <c r="BE32" s="8">
        <f t="shared" si="31"/>
        <v>425.88153967918771</v>
      </c>
      <c r="BF32" s="8">
        <f t="shared" si="32"/>
        <v>11.318676660124021</v>
      </c>
      <c r="BG32" s="8">
        <f t="shared" si="33"/>
        <v>49.48864821332532</v>
      </c>
      <c r="BH32" s="8">
        <f t="shared" si="34"/>
        <v>26.825766390590399</v>
      </c>
      <c r="BI32" s="8">
        <f t="shared" si="35"/>
        <v>104.5772593168365</v>
      </c>
      <c r="BJ32" s="8">
        <f t="shared" si="36"/>
        <v>136.37364589815212</v>
      </c>
      <c r="BK32" s="8">
        <f t="shared" si="37"/>
        <v>20.406909726302942</v>
      </c>
      <c r="BL32" s="8">
        <f t="shared" si="38"/>
        <v>70.77833950970404</v>
      </c>
      <c r="BM32" s="8">
        <f t="shared" si="39"/>
        <v>3.226304378891502</v>
      </c>
      <c r="BN32" s="8">
        <f t="shared" si="40"/>
        <v>12.291064386894719</v>
      </c>
      <c r="BO32" s="8">
        <f t="shared" si="41"/>
        <v>17.062053659343182</v>
      </c>
      <c r="BP32" s="8">
        <f t="shared" si="42"/>
        <v>330.47530495195502</v>
      </c>
    </row>
    <row r="33" spans="2:68" ht="18.75" customHeight="1" x14ac:dyDescent="0.3">
      <c r="B33" s="2" t="s">
        <v>3</v>
      </c>
      <c r="C33" s="3">
        <v>2030</v>
      </c>
      <c r="D33" s="6">
        <v>67.918890528701994</v>
      </c>
      <c r="E33" s="6">
        <v>17.309255355108899</v>
      </c>
      <c r="F33" s="6">
        <v>24.913894646250501</v>
      </c>
      <c r="G33" s="6">
        <v>5.5750609783077003</v>
      </c>
      <c r="H33" s="6">
        <v>19.880730198641</v>
      </c>
      <c r="I33" s="6">
        <v>527.10386992356996</v>
      </c>
      <c r="J33" s="6">
        <v>12.5801526680163</v>
      </c>
      <c r="K33" s="6">
        <v>56.3299816097038</v>
      </c>
      <c r="L33" s="6">
        <v>29.8142545775864</v>
      </c>
      <c r="M33" s="6">
        <v>131.75505767219099</v>
      </c>
      <c r="N33" s="6">
        <v>157.95723234533</v>
      </c>
      <c r="O33" s="6">
        <v>23.902359784579499</v>
      </c>
      <c r="P33" s="6">
        <v>80.170215305073796</v>
      </c>
      <c r="Q33" s="6">
        <v>39.554482309424998</v>
      </c>
      <c r="R33" s="6">
        <v>13.6629000149685</v>
      </c>
      <c r="S33" s="6">
        <v>18.959533004007199</v>
      </c>
      <c r="T33" s="6">
        <v>389.19570752336699</v>
      </c>
      <c r="W33" s="8" t="str">
        <f t="shared" si="3"/>
        <v>*</v>
      </c>
      <c r="X33" s="15" t="str">
        <f t="shared" si="4"/>
        <v>ELEGAS</v>
      </c>
      <c r="Y33" s="15" t="s">
        <v>42</v>
      </c>
      <c r="Z33" s="8">
        <f t="shared" si="5"/>
        <v>2030</v>
      </c>
      <c r="AA33" s="8">
        <f t="shared" si="6"/>
        <v>74.710779581572197</v>
      </c>
      <c r="AB33" s="8">
        <f t="shared" si="7"/>
        <v>19.040180890619791</v>
      </c>
      <c r="AC33" s="8">
        <f t="shared" si="8"/>
        <v>27.405284110875552</v>
      </c>
      <c r="AD33" s="8">
        <f t="shared" si="9"/>
        <v>6.1325670761384705</v>
      </c>
      <c r="AE33" s="8">
        <f t="shared" si="10"/>
        <v>21.868803218505104</v>
      </c>
      <c r="AF33" s="8">
        <f t="shared" si="11"/>
        <v>579.81425691592699</v>
      </c>
      <c r="AG33" s="8">
        <f t="shared" si="12"/>
        <v>13.838167934817932</v>
      </c>
      <c r="AH33" s="8">
        <f t="shared" si="13"/>
        <v>61.962979770674188</v>
      </c>
      <c r="AI33" s="8">
        <f t="shared" si="14"/>
        <v>32.795680035345043</v>
      </c>
      <c r="AJ33" s="8">
        <f t="shared" si="15"/>
        <v>144.93056343941009</v>
      </c>
      <c r="AK33" s="8">
        <f t="shared" si="16"/>
        <v>173.752955579863</v>
      </c>
      <c r="AL33" s="8">
        <f t="shared" si="17"/>
        <v>26.29259576303745</v>
      </c>
      <c r="AM33" s="8">
        <f t="shared" si="18"/>
        <v>88.187236835581189</v>
      </c>
      <c r="AN33" s="8">
        <f t="shared" si="19"/>
        <v>43.509930540367499</v>
      </c>
      <c r="AO33" s="8">
        <f t="shared" si="20"/>
        <v>15.029190016465352</v>
      </c>
      <c r="AP33" s="8">
        <f t="shared" si="21"/>
        <v>20.855486304407918</v>
      </c>
      <c r="AQ33" s="8">
        <f t="shared" si="22"/>
        <v>428.1152782757037</v>
      </c>
      <c r="AV33" s="8" t="str">
        <f t="shared" si="23"/>
        <v>*</v>
      </c>
      <c r="AW33" s="15" t="str">
        <f t="shared" si="24"/>
        <v>ELEGAS</v>
      </c>
      <c r="AX33" s="8" t="s">
        <v>45</v>
      </c>
      <c r="AY33" s="8">
        <f t="shared" si="25"/>
        <v>2030</v>
      </c>
      <c r="AZ33" s="8">
        <f t="shared" si="26"/>
        <v>61.127001475831797</v>
      </c>
      <c r="BA33" s="8">
        <f t="shared" si="27"/>
        <v>15.578329819598009</v>
      </c>
      <c r="BB33" s="8">
        <f t="shared" si="28"/>
        <v>22.42250518162545</v>
      </c>
      <c r="BC33" s="8">
        <f t="shared" si="29"/>
        <v>5.0175548804769301</v>
      </c>
      <c r="BD33" s="8">
        <f t="shared" si="30"/>
        <v>17.892657178776901</v>
      </c>
      <c r="BE33" s="8">
        <f t="shared" si="31"/>
        <v>474.39348293121299</v>
      </c>
      <c r="BF33" s="8">
        <f t="shared" si="32"/>
        <v>11.32213740121467</v>
      </c>
      <c r="BG33" s="8">
        <f t="shared" si="33"/>
        <v>50.69698344873342</v>
      </c>
      <c r="BH33" s="8">
        <f t="shared" si="34"/>
        <v>26.83282911982776</v>
      </c>
      <c r="BI33" s="8">
        <f t="shared" si="35"/>
        <v>118.57955190497189</v>
      </c>
      <c r="BJ33" s="8">
        <f t="shared" si="36"/>
        <v>142.161509110797</v>
      </c>
      <c r="BK33" s="8">
        <f t="shared" si="37"/>
        <v>21.512123806121551</v>
      </c>
      <c r="BL33" s="8">
        <f t="shared" si="38"/>
        <v>72.153193774566418</v>
      </c>
      <c r="BM33" s="8">
        <f t="shared" si="39"/>
        <v>35.599034078482497</v>
      </c>
      <c r="BN33" s="8">
        <f t="shared" si="40"/>
        <v>12.29661001347165</v>
      </c>
      <c r="BO33" s="8">
        <f t="shared" si="41"/>
        <v>17.063579703606479</v>
      </c>
      <c r="BP33" s="8">
        <f t="shared" si="42"/>
        <v>350.27613677103028</v>
      </c>
    </row>
    <row r="34" spans="2:68" ht="18.75" customHeight="1" x14ac:dyDescent="0.3">
      <c r="B34" s="2" t="s">
        <v>3</v>
      </c>
      <c r="C34" s="3">
        <v>2040</v>
      </c>
      <c r="D34" s="6">
        <v>30.840131777266301</v>
      </c>
      <c r="E34" s="6">
        <v>17.316945890865899</v>
      </c>
      <c r="F34" s="6">
        <v>40.667739175003199</v>
      </c>
      <c r="G34" s="6">
        <v>5.5827515140646797</v>
      </c>
      <c r="H34" s="6">
        <v>5.0260815602304296</v>
      </c>
      <c r="I34" s="6">
        <v>1081.9450142196599</v>
      </c>
      <c r="J34" s="6">
        <v>7.0365645974064401</v>
      </c>
      <c r="K34" s="6">
        <v>140.947947386393</v>
      </c>
      <c r="L34" s="6">
        <v>18.573383446155201</v>
      </c>
      <c r="M34" s="6">
        <v>95.029472087247399</v>
      </c>
      <c r="N34" s="6">
        <v>88.851733295498704</v>
      </c>
      <c r="O34" s="6">
        <v>8.2846708770222399</v>
      </c>
      <c r="P34" s="6">
        <v>74.245390198168806</v>
      </c>
      <c r="Q34" s="6">
        <v>192.73263599776601</v>
      </c>
      <c r="R34" s="6">
        <v>22.230010019361401</v>
      </c>
      <c r="S34" s="6">
        <v>18.967223539764198</v>
      </c>
      <c r="T34" s="6">
        <v>292.77922909172702</v>
      </c>
      <c r="W34" s="8" t="str">
        <f t="shared" si="3"/>
        <v>*</v>
      </c>
      <c r="X34" s="15" t="str">
        <f t="shared" si="4"/>
        <v>ELEGAS</v>
      </c>
      <c r="Y34" s="15" t="s">
        <v>42</v>
      </c>
      <c r="Z34" s="8">
        <f t="shared" si="5"/>
        <v>2040</v>
      </c>
      <c r="AA34" s="8">
        <f t="shared" si="6"/>
        <v>33.924144954992933</v>
      </c>
      <c r="AB34" s="8">
        <f t="shared" si="7"/>
        <v>19.048640479952489</v>
      </c>
      <c r="AC34" s="8">
        <f t="shared" si="8"/>
        <v>44.734513092503519</v>
      </c>
      <c r="AD34" s="8">
        <f t="shared" si="9"/>
        <v>6.1410266654711485</v>
      </c>
      <c r="AE34" s="8">
        <f t="shared" si="10"/>
        <v>5.5286897162534734</v>
      </c>
      <c r="AF34" s="8">
        <f t="shared" si="11"/>
        <v>1190.1395156416261</v>
      </c>
      <c r="AG34" s="8">
        <f t="shared" si="12"/>
        <v>7.7402210571470844</v>
      </c>
      <c r="AH34" s="8">
        <f t="shared" si="13"/>
        <v>155.04274212503231</v>
      </c>
      <c r="AI34" s="8">
        <f t="shared" si="14"/>
        <v>20.430721790770722</v>
      </c>
      <c r="AJ34" s="8">
        <f t="shared" si="15"/>
        <v>104.53241929597215</v>
      </c>
      <c r="AK34" s="8">
        <f t="shared" si="16"/>
        <v>97.736906625048576</v>
      </c>
      <c r="AL34" s="8">
        <f t="shared" si="17"/>
        <v>9.1131379647244639</v>
      </c>
      <c r="AM34" s="8">
        <f t="shared" si="18"/>
        <v>81.669929217985697</v>
      </c>
      <c r="AN34" s="8">
        <f t="shared" si="19"/>
        <v>212.00589959754262</v>
      </c>
      <c r="AO34" s="8">
        <f t="shared" si="20"/>
        <v>24.453011021297545</v>
      </c>
      <c r="AP34" s="8">
        <f t="shared" si="21"/>
        <v>20.86394589374062</v>
      </c>
      <c r="AQ34" s="8">
        <f t="shared" si="22"/>
        <v>322.05715200089975</v>
      </c>
      <c r="AV34" s="8" t="str">
        <f t="shared" si="23"/>
        <v>*</v>
      </c>
      <c r="AW34" s="15" t="str">
        <f t="shared" si="24"/>
        <v>ELEGAS</v>
      </c>
      <c r="AX34" s="8" t="s">
        <v>45</v>
      </c>
      <c r="AY34" s="8">
        <f t="shared" si="25"/>
        <v>2040</v>
      </c>
      <c r="AZ34" s="8">
        <f t="shared" si="26"/>
        <v>27.756118599539672</v>
      </c>
      <c r="BA34" s="8">
        <f t="shared" si="27"/>
        <v>15.585251301779309</v>
      </c>
      <c r="BB34" s="8">
        <f t="shared" si="28"/>
        <v>36.600965257502878</v>
      </c>
      <c r="BC34" s="8">
        <f t="shared" si="29"/>
        <v>5.0244763626582118</v>
      </c>
      <c r="BD34" s="8">
        <f t="shared" si="30"/>
        <v>4.5234734042073867</v>
      </c>
      <c r="BE34" s="8">
        <f t="shared" si="31"/>
        <v>973.750512797694</v>
      </c>
      <c r="BF34" s="8">
        <f t="shared" si="32"/>
        <v>6.3329081376657959</v>
      </c>
      <c r="BG34" s="8">
        <f t="shared" si="33"/>
        <v>126.8531526477537</v>
      </c>
      <c r="BH34" s="8">
        <f t="shared" si="34"/>
        <v>16.716045101539681</v>
      </c>
      <c r="BI34" s="8">
        <f t="shared" si="35"/>
        <v>85.526524878522665</v>
      </c>
      <c r="BJ34" s="8">
        <f t="shared" si="36"/>
        <v>79.966559965948832</v>
      </c>
      <c r="BK34" s="8">
        <f t="shared" si="37"/>
        <v>7.4562037893200159</v>
      </c>
      <c r="BL34" s="8">
        <f t="shared" si="38"/>
        <v>66.82085117835193</v>
      </c>
      <c r="BM34" s="8">
        <f t="shared" si="39"/>
        <v>173.45937239798943</v>
      </c>
      <c r="BN34" s="8">
        <f t="shared" si="40"/>
        <v>20.007009017425261</v>
      </c>
      <c r="BO34" s="8">
        <f t="shared" si="41"/>
        <v>17.07050118578778</v>
      </c>
      <c r="BP34" s="8">
        <f t="shared" si="42"/>
        <v>263.50130618255434</v>
      </c>
    </row>
    <row r="35" spans="2:68" ht="18.75" customHeight="1" x14ac:dyDescent="0.3">
      <c r="B35" s="2" t="s">
        <v>3</v>
      </c>
      <c r="C35" s="3">
        <v>2050</v>
      </c>
      <c r="D35" s="6">
        <v>30.851518753664401</v>
      </c>
      <c r="E35" s="6">
        <v>20.056604496386399</v>
      </c>
      <c r="F35" s="6">
        <v>51.376095248903397</v>
      </c>
      <c r="G35" s="6">
        <v>7.8307124771544299</v>
      </c>
      <c r="H35" s="6">
        <v>16.7808533670248</v>
      </c>
      <c r="I35" s="6">
        <v>1412.92582330752</v>
      </c>
      <c r="J35" s="6">
        <v>7.0442551331634302</v>
      </c>
      <c r="K35" s="6">
        <v>241.01158102444199</v>
      </c>
      <c r="L35" s="6">
        <v>18.596586578028202</v>
      </c>
      <c r="M35" s="6">
        <v>140.51862030767299</v>
      </c>
      <c r="N35" s="6">
        <v>71.4469936306878</v>
      </c>
      <c r="O35" s="6">
        <v>8.3222485232317602</v>
      </c>
      <c r="P35" s="6">
        <v>74.253080733925799</v>
      </c>
      <c r="Q35" s="6">
        <v>256.81099412389602</v>
      </c>
      <c r="R35" s="6">
        <v>42.496633440353698</v>
      </c>
      <c r="S35" s="6">
        <v>36.291446674244703</v>
      </c>
      <c r="T35" s="6">
        <v>317.363309541175</v>
      </c>
      <c r="W35" s="8" t="str">
        <f t="shared" si="3"/>
        <v>*</v>
      </c>
      <c r="X35" s="15" t="str">
        <f t="shared" si="4"/>
        <v>ELEGAS</v>
      </c>
      <c r="Y35" s="15" t="s">
        <v>42</v>
      </c>
      <c r="Z35" s="8">
        <f t="shared" si="5"/>
        <v>2050</v>
      </c>
      <c r="AA35" s="8">
        <f t="shared" si="6"/>
        <v>33.936670629030843</v>
      </c>
      <c r="AB35" s="8">
        <f t="shared" si="7"/>
        <v>22.062264946025042</v>
      </c>
      <c r="AC35" s="8">
        <f t="shared" si="8"/>
        <v>56.513704773793741</v>
      </c>
      <c r="AD35" s="8">
        <f t="shared" si="9"/>
        <v>8.6137837248698741</v>
      </c>
      <c r="AE35" s="8">
        <f t="shared" si="10"/>
        <v>18.458938703727281</v>
      </c>
      <c r="AF35" s="8">
        <f t="shared" si="11"/>
        <v>1554.2184056382721</v>
      </c>
      <c r="AG35" s="8">
        <f t="shared" si="12"/>
        <v>7.7486806464797739</v>
      </c>
      <c r="AH35" s="8">
        <f t="shared" si="13"/>
        <v>265.1127391268862</v>
      </c>
      <c r="AI35" s="8">
        <f t="shared" si="14"/>
        <v>20.456245235831023</v>
      </c>
      <c r="AJ35" s="8">
        <f t="shared" si="15"/>
        <v>154.57048233844031</v>
      </c>
      <c r="AK35" s="8">
        <f t="shared" si="16"/>
        <v>78.591692993756581</v>
      </c>
      <c r="AL35" s="8">
        <f t="shared" si="17"/>
        <v>9.1544733755549377</v>
      </c>
      <c r="AM35" s="8">
        <f t="shared" si="18"/>
        <v>81.678388807318385</v>
      </c>
      <c r="AN35" s="8">
        <f t="shared" si="19"/>
        <v>282.49209353628567</v>
      </c>
      <c r="AO35" s="8">
        <f t="shared" si="20"/>
        <v>46.746296784389074</v>
      </c>
      <c r="AP35" s="8">
        <f t="shared" si="21"/>
        <v>39.92059134166918</v>
      </c>
      <c r="AQ35" s="8">
        <f t="shared" si="22"/>
        <v>349.09964049529253</v>
      </c>
      <c r="AV35" s="8" t="str">
        <f t="shared" si="23"/>
        <v>*</v>
      </c>
      <c r="AW35" s="15" t="str">
        <f t="shared" si="24"/>
        <v>ELEGAS</v>
      </c>
      <c r="AX35" s="8" t="s">
        <v>45</v>
      </c>
      <c r="AY35" s="8">
        <f t="shared" si="25"/>
        <v>2050</v>
      </c>
      <c r="AZ35" s="8">
        <f t="shared" si="26"/>
        <v>27.766366878297962</v>
      </c>
      <c r="BA35" s="8">
        <f t="shared" si="27"/>
        <v>18.050944046747759</v>
      </c>
      <c r="BB35" s="8">
        <f t="shared" si="28"/>
        <v>46.23848572401306</v>
      </c>
      <c r="BC35" s="8">
        <f t="shared" si="29"/>
        <v>7.0476412294389874</v>
      </c>
      <c r="BD35" s="8">
        <f t="shared" si="30"/>
        <v>15.10276803032232</v>
      </c>
      <c r="BE35" s="8">
        <f t="shared" si="31"/>
        <v>1271.6332409767681</v>
      </c>
      <c r="BF35" s="8">
        <f t="shared" si="32"/>
        <v>6.3398296198470874</v>
      </c>
      <c r="BG35" s="8">
        <f t="shared" si="33"/>
        <v>216.91042292199779</v>
      </c>
      <c r="BH35" s="8">
        <f t="shared" si="34"/>
        <v>16.736927920225384</v>
      </c>
      <c r="BI35" s="8">
        <f t="shared" si="35"/>
        <v>126.46675827690569</v>
      </c>
      <c r="BJ35" s="8">
        <f t="shared" si="36"/>
        <v>64.302294267619018</v>
      </c>
      <c r="BK35" s="8">
        <f t="shared" si="37"/>
        <v>7.4900236709085846</v>
      </c>
      <c r="BL35" s="8">
        <f t="shared" si="38"/>
        <v>66.827772660533228</v>
      </c>
      <c r="BM35" s="8">
        <f t="shared" si="39"/>
        <v>231.12989471150644</v>
      </c>
      <c r="BN35" s="8">
        <f t="shared" si="40"/>
        <v>38.246970096318329</v>
      </c>
      <c r="BO35" s="8">
        <f t="shared" si="41"/>
        <v>32.662302006820234</v>
      </c>
      <c r="BP35" s="8">
        <f t="shared" si="42"/>
        <v>285.62697858705752</v>
      </c>
    </row>
    <row r="36" spans="2:68" ht="18.75" customHeight="1" x14ac:dyDescent="0.3">
      <c r="B36" s="2" t="s">
        <v>3</v>
      </c>
      <c r="C36" s="3">
        <v>2060</v>
      </c>
      <c r="D36" s="6">
        <v>30.863774148123898</v>
      </c>
      <c r="E36" s="6">
        <v>34.905403068636801</v>
      </c>
      <c r="F36" s="6">
        <v>57.120661591161301</v>
      </c>
      <c r="G36" s="6">
        <v>8.6137295246715606</v>
      </c>
      <c r="H36" s="6">
        <v>32.448389023626397</v>
      </c>
      <c r="I36" s="6">
        <v>1412.9560722792201</v>
      </c>
      <c r="J36" s="6">
        <v>17.606875556468601</v>
      </c>
      <c r="K36" s="6">
        <v>300.33592237356402</v>
      </c>
      <c r="L36" s="6">
        <v>18.6826571925717</v>
      </c>
      <c r="M36" s="6">
        <v>174.16172577426599</v>
      </c>
      <c r="N36" s="6">
        <v>71.456390050963407</v>
      </c>
      <c r="O36" s="6">
        <v>10.529220459171601</v>
      </c>
      <c r="P36" s="6">
        <v>104.284591326243</v>
      </c>
      <c r="Q36" s="6">
        <v>267.65936156390097</v>
      </c>
      <c r="R36" s="6">
        <v>62.8749469212446</v>
      </c>
      <c r="S36" s="6">
        <v>59.696426915632898</v>
      </c>
      <c r="T36" s="6">
        <v>345.72998555971498</v>
      </c>
      <c r="W36" s="8" t="str">
        <f t="shared" si="3"/>
        <v>*</v>
      </c>
      <c r="X36" s="15" t="str">
        <f t="shared" si="4"/>
        <v>ELEGAS</v>
      </c>
      <c r="Y36" s="15" t="s">
        <v>42</v>
      </c>
      <c r="Z36" s="8">
        <f t="shared" si="5"/>
        <v>2060</v>
      </c>
      <c r="AA36" s="8">
        <f t="shared" si="6"/>
        <v>33.950151562936291</v>
      </c>
      <c r="AB36" s="8">
        <f t="shared" si="7"/>
        <v>38.395943375500487</v>
      </c>
      <c r="AC36" s="8">
        <f t="shared" si="8"/>
        <v>62.832727750277435</v>
      </c>
      <c r="AD36" s="8">
        <f t="shared" si="9"/>
        <v>9.4751024771387176</v>
      </c>
      <c r="AE36" s="8">
        <f t="shared" si="10"/>
        <v>35.693227925989042</v>
      </c>
      <c r="AF36" s="8">
        <f t="shared" si="11"/>
        <v>1554.2516795071422</v>
      </c>
      <c r="AG36" s="8">
        <f t="shared" si="12"/>
        <v>19.367563112115462</v>
      </c>
      <c r="AH36" s="8">
        <f t="shared" si="13"/>
        <v>330.36951461092042</v>
      </c>
      <c r="AI36" s="8">
        <f t="shared" si="14"/>
        <v>20.55092291182887</v>
      </c>
      <c r="AJ36" s="8">
        <f t="shared" si="15"/>
        <v>191.5778983516926</v>
      </c>
      <c r="AK36" s="8">
        <f t="shared" si="16"/>
        <v>78.602029056059749</v>
      </c>
      <c r="AL36" s="8">
        <f t="shared" si="17"/>
        <v>11.582142505088761</v>
      </c>
      <c r="AM36" s="8">
        <f t="shared" si="18"/>
        <v>114.71305045886731</v>
      </c>
      <c r="AN36" s="8">
        <f t="shared" si="19"/>
        <v>294.4252977202911</v>
      </c>
      <c r="AO36" s="8">
        <f t="shared" si="20"/>
        <v>69.162441613369069</v>
      </c>
      <c r="AP36" s="8">
        <f t="shared" si="21"/>
        <v>65.666069607196192</v>
      </c>
      <c r="AQ36" s="8">
        <f t="shared" si="22"/>
        <v>380.30298411568651</v>
      </c>
      <c r="AV36" s="8" t="str">
        <f t="shared" si="23"/>
        <v>*</v>
      </c>
      <c r="AW36" s="15" t="str">
        <f t="shared" si="24"/>
        <v>ELEGAS</v>
      </c>
      <c r="AX36" s="8" t="s">
        <v>45</v>
      </c>
      <c r="AY36" s="8">
        <f t="shared" si="25"/>
        <v>2060</v>
      </c>
      <c r="AZ36" s="8">
        <f t="shared" si="26"/>
        <v>27.777396733311509</v>
      </c>
      <c r="BA36" s="8">
        <f t="shared" si="27"/>
        <v>31.414862761773122</v>
      </c>
      <c r="BB36" s="8">
        <f t="shared" si="28"/>
        <v>51.408595432045175</v>
      </c>
      <c r="BC36" s="8">
        <f t="shared" si="29"/>
        <v>7.7523565722044046</v>
      </c>
      <c r="BD36" s="8">
        <f t="shared" si="30"/>
        <v>29.20355012126376</v>
      </c>
      <c r="BE36" s="8">
        <f t="shared" si="31"/>
        <v>1271.6604650512982</v>
      </c>
      <c r="BF36" s="8">
        <f t="shared" si="32"/>
        <v>15.846188000821742</v>
      </c>
      <c r="BG36" s="8">
        <f t="shared" si="33"/>
        <v>270.30233013620762</v>
      </c>
      <c r="BH36" s="8">
        <f t="shared" si="34"/>
        <v>16.814391473314529</v>
      </c>
      <c r="BI36" s="8">
        <f t="shared" si="35"/>
        <v>156.74555319683938</v>
      </c>
      <c r="BJ36" s="8">
        <f t="shared" si="36"/>
        <v>64.310751045867065</v>
      </c>
      <c r="BK36" s="8">
        <f t="shared" si="37"/>
        <v>9.4762984132544403</v>
      </c>
      <c r="BL36" s="8">
        <f t="shared" si="38"/>
        <v>93.856132193618706</v>
      </c>
      <c r="BM36" s="8">
        <f t="shared" si="39"/>
        <v>240.89342540751088</v>
      </c>
      <c r="BN36" s="8">
        <f t="shared" si="40"/>
        <v>56.587452229120139</v>
      </c>
      <c r="BO36" s="8">
        <f t="shared" si="41"/>
        <v>53.726784224069611</v>
      </c>
      <c r="BP36" s="8">
        <f t="shared" si="42"/>
        <v>311.1569870037435</v>
      </c>
    </row>
    <row r="37" spans="2:68" ht="18.75" customHeight="1" x14ac:dyDescent="0.3">
      <c r="B37" s="2" t="s">
        <v>3</v>
      </c>
      <c r="C37" s="3">
        <v>2070</v>
      </c>
      <c r="D37" s="6">
        <v>35.408927182283598</v>
      </c>
      <c r="E37" s="6">
        <v>53.2572550795891</v>
      </c>
      <c r="F37" s="6">
        <v>62.7040906082565</v>
      </c>
      <c r="G37" s="6">
        <v>8.9331577978095194</v>
      </c>
      <c r="H37" s="6">
        <v>52.717866478575601</v>
      </c>
      <c r="I37" s="6">
        <v>1412.9741168509599</v>
      </c>
      <c r="J37" s="6">
        <v>31.648833498227901</v>
      </c>
      <c r="K37" s="6">
        <v>454.02911204065998</v>
      </c>
      <c r="L37" s="6">
        <v>21.7487157859916</v>
      </c>
      <c r="M37" s="6">
        <v>222.00131022251799</v>
      </c>
      <c r="N37" s="6">
        <v>71.465786471238999</v>
      </c>
      <c r="O37" s="6">
        <v>13.972825954211199</v>
      </c>
      <c r="P37" s="6">
        <v>147.48374188875701</v>
      </c>
      <c r="Q37" s="6">
        <v>296.387983552099</v>
      </c>
      <c r="R37" s="6">
        <v>86.528418809959305</v>
      </c>
      <c r="S37" s="6">
        <v>93.626938153601699</v>
      </c>
      <c r="T37" s="6">
        <v>386.21902841568198</v>
      </c>
      <c r="W37" s="8" t="str">
        <f t="shared" si="3"/>
        <v>*</v>
      </c>
      <c r="X37" s="15" t="str">
        <f t="shared" si="4"/>
        <v>ELEGAS</v>
      </c>
      <c r="Y37" s="15" t="s">
        <v>42</v>
      </c>
      <c r="Z37" s="8">
        <f t="shared" si="5"/>
        <v>2070</v>
      </c>
      <c r="AA37" s="8">
        <f t="shared" si="6"/>
        <v>38.949819900511962</v>
      </c>
      <c r="AB37" s="8">
        <f t="shared" si="7"/>
        <v>58.582980587548015</v>
      </c>
      <c r="AC37" s="8">
        <f t="shared" si="8"/>
        <v>68.974499669082149</v>
      </c>
      <c r="AD37" s="8">
        <f t="shared" si="9"/>
        <v>9.8264735775904715</v>
      </c>
      <c r="AE37" s="8">
        <f t="shared" si="10"/>
        <v>57.989653126433168</v>
      </c>
      <c r="AF37" s="8">
        <f t="shared" si="11"/>
        <v>1554.2715285360562</v>
      </c>
      <c r="AG37" s="8">
        <f t="shared" si="12"/>
        <v>34.813716848050696</v>
      </c>
      <c r="AH37" s="8">
        <f t="shared" si="13"/>
        <v>499.432023244726</v>
      </c>
      <c r="AI37" s="8">
        <f t="shared" si="14"/>
        <v>23.923587364590762</v>
      </c>
      <c r="AJ37" s="8">
        <f t="shared" si="15"/>
        <v>244.2014412447698</v>
      </c>
      <c r="AK37" s="8">
        <f t="shared" si="16"/>
        <v>78.612365118362902</v>
      </c>
      <c r="AL37" s="8">
        <f t="shared" si="17"/>
        <v>15.37010854963232</v>
      </c>
      <c r="AM37" s="8">
        <f t="shared" si="18"/>
        <v>162.23211607763272</v>
      </c>
      <c r="AN37" s="8">
        <f t="shared" si="19"/>
        <v>326.02678190730893</v>
      </c>
      <c r="AO37" s="8">
        <f t="shared" si="20"/>
        <v>95.181260690955241</v>
      </c>
      <c r="AP37" s="8">
        <f t="shared" si="21"/>
        <v>102.98963196896187</v>
      </c>
      <c r="AQ37" s="8">
        <f t="shared" si="22"/>
        <v>424.84093125725019</v>
      </c>
      <c r="AV37" s="8" t="str">
        <f t="shared" si="23"/>
        <v>*</v>
      </c>
      <c r="AW37" s="15" t="str">
        <f t="shared" si="24"/>
        <v>ELEGAS</v>
      </c>
      <c r="AX37" s="8" t="s">
        <v>45</v>
      </c>
      <c r="AY37" s="8">
        <f t="shared" si="25"/>
        <v>2070</v>
      </c>
      <c r="AZ37" s="8">
        <f t="shared" si="26"/>
        <v>31.868034464055238</v>
      </c>
      <c r="BA37" s="8">
        <f t="shared" si="27"/>
        <v>47.931529571630193</v>
      </c>
      <c r="BB37" s="8">
        <f t="shared" si="28"/>
        <v>56.433681547430851</v>
      </c>
      <c r="BC37" s="8">
        <f t="shared" si="29"/>
        <v>8.0398420180285672</v>
      </c>
      <c r="BD37" s="8">
        <f t="shared" si="30"/>
        <v>47.446079830718041</v>
      </c>
      <c r="BE37" s="8">
        <f t="shared" si="31"/>
        <v>1271.676705165864</v>
      </c>
      <c r="BF37" s="8">
        <f t="shared" si="32"/>
        <v>28.483950148405111</v>
      </c>
      <c r="BG37" s="8">
        <f t="shared" si="33"/>
        <v>408.62620083659397</v>
      </c>
      <c r="BH37" s="8">
        <f t="shared" si="34"/>
        <v>19.57384420739244</v>
      </c>
      <c r="BI37" s="8">
        <f t="shared" si="35"/>
        <v>199.8011792002662</v>
      </c>
      <c r="BJ37" s="8">
        <f t="shared" si="36"/>
        <v>64.319207824115097</v>
      </c>
      <c r="BK37" s="8">
        <f t="shared" si="37"/>
        <v>12.57554335879008</v>
      </c>
      <c r="BL37" s="8">
        <f t="shared" si="38"/>
        <v>132.73536769988132</v>
      </c>
      <c r="BM37" s="8">
        <f t="shared" si="39"/>
        <v>266.74918519688913</v>
      </c>
      <c r="BN37" s="8">
        <f t="shared" si="40"/>
        <v>77.875576928963383</v>
      </c>
      <c r="BO37" s="8">
        <f t="shared" si="41"/>
        <v>84.264244338241525</v>
      </c>
      <c r="BP37" s="8">
        <f t="shared" si="42"/>
        <v>347.59712557411376</v>
      </c>
    </row>
    <row r="38" spans="2:68" ht="18.75" customHeight="1" x14ac:dyDescent="0.3">
      <c r="B38" s="2" t="s">
        <v>3</v>
      </c>
      <c r="C38" s="3">
        <v>2080</v>
      </c>
      <c r="D38" s="6">
        <v>38.134463574427002</v>
      </c>
      <c r="E38" s="6">
        <v>68.321983804116897</v>
      </c>
      <c r="F38" s="6">
        <v>71.631257476149798</v>
      </c>
      <c r="G38" s="6">
        <v>9.1396525269180895</v>
      </c>
      <c r="H38" s="6">
        <v>80.267584421540604</v>
      </c>
      <c r="I38" s="6">
        <v>1412.98944242128</v>
      </c>
      <c r="J38" s="6">
        <v>51.5738877208613</v>
      </c>
      <c r="K38" s="6">
        <v>597.95620848113299</v>
      </c>
      <c r="L38" s="6">
        <v>26.518185334254099</v>
      </c>
      <c r="M38" s="6">
        <v>285.372203632175</v>
      </c>
      <c r="N38" s="6">
        <v>73.899125335059594</v>
      </c>
      <c r="O38" s="6">
        <v>19.107093739345402</v>
      </c>
      <c r="P38" s="6">
        <v>198.36986977542401</v>
      </c>
      <c r="Q38" s="6">
        <v>344.60284500040598</v>
      </c>
      <c r="R38" s="6">
        <v>124.56634132798401</v>
      </c>
      <c r="S38" s="6">
        <v>140.17351681144601</v>
      </c>
      <c r="T38" s="6">
        <v>445.79740884807597</v>
      </c>
      <c r="W38" s="8" t="str">
        <f t="shared" si="3"/>
        <v>*</v>
      </c>
      <c r="X38" s="15" t="str">
        <f t="shared" si="4"/>
        <v>ELEGAS</v>
      </c>
      <c r="Y38" s="15" t="s">
        <v>42</v>
      </c>
      <c r="Z38" s="8">
        <f t="shared" si="5"/>
        <v>2080</v>
      </c>
      <c r="AA38" s="8">
        <f t="shared" si="6"/>
        <v>41.947909931869702</v>
      </c>
      <c r="AB38" s="8">
        <f t="shared" si="7"/>
        <v>75.154182184528594</v>
      </c>
      <c r="AC38" s="8">
        <f t="shared" si="8"/>
        <v>78.794383223764783</v>
      </c>
      <c r="AD38" s="8">
        <f t="shared" si="9"/>
        <v>10.053617779609899</v>
      </c>
      <c r="AE38" s="8">
        <f t="shared" si="10"/>
        <v>88.294342863694666</v>
      </c>
      <c r="AF38" s="8">
        <f t="shared" si="11"/>
        <v>1554.2883866634081</v>
      </c>
      <c r="AG38" s="8">
        <f t="shared" si="12"/>
        <v>56.731276492947437</v>
      </c>
      <c r="AH38" s="8">
        <f t="shared" si="13"/>
        <v>657.75182932924633</v>
      </c>
      <c r="AI38" s="8">
        <f t="shared" si="14"/>
        <v>29.170003867679512</v>
      </c>
      <c r="AJ38" s="8">
        <f t="shared" si="15"/>
        <v>313.9094239953925</v>
      </c>
      <c r="AK38" s="8">
        <f t="shared" si="16"/>
        <v>81.289037868565558</v>
      </c>
      <c r="AL38" s="8">
        <f t="shared" si="17"/>
        <v>21.017803113279943</v>
      </c>
      <c r="AM38" s="8">
        <f t="shared" si="18"/>
        <v>218.20685675296642</v>
      </c>
      <c r="AN38" s="8">
        <f t="shared" si="19"/>
        <v>379.06312950044662</v>
      </c>
      <c r="AO38" s="8">
        <f t="shared" si="20"/>
        <v>137.02297546078242</v>
      </c>
      <c r="AP38" s="8">
        <f t="shared" si="21"/>
        <v>154.19086849259062</v>
      </c>
      <c r="AQ38" s="8">
        <f t="shared" si="22"/>
        <v>490.37714973288359</v>
      </c>
      <c r="AV38" s="8" t="str">
        <f t="shared" si="23"/>
        <v>*</v>
      </c>
      <c r="AW38" s="15" t="str">
        <f t="shared" si="24"/>
        <v>ELEGAS</v>
      </c>
      <c r="AX38" s="8" t="s">
        <v>45</v>
      </c>
      <c r="AY38" s="8">
        <f t="shared" si="25"/>
        <v>2080</v>
      </c>
      <c r="AZ38" s="8">
        <f t="shared" si="26"/>
        <v>34.321017216984302</v>
      </c>
      <c r="BA38" s="8">
        <f t="shared" si="27"/>
        <v>61.489785423705207</v>
      </c>
      <c r="BB38" s="8">
        <f t="shared" si="28"/>
        <v>64.468131728534814</v>
      </c>
      <c r="BC38" s="8">
        <f t="shared" si="29"/>
        <v>8.2256872742262814</v>
      </c>
      <c r="BD38" s="8">
        <f t="shared" si="30"/>
        <v>72.240825979386543</v>
      </c>
      <c r="BE38" s="8">
        <f t="shared" si="31"/>
        <v>1271.690498179152</v>
      </c>
      <c r="BF38" s="8">
        <f t="shared" si="32"/>
        <v>46.416498948775171</v>
      </c>
      <c r="BG38" s="8">
        <f t="shared" si="33"/>
        <v>538.16058763301976</v>
      </c>
      <c r="BH38" s="8">
        <f t="shared" si="34"/>
        <v>23.86636680082869</v>
      </c>
      <c r="BI38" s="8">
        <f t="shared" si="35"/>
        <v>256.8349832689575</v>
      </c>
      <c r="BJ38" s="8">
        <f t="shared" si="36"/>
        <v>66.50921280155363</v>
      </c>
      <c r="BK38" s="8">
        <f t="shared" si="37"/>
        <v>17.196384365410861</v>
      </c>
      <c r="BL38" s="8">
        <f t="shared" si="38"/>
        <v>178.5328827978816</v>
      </c>
      <c r="BM38" s="8">
        <f t="shared" si="39"/>
        <v>310.14256050036539</v>
      </c>
      <c r="BN38" s="8">
        <f t="shared" si="40"/>
        <v>112.10970719518561</v>
      </c>
      <c r="BO38" s="8">
        <f t="shared" si="41"/>
        <v>126.1561651303014</v>
      </c>
      <c r="BP38" s="8">
        <f t="shared" si="42"/>
        <v>401.21766796326841</v>
      </c>
    </row>
    <row r="39" spans="2:68" ht="18.75" customHeight="1" x14ac:dyDescent="0.3">
      <c r="B39" s="2" t="s">
        <v>4</v>
      </c>
      <c r="C39" s="3">
        <v>2017</v>
      </c>
      <c r="D39" s="7"/>
      <c r="E39" s="6">
        <v>0.66117722821264102</v>
      </c>
      <c r="F39" s="6">
        <v>0.89333981818351704</v>
      </c>
      <c r="G39" s="7"/>
      <c r="H39" s="7"/>
      <c r="I39" s="6">
        <v>2.65916285613788E-2</v>
      </c>
      <c r="J39" s="6">
        <v>0.66454540353351199</v>
      </c>
      <c r="K39" s="6">
        <v>1.9026166635398201</v>
      </c>
      <c r="L39" s="7"/>
      <c r="M39" s="6">
        <v>0.46680092059838801</v>
      </c>
      <c r="N39" s="7"/>
      <c r="O39" s="6">
        <v>1.0492698638601099</v>
      </c>
      <c r="P39" s="6">
        <v>3.7857539606861499</v>
      </c>
      <c r="Q39" s="6">
        <v>8.1827731092436906E-2</v>
      </c>
      <c r="R39" s="7"/>
      <c r="S39" s="7"/>
      <c r="T39" s="6">
        <v>2.41279966313681</v>
      </c>
      <c r="W39" s="8" t="str">
        <f t="shared" si="3"/>
        <v>CAP_BND</v>
      </c>
      <c r="X39" s="15" t="str">
        <f t="shared" si="4"/>
        <v>ELEGEO</v>
      </c>
      <c r="Y39" s="15" t="s">
        <v>42</v>
      </c>
      <c r="Z39" s="8">
        <f t="shared" si="5"/>
        <v>2017</v>
      </c>
      <c r="AA39" s="8">
        <f t="shared" si="6"/>
        <v>0</v>
      </c>
      <c r="AB39" s="8">
        <f t="shared" si="7"/>
        <v>0.72729495103390518</v>
      </c>
      <c r="AC39" s="8">
        <f t="shared" si="8"/>
        <v>0.98267380000186888</v>
      </c>
      <c r="AD39" s="8">
        <f t="shared" si="9"/>
        <v>0</v>
      </c>
      <c r="AE39" s="8">
        <f t="shared" si="10"/>
        <v>0</v>
      </c>
      <c r="AF39" s="8">
        <f t="shared" si="11"/>
        <v>2.9250791417516683E-2</v>
      </c>
      <c r="AG39" s="8">
        <f t="shared" si="12"/>
        <v>0.73099994388686329</v>
      </c>
      <c r="AH39" s="8">
        <f t="shared" si="13"/>
        <v>2.0928783298938023</v>
      </c>
      <c r="AI39" s="8">
        <f t="shared" si="14"/>
        <v>0</v>
      </c>
      <c r="AJ39" s="8">
        <f t="shared" si="15"/>
        <v>0.51348101265822688</v>
      </c>
      <c r="AK39" s="8">
        <f t="shared" si="16"/>
        <v>0</v>
      </c>
      <c r="AL39" s="8">
        <f t="shared" si="17"/>
        <v>1.1541968502461211</v>
      </c>
      <c r="AM39" s="8">
        <f t="shared" si="18"/>
        <v>4.1643293567547648</v>
      </c>
      <c r="AN39" s="8">
        <f t="shared" si="19"/>
        <v>9.0010504201680608E-2</v>
      </c>
      <c r="AO39" s="8">
        <f t="shared" si="20"/>
        <v>0</v>
      </c>
      <c r="AP39" s="8">
        <f t="shared" si="21"/>
        <v>0</v>
      </c>
      <c r="AQ39" s="8">
        <f t="shared" si="22"/>
        <v>2.6540796294504911</v>
      </c>
      <c r="AV39" s="8" t="str">
        <f t="shared" si="23"/>
        <v>CAP_BND</v>
      </c>
      <c r="AW39" s="15" t="str">
        <f t="shared" si="24"/>
        <v>ELEGEO</v>
      </c>
      <c r="AX39" s="8" t="s">
        <v>45</v>
      </c>
      <c r="AY39" s="8">
        <f t="shared" si="25"/>
        <v>2017</v>
      </c>
      <c r="AZ39" s="8">
        <f t="shared" si="26"/>
        <v>0</v>
      </c>
      <c r="BA39" s="8">
        <f t="shared" si="27"/>
        <v>0.59505950539137697</v>
      </c>
      <c r="BB39" s="8">
        <f t="shared" si="28"/>
        <v>0.80400583636516532</v>
      </c>
      <c r="BC39" s="8">
        <f t="shared" si="29"/>
        <v>0</v>
      </c>
      <c r="BD39" s="8">
        <f t="shared" si="30"/>
        <v>0</v>
      </c>
      <c r="BE39" s="8">
        <f t="shared" si="31"/>
        <v>2.3932465705240921E-2</v>
      </c>
      <c r="BF39" s="8">
        <f t="shared" si="32"/>
        <v>0.5980908631801608</v>
      </c>
      <c r="BG39" s="8">
        <f t="shared" si="33"/>
        <v>1.7123549971858381</v>
      </c>
      <c r="BH39" s="8">
        <f t="shared" si="34"/>
        <v>0</v>
      </c>
      <c r="BI39" s="8">
        <f t="shared" si="35"/>
        <v>0.42012082853854921</v>
      </c>
      <c r="BJ39" s="8">
        <f t="shared" si="36"/>
        <v>0</v>
      </c>
      <c r="BK39" s="8">
        <f t="shared" si="37"/>
        <v>0.94434287747409895</v>
      </c>
      <c r="BL39" s="8">
        <f t="shared" si="38"/>
        <v>3.407178564617535</v>
      </c>
      <c r="BM39" s="8">
        <f t="shared" si="39"/>
        <v>7.3644957983193218E-2</v>
      </c>
      <c r="BN39" s="8">
        <f t="shared" si="40"/>
        <v>0</v>
      </c>
      <c r="BO39" s="8">
        <f t="shared" si="41"/>
        <v>0</v>
      </c>
      <c r="BP39" s="8">
        <f t="shared" si="42"/>
        <v>2.171519696823129</v>
      </c>
    </row>
    <row r="40" spans="2:68" ht="18.75" customHeight="1" x14ac:dyDescent="0.3">
      <c r="B40" s="2" t="s">
        <v>4</v>
      </c>
      <c r="C40" s="3">
        <v>2018</v>
      </c>
      <c r="D40" s="7"/>
      <c r="E40" s="6">
        <v>0.67275835800617501</v>
      </c>
      <c r="F40" s="6">
        <v>0.89333981818351504</v>
      </c>
      <c r="G40" s="7"/>
      <c r="H40" s="7"/>
      <c r="I40" s="6">
        <v>2.65916285613788E-2</v>
      </c>
      <c r="J40" s="6">
        <v>0.66454540353351199</v>
      </c>
      <c r="K40" s="6">
        <v>2.18746935476381</v>
      </c>
      <c r="L40" s="7"/>
      <c r="M40" s="6">
        <v>0.47226697353279501</v>
      </c>
      <c r="N40" s="7"/>
      <c r="O40" s="6">
        <v>1.0492698638601099</v>
      </c>
      <c r="P40" s="6">
        <v>3.94471715186768</v>
      </c>
      <c r="Q40" s="6">
        <v>8.1827731092436906E-2</v>
      </c>
      <c r="R40" s="7"/>
      <c r="S40" s="7"/>
      <c r="T40" s="6">
        <v>2.4490613921781699</v>
      </c>
      <c r="W40" s="8" t="str">
        <f t="shared" si="3"/>
        <v>CAP_BND</v>
      </c>
      <c r="X40" s="15" t="str">
        <f t="shared" si="4"/>
        <v>ELEGEO</v>
      </c>
      <c r="Y40" s="15" t="s">
        <v>42</v>
      </c>
      <c r="Z40" s="8">
        <f t="shared" si="5"/>
        <v>2018</v>
      </c>
      <c r="AA40" s="8">
        <f t="shared" si="6"/>
        <v>0</v>
      </c>
      <c r="AB40" s="8">
        <f t="shared" si="7"/>
        <v>0.74003419380679258</v>
      </c>
      <c r="AC40" s="8">
        <f t="shared" si="8"/>
        <v>0.98267380000186666</v>
      </c>
      <c r="AD40" s="8">
        <f t="shared" si="9"/>
        <v>0</v>
      </c>
      <c r="AE40" s="8">
        <f t="shared" si="10"/>
        <v>0</v>
      </c>
      <c r="AF40" s="8">
        <f t="shared" si="11"/>
        <v>2.9250791417516683E-2</v>
      </c>
      <c r="AG40" s="8">
        <f t="shared" si="12"/>
        <v>0.73099994388686329</v>
      </c>
      <c r="AH40" s="8">
        <f t="shared" si="13"/>
        <v>2.4062162902401911</v>
      </c>
      <c r="AI40" s="8">
        <f t="shared" si="14"/>
        <v>0</v>
      </c>
      <c r="AJ40" s="8">
        <f t="shared" si="15"/>
        <v>0.51949367088607457</v>
      </c>
      <c r="AK40" s="8">
        <f t="shared" si="16"/>
        <v>0</v>
      </c>
      <c r="AL40" s="8">
        <f t="shared" si="17"/>
        <v>1.1541968502461211</v>
      </c>
      <c r="AM40" s="8">
        <f t="shared" si="18"/>
        <v>4.3391888670544487</v>
      </c>
      <c r="AN40" s="8">
        <f t="shared" si="19"/>
        <v>9.0010504201680608E-2</v>
      </c>
      <c r="AO40" s="8">
        <f t="shared" si="20"/>
        <v>0</v>
      </c>
      <c r="AP40" s="8">
        <f t="shared" si="21"/>
        <v>0</v>
      </c>
      <c r="AQ40" s="8">
        <f t="shared" si="22"/>
        <v>2.693967531395987</v>
      </c>
      <c r="AV40" s="8" t="str">
        <f t="shared" si="23"/>
        <v>CAP_BND</v>
      </c>
      <c r="AW40" s="15" t="str">
        <f t="shared" si="24"/>
        <v>ELEGEO</v>
      </c>
      <c r="AX40" s="8" t="s">
        <v>45</v>
      </c>
      <c r="AY40" s="8">
        <f t="shared" si="25"/>
        <v>2018</v>
      </c>
      <c r="AZ40" s="8">
        <f t="shared" si="26"/>
        <v>0</v>
      </c>
      <c r="BA40" s="8">
        <f t="shared" si="27"/>
        <v>0.60548252220555754</v>
      </c>
      <c r="BB40" s="8">
        <f t="shared" si="28"/>
        <v>0.80400583636516354</v>
      </c>
      <c r="BC40" s="8">
        <f t="shared" si="29"/>
        <v>0</v>
      </c>
      <c r="BD40" s="8">
        <f t="shared" si="30"/>
        <v>0</v>
      </c>
      <c r="BE40" s="8">
        <f t="shared" si="31"/>
        <v>2.3932465705240921E-2</v>
      </c>
      <c r="BF40" s="8">
        <f t="shared" si="32"/>
        <v>0.5980908631801608</v>
      </c>
      <c r="BG40" s="8">
        <f t="shared" si="33"/>
        <v>1.9687224192874291</v>
      </c>
      <c r="BH40" s="8">
        <f t="shared" si="34"/>
        <v>0</v>
      </c>
      <c r="BI40" s="8">
        <f t="shared" si="35"/>
        <v>0.42504027617951551</v>
      </c>
      <c r="BJ40" s="8">
        <f t="shared" si="36"/>
        <v>0</v>
      </c>
      <c r="BK40" s="8">
        <f t="shared" si="37"/>
        <v>0.94434287747409895</v>
      </c>
      <c r="BL40" s="8">
        <f t="shared" si="38"/>
        <v>3.5502454366809122</v>
      </c>
      <c r="BM40" s="8">
        <f t="shared" si="39"/>
        <v>7.3644957983193218E-2</v>
      </c>
      <c r="BN40" s="8">
        <f t="shared" si="40"/>
        <v>0</v>
      </c>
      <c r="BO40" s="8">
        <f t="shared" si="41"/>
        <v>0</v>
      </c>
      <c r="BP40" s="8">
        <f t="shared" si="42"/>
        <v>2.2041552529603528</v>
      </c>
    </row>
    <row r="41" spans="2:68" ht="18.75" customHeight="1" x14ac:dyDescent="0.3">
      <c r="B41" s="2" t="s">
        <v>4</v>
      </c>
      <c r="C41" s="3">
        <v>2019</v>
      </c>
      <c r="D41" s="7"/>
      <c r="E41" s="6">
        <v>0.67275835800617501</v>
      </c>
      <c r="F41" s="6">
        <v>0.89333981818351504</v>
      </c>
      <c r="G41" s="7"/>
      <c r="H41" s="7"/>
      <c r="I41" s="6">
        <v>2.65916285613788E-2</v>
      </c>
      <c r="J41" s="6">
        <v>0.66454540353351199</v>
      </c>
      <c r="K41" s="6">
        <v>2.18746935476381</v>
      </c>
      <c r="L41" s="7"/>
      <c r="M41" s="6">
        <v>0.47226697353279501</v>
      </c>
      <c r="N41" s="7"/>
      <c r="O41" s="6">
        <v>1.0492698638601099</v>
      </c>
      <c r="P41" s="6">
        <v>3.94471715186768</v>
      </c>
      <c r="Q41" s="6">
        <v>8.1827731092436906E-2</v>
      </c>
      <c r="R41" s="7"/>
      <c r="S41" s="7"/>
      <c r="T41" s="6">
        <v>2.4490613921781699</v>
      </c>
      <c r="W41" s="8" t="str">
        <f t="shared" si="3"/>
        <v>CAP_BND</v>
      </c>
      <c r="X41" s="15" t="str">
        <f t="shared" si="4"/>
        <v>ELEGEO</v>
      </c>
      <c r="Y41" s="15" t="s">
        <v>42</v>
      </c>
      <c r="Z41" s="8">
        <f t="shared" si="5"/>
        <v>2019</v>
      </c>
      <c r="AA41" s="8">
        <f t="shared" si="6"/>
        <v>0</v>
      </c>
      <c r="AB41" s="8">
        <f t="shared" si="7"/>
        <v>0.74003419380679258</v>
      </c>
      <c r="AC41" s="8">
        <f t="shared" si="8"/>
        <v>0.98267380000186666</v>
      </c>
      <c r="AD41" s="8">
        <f t="shared" si="9"/>
        <v>0</v>
      </c>
      <c r="AE41" s="8">
        <f t="shared" si="10"/>
        <v>0</v>
      </c>
      <c r="AF41" s="8">
        <f t="shared" si="11"/>
        <v>2.9250791417516683E-2</v>
      </c>
      <c r="AG41" s="8">
        <f t="shared" si="12"/>
        <v>0.73099994388686329</v>
      </c>
      <c r="AH41" s="8">
        <f t="shared" si="13"/>
        <v>2.4062162902401911</v>
      </c>
      <c r="AI41" s="8">
        <f t="shared" si="14"/>
        <v>0</v>
      </c>
      <c r="AJ41" s="8">
        <f t="shared" si="15"/>
        <v>0.51949367088607457</v>
      </c>
      <c r="AK41" s="8">
        <f t="shared" si="16"/>
        <v>0</v>
      </c>
      <c r="AL41" s="8">
        <f t="shared" si="17"/>
        <v>1.1541968502461211</v>
      </c>
      <c r="AM41" s="8">
        <f t="shared" si="18"/>
        <v>4.3391888670544487</v>
      </c>
      <c r="AN41" s="8">
        <f t="shared" si="19"/>
        <v>9.0010504201680608E-2</v>
      </c>
      <c r="AO41" s="8">
        <f t="shared" si="20"/>
        <v>0</v>
      </c>
      <c r="AP41" s="8">
        <f t="shared" si="21"/>
        <v>0</v>
      </c>
      <c r="AQ41" s="8">
        <f t="shared" si="22"/>
        <v>2.693967531395987</v>
      </c>
      <c r="AV41" s="8" t="str">
        <f t="shared" si="23"/>
        <v>CAP_BND</v>
      </c>
      <c r="AW41" s="15" t="str">
        <f t="shared" si="24"/>
        <v>ELEGEO</v>
      </c>
      <c r="AX41" s="8" t="s">
        <v>45</v>
      </c>
      <c r="AY41" s="8">
        <f t="shared" si="25"/>
        <v>2019</v>
      </c>
      <c r="AZ41" s="8">
        <f t="shared" si="26"/>
        <v>0</v>
      </c>
      <c r="BA41" s="8">
        <f t="shared" si="27"/>
        <v>0.60548252220555754</v>
      </c>
      <c r="BB41" s="8">
        <f t="shared" si="28"/>
        <v>0.80400583636516354</v>
      </c>
      <c r="BC41" s="8">
        <f t="shared" si="29"/>
        <v>0</v>
      </c>
      <c r="BD41" s="8">
        <f t="shared" si="30"/>
        <v>0</v>
      </c>
      <c r="BE41" s="8">
        <f t="shared" si="31"/>
        <v>2.3932465705240921E-2</v>
      </c>
      <c r="BF41" s="8">
        <f t="shared" si="32"/>
        <v>0.5980908631801608</v>
      </c>
      <c r="BG41" s="8">
        <f t="shared" si="33"/>
        <v>1.9687224192874291</v>
      </c>
      <c r="BH41" s="8">
        <f t="shared" si="34"/>
        <v>0</v>
      </c>
      <c r="BI41" s="8">
        <f t="shared" si="35"/>
        <v>0.42504027617951551</v>
      </c>
      <c r="BJ41" s="8">
        <f t="shared" si="36"/>
        <v>0</v>
      </c>
      <c r="BK41" s="8">
        <f t="shared" si="37"/>
        <v>0.94434287747409895</v>
      </c>
      <c r="BL41" s="8">
        <f t="shared" si="38"/>
        <v>3.5502454366809122</v>
      </c>
      <c r="BM41" s="8">
        <f t="shared" si="39"/>
        <v>7.3644957983193218E-2</v>
      </c>
      <c r="BN41" s="8">
        <f t="shared" si="40"/>
        <v>0</v>
      </c>
      <c r="BO41" s="8">
        <f t="shared" si="41"/>
        <v>0</v>
      </c>
      <c r="BP41" s="8">
        <f t="shared" si="42"/>
        <v>2.2041552529603528</v>
      </c>
    </row>
    <row r="42" spans="2:68" ht="18.75" customHeight="1" x14ac:dyDescent="0.3">
      <c r="B42" s="2" t="s">
        <v>4</v>
      </c>
      <c r="C42" s="3">
        <v>2020</v>
      </c>
      <c r="D42" s="7"/>
      <c r="E42" s="6">
        <v>0.67275835800617501</v>
      </c>
      <c r="F42" s="6">
        <v>0.89333981818351504</v>
      </c>
      <c r="G42" s="7"/>
      <c r="H42" s="7"/>
      <c r="I42" s="6">
        <v>2.65916285613788E-2</v>
      </c>
      <c r="J42" s="6">
        <v>0.66454540353351199</v>
      </c>
      <c r="K42" s="6">
        <v>2.18746935476381</v>
      </c>
      <c r="L42" s="7"/>
      <c r="M42" s="6">
        <v>0.47226697353279501</v>
      </c>
      <c r="N42" s="7"/>
      <c r="O42" s="6">
        <v>1.0492698638601099</v>
      </c>
      <c r="P42" s="6">
        <v>3.94471715186768</v>
      </c>
      <c r="Q42" s="6">
        <v>8.1827731092436906E-2</v>
      </c>
      <c r="R42" s="7"/>
      <c r="S42" s="7"/>
      <c r="T42" s="6">
        <v>2.4490613921781699</v>
      </c>
      <c r="W42" s="8" t="str">
        <f t="shared" si="3"/>
        <v>CAP_BND</v>
      </c>
      <c r="X42" s="15" t="str">
        <f t="shared" si="4"/>
        <v>ELEGEO</v>
      </c>
      <c r="Y42" s="15" t="s">
        <v>42</v>
      </c>
      <c r="Z42" s="8">
        <f t="shared" si="5"/>
        <v>2020</v>
      </c>
      <c r="AA42" s="8">
        <f t="shared" si="6"/>
        <v>0</v>
      </c>
      <c r="AB42" s="8">
        <f t="shared" si="7"/>
        <v>0.74003419380679258</v>
      </c>
      <c r="AC42" s="8">
        <f t="shared" si="8"/>
        <v>0.98267380000186666</v>
      </c>
      <c r="AD42" s="8">
        <f t="shared" si="9"/>
        <v>0</v>
      </c>
      <c r="AE42" s="8">
        <f t="shared" si="10"/>
        <v>0</v>
      </c>
      <c r="AF42" s="8">
        <f t="shared" si="11"/>
        <v>2.9250791417516683E-2</v>
      </c>
      <c r="AG42" s="8">
        <f t="shared" si="12"/>
        <v>0.73099994388686329</v>
      </c>
      <c r="AH42" s="8">
        <f t="shared" si="13"/>
        <v>2.4062162902401911</v>
      </c>
      <c r="AI42" s="8">
        <f t="shared" si="14"/>
        <v>0</v>
      </c>
      <c r="AJ42" s="8">
        <f t="shared" si="15"/>
        <v>0.51949367088607457</v>
      </c>
      <c r="AK42" s="8">
        <f t="shared" si="16"/>
        <v>0</v>
      </c>
      <c r="AL42" s="8">
        <f t="shared" si="17"/>
        <v>1.1541968502461211</v>
      </c>
      <c r="AM42" s="8">
        <f t="shared" si="18"/>
        <v>4.3391888670544487</v>
      </c>
      <c r="AN42" s="8">
        <f t="shared" si="19"/>
        <v>9.0010504201680608E-2</v>
      </c>
      <c r="AO42" s="8">
        <f t="shared" si="20"/>
        <v>0</v>
      </c>
      <c r="AP42" s="8">
        <f t="shared" si="21"/>
        <v>0</v>
      </c>
      <c r="AQ42" s="8">
        <f t="shared" si="22"/>
        <v>2.693967531395987</v>
      </c>
      <c r="AV42" s="8" t="str">
        <f t="shared" si="23"/>
        <v>CAP_BND</v>
      </c>
      <c r="AW42" s="15" t="str">
        <f t="shared" si="24"/>
        <v>ELEGEO</v>
      </c>
      <c r="AX42" s="8" t="s">
        <v>45</v>
      </c>
      <c r="AY42" s="8">
        <f t="shared" si="25"/>
        <v>2020</v>
      </c>
      <c r="AZ42" s="8">
        <f t="shared" si="26"/>
        <v>0</v>
      </c>
      <c r="BA42" s="8">
        <f t="shared" si="27"/>
        <v>0.60548252220555754</v>
      </c>
      <c r="BB42" s="8">
        <f t="shared" si="28"/>
        <v>0.80400583636516354</v>
      </c>
      <c r="BC42" s="8">
        <f t="shared" si="29"/>
        <v>0</v>
      </c>
      <c r="BD42" s="8">
        <f t="shared" si="30"/>
        <v>0</v>
      </c>
      <c r="BE42" s="8">
        <f t="shared" si="31"/>
        <v>2.3932465705240921E-2</v>
      </c>
      <c r="BF42" s="8">
        <f t="shared" si="32"/>
        <v>0.5980908631801608</v>
      </c>
      <c r="BG42" s="8">
        <f t="shared" si="33"/>
        <v>1.9687224192874291</v>
      </c>
      <c r="BH42" s="8">
        <f t="shared" si="34"/>
        <v>0</v>
      </c>
      <c r="BI42" s="8">
        <f t="shared" si="35"/>
        <v>0.42504027617951551</v>
      </c>
      <c r="BJ42" s="8">
        <f t="shared" si="36"/>
        <v>0</v>
      </c>
      <c r="BK42" s="8">
        <f t="shared" si="37"/>
        <v>0.94434287747409895</v>
      </c>
      <c r="BL42" s="8">
        <f t="shared" si="38"/>
        <v>3.5502454366809122</v>
      </c>
      <c r="BM42" s="8">
        <f t="shared" si="39"/>
        <v>7.3644957983193218E-2</v>
      </c>
      <c r="BN42" s="8">
        <f t="shared" si="40"/>
        <v>0</v>
      </c>
      <c r="BO42" s="8">
        <f t="shared" si="41"/>
        <v>0</v>
      </c>
      <c r="BP42" s="8">
        <f t="shared" si="42"/>
        <v>2.2041552529603528</v>
      </c>
    </row>
    <row r="43" spans="2:68" ht="18.75" customHeight="1" x14ac:dyDescent="0.3">
      <c r="B43" s="2" t="s">
        <v>4</v>
      </c>
      <c r="C43" s="3">
        <v>2021</v>
      </c>
      <c r="D43" s="7"/>
      <c r="E43" s="6">
        <v>0.67275835800617501</v>
      </c>
      <c r="F43" s="6">
        <v>0.89333981818351504</v>
      </c>
      <c r="G43" s="7"/>
      <c r="H43" s="7"/>
      <c r="I43" s="6">
        <v>2.65916285613788E-2</v>
      </c>
      <c r="J43" s="6">
        <v>0.66454540353351199</v>
      </c>
      <c r="K43" s="6">
        <v>2.18746935476381</v>
      </c>
      <c r="L43" s="7"/>
      <c r="M43" s="6">
        <v>0.47226697353279501</v>
      </c>
      <c r="N43" s="7"/>
      <c r="O43" s="6">
        <v>1.0492698638601099</v>
      </c>
      <c r="P43" s="6">
        <v>3.94471715186768</v>
      </c>
      <c r="Q43" s="6">
        <v>8.1827731092436906E-2</v>
      </c>
      <c r="R43" s="7"/>
      <c r="S43" s="7"/>
      <c r="T43" s="6">
        <v>2.4490613921781699</v>
      </c>
      <c r="W43" s="8" t="str">
        <f t="shared" si="3"/>
        <v>CAP_BND</v>
      </c>
      <c r="X43" s="15" t="str">
        <f t="shared" si="4"/>
        <v>ELEGEO</v>
      </c>
      <c r="Y43" s="15" t="s">
        <v>42</v>
      </c>
      <c r="Z43" s="8">
        <f t="shared" si="5"/>
        <v>2021</v>
      </c>
      <c r="AA43" s="8">
        <f t="shared" si="6"/>
        <v>0</v>
      </c>
      <c r="AB43" s="8">
        <f t="shared" si="7"/>
        <v>0.74003419380679258</v>
      </c>
      <c r="AC43" s="8">
        <f t="shared" si="8"/>
        <v>0.98267380000186666</v>
      </c>
      <c r="AD43" s="8">
        <f t="shared" si="9"/>
        <v>0</v>
      </c>
      <c r="AE43" s="8">
        <f t="shared" si="10"/>
        <v>0</v>
      </c>
      <c r="AF43" s="8">
        <f t="shared" si="11"/>
        <v>2.9250791417516683E-2</v>
      </c>
      <c r="AG43" s="8">
        <f t="shared" si="12"/>
        <v>0.73099994388686329</v>
      </c>
      <c r="AH43" s="8">
        <f t="shared" si="13"/>
        <v>2.4062162902401911</v>
      </c>
      <c r="AI43" s="8">
        <f t="shared" si="14"/>
        <v>0</v>
      </c>
      <c r="AJ43" s="8">
        <f t="shared" si="15"/>
        <v>0.51949367088607457</v>
      </c>
      <c r="AK43" s="8">
        <f t="shared" si="16"/>
        <v>0</v>
      </c>
      <c r="AL43" s="8">
        <f t="shared" si="17"/>
        <v>1.1541968502461211</v>
      </c>
      <c r="AM43" s="8">
        <f t="shared" si="18"/>
        <v>4.3391888670544487</v>
      </c>
      <c r="AN43" s="8">
        <f t="shared" si="19"/>
        <v>9.0010504201680608E-2</v>
      </c>
      <c r="AO43" s="8">
        <f t="shared" si="20"/>
        <v>0</v>
      </c>
      <c r="AP43" s="8">
        <f t="shared" si="21"/>
        <v>0</v>
      </c>
      <c r="AQ43" s="8">
        <f t="shared" si="22"/>
        <v>2.693967531395987</v>
      </c>
      <c r="AV43" s="8" t="str">
        <f t="shared" si="23"/>
        <v>CAP_BND</v>
      </c>
      <c r="AW43" s="15" t="str">
        <f t="shared" si="24"/>
        <v>ELEGEO</v>
      </c>
      <c r="AX43" s="8" t="s">
        <v>45</v>
      </c>
      <c r="AY43" s="8">
        <f t="shared" si="25"/>
        <v>2021</v>
      </c>
      <c r="AZ43" s="8">
        <f t="shared" si="26"/>
        <v>0</v>
      </c>
      <c r="BA43" s="8">
        <f t="shared" si="27"/>
        <v>0.60548252220555754</v>
      </c>
      <c r="BB43" s="8">
        <f t="shared" si="28"/>
        <v>0.80400583636516354</v>
      </c>
      <c r="BC43" s="8">
        <f t="shared" si="29"/>
        <v>0</v>
      </c>
      <c r="BD43" s="8">
        <f t="shared" si="30"/>
        <v>0</v>
      </c>
      <c r="BE43" s="8">
        <f t="shared" si="31"/>
        <v>2.3932465705240921E-2</v>
      </c>
      <c r="BF43" s="8">
        <f t="shared" si="32"/>
        <v>0.5980908631801608</v>
      </c>
      <c r="BG43" s="8">
        <f t="shared" si="33"/>
        <v>1.9687224192874291</v>
      </c>
      <c r="BH43" s="8">
        <f t="shared" si="34"/>
        <v>0</v>
      </c>
      <c r="BI43" s="8">
        <f t="shared" si="35"/>
        <v>0.42504027617951551</v>
      </c>
      <c r="BJ43" s="8">
        <f t="shared" si="36"/>
        <v>0</v>
      </c>
      <c r="BK43" s="8">
        <f t="shared" si="37"/>
        <v>0.94434287747409895</v>
      </c>
      <c r="BL43" s="8">
        <f t="shared" si="38"/>
        <v>3.5502454366809122</v>
      </c>
      <c r="BM43" s="8">
        <f t="shared" si="39"/>
        <v>7.3644957983193218E-2</v>
      </c>
      <c r="BN43" s="8">
        <f t="shared" si="40"/>
        <v>0</v>
      </c>
      <c r="BO43" s="8">
        <f t="shared" si="41"/>
        <v>0</v>
      </c>
      <c r="BP43" s="8">
        <f t="shared" si="42"/>
        <v>2.2041552529603528</v>
      </c>
    </row>
    <row r="44" spans="2:68" ht="18.75" customHeight="1" x14ac:dyDescent="0.3">
      <c r="B44" s="2" t="s">
        <v>4</v>
      </c>
      <c r="C44" s="3">
        <v>2030</v>
      </c>
      <c r="D44" s="7"/>
      <c r="E44" s="6">
        <v>0.67275835800617501</v>
      </c>
      <c r="F44" s="6">
        <v>0.89333981818351504</v>
      </c>
      <c r="G44" s="7"/>
      <c r="H44" s="7"/>
      <c r="I44" s="6">
        <v>2.65916285613788E-2</v>
      </c>
      <c r="J44" s="6">
        <v>0.66454540353351199</v>
      </c>
      <c r="K44" s="6">
        <v>2.18746935476381</v>
      </c>
      <c r="L44" s="7"/>
      <c r="M44" s="6">
        <v>0.47226697353279501</v>
      </c>
      <c r="N44" s="7"/>
      <c r="O44" s="6">
        <v>1.0492698638601099</v>
      </c>
      <c r="P44" s="6">
        <v>3.94471715186768</v>
      </c>
      <c r="Q44" s="6">
        <v>8.1827731092436906E-2</v>
      </c>
      <c r="R44" s="7"/>
      <c r="S44" s="7"/>
      <c r="T44" s="6">
        <v>2.4490613921781699</v>
      </c>
      <c r="W44" s="8" t="str">
        <f t="shared" si="3"/>
        <v>*</v>
      </c>
      <c r="X44" s="15" t="str">
        <f t="shared" si="4"/>
        <v>ELEGEO</v>
      </c>
      <c r="Y44" s="15" t="s">
        <v>42</v>
      </c>
      <c r="Z44" s="8">
        <f t="shared" si="5"/>
        <v>2030</v>
      </c>
      <c r="AA44" s="8">
        <f t="shared" si="6"/>
        <v>0</v>
      </c>
      <c r="AB44" s="8">
        <f t="shared" si="7"/>
        <v>0.74003419380679258</v>
      </c>
      <c r="AC44" s="8">
        <f t="shared" si="8"/>
        <v>0.98267380000186666</v>
      </c>
      <c r="AD44" s="8">
        <f t="shared" si="9"/>
        <v>0</v>
      </c>
      <c r="AE44" s="8">
        <f t="shared" si="10"/>
        <v>0</v>
      </c>
      <c r="AF44" s="8">
        <f t="shared" si="11"/>
        <v>2.9250791417516683E-2</v>
      </c>
      <c r="AG44" s="8">
        <f t="shared" si="12"/>
        <v>0.73099994388686329</v>
      </c>
      <c r="AH44" s="8">
        <f t="shared" si="13"/>
        <v>2.4062162902401911</v>
      </c>
      <c r="AI44" s="8">
        <f t="shared" si="14"/>
        <v>0</v>
      </c>
      <c r="AJ44" s="8">
        <f t="shared" si="15"/>
        <v>0.51949367088607457</v>
      </c>
      <c r="AK44" s="8">
        <f t="shared" si="16"/>
        <v>0</v>
      </c>
      <c r="AL44" s="8">
        <f t="shared" si="17"/>
        <v>1.1541968502461211</v>
      </c>
      <c r="AM44" s="8">
        <f t="shared" si="18"/>
        <v>4.3391888670544487</v>
      </c>
      <c r="AN44" s="8">
        <f t="shared" si="19"/>
        <v>9.0010504201680608E-2</v>
      </c>
      <c r="AO44" s="8">
        <f t="shared" si="20"/>
        <v>0</v>
      </c>
      <c r="AP44" s="8">
        <f t="shared" si="21"/>
        <v>0</v>
      </c>
      <c r="AQ44" s="8">
        <f t="shared" si="22"/>
        <v>2.693967531395987</v>
      </c>
      <c r="AV44" s="8" t="str">
        <f t="shared" si="23"/>
        <v>*</v>
      </c>
      <c r="AW44" s="15" t="str">
        <f t="shared" si="24"/>
        <v>ELEGEO</v>
      </c>
      <c r="AX44" s="8" t="s">
        <v>45</v>
      </c>
      <c r="AY44" s="8">
        <f t="shared" si="25"/>
        <v>2030</v>
      </c>
      <c r="AZ44" s="8">
        <f t="shared" si="26"/>
        <v>0</v>
      </c>
      <c r="BA44" s="8">
        <f t="shared" si="27"/>
        <v>0.60548252220555754</v>
      </c>
      <c r="BB44" s="8">
        <f t="shared" si="28"/>
        <v>0.80400583636516354</v>
      </c>
      <c r="BC44" s="8">
        <f t="shared" si="29"/>
        <v>0</v>
      </c>
      <c r="BD44" s="8">
        <f t="shared" si="30"/>
        <v>0</v>
      </c>
      <c r="BE44" s="8">
        <f t="shared" si="31"/>
        <v>2.3932465705240921E-2</v>
      </c>
      <c r="BF44" s="8">
        <f t="shared" si="32"/>
        <v>0.5980908631801608</v>
      </c>
      <c r="BG44" s="8">
        <f t="shared" si="33"/>
        <v>1.9687224192874291</v>
      </c>
      <c r="BH44" s="8">
        <f t="shared" si="34"/>
        <v>0</v>
      </c>
      <c r="BI44" s="8">
        <f t="shared" si="35"/>
        <v>0.42504027617951551</v>
      </c>
      <c r="BJ44" s="8">
        <f t="shared" si="36"/>
        <v>0</v>
      </c>
      <c r="BK44" s="8">
        <f t="shared" si="37"/>
        <v>0.94434287747409895</v>
      </c>
      <c r="BL44" s="8">
        <f t="shared" si="38"/>
        <v>3.5502454366809122</v>
      </c>
      <c r="BM44" s="8">
        <f t="shared" si="39"/>
        <v>7.3644957983193218E-2</v>
      </c>
      <c r="BN44" s="8">
        <f t="shared" si="40"/>
        <v>0</v>
      </c>
      <c r="BO44" s="8">
        <f t="shared" si="41"/>
        <v>0</v>
      </c>
      <c r="BP44" s="8">
        <f t="shared" si="42"/>
        <v>2.2041552529603528</v>
      </c>
    </row>
    <row r="45" spans="2:68" ht="18.75" customHeight="1" x14ac:dyDescent="0.3">
      <c r="B45" s="2" t="s">
        <v>4</v>
      </c>
      <c r="C45" s="3">
        <v>2040</v>
      </c>
      <c r="D45" s="7"/>
      <c r="E45" s="6">
        <v>0.67275835800617501</v>
      </c>
      <c r="F45" s="6">
        <v>0.89333981818351504</v>
      </c>
      <c r="G45" s="7"/>
      <c r="H45" s="7"/>
      <c r="I45" s="6">
        <v>2.65916285613788E-2</v>
      </c>
      <c r="J45" s="6">
        <v>0.66454540353351199</v>
      </c>
      <c r="K45" s="6">
        <v>2.18746935476381</v>
      </c>
      <c r="L45" s="7"/>
      <c r="M45" s="6">
        <v>0.47226697353279501</v>
      </c>
      <c r="N45" s="7"/>
      <c r="O45" s="6">
        <v>1.0492698638601099</v>
      </c>
      <c r="P45" s="6">
        <v>3.94471715186768</v>
      </c>
      <c r="Q45" s="6">
        <v>8.1827731092436906E-2</v>
      </c>
      <c r="R45" s="7"/>
      <c r="S45" s="7"/>
      <c r="T45" s="6">
        <v>2.4490613921781699</v>
      </c>
      <c r="W45" s="8" t="str">
        <f t="shared" si="3"/>
        <v>*</v>
      </c>
      <c r="X45" s="15" t="str">
        <f t="shared" si="4"/>
        <v>ELEGEO</v>
      </c>
      <c r="Y45" s="15" t="s">
        <v>42</v>
      </c>
      <c r="Z45" s="8">
        <f t="shared" si="5"/>
        <v>2040</v>
      </c>
      <c r="AA45" s="8">
        <f t="shared" si="6"/>
        <v>0</v>
      </c>
      <c r="AB45" s="8">
        <f t="shared" si="7"/>
        <v>0.74003419380679258</v>
      </c>
      <c r="AC45" s="8">
        <f t="shared" si="8"/>
        <v>0.98267380000186666</v>
      </c>
      <c r="AD45" s="8">
        <f t="shared" si="9"/>
        <v>0</v>
      </c>
      <c r="AE45" s="8">
        <f t="shared" si="10"/>
        <v>0</v>
      </c>
      <c r="AF45" s="8">
        <f t="shared" si="11"/>
        <v>2.9250791417516683E-2</v>
      </c>
      <c r="AG45" s="8">
        <f t="shared" si="12"/>
        <v>0.73099994388686329</v>
      </c>
      <c r="AH45" s="8">
        <f t="shared" si="13"/>
        <v>2.4062162902401911</v>
      </c>
      <c r="AI45" s="8">
        <f t="shared" si="14"/>
        <v>0</v>
      </c>
      <c r="AJ45" s="8">
        <f t="shared" si="15"/>
        <v>0.51949367088607457</v>
      </c>
      <c r="AK45" s="8">
        <f t="shared" si="16"/>
        <v>0</v>
      </c>
      <c r="AL45" s="8">
        <f t="shared" si="17"/>
        <v>1.1541968502461211</v>
      </c>
      <c r="AM45" s="8">
        <f t="shared" si="18"/>
        <v>4.3391888670544487</v>
      </c>
      <c r="AN45" s="8">
        <f t="shared" si="19"/>
        <v>9.0010504201680608E-2</v>
      </c>
      <c r="AO45" s="8">
        <f t="shared" si="20"/>
        <v>0</v>
      </c>
      <c r="AP45" s="8">
        <f t="shared" si="21"/>
        <v>0</v>
      </c>
      <c r="AQ45" s="8">
        <f t="shared" si="22"/>
        <v>2.693967531395987</v>
      </c>
      <c r="AV45" s="8" t="str">
        <f t="shared" si="23"/>
        <v>*</v>
      </c>
      <c r="AW45" s="15" t="str">
        <f t="shared" si="24"/>
        <v>ELEGEO</v>
      </c>
      <c r="AX45" s="8" t="s">
        <v>45</v>
      </c>
      <c r="AY45" s="8">
        <f t="shared" si="25"/>
        <v>2040</v>
      </c>
      <c r="AZ45" s="8">
        <f t="shared" si="26"/>
        <v>0</v>
      </c>
      <c r="BA45" s="8">
        <f t="shared" si="27"/>
        <v>0.60548252220555754</v>
      </c>
      <c r="BB45" s="8">
        <f t="shared" si="28"/>
        <v>0.80400583636516354</v>
      </c>
      <c r="BC45" s="8">
        <f t="shared" si="29"/>
        <v>0</v>
      </c>
      <c r="BD45" s="8">
        <f t="shared" si="30"/>
        <v>0</v>
      </c>
      <c r="BE45" s="8">
        <f t="shared" si="31"/>
        <v>2.3932465705240921E-2</v>
      </c>
      <c r="BF45" s="8">
        <f t="shared" si="32"/>
        <v>0.5980908631801608</v>
      </c>
      <c r="BG45" s="8">
        <f t="shared" si="33"/>
        <v>1.9687224192874291</v>
      </c>
      <c r="BH45" s="8">
        <f t="shared" si="34"/>
        <v>0</v>
      </c>
      <c r="BI45" s="8">
        <f t="shared" si="35"/>
        <v>0.42504027617951551</v>
      </c>
      <c r="BJ45" s="8">
        <f t="shared" si="36"/>
        <v>0</v>
      </c>
      <c r="BK45" s="8">
        <f t="shared" si="37"/>
        <v>0.94434287747409895</v>
      </c>
      <c r="BL45" s="8">
        <f t="shared" si="38"/>
        <v>3.5502454366809122</v>
      </c>
      <c r="BM45" s="8">
        <f t="shared" si="39"/>
        <v>7.3644957983193218E-2</v>
      </c>
      <c r="BN45" s="8">
        <f t="shared" si="40"/>
        <v>0</v>
      </c>
      <c r="BO45" s="8">
        <f t="shared" si="41"/>
        <v>0</v>
      </c>
      <c r="BP45" s="8">
        <f t="shared" si="42"/>
        <v>2.2041552529603528</v>
      </c>
    </row>
    <row r="46" spans="2:68" ht="18.75" customHeight="1" x14ac:dyDescent="0.3">
      <c r="B46" s="2" t="s">
        <v>4</v>
      </c>
      <c r="C46" s="3">
        <v>2050</v>
      </c>
      <c r="D46" s="7"/>
      <c r="E46" s="6">
        <v>0.67275835800617501</v>
      </c>
      <c r="F46" s="6">
        <v>0.89333981818351504</v>
      </c>
      <c r="G46" s="7"/>
      <c r="H46" s="7"/>
      <c r="I46" s="6">
        <v>2.65916285613788E-2</v>
      </c>
      <c r="J46" s="6">
        <v>0.66454540353351199</v>
      </c>
      <c r="K46" s="6">
        <v>2.18746935476381</v>
      </c>
      <c r="L46" s="7"/>
      <c r="M46" s="6">
        <v>0.47226697353279501</v>
      </c>
      <c r="N46" s="7"/>
      <c r="O46" s="6">
        <v>1.0492698638601099</v>
      </c>
      <c r="P46" s="6">
        <v>3.94471715186768</v>
      </c>
      <c r="Q46" s="6">
        <v>8.1827731092436906E-2</v>
      </c>
      <c r="R46" s="7"/>
      <c r="S46" s="7"/>
      <c r="T46" s="6">
        <v>2.4490613921781699</v>
      </c>
      <c r="W46" s="8" t="str">
        <f t="shared" si="3"/>
        <v>*</v>
      </c>
      <c r="X46" s="15" t="str">
        <f t="shared" si="4"/>
        <v>ELEGEO</v>
      </c>
      <c r="Y46" s="15" t="s">
        <v>42</v>
      </c>
      <c r="Z46" s="8">
        <f t="shared" si="5"/>
        <v>2050</v>
      </c>
      <c r="AA46" s="8">
        <f t="shared" si="6"/>
        <v>0</v>
      </c>
      <c r="AB46" s="8">
        <f t="shared" si="7"/>
        <v>0.74003419380679258</v>
      </c>
      <c r="AC46" s="8">
        <f t="shared" si="8"/>
        <v>0.98267380000186666</v>
      </c>
      <c r="AD46" s="8">
        <f t="shared" si="9"/>
        <v>0</v>
      </c>
      <c r="AE46" s="8">
        <f t="shared" si="10"/>
        <v>0</v>
      </c>
      <c r="AF46" s="8">
        <f t="shared" si="11"/>
        <v>2.9250791417516683E-2</v>
      </c>
      <c r="AG46" s="8">
        <f t="shared" si="12"/>
        <v>0.73099994388686329</v>
      </c>
      <c r="AH46" s="8">
        <f t="shared" si="13"/>
        <v>2.4062162902401911</v>
      </c>
      <c r="AI46" s="8">
        <f t="shared" si="14"/>
        <v>0</v>
      </c>
      <c r="AJ46" s="8">
        <f t="shared" si="15"/>
        <v>0.51949367088607457</v>
      </c>
      <c r="AK46" s="8">
        <f t="shared" si="16"/>
        <v>0</v>
      </c>
      <c r="AL46" s="8">
        <f t="shared" si="17"/>
        <v>1.1541968502461211</v>
      </c>
      <c r="AM46" s="8">
        <f t="shared" si="18"/>
        <v>4.3391888670544487</v>
      </c>
      <c r="AN46" s="8">
        <f t="shared" si="19"/>
        <v>9.0010504201680608E-2</v>
      </c>
      <c r="AO46" s="8">
        <f t="shared" si="20"/>
        <v>0</v>
      </c>
      <c r="AP46" s="8">
        <f t="shared" si="21"/>
        <v>0</v>
      </c>
      <c r="AQ46" s="8">
        <f t="shared" si="22"/>
        <v>2.693967531395987</v>
      </c>
      <c r="AV46" s="8" t="str">
        <f t="shared" si="23"/>
        <v>*</v>
      </c>
      <c r="AW46" s="15" t="str">
        <f t="shared" si="24"/>
        <v>ELEGEO</v>
      </c>
      <c r="AX46" s="8" t="s">
        <v>45</v>
      </c>
      <c r="AY46" s="8">
        <f t="shared" si="25"/>
        <v>2050</v>
      </c>
      <c r="AZ46" s="8">
        <f t="shared" si="26"/>
        <v>0</v>
      </c>
      <c r="BA46" s="8">
        <f t="shared" si="27"/>
        <v>0.60548252220555754</v>
      </c>
      <c r="BB46" s="8">
        <f t="shared" si="28"/>
        <v>0.80400583636516354</v>
      </c>
      <c r="BC46" s="8">
        <f t="shared" si="29"/>
        <v>0</v>
      </c>
      <c r="BD46" s="8">
        <f t="shared" si="30"/>
        <v>0</v>
      </c>
      <c r="BE46" s="8">
        <f t="shared" si="31"/>
        <v>2.3932465705240921E-2</v>
      </c>
      <c r="BF46" s="8">
        <f t="shared" si="32"/>
        <v>0.5980908631801608</v>
      </c>
      <c r="BG46" s="8">
        <f t="shared" si="33"/>
        <v>1.9687224192874291</v>
      </c>
      <c r="BH46" s="8">
        <f t="shared" si="34"/>
        <v>0</v>
      </c>
      <c r="BI46" s="8">
        <f t="shared" si="35"/>
        <v>0.42504027617951551</v>
      </c>
      <c r="BJ46" s="8">
        <f t="shared" si="36"/>
        <v>0</v>
      </c>
      <c r="BK46" s="8">
        <f t="shared" si="37"/>
        <v>0.94434287747409895</v>
      </c>
      <c r="BL46" s="8">
        <f t="shared" si="38"/>
        <v>3.5502454366809122</v>
      </c>
      <c r="BM46" s="8">
        <f t="shared" si="39"/>
        <v>7.3644957983193218E-2</v>
      </c>
      <c r="BN46" s="8">
        <f t="shared" si="40"/>
        <v>0</v>
      </c>
      <c r="BO46" s="8">
        <f t="shared" si="41"/>
        <v>0</v>
      </c>
      <c r="BP46" s="8">
        <f t="shared" si="42"/>
        <v>2.2041552529603528</v>
      </c>
    </row>
    <row r="47" spans="2:68" ht="18.75" customHeight="1" x14ac:dyDescent="0.3">
      <c r="B47" s="2" t="s">
        <v>4</v>
      </c>
      <c r="C47" s="3">
        <v>2060</v>
      </c>
      <c r="D47" s="7"/>
      <c r="E47" s="6">
        <v>0.67275835800617501</v>
      </c>
      <c r="F47" s="6">
        <v>0.89333981818351504</v>
      </c>
      <c r="G47" s="7"/>
      <c r="H47" s="7"/>
      <c r="I47" s="6">
        <v>2.65916285613788E-2</v>
      </c>
      <c r="J47" s="6">
        <v>0.66454540353351199</v>
      </c>
      <c r="K47" s="6">
        <v>2.18746935476381</v>
      </c>
      <c r="L47" s="7"/>
      <c r="M47" s="6">
        <v>0.47226697353279501</v>
      </c>
      <c r="N47" s="7"/>
      <c r="O47" s="6">
        <v>1.0492698638601099</v>
      </c>
      <c r="P47" s="6">
        <v>3.94471715186768</v>
      </c>
      <c r="Q47" s="6">
        <v>8.1827731092436906E-2</v>
      </c>
      <c r="R47" s="7"/>
      <c r="S47" s="7"/>
      <c r="T47" s="6">
        <v>2.4490613921781699</v>
      </c>
      <c r="W47" s="8" t="str">
        <f t="shared" si="3"/>
        <v>*</v>
      </c>
      <c r="X47" s="15" t="str">
        <f t="shared" si="4"/>
        <v>ELEGEO</v>
      </c>
      <c r="Y47" s="15" t="s">
        <v>42</v>
      </c>
      <c r="Z47" s="8">
        <f t="shared" si="5"/>
        <v>2060</v>
      </c>
      <c r="AA47" s="8">
        <f t="shared" si="6"/>
        <v>0</v>
      </c>
      <c r="AB47" s="8">
        <f t="shared" si="7"/>
        <v>0.74003419380679258</v>
      </c>
      <c r="AC47" s="8">
        <f t="shared" si="8"/>
        <v>0.98267380000186666</v>
      </c>
      <c r="AD47" s="8">
        <f t="shared" si="9"/>
        <v>0</v>
      </c>
      <c r="AE47" s="8">
        <f t="shared" si="10"/>
        <v>0</v>
      </c>
      <c r="AF47" s="8">
        <f t="shared" si="11"/>
        <v>2.9250791417516683E-2</v>
      </c>
      <c r="AG47" s="8">
        <f t="shared" si="12"/>
        <v>0.73099994388686329</v>
      </c>
      <c r="AH47" s="8">
        <f t="shared" si="13"/>
        <v>2.4062162902401911</v>
      </c>
      <c r="AI47" s="8">
        <f t="shared" si="14"/>
        <v>0</v>
      </c>
      <c r="AJ47" s="8">
        <f t="shared" si="15"/>
        <v>0.51949367088607457</v>
      </c>
      <c r="AK47" s="8">
        <f t="shared" si="16"/>
        <v>0</v>
      </c>
      <c r="AL47" s="8">
        <f t="shared" si="17"/>
        <v>1.1541968502461211</v>
      </c>
      <c r="AM47" s="8">
        <f t="shared" si="18"/>
        <v>4.3391888670544487</v>
      </c>
      <c r="AN47" s="8">
        <f t="shared" si="19"/>
        <v>9.0010504201680608E-2</v>
      </c>
      <c r="AO47" s="8">
        <f t="shared" si="20"/>
        <v>0</v>
      </c>
      <c r="AP47" s="8">
        <f t="shared" si="21"/>
        <v>0</v>
      </c>
      <c r="AQ47" s="8">
        <f t="shared" si="22"/>
        <v>2.693967531395987</v>
      </c>
      <c r="AV47" s="8" t="str">
        <f t="shared" si="23"/>
        <v>*</v>
      </c>
      <c r="AW47" s="15" t="str">
        <f t="shared" si="24"/>
        <v>ELEGEO</v>
      </c>
      <c r="AX47" s="8" t="s">
        <v>45</v>
      </c>
      <c r="AY47" s="8">
        <f t="shared" si="25"/>
        <v>2060</v>
      </c>
      <c r="AZ47" s="8">
        <f t="shared" si="26"/>
        <v>0</v>
      </c>
      <c r="BA47" s="8">
        <f t="shared" si="27"/>
        <v>0.60548252220555754</v>
      </c>
      <c r="BB47" s="8">
        <f t="shared" si="28"/>
        <v>0.80400583636516354</v>
      </c>
      <c r="BC47" s="8">
        <f t="shared" si="29"/>
        <v>0</v>
      </c>
      <c r="BD47" s="8">
        <f t="shared" si="30"/>
        <v>0</v>
      </c>
      <c r="BE47" s="8">
        <f t="shared" si="31"/>
        <v>2.3932465705240921E-2</v>
      </c>
      <c r="BF47" s="8">
        <f t="shared" si="32"/>
        <v>0.5980908631801608</v>
      </c>
      <c r="BG47" s="8">
        <f t="shared" si="33"/>
        <v>1.9687224192874291</v>
      </c>
      <c r="BH47" s="8">
        <f t="shared" si="34"/>
        <v>0</v>
      </c>
      <c r="BI47" s="8">
        <f t="shared" si="35"/>
        <v>0.42504027617951551</v>
      </c>
      <c r="BJ47" s="8">
        <f t="shared" si="36"/>
        <v>0</v>
      </c>
      <c r="BK47" s="8">
        <f t="shared" si="37"/>
        <v>0.94434287747409895</v>
      </c>
      <c r="BL47" s="8">
        <f t="shared" si="38"/>
        <v>3.5502454366809122</v>
      </c>
      <c r="BM47" s="8">
        <f t="shared" si="39"/>
        <v>7.3644957983193218E-2</v>
      </c>
      <c r="BN47" s="8">
        <f t="shared" si="40"/>
        <v>0</v>
      </c>
      <c r="BO47" s="8">
        <f t="shared" si="41"/>
        <v>0</v>
      </c>
      <c r="BP47" s="8">
        <f t="shared" si="42"/>
        <v>2.2041552529603528</v>
      </c>
    </row>
    <row r="48" spans="2:68" ht="18.75" customHeight="1" x14ac:dyDescent="0.3">
      <c r="B48" s="2" t="s">
        <v>4</v>
      </c>
      <c r="C48" s="3">
        <v>2070</v>
      </c>
      <c r="D48" s="7"/>
      <c r="E48" s="6">
        <v>0.67275835800617501</v>
      </c>
      <c r="F48" s="6">
        <v>0.89333981818351504</v>
      </c>
      <c r="G48" s="7"/>
      <c r="H48" s="7"/>
      <c r="I48" s="6">
        <v>2.65916285613788E-2</v>
      </c>
      <c r="J48" s="6">
        <v>0.66454540353351199</v>
      </c>
      <c r="K48" s="6">
        <v>2.18746935476381</v>
      </c>
      <c r="L48" s="7"/>
      <c r="M48" s="6">
        <v>0.47226697353279501</v>
      </c>
      <c r="N48" s="7"/>
      <c r="O48" s="6">
        <v>1.0492698638601099</v>
      </c>
      <c r="P48" s="6">
        <v>3.94471715186768</v>
      </c>
      <c r="Q48" s="6">
        <v>8.1827731092436906E-2</v>
      </c>
      <c r="R48" s="7"/>
      <c r="S48" s="7"/>
      <c r="T48" s="6">
        <v>2.4490613921781699</v>
      </c>
      <c r="W48" s="8" t="str">
        <f t="shared" si="3"/>
        <v>*</v>
      </c>
      <c r="X48" s="15" t="str">
        <f t="shared" si="4"/>
        <v>ELEGEO</v>
      </c>
      <c r="Y48" s="15" t="s">
        <v>42</v>
      </c>
      <c r="Z48" s="8">
        <f t="shared" si="5"/>
        <v>2070</v>
      </c>
      <c r="AA48" s="8">
        <f t="shared" si="6"/>
        <v>0</v>
      </c>
      <c r="AB48" s="8">
        <f t="shared" si="7"/>
        <v>0.74003419380679258</v>
      </c>
      <c r="AC48" s="8">
        <f t="shared" si="8"/>
        <v>0.98267380000186666</v>
      </c>
      <c r="AD48" s="8">
        <f t="shared" si="9"/>
        <v>0</v>
      </c>
      <c r="AE48" s="8">
        <f t="shared" si="10"/>
        <v>0</v>
      </c>
      <c r="AF48" s="8">
        <f t="shared" si="11"/>
        <v>2.9250791417516683E-2</v>
      </c>
      <c r="AG48" s="8">
        <f t="shared" si="12"/>
        <v>0.73099994388686329</v>
      </c>
      <c r="AH48" s="8">
        <f t="shared" si="13"/>
        <v>2.4062162902401911</v>
      </c>
      <c r="AI48" s="8">
        <f t="shared" si="14"/>
        <v>0</v>
      </c>
      <c r="AJ48" s="8">
        <f t="shared" si="15"/>
        <v>0.51949367088607457</v>
      </c>
      <c r="AK48" s="8">
        <f t="shared" si="16"/>
        <v>0</v>
      </c>
      <c r="AL48" s="8">
        <f t="shared" si="17"/>
        <v>1.1541968502461211</v>
      </c>
      <c r="AM48" s="8">
        <f t="shared" si="18"/>
        <v>4.3391888670544487</v>
      </c>
      <c r="AN48" s="8">
        <f t="shared" si="19"/>
        <v>9.0010504201680608E-2</v>
      </c>
      <c r="AO48" s="8">
        <f t="shared" si="20"/>
        <v>0</v>
      </c>
      <c r="AP48" s="8">
        <f t="shared" si="21"/>
        <v>0</v>
      </c>
      <c r="AQ48" s="8">
        <f t="shared" si="22"/>
        <v>2.693967531395987</v>
      </c>
      <c r="AV48" s="8" t="str">
        <f t="shared" si="23"/>
        <v>*</v>
      </c>
      <c r="AW48" s="15" t="str">
        <f t="shared" si="24"/>
        <v>ELEGEO</v>
      </c>
      <c r="AX48" s="8" t="s">
        <v>45</v>
      </c>
      <c r="AY48" s="8">
        <f t="shared" si="25"/>
        <v>2070</v>
      </c>
      <c r="AZ48" s="8">
        <f t="shared" si="26"/>
        <v>0</v>
      </c>
      <c r="BA48" s="8">
        <f t="shared" si="27"/>
        <v>0.60548252220555754</v>
      </c>
      <c r="BB48" s="8">
        <f t="shared" si="28"/>
        <v>0.80400583636516354</v>
      </c>
      <c r="BC48" s="8">
        <f t="shared" si="29"/>
        <v>0</v>
      </c>
      <c r="BD48" s="8">
        <f t="shared" si="30"/>
        <v>0</v>
      </c>
      <c r="BE48" s="8">
        <f t="shared" si="31"/>
        <v>2.3932465705240921E-2</v>
      </c>
      <c r="BF48" s="8">
        <f t="shared" si="32"/>
        <v>0.5980908631801608</v>
      </c>
      <c r="BG48" s="8">
        <f t="shared" si="33"/>
        <v>1.9687224192874291</v>
      </c>
      <c r="BH48" s="8">
        <f t="shared" si="34"/>
        <v>0</v>
      </c>
      <c r="BI48" s="8">
        <f t="shared" si="35"/>
        <v>0.42504027617951551</v>
      </c>
      <c r="BJ48" s="8">
        <f t="shared" si="36"/>
        <v>0</v>
      </c>
      <c r="BK48" s="8">
        <f t="shared" si="37"/>
        <v>0.94434287747409895</v>
      </c>
      <c r="BL48" s="8">
        <f t="shared" si="38"/>
        <v>3.5502454366809122</v>
      </c>
      <c r="BM48" s="8">
        <f t="shared" si="39"/>
        <v>7.3644957983193218E-2</v>
      </c>
      <c r="BN48" s="8">
        <f t="shared" si="40"/>
        <v>0</v>
      </c>
      <c r="BO48" s="8">
        <f t="shared" si="41"/>
        <v>0</v>
      </c>
      <c r="BP48" s="8">
        <f t="shared" si="42"/>
        <v>2.2041552529603528</v>
      </c>
    </row>
    <row r="49" spans="2:68" ht="18.75" customHeight="1" x14ac:dyDescent="0.3">
      <c r="B49" s="2" t="s">
        <v>4</v>
      </c>
      <c r="C49" s="3">
        <v>2080</v>
      </c>
      <c r="D49" s="7"/>
      <c r="E49" s="6">
        <v>0.67275835800617501</v>
      </c>
      <c r="F49" s="6">
        <v>0.89333981818351504</v>
      </c>
      <c r="G49" s="7"/>
      <c r="H49" s="7"/>
      <c r="I49" s="6">
        <v>2.65916285613788E-2</v>
      </c>
      <c r="J49" s="6">
        <v>0.66454540353351199</v>
      </c>
      <c r="K49" s="6">
        <v>2.18746935476381</v>
      </c>
      <c r="L49" s="7"/>
      <c r="M49" s="6">
        <v>0.47226697353279501</v>
      </c>
      <c r="N49" s="7"/>
      <c r="O49" s="6">
        <v>1.0492698638601099</v>
      </c>
      <c r="P49" s="6">
        <v>3.94471715186768</v>
      </c>
      <c r="Q49" s="6">
        <v>8.1827731092436906E-2</v>
      </c>
      <c r="R49" s="7"/>
      <c r="S49" s="7"/>
      <c r="T49" s="6">
        <v>2.4490613921781699</v>
      </c>
      <c r="W49" s="8" t="str">
        <f t="shared" si="3"/>
        <v>*</v>
      </c>
      <c r="X49" s="15" t="str">
        <f t="shared" si="4"/>
        <v>ELEGEO</v>
      </c>
      <c r="Y49" s="15" t="s">
        <v>42</v>
      </c>
      <c r="Z49" s="8">
        <f t="shared" si="5"/>
        <v>2080</v>
      </c>
      <c r="AA49" s="8">
        <f t="shared" si="6"/>
        <v>0</v>
      </c>
      <c r="AB49" s="8">
        <f t="shared" si="7"/>
        <v>0.74003419380679258</v>
      </c>
      <c r="AC49" s="8">
        <f t="shared" si="8"/>
        <v>0.98267380000186666</v>
      </c>
      <c r="AD49" s="8">
        <f t="shared" si="9"/>
        <v>0</v>
      </c>
      <c r="AE49" s="8">
        <f t="shared" si="10"/>
        <v>0</v>
      </c>
      <c r="AF49" s="8">
        <f t="shared" si="11"/>
        <v>2.9250791417516683E-2</v>
      </c>
      <c r="AG49" s="8">
        <f t="shared" si="12"/>
        <v>0.73099994388686329</v>
      </c>
      <c r="AH49" s="8">
        <f t="shared" si="13"/>
        <v>2.4062162902401911</v>
      </c>
      <c r="AI49" s="8">
        <f t="shared" si="14"/>
        <v>0</v>
      </c>
      <c r="AJ49" s="8">
        <f t="shared" si="15"/>
        <v>0.51949367088607457</v>
      </c>
      <c r="AK49" s="8">
        <f t="shared" si="16"/>
        <v>0</v>
      </c>
      <c r="AL49" s="8">
        <f t="shared" si="17"/>
        <v>1.1541968502461211</v>
      </c>
      <c r="AM49" s="8">
        <f t="shared" si="18"/>
        <v>4.3391888670544487</v>
      </c>
      <c r="AN49" s="8">
        <f t="shared" si="19"/>
        <v>9.0010504201680608E-2</v>
      </c>
      <c r="AO49" s="8">
        <f t="shared" si="20"/>
        <v>0</v>
      </c>
      <c r="AP49" s="8">
        <f t="shared" si="21"/>
        <v>0</v>
      </c>
      <c r="AQ49" s="8">
        <f t="shared" si="22"/>
        <v>2.693967531395987</v>
      </c>
      <c r="AV49" s="8" t="str">
        <f t="shared" si="23"/>
        <v>*</v>
      </c>
      <c r="AW49" s="15" t="str">
        <f t="shared" si="24"/>
        <v>ELEGEO</v>
      </c>
      <c r="AX49" s="8" t="s">
        <v>45</v>
      </c>
      <c r="AY49" s="8">
        <f t="shared" si="25"/>
        <v>2080</v>
      </c>
      <c r="AZ49" s="8">
        <f t="shared" si="26"/>
        <v>0</v>
      </c>
      <c r="BA49" s="8">
        <f t="shared" si="27"/>
        <v>0.60548252220555754</v>
      </c>
      <c r="BB49" s="8">
        <f t="shared" si="28"/>
        <v>0.80400583636516354</v>
      </c>
      <c r="BC49" s="8">
        <f t="shared" si="29"/>
        <v>0</v>
      </c>
      <c r="BD49" s="8">
        <f t="shared" si="30"/>
        <v>0</v>
      </c>
      <c r="BE49" s="8">
        <f t="shared" si="31"/>
        <v>2.3932465705240921E-2</v>
      </c>
      <c r="BF49" s="8">
        <f t="shared" si="32"/>
        <v>0.5980908631801608</v>
      </c>
      <c r="BG49" s="8">
        <f t="shared" si="33"/>
        <v>1.9687224192874291</v>
      </c>
      <c r="BH49" s="8">
        <f t="shared" si="34"/>
        <v>0</v>
      </c>
      <c r="BI49" s="8">
        <f t="shared" si="35"/>
        <v>0.42504027617951551</v>
      </c>
      <c r="BJ49" s="8">
        <f t="shared" si="36"/>
        <v>0</v>
      </c>
      <c r="BK49" s="8">
        <f t="shared" si="37"/>
        <v>0.94434287747409895</v>
      </c>
      <c r="BL49" s="8">
        <f t="shared" si="38"/>
        <v>3.5502454366809122</v>
      </c>
      <c r="BM49" s="8">
        <f t="shared" si="39"/>
        <v>7.3644957983193218E-2</v>
      </c>
      <c r="BN49" s="8">
        <f t="shared" si="40"/>
        <v>0</v>
      </c>
      <c r="BO49" s="8">
        <f t="shared" si="41"/>
        <v>0</v>
      </c>
      <c r="BP49" s="8">
        <f t="shared" si="42"/>
        <v>2.2041552529603528</v>
      </c>
    </row>
    <row r="50" spans="2:68" ht="18.75" customHeight="1" x14ac:dyDescent="0.3">
      <c r="B50" s="2" t="s">
        <v>5</v>
      </c>
      <c r="C50" s="3">
        <v>2017</v>
      </c>
      <c r="D50" s="6">
        <v>6.8485139795313801</v>
      </c>
      <c r="E50" s="6">
        <v>24.625814477978</v>
      </c>
      <c r="F50" s="6">
        <v>11.235697883335</v>
      </c>
      <c r="G50" s="6">
        <v>101.553455326069</v>
      </c>
      <c r="H50" s="6">
        <v>80.551336507698807</v>
      </c>
      <c r="I50" s="6">
        <v>316.15300375485401</v>
      </c>
      <c r="J50" s="6">
        <v>53.154997758179398</v>
      </c>
      <c r="K50" s="6">
        <v>158.41464331390401</v>
      </c>
      <c r="L50" s="6">
        <v>44.354631253669197</v>
      </c>
      <c r="M50" s="6">
        <v>22.386484281649999</v>
      </c>
      <c r="N50" s="6">
        <v>15.102360669210199</v>
      </c>
      <c r="O50" s="6">
        <v>31.1981916220819</v>
      </c>
      <c r="P50" s="6">
        <v>62.634643747974003</v>
      </c>
      <c r="Q50" s="6">
        <v>51.5116024905345</v>
      </c>
      <c r="R50" s="6">
        <v>1.4974853547815901</v>
      </c>
      <c r="S50" s="6">
        <v>41.4330173545736</v>
      </c>
      <c r="T50" s="6">
        <v>78.746034315618004</v>
      </c>
      <c r="W50" s="8" t="str">
        <f t="shared" si="3"/>
        <v>CAP_BND</v>
      </c>
      <c r="X50" s="15" t="str">
        <f t="shared" si="4"/>
        <v>ELEHYD</v>
      </c>
      <c r="Y50" s="15" t="s">
        <v>42</v>
      </c>
      <c r="Z50" s="8">
        <f t="shared" si="5"/>
        <v>2017</v>
      </c>
      <c r="AA50" s="8">
        <f t="shared" si="6"/>
        <v>7.5333653774845191</v>
      </c>
      <c r="AB50" s="8">
        <f t="shared" si="7"/>
        <v>27.088395925775803</v>
      </c>
      <c r="AC50" s="8">
        <f t="shared" si="8"/>
        <v>12.359267671668501</v>
      </c>
      <c r="AD50" s="8">
        <f t="shared" si="9"/>
        <v>111.70880085867591</v>
      </c>
      <c r="AE50" s="8">
        <f t="shared" si="10"/>
        <v>88.606470158468696</v>
      </c>
      <c r="AF50" s="8">
        <f t="shared" si="11"/>
        <v>347.76830413033946</v>
      </c>
      <c r="AG50" s="8">
        <f t="shared" si="12"/>
        <v>58.470497533997346</v>
      </c>
      <c r="AH50" s="8">
        <f t="shared" si="13"/>
        <v>174.25610764529443</v>
      </c>
      <c r="AI50" s="8">
        <f t="shared" si="14"/>
        <v>48.79009437903612</v>
      </c>
      <c r="AJ50" s="8">
        <f t="shared" si="15"/>
        <v>24.625132709815002</v>
      </c>
      <c r="AK50" s="8">
        <f t="shared" si="16"/>
        <v>16.61259673613122</v>
      </c>
      <c r="AL50" s="8">
        <f t="shared" si="17"/>
        <v>34.318010784290095</v>
      </c>
      <c r="AM50" s="8">
        <f t="shared" si="18"/>
        <v>68.898108122771404</v>
      </c>
      <c r="AN50" s="8">
        <f t="shared" si="19"/>
        <v>56.662762739587954</v>
      </c>
      <c r="AO50" s="8">
        <f t="shared" si="20"/>
        <v>1.6472338902597492</v>
      </c>
      <c r="AP50" s="8">
        <f t="shared" si="21"/>
        <v>45.576319090030964</v>
      </c>
      <c r="AQ50" s="8">
        <f t="shared" si="22"/>
        <v>86.620637747179813</v>
      </c>
      <c r="AV50" s="8" t="str">
        <f t="shared" si="23"/>
        <v>CAP_BND</v>
      </c>
      <c r="AW50" s="15" t="str">
        <f t="shared" si="24"/>
        <v>ELEHYD</v>
      </c>
      <c r="AX50" s="8" t="s">
        <v>45</v>
      </c>
      <c r="AY50" s="8">
        <f t="shared" si="25"/>
        <v>2017</v>
      </c>
      <c r="AZ50" s="8">
        <f t="shared" si="26"/>
        <v>6.163662581578242</v>
      </c>
      <c r="BA50" s="8">
        <f t="shared" si="27"/>
        <v>22.163233030180201</v>
      </c>
      <c r="BB50" s="8">
        <f t="shared" si="28"/>
        <v>10.1121280950015</v>
      </c>
      <c r="BC50" s="8">
        <f t="shared" si="29"/>
        <v>91.398109793462098</v>
      </c>
      <c r="BD50" s="8">
        <f t="shared" si="30"/>
        <v>72.496202856928932</v>
      </c>
      <c r="BE50" s="8">
        <f t="shared" si="31"/>
        <v>284.53770337936862</v>
      </c>
      <c r="BF50" s="8">
        <f t="shared" si="32"/>
        <v>47.839497982361458</v>
      </c>
      <c r="BG50" s="8">
        <f t="shared" si="33"/>
        <v>142.57317898251361</v>
      </c>
      <c r="BH50" s="8">
        <f t="shared" si="34"/>
        <v>39.919168128302282</v>
      </c>
      <c r="BI50" s="8">
        <f t="shared" si="35"/>
        <v>20.147835853484999</v>
      </c>
      <c r="BJ50" s="8">
        <f t="shared" si="36"/>
        <v>13.59212460228918</v>
      </c>
      <c r="BK50" s="8">
        <f t="shared" si="37"/>
        <v>28.078372459873712</v>
      </c>
      <c r="BL50" s="8">
        <f t="shared" si="38"/>
        <v>56.371179373176602</v>
      </c>
      <c r="BM50" s="8">
        <f t="shared" si="39"/>
        <v>46.360442241481053</v>
      </c>
      <c r="BN50" s="8">
        <f t="shared" si="40"/>
        <v>1.3477368193034311</v>
      </c>
      <c r="BO50" s="8">
        <f t="shared" si="41"/>
        <v>37.289715619116244</v>
      </c>
      <c r="BP50" s="8">
        <f t="shared" si="42"/>
        <v>70.87143088405621</v>
      </c>
    </row>
    <row r="51" spans="2:68" ht="18.75" customHeight="1" x14ac:dyDescent="0.3">
      <c r="B51" s="2" t="s">
        <v>5</v>
      </c>
      <c r="C51" s="3">
        <v>2018</v>
      </c>
      <c r="D51" s="6">
        <v>6.9638573728708497</v>
      </c>
      <c r="E51" s="6">
        <v>25.7236364181555</v>
      </c>
      <c r="F51" s="6">
        <v>11.265594967341899</v>
      </c>
      <c r="G51" s="6">
        <v>104.052364302336</v>
      </c>
      <c r="H51" s="6">
        <v>80.730362607702901</v>
      </c>
      <c r="I51" s="6">
        <v>322.10411314329099</v>
      </c>
      <c r="J51" s="6">
        <v>54.090385241758298</v>
      </c>
      <c r="K51" s="6">
        <v>159.964000888312</v>
      </c>
      <c r="L51" s="6">
        <v>44.954730478967903</v>
      </c>
      <c r="M51" s="6">
        <v>22.3903857254077</v>
      </c>
      <c r="N51" s="6">
        <v>15.247604372372299</v>
      </c>
      <c r="O51" s="6">
        <v>31.268232462798601</v>
      </c>
      <c r="P51" s="6">
        <v>66.478011686674293</v>
      </c>
      <c r="Q51" s="6">
        <v>51.587383460779598</v>
      </c>
      <c r="R51" s="6">
        <v>1.4974853547815901</v>
      </c>
      <c r="S51" s="6">
        <v>42.161505628449603</v>
      </c>
      <c r="T51" s="6">
        <v>78.769132000813798</v>
      </c>
      <c r="W51" s="8" t="str">
        <f t="shared" si="3"/>
        <v>CAP_BND</v>
      </c>
      <c r="X51" s="15" t="str">
        <f t="shared" si="4"/>
        <v>ELEHYD</v>
      </c>
      <c r="Y51" s="15" t="s">
        <v>42</v>
      </c>
      <c r="Z51" s="8">
        <f t="shared" si="5"/>
        <v>2018</v>
      </c>
      <c r="AA51" s="8">
        <f t="shared" si="6"/>
        <v>7.6602431101579356</v>
      </c>
      <c r="AB51" s="8">
        <f t="shared" si="7"/>
        <v>28.296000059971053</v>
      </c>
      <c r="AC51" s="8">
        <f t="shared" si="8"/>
        <v>12.392154464076089</v>
      </c>
      <c r="AD51" s="8">
        <f t="shared" si="9"/>
        <v>114.45760073256962</v>
      </c>
      <c r="AE51" s="8">
        <f t="shared" si="10"/>
        <v>88.803398868473195</v>
      </c>
      <c r="AF51" s="8">
        <f t="shared" si="11"/>
        <v>354.31452445762011</v>
      </c>
      <c r="AG51" s="8">
        <f t="shared" si="12"/>
        <v>59.499423765934132</v>
      </c>
      <c r="AH51" s="8">
        <f t="shared" si="13"/>
        <v>175.96040097714322</v>
      </c>
      <c r="AI51" s="8">
        <f t="shared" si="14"/>
        <v>49.450203526864698</v>
      </c>
      <c r="AJ51" s="8">
        <f t="shared" si="15"/>
        <v>24.629424297948471</v>
      </c>
      <c r="AK51" s="8">
        <f t="shared" si="16"/>
        <v>16.772364809609531</v>
      </c>
      <c r="AL51" s="8">
        <f t="shared" si="17"/>
        <v>34.395055709078463</v>
      </c>
      <c r="AM51" s="8">
        <f t="shared" si="18"/>
        <v>73.125812855341735</v>
      </c>
      <c r="AN51" s="8">
        <f t="shared" si="19"/>
        <v>56.746121806857566</v>
      </c>
      <c r="AO51" s="8">
        <f t="shared" si="20"/>
        <v>1.6472338902597492</v>
      </c>
      <c r="AP51" s="8">
        <f t="shared" si="21"/>
        <v>46.37765619129457</v>
      </c>
      <c r="AQ51" s="8">
        <f t="shared" si="22"/>
        <v>86.646045200895188</v>
      </c>
      <c r="AV51" s="8" t="str">
        <f t="shared" si="23"/>
        <v>CAP_BND</v>
      </c>
      <c r="AW51" s="15" t="str">
        <f t="shared" si="24"/>
        <v>ELEHYD</v>
      </c>
      <c r="AX51" s="8" t="s">
        <v>45</v>
      </c>
      <c r="AY51" s="8">
        <f t="shared" si="25"/>
        <v>2018</v>
      </c>
      <c r="AZ51" s="8">
        <f t="shared" si="26"/>
        <v>6.2674716355837647</v>
      </c>
      <c r="BA51" s="8">
        <f t="shared" si="27"/>
        <v>23.151272776339951</v>
      </c>
      <c r="BB51" s="8">
        <f t="shared" si="28"/>
        <v>10.139035470607709</v>
      </c>
      <c r="BC51" s="8">
        <f t="shared" si="29"/>
        <v>93.647127872102402</v>
      </c>
      <c r="BD51" s="8">
        <f t="shared" si="30"/>
        <v>72.657326346932606</v>
      </c>
      <c r="BE51" s="8">
        <f t="shared" si="31"/>
        <v>289.89370182896192</v>
      </c>
      <c r="BF51" s="8">
        <f t="shared" si="32"/>
        <v>48.681346717582471</v>
      </c>
      <c r="BG51" s="8">
        <f t="shared" si="33"/>
        <v>143.96760079948081</v>
      </c>
      <c r="BH51" s="8">
        <f t="shared" si="34"/>
        <v>40.459257431071116</v>
      </c>
      <c r="BI51" s="8">
        <f t="shared" si="35"/>
        <v>20.151347152866929</v>
      </c>
      <c r="BJ51" s="8">
        <f t="shared" si="36"/>
        <v>13.722843935135069</v>
      </c>
      <c r="BK51" s="8">
        <f t="shared" si="37"/>
        <v>28.141409216518742</v>
      </c>
      <c r="BL51" s="8">
        <f t="shared" si="38"/>
        <v>59.830210518006865</v>
      </c>
      <c r="BM51" s="8">
        <f t="shared" si="39"/>
        <v>46.428645114701638</v>
      </c>
      <c r="BN51" s="8">
        <f t="shared" si="40"/>
        <v>1.3477368193034311</v>
      </c>
      <c r="BO51" s="8">
        <f t="shared" si="41"/>
        <v>37.945355065604645</v>
      </c>
      <c r="BP51" s="8">
        <f t="shared" si="42"/>
        <v>70.892218800732422</v>
      </c>
    </row>
    <row r="52" spans="2:68" ht="18.75" customHeight="1" x14ac:dyDescent="0.3">
      <c r="B52" s="2" t="s">
        <v>5</v>
      </c>
      <c r="C52" s="3">
        <v>2019</v>
      </c>
      <c r="D52" s="6">
        <v>6.9638573728708497</v>
      </c>
      <c r="E52" s="6">
        <v>25.7236364181555</v>
      </c>
      <c r="F52" s="6">
        <v>11.265594967341899</v>
      </c>
      <c r="G52" s="6">
        <v>104.052364302336</v>
      </c>
      <c r="H52" s="6">
        <v>80.730362607702901</v>
      </c>
      <c r="I52" s="6">
        <v>322.10411314329099</v>
      </c>
      <c r="J52" s="6">
        <v>54.090385241758298</v>
      </c>
      <c r="K52" s="6">
        <v>159.964000888312</v>
      </c>
      <c r="L52" s="6">
        <v>44.954730478967903</v>
      </c>
      <c r="M52" s="6">
        <v>22.3903857254077</v>
      </c>
      <c r="N52" s="6">
        <v>15.247604372372299</v>
      </c>
      <c r="O52" s="6">
        <v>31.268232462798601</v>
      </c>
      <c r="P52" s="6">
        <v>66.478011686674293</v>
      </c>
      <c r="Q52" s="6">
        <v>51.587383460779598</v>
      </c>
      <c r="R52" s="6">
        <v>1.4974853547815901</v>
      </c>
      <c r="S52" s="6">
        <v>42.161505628449603</v>
      </c>
      <c r="T52" s="6">
        <v>78.769132000813798</v>
      </c>
      <c r="W52" s="8" t="str">
        <f t="shared" si="3"/>
        <v>CAP_BND</v>
      </c>
      <c r="X52" s="15" t="str">
        <f t="shared" si="4"/>
        <v>ELEHYD</v>
      </c>
      <c r="Y52" s="15" t="s">
        <v>42</v>
      </c>
      <c r="Z52" s="8">
        <f t="shared" si="5"/>
        <v>2019</v>
      </c>
      <c r="AA52" s="8">
        <f t="shared" si="6"/>
        <v>7.6602431101579356</v>
      </c>
      <c r="AB52" s="8">
        <f t="shared" si="7"/>
        <v>28.296000059971053</v>
      </c>
      <c r="AC52" s="8">
        <f t="shared" si="8"/>
        <v>12.392154464076089</v>
      </c>
      <c r="AD52" s="8">
        <f t="shared" si="9"/>
        <v>114.45760073256962</v>
      </c>
      <c r="AE52" s="8">
        <f t="shared" si="10"/>
        <v>88.803398868473195</v>
      </c>
      <c r="AF52" s="8">
        <f t="shared" si="11"/>
        <v>354.31452445762011</v>
      </c>
      <c r="AG52" s="8">
        <f t="shared" si="12"/>
        <v>59.499423765934132</v>
      </c>
      <c r="AH52" s="8">
        <f t="shared" si="13"/>
        <v>175.96040097714322</v>
      </c>
      <c r="AI52" s="8">
        <f t="shared" si="14"/>
        <v>49.450203526864698</v>
      </c>
      <c r="AJ52" s="8">
        <f t="shared" si="15"/>
        <v>24.629424297948471</v>
      </c>
      <c r="AK52" s="8">
        <f t="shared" si="16"/>
        <v>16.772364809609531</v>
      </c>
      <c r="AL52" s="8">
        <f t="shared" si="17"/>
        <v>34.395055709078463</v>
      </c>
      <c r="AM52" s="8">
        <f t="shared" si="18"/>
        <v>73.125812855341735</v>
      </c>
      <c r="AN52" s="8">
        <f t="shared" si="19"/>
        <v>56.746121806857566</v>
      </c>
      <c r="AO52" s="8">
        <f t="shared" si="20"/>
        <v>1.6472338902597492</v>
      </c>
      <c r="AP52" s="8">
        <f t="shared" si="21"/>
        <v>46.37765619129457</v>
      </c>
      <c r="AQ52" s="8">
        <f t="shared" si="22"/>
        <v>86.646045200895188</v>
      </c>
      <c r="AV52" s="8" t="str">
        <f t="shared" si="23"/>
        <v>CAP_BND</v>
      </c>
      <c r="AW52" s="15" t="str">
        <f t="shared" si="24"/>
        <v>ELEHYD</v>
      </c>
      <c r="AX52" s="8" t="s">
        <v>45</v>
      </c>
      <c r="AY52" s="8">
        <f t="shared" si="25"/>
        <v>2019</v>
      </c>
      <c r="AZ52" s="8">
        <f t="shared" si="26"/>
        <v>6.2674716355837647</v>
      </c>
      <c r="BA52" s="8">
        <f t="shared" si="27"/>
        <v>23.151272776339951</v>
      </c>
      <c r="BB52" s="8">
        <f t="shared" si="28"/>
        <v>10.139035470607709</v>
      </c>
      <c r="BC52" s="8">
        <f t="shared" si="29"/>
        <v>93.647127872102402</v>
      </c>
      <c r="BD52" s="8">
        <f t="shared" si="30"/>
        <v>72.657326346932606</v>
      </c>
      <c r="BE52" s="8">
        <f t="shared" si="31"/>
        <v>289.89370182896192</v>
      </c>
      <c r="BF52" s="8">
        <f t="shared" si="32"/>
        <v>48.681346717582471</v>
      </c>
      <c r="BG52" s="8">
        <f t="shared" si="33"/>
        <v>143.96760079948081</v>
      </c>
      <c r="BH52" s="8">
        <f t="shared" si="34"/>
        <v>40.459257431071116</v>
      </c>
      <c r="BI52" s="8">
        <f t="shared" si="35"/>
        <v>20.151347152866929</v>
      </c>
      <c r="BJ52" s="8">
        <f t="shared" si="36"/>
        <v>13.722843935135069</v>
      </c>
      <c r="BK52" s="8">
        <f t="shared" si="37"/>
        <v>28.141409216518742</v>
      </c>
      <c r="BL52" s="8">
        <f t="shared" si="38"/>
        <v>59.830210518006865</v>
      </c>
      <c r="BM52" s="8">
        <f t="shared" si="39"/>
        <v>46.428645114701638</v>
      </c>
      <c r="BN52" s="8">
        <f t="shared" si="40"/>
        <v>1.3477368193034311</v>
      </c>
      <c r="BO52" s="8">
        <f t="shared" si="41"/>
        <v>37.945355065604645</v>
      </c>
      <c r="BP52" s="8">
        <f t="shared" si="42"/>
        <v>70.892218800732422</v>
      </c>
    </row>
    <row r="53" spans="2:68" ht="18.75" customHeight="1" x14ac:dyDescent="0.3">
      <c r="B53" s="2" t="s">
        <v>5</v>
      </c>
      <c r="C53" s="3">
        <v>2020</v>
      </c>
      <c r="D53" s="6">
        <v>6.9638573728708497</v>
      </c>
      <c r="E53" s="6">
        <v>25.7236364181555</v>
      </c>
      <c r="F53" s="6">
        <v>11.265594967341899</v>
      </c>
      <c r="G53" s="6">
        <v>103.19665597631101</v>
      </c>
      <c r="H53" s="6">
        <v>80.730362607702901</v>
      </c>
      <c r="I53" s="6">
        <v>322.10411314329099</v>
      </c>
      <c r="J53" s="6">
        <v>54.090385241758298</v>
      </c>
      <c r="K53" s="6">
        <v>159.964000888312</v>
      </c>
      <c r="L53" s="6">
        <v>44.954730478967903</v>
      </c>
      <c r="M53" s="6">
        <v>22.3903857254077</v>
      </c>
      <c r="N53" s="6">
        <v>15.247604372372299</v>
      </c>
      <c r="O53" s="6">
        <v>31.268232462798601</v>
      </c>
      <c r="P53" s="6">
        <v>66.478011686674293</v>
      </c>
      <c r="Q53" s="6">
        <v>51.587383460779598</v>
      </c>
      <c r="R53" s="6">
        <v>1.4974853547815901</v>
      </c>
      <c r="S53" s="6">
        <v>42.161505628449603</v>
      </c>
      <c r="T53" s="6">
        <v>78.769132000813798</v>
      </c>
      <c r="W53" s="8" t="str">
        <f t="shared" si="3"/>
        <v>CAP_BND</v>
      </c>
      <c r="X53" s="15" t="str">
        <f t="shared" si="4"/>
        <v>ELEHYD</v>
      </c>
      <c r="Y53" s="15" t="s">
        <v>42</v>
      </c>
      <c r="Z53" s="8">
        <f t="shared" si="5"/>
        <v>2020</v>
      </c>
      <c r="AA53" s="8">
        <f t="shared" si="6"/>
        <v>7.6602431101579356</v>
      </c>
      <c r="AB53" s="8">
        <f t="shared" si="7"/>
        <v>28.296000059971053</v>
      </c>
      <c r="AC53" s="8">
        <f t="shared" si="8"/>
        <v>12.392154464076089</v>
      </c>
      <c r="AD53" s="8">
        <f t="shared" si="9"/>
        <v>113.51632157394212</v>
      </c>
      <c r="AE53" s="8">
        <f t="shared" si="10"/>
        <v>88.803398868473195</v>
      </c>
      <c r="AF53" s="8">
        <f t="shared" si="11"/>
        <v>354.31452445762011</v>
      </c>
      <c r="AG53" s="8">
        <f t="shared" si="12"/>
        <v>59.499423765934132</v>
      </c>
      <c r="AH53" s="8">
        <f t="shared" si="13"/>
        <v>175.96040097714322</v>
      </c>
      <c r="AI53" s="8">
        <f t="shared" si="14"/>
        <v>49.450203526864698</v>
      </c>
      <c r="AJ53" s="8">
        <f t="shared" si="15"/>
        <v>24.629424297948471</v>
      </c>
      <c r="AK53" s="8">
        <f t="shared" si="16"/>
        <v>16.772364809609531</v>
      </c>
      <c r="AL53" s="8">
        <f t="shared" si="17"/>
        <v>34.395055709078463</v>
      </c>
      <c r="AM53" s="8">
        <f t="shared" si="18"/>
        <v>73.125812855341735</v>
      </c>
      <c r="AN53" s="8">
        <f t="shared" si="19"/>
        <v>56.746121806857566</v>
      </c>
      <c r="AO53" s="8">
        <f t="shared" si="20"/>
        <v>1.6472338902597492</v>
      </c>
      <c r="AP53" s="8">
        <f t="shared" si="21"/>
        <v>46.37765619129457</v>
      </c>
      <c r="AQ53" s="8">
        <f t="shared" si="22"/>
        <v>86.646045200895188</v>
      </c>
      <c r="AV53" s="8" t="str">
        <f t="shared" si="23"/>
        <v>CAP_BND</v>
      </c>
      <c r="AW53" s="15" t="str">
        <f t="shared" si="24"/>
        <v>ELEHYD</v>
      </c>
      <c r="AX53" s="8" t="s">
        <v>45</v>
      </c>
      <c r="AY53" s="8">
        <f t="shared" si="25"/>
        <v>2020</v>
      </c>
      <c r="AZ53" s="8">
        <f t="shared" si="26"/>
        <v>6.2674716355837647</v>
      </c>
      <c r="BA53" s="8">
        <f t="shared" si="27"/>
        <v>23.151272776339951</v>
      </c>
      <c r="BB53" s="8">
        <f t="shared" si="28"/>
        <v>10.139035470607709</v>
      </c>
      <c r="BC53" s="8">
        <f t="shared" si="29"/>
        <v>92.876990378679906</v>
      </c>
      <c r="BD53" s="8">
        <f t="shared" si="30"/>
        <v>72.657326346932606</v>
      </c>
      <c r="BE53" s="8">
        <f t="shared" si="31"/>
        <v>289.89370182896192</v>
      </c>
      <c r="BF53" s="8">
        <f t="shared" si="32"/>
        <v>48.681346717582471</v>
      </c>
      <c r="BG53" s="8">
        <f t="shared" si="33"/>
        <v>143.96760079948081</v>
      </c>
      <c r="BH53" s="8">
        <f t="shared" si="34"/>
        <v>40.459257431071116</v>
      </c>
      <c r="BI53" s="8">
        <f t="shared" si="35"/>
        <v>20.151347152866929</v>
      </c>
      <c r="BJ53" s="8">
        <f t="shared" si="36"/>
        <v>13.722843935135069</v>
      </c>
      <c r="BK53" s="8">
        <f t="shared" si="37"/>
        <v>28.141409216518742</v>
      </c>
      <c r="BL53" s="8">
        <f t="shared" si="38"/>
        <v>59.830210518006865</v>
      </c>
      <c r="BM53" s="8">
        <f t="shared" si="39"/>
        <v>46.428645114701638</v>
      </c>
      <c r="BN53" s="8">
        <f t="shared" si="40"/>
        <v>1.3477368193034311</v>
      </c>
      <c r="BO53" s="8">
        <f t="shared" si="41"/>
        <v>37.945355065604645</v>
      </c>
      <c r="BP53" s="8">
        <f t="shared" si="42"/>
        <v>70.892218800732422</v>
      </c>
    </row>
    <row r="54" spans="2:68" ht="18.75" customHeight="1" x14ac:dyDescent="0.3">
      <c r="B54" s="2" t="s">
        <v>5</v>
      </c>
      <c r="C54" s="3">
        <v>2021</v>
      </c>
      <c r="D54" s="6">
        <v>31.539066950203701</v>
      </c>
      <c r="E54" s="6">
        <v>76.367380589927606</v>
      </c>
      <c r="F54" s="6">
        <v>13.644457889456501</v>
      </c>
      <c r="G54" s="6">
        <v>101.396378429911</v>
      </c>
      <c r="H54" s="6">
        <v>80.730362607702901</v>
      </c>
      <c r="I54" s="6">
        <v>356.44162965812001</v>
      </c>
      <c r="J54" s="6">
        <v>69.814219427803593</v>
      </c>
      <c r="K54" s="6">
        <v>170.17313203242401</v>
      </c>
      <c r="L54" s="6">
        <v>99.129864974609205</v>
      </c>
      <c r="M54" s="6">
        <v>22.403000542426</v>
      </c>
      <c r="N54" s="6">
        <v>15.327604372372299</v>
      </c>
      <c r="O54" s="6">
        <v>47.115157043175898</v>
      </c>
      <c r="P54" s="6">
        <v>135.60127232972201</v>
      </c>
      <c r="Q54" s="6">
        <v>51.587383460779598</v>
      </c>
      <c r="R54" s="6">
        <v>1.4974853547815901</v>
      </c>
      <c r="S54" s="6">
        <v>42.181505628449599</v>
      </c>
      <c r="T54" s="6">
        <v>81.241865179542501</v>
      </c>
      <c r="W54" s="8" t="str">
        <f t="shared" si="3"/>
        <v>CAP_BND</v>
      </c>
      <c r="X54" s="15" t="str">
        <f t="shared" si="4"/>
        <v>ELEHYD</v>
      </c>
      <c r="Y54" s="15" t="s">
        <v>42</v>
      </c>
      <c r="Z54" s="8">
        <f t="shared" si="5"/>
        <v>2021</v>
      </c>
      <c r="AA54" s="8">
        <f t="shared" si="6"/>
        <v>34.692973645224072</v>
      </c>
      <c r="AB54" s="8">
        <f t="shared" si="7"/>
        <v>84.004118648920368</v>
      </c>
      <c r="AC54" s="8">
        <f t="shared" si="8"/>
        <v>15.008903678402152</v>
      </c>
      <c r="AD54" s="8">
        <f t="shared" si="9"/>
        <v>111.5360162729021</v>
      </c>
      <c r="AE54" s="8">
        <f t="shared" si="10"/>
        <v>88.803398868473195</v>
      </c>
      <c r="AF54" s="8">
        <f t="shared" si="11"/>
        <v>392.08579262393204</v>
      </c>
      <c r="AG54" s="8">
        <f t="shared" si="12"/>
        <v>76.795641370583965</v>
      </c>
      <c r="AH54" s="8">
        <f t="shared" si="13"/>
        <v>187.19044523566643</v>
      </c>
      <c r="AI54" s="8">
        <f t="shared" si="14"/>
        <v>109.04285147207014</v>
      </c>
      <c r="AJ54" s="8">
        <f t="shared" si="15"/>
        <v>24.643300596668603</v>
      </c>
      <c r="AK54" s="8">
        <f t="shared" si="16"/>
        <v>16.860364809609532</v>
      </c>
      <c r="AL54" s="8">
        <f t="shared" si="17"/>
        <v>51.82667274749349</v>
      </c>
      <c r="AM54" s="8">
        <f t="shared" si="18"/>
        <v>149.16139956269421</v>
      </c>
      <c r="AN54" s="8">
        <f t="shared" si="19"/>
        <v>56.746121806857566</v>
      </c>
      <c r="AO54" s="8">
        <f t="shared" si="20"/>
        <v>1.6472338902597492</v>
      </c>
      <c r="AP54" s="8">
        <f t="shared" si="21"/>
        <v>46.399656191294561</v>
      </c>
      <c r="AQ54" s="8">
        <f t="shared" si="22"/>
        <v>89.366051697496758</v>
      </c>
      <c r="AV54" s="8" t="str">
        <f t="shared" si="23"/>
        <v>CAP_BND</v>
      </c>
      <c r="AW54" s="15" t="str">
        <f t="shared" si="24"/>
        <v>ELEHYD</v>
      </c>
      <c r="AX54" s="8" t="s">
        <v>45</v>
      </c>
      <c r="AY54" s="8">
        <f t="shared" si="25"/>
        <v>2021</v>
      </c>
      <c r="AZ54" s="8">
        <f t="shared" si="26"/>
        <v>28.38516025518333</v>
      </c>
      <c r="BA54" s="8">
        <f t="shared" si="27"/>
        <v>68.730642530934844</v>
      </c>
      <c r="BB54" s="8">
        <f t="shared" si="28"/>
        <v>12.28001210051085</v>
      </c>
      <c r="BC54" s="8">
        <f t="shared" si="29"/>
        <v>91.256740586919904</v>
      </c>
      <c r="BD54" s="8">
        <f t="shared" si="30"/>
        <v>72.657326346932606</v>
      </c>
      <c r="BE54" s="8">
        <f t="shared" si="31"/>
        <v>320.79746669230803</v>
      </c>
      <c r="BF54" s="8">
        <f t="shared" si="32"/>
        <v>62.832797485023235</v>
      </c>
      <c r="BG54" s="8">
        <f t="shared" si="33"/>
        <v>153.15581882918161</v>
      </c>
      <c r="BH54" s="8">
        <f t="shared" si="34"/>
        <v>89.216878477148285</v>
      </c>
      <c r="BI54" s="8">
        <f t="shared" si="35"/>
        <v>20.1627004881834</v>
      </c>
      <c r="BJ54" s="8">
        <f t="shared" si="36"/>
        <v>13.79484393513507</v>
      </c>
      <c r="BK54" s="8">
        <f t="shared" si="37"/>
        <v>42.403641338858307</v>
      </c>
      <c r="BL54" s="8">
        <f t="shared" si="38"/>
        <v>122.04114509674982</v>
      </c>
      <c r="BM54" s="8">
        <f t="shared" si="39"/>
        <v>46.428645114701638</v>
      </c>
      <c r="BN54" s="8">
        <f t="shared" si="40"/>
        <v>1.3477368193034311</v>
      </c>
      <c r="BO54" s="8">
        <f t="shared" si="41"/>
        <v>37.963355065604638</v>
      </c>
      <c r="BP54" s="8">
        <f t="shared" si="42"/>
        <v>73.117678661588258</v>
      </c>
    </row>
    <row r="55" spans="2:68" ht="18.75" customHeight="1" x14ac:dyDescent="0.3">
      <c r="B55" s="2" t="s">
        <v>5</v>
      </c>
      <c r="C55" s="3">
        <v>2030</v>
      </c>
      <c r="D55" s="6">
        <v>31.539066950203701</v>
      </c>
      <c r="E55" s="6">
        <v>76.367380589927606</v>
      </c>
      <c r="F55" s="6">
        <v>17.874396825569601</v>
      </c>
      <c r="G55" s="6">
        <v>101.396378429911</v>
      </c>
      <c r="H55" s="6">
        <v>80.730362607702901</v>
      </c>
      <c r="I55" s="6">
        <v>417.49836257251502</v>
      </c>
      <c r="J55" s="6">
        <v>69.814219427803593</v>
      </c>
      <c r="K55" s="6">
        <v>188.32634335406499</v>
      </c>
      <c r="L55" s="6">
        <v>99.129864974609205</v>
      </c>
      <c r="M55" s="6">
        <v>22.425431387508201</v>
      </c>
      <c r="N55" s="6">
        <v>15.327604372372299</v>
      </c>
      <c r="O55" s="6">
        <v>37.990389632340701</v>
      </c>
      <c r="P55" s="6">
        <v>135.60127232972201</v>
      </c>
      <c r="Q55" s="6">
        <v>51.587383460779598</v>
      </c>
      <c r="R55" s="6">
        <v>1.4974853547815901</v>
      </c>
      <c r="S55" s="6">
        <v>42.181505628449599</v>
      </c>
      <c r="T55" s="6">
        <v>85.6387180852265</v>
      </c>
      <c r="W55" s="8" t="str">
        <f t="shared" si="3"/>
        <v>*</v>
      </c>
      <c r="X55" s="15" t="str">
        <f t="shared" si="4"/>
        <v>ELEHYD</v>
      </c>
      <c r="Y55" s="15" t="s">
        <v>42</v>
      </c>
      <c r="Z55" s="8">
        <f t="shared" si="5"/>
        <v>2030</v>
      </c>
      <c r="AA55" s="8">
        <f t="shared" si="6"/>
        <v>34.692973645224072</v>
      </c>
      <c r="AB55" s="8">
        <f t="shared" si="7"/>
        <v>84.004118648920368</v>
      </c>
      <c r="AC55" s="8">
        <f t="shared" si="8"/>
        <v>19.661836508126562</v>
      </c>
      <c r="AD55" s="8">
        <f t="shared" si="9"/>
        <v>111.5360162729021</v>
      </c>
      <c r="AE55" s="8">
        <f t="shared" si="10"/>
        <v>88.803398868473195</v>
      </c>
      <c r="AF55" s="8">
        <f t="shared" si="11"/>
        <v>459.24819882976658</v>
      </c>
      <c r="AG55" s="8">
        <f t="shared" si="12"/>
        <v>76.795641370583965</v>
      </c>
      <c r="AH55" s="8">
        <f t="shared" si="13"/>
        <v>207.1589776894715</v>
      </c>
      <c r="AI55" s="8">
        <f t="shared" si="14"/>
        <v>109.04285147207014</v>
      </c>
      <c r="AJ55" s="8">
        <f t="shared" si="15"/>
        <v>24.667974526259023</v>
      </c>
      <c r="AK55" s="8">
        <f t="shared" si="16"/>
        <v>16.860364809609532</v>
      </c>
      <c r="AL55" s="8">
        <f t="shared" si="17"/>
        <v>41.789428595574776</v>
      </c>
      <c r="AM55" s="8">
        <f t="shared" si="18"/>
        <v>149.16139956269421</v>
      </c>
      <c r="AN55" s="8">
        <f t="shared" si="19"/>
        <v>56.746121806857566</v>
      </c>
      <c r="AO55" s="8">
        <f t="shared" si="20"/>
        <v>1.6472338902597492</v>
      </c>
      <c r="AP55" s="8">
        <f t="shared" si="21"/>
        <v>46.399656191294561</v>
      </c>
      <c r="AQ55" s="8">
        <f t="shared" si="22"/>
        <v>94.202589893749163</v>
      </c>
      <c r="AV55" s="8" t="str">
        <f t="shared" si="23"/>
        <v>*</v>
      </c>
      <c r="AW55" s="15" t="str">
        <f t="shared" si="24"/>
        <v>ELEHYD</v>
      </c>
      <c r="AX55" s="8" t="s">
        <v>45</v>
      </c>
      <c r="AY55" s="8">
        <f t="shared" si="25"/>
        <v>2030</v>
      </c>
      <c r="AZ55" s="8">
        <f t="shared" si="26"/>
        <v>28.38516025518333</v>
      </c>
      <c r="BA55" s="8">
        <f t="shared" si="27"/>
        <v>68.730642530934844</v>
      </c>
      <c r="BB55" s="8">
        <f t="shared" si="28"/>
        <v>16.08695714301264</v>
      </c>
      <c r="BC55" s="8">
        <f t="shared" si="29"/>
        <v>91.256740586919904</v>
      </c>
      <c r="BD55" s="8">
        <f t="shared" si="30"/>
        <v>72.657326346932606</v>
      </c>
      <c r="BE55" s="8">
        <f t="shared" si="31"/>
        <v>375.74852631526352</v>
      </c>
      <c r="BF55" s="8">
        <f t="shared" si="32"/>
        <v>62.832797485023235</v>
      </c>
      <c r="BG55" s="8">
        <f t="shared" si="33"/>
        <v>169.49370901865851</v>
      </c>
      <c r="BH55" s="8">
        <f t="shared" si="34"/>
        <v>89.216878477148285</v>
      </c>
      <c r="BI55" s="8">
        <f t="shared" si="35"/>
        <v>20.182888248757383</v>
      </c>
      <c r="BJ55" s="8">
        <f t="shared" si="36"/>
        <v>13.79484393513507</v>
      </c>
      <c r="BK55" s="8">
        <f t="shared" si="37"/>
        <v>34.191350669106633</v>
      </c>
      <c r="BL55" s="8">
        <f t="shared" si="38"/>
        <v>122.04114509674982</v>
      </c>
      <c r="BM55" s="8">
        <f t="shared" si="39"/>
        <v>46.428645114701638</v>
      </c>
      <c r="BN55" s="8">
        <f t="shared" si="40"/>
        <v>1.3477368193034311</v>
      </c>
      <c r="BO55" s="8">
        <f t="shared" si="41"/>
        <v>37.963355065604638</v>
      </c>
      <c r="BP55" s="8">
        <f t="shared" si="42"/>
        <v>77.074846276703852</v>
      </c>
    </row>
    <row r="56" spans="2:68" ht="18.75" customHeight="1" x14ac:dyDescent="0.3">
      <c r="B56" s="2" t="s">
        <v>5</v>
      </c>
      <c r="C56" s="3">
        <v>2040</v>
      </c>
      <c r="D56" s="6">
        <v>31.539066950203701</v>
      </c>
      <c r="E56" s="6">
        <v>76.367380589927606</v>
      </c>
      <c r="F56" s="6">
        <v>20.664699843861001</v>
      </c>
      <c r="G56" s="6">
        <v>117.749536270986</v>
      </c>
      <c r="H56" s="6">
        <v>80.730362607702901</v>
      </c>
      <c r="I56" s="6">
        <v>417.49836257251502</v>
      </c>
      <c r="J56" s="6">
        <v>69.814219427803593</v>
      </c>
      <c r="K56" s="6">
        <v>201.624426412031</v>
      </c>
      <c r="L56" s="6">
        <v>99.129864974609205</v>
      </c>
      <c r="M56" s="6">
        <v>22.425431387508201</v>
      </c>
      <c r="N56" s="6">
        <v>15.327604372372299</v>
      </c>
      <c r="O56" s="6">
        <v>36.911487169233702</v>
      </c>
      <c r="P56" s="6">
        <v>135.60127232972201</v>
      </c>
      <c r="Q56" s="6">
        <v>51.587383460779598</v>
      </c>
      <c r="R56" s="6">
        <v>1.4974853547815901</v>
      </c>
      <c r="S56" s="6">
        <v>42.645916004271903</v>
      </c>
      <c r="T56" s="6">
        <v>91.360302901456294</v>
      </c>
      <c r="W56" s="8" t="str">
        <f t="shared" si="3"/>
        <v>*</v>
      </c>
      <c r="X56" s="15" t="str">
        <f t="shared" si="4"/>
        <v>ELEHYD</v>
      </c>
      <c r="Y56" s="15" t="s">
        <v>42</v>
      </c>
      <c r="Z56" s="8">
        <f t="shared" si="5"/>
        <v>2040</v>
      </c>
      <c r="AA56" s="8">
        <f t="shared" si="6"/>
        <v>34.692973645224072</v>
      </c>
      <c r="AB56" s="8">
        <f t="shared" si="7"/>
        <v>84.004118648920368</v>
      </c>
      <c r="AC56" s="8">
        <f t="shared" si="8"/>
        <v>22.731169828247104</v>
      </c>
      <c r="AD56" s="8">
        <f t="shared" si="9"/>
        <v>129.5244898980846</v>
      </c>
      <c r="AE56" s="8">
        <f t="shared" si="10"/>
        <v>88.803398868473195</v>
      </c>
      <c r="AF56" s="8">
        <f t="shared" si="11"/>
        <v>459.24819882976658</v>
      </c>
      <c r="AG56" s="8">
        <f t="shared" si="12"/>
        <v>76.795641370583965</v>
      </c>
      <c r="AH56" s="8">
        <f t="shared" si="13"/>
        <v>221.78686905323411</v>
      </c>
      <c r="AI56" s="8">
        <f t="shared" si="14"/>
        <v>109.04285147207014</v>
      </c>
      <c r="AJ56" s="8">
        <f t="shared" si="15"/>
        <v>24.667974526259023</v>
      </c>
      <c r="AK56" s="8">
        <f t="shared" si="16"/>
        <v>16.860364809609532</v>
      </c>
      <c r="AL56" s="8">
        <f t="shared" si="17"/>
        <v>40.602635886157074</v>
      </c>
      <c r="AM56" s="8">
        <f t="shared" si="18"/>
        <v>149.16139956269421</v>
      </c>
      <c r="AN56" s="8">
        <f t="shared" si="19"/>
        <v>56.746121806857566</v>
      </c>
      <c r="AO56" s="8">
        <f t="shared" si="20"/>
        <v>1.6472338902597492</v>
      </c>
      <c r="AP56" s="8">
        <f t="shared" si="21"/>
        <v>46.910507604699099</v>
      </c>
      <c r="AQ56" s="8">
        <f t="shared" si="22"/>
        <v>100.49633319160193</v>
      </c>
      <c r="AV56" s="8" t="str">
        <f t="shared" si="23"/>
        <v>*</v>
      </c>
      <c r="AW56" s="15" t="str">
        <f t="shared" si="24"/>
        <v>ELEHYD</v>
      </c>
      <c r="AX56" s="8" t="s">
        <v>45</v>
      </c>
      <c r="AY56" s="8">
        <f t="shared" si="25"/>
        <v>2040</v>
      </c>
      <c r="AZ56" s="8">
        <f t="shared" si="26"/>
        <v>28.38516025518333</v>
      </c>
      <c r="BA56" s="8">
        <f t="shared" si="27"/>
        <v>68.730642530934844</v>
      </c>
      <c r="BB56" s="8">
        <f t="shared" si="28"/>
        <v>18.598229859474902</v>
      </c>
      <c r="BC56" s="8">
        <f t="shared" si="29"/>
        <v>105.9745826438874</v>
      </c>
      <c r="BD56" s="8">
        <f t="shared" si="30"/>
        <v>72.657326346932606</v>
      </c>
      <c r="BE56" s="8">
        <f t="shared" si="31"/>
        <v>375.74852631526352</v>
      </c>
      <c r="BF56" s="8">
        <f t="shared" si="32"/>
        <v>62.832797485023235</v>
      </c>
      <c r="BG56" s="8">
        <f t="shared" si="33"/>
        <v>181.46198377082791</v>
      </c>
      <c r="BH56" s="8">
        <f t="shared" si="34"/>
        <v>89.216878477148285</v>
      </c>
      <c r="BI56" s="8">
        <f t="shared" si="35"/>
        <v>20.182888248757383</v>
      </c>
      <c r="BJ56" s="8">
        <f t="shared" si="36"/>
        <v>13.79484393513507</v>
      </c>
      <c r="BK56" s="8">
        <f t="shared" si="37"/>
        <v>33.22033845231033</v>
      </c>
      <c r="BL56" s="8">
        <f t="shared" si="38"/>
        <v>122.04114509674982</v>
      </c>
      <c r="BM56" s="8">
        <f t="shared" si="39"/>
        <v>46.428645114701638</v>
      </c>
      <c r="BN56" s="8">
        <f t="shared" si="40"/>
        <v>1.3477368193034311</v>
      </c>
      <c r="BO56" s="8">
        <f t="shared" si="41"/>
        <v>38.381324403844715</v>
      </c>
      <c r="BP56" s="8">
        <f t="shared" si="42"/>
        <v>82.224272611310667</v>
      </c>
    </row>
    <row r="57" spans="2:68" ht="18.75" customHeight="1" x14ac:dyDescent="0.3">
      <c r="B57" s="2" t="s">
        <v>5</v>
      </c>
      <c r="C57" s="3">
        <v>2050</v>
      </c>
      <c r="D57" s="6">
        <v>31.539066950203701</v>
      </c>
      <c r="E57" s="6">
        <v>76.367380589927606</v>
      </c>
      <c r="F57" s="6">
        <v>24.110628930670799</v>
      </c>
      <c r="G57" s="6">
        <v>136.41990873888099</v>
      </c>
      <c r="H57" s="6">
        <v>80.730362607702901</v>
      </c>
      <c r="I57" s="6">
        <v>417.49836257251502</v>
      </c>
      <c r="J57" s="6">
        <v>69.814219427803593</v>
      </c>
      <c r="K57" s="6">
        <v>219.33007689207699</v>
      </c>
      <c r="L57" s="6">
        <v>99.129864974609205</v>
      </c>
      <c r="M57" s="6">
        <v>22.425431387508201</v>
      </c>
      <c r="N57" s="6">
        <v>15.327604372372299</v>
      </c>
      <c r="O57" s="6">
        <v>36.911487169233702</v>
      </c>
      <c r="P57" s="6">
        <v>135.60127232972201</v>
      </c>
      <c r="Q57" s="6">
        <v>51.587383460779598</v>
      </c>
      <c r="R57" s="6">
        <v>1.4974853547815901</v>
      </c>
      <c r="S57" s="6">
        <v>43.821458682301298</v>
      </c>
      <c r="T57" s="6">
        <v>96.689852700966</v>
      </c>
      <c r="W57" s="8" t="str">
        <f t="shared" si="3"/>
        <v>*</v>
      </c>
      <c r="X57" s="15" t="str">
        <f t="shared" si="4"/>
        <v>ELEHYD</v>
      </c>
      <c r="Y57" s="15" t="s">
        <v>42</v>
      </c>
      <c r="Z57" s="8">
        <f t="shared" si="5"/>
        <v>2050</v>
      </c>
      <c r="AA57" s="8">
        <f t="shared" si="6"/>
        <v>34.692973645224072</v>
      </c>
      <c r="AB57" s="8">
        <f t="shared" si="7"/>
        <v>84.004118648920368</v>
      </c>
      <c r="AC57" s="8">
        <f t="shared" si="8"/>
        <v>26.521691823737882</v>
      </c>
      <c r="AD57" s="8">
        <f t="shared" si="9"/>
        <v>150.06189961276911</v>
      </c>
      <c r="AE57" s="8">
        <f t="shared" si="10"/>
        <v>88.803398868473195</v>
      </c>
      <c r="AF57" s="8">
        <f t="shared" si="11"/>
        <v>459.24819882976658</v>
      </c>
      <c r="AG57" s="8">
        <f t="shared" si="12"/>
        <v>76.795641370583965</v>
      </c>
      <c r="AH57" s="8">
        <f t="shared" si="13"/>
        <v>241.26308458128472</v>
      </c>
      <c r="AI57" s="8">
        <f t="shared" si="14"/>
        <v>109.04285147207014</v>
      </c>
      <c r="AJ57" s="8">
        <f t="shared" si="15"/>
        <v>24.667974526259023</v>
      </c>
      <c r="AK57" s="8">
        <f t="shared" si="16"/>
        <v>16.860364809609532</v>
      </c>
      <c r="AL57" s="8">
        <f t="shared" si="17"/>
        <v>40.602635886157074</v>
      </c>
      <c r="AM57" s="8">
        <f t="shared" si="18"/>
        <v>149.16139956269421</v>
      </c>
      <c r="AN57" s="8">
        <f t="shared" si="19"/>
        <v>56.746121806857566</v>
      </c>
      <c r="AO57" s="8">
        <f t="shared" si="20"/>
        <v>1.6472338902597492</v>
      </c>
      <c r="AP57" s="8">
        <f t="shared" si="21"/>
        <v>48.203604550531431</v>
      </c>
      <c r="AQ57" s="8">
        <f t="shared" si="22"/>
        <v>106.35883797106261</v>
      </c>
      <c r="AV57" s="8" t="str">
        <f t="shared" si="23"/>
        <v>*</v>
      </c>
      <c r="AW57" s="15" t="str">
        <f t="shared" si="24"/>
        <v>ELEHYD</v>
      </c>
      <c r="AX57" s="8" t="s">
        <v>45</v>
      </c>
      <c r="AY57" s="8">
        <f t="shared" si="25"/>
        <v>2050</v>
      </c>
      <c r="AZ57" s="8">
        <f t="shared" si="26"/>
        <v>28.38516025518333</v>
      </c>
      <c r="BA57" s="8">
        <f t="shared" si="27"/>
        <v>68.730642530934844</v>
      </c>
      <c r="BB57" s="8">
        <f t="shared" si="28"/>
        <v>21.69956603760372</v>
      </c>
      <c r="BC57" s="8">
        <f t="shared" si="29"/>
        <v>122.7779178649929</v>
      </c>
      <c r="BD57" s="8">
        <f t="shared" si="30"/>
        <v>72.657326346932606</v>
      </c>
      <c r="BE57" s="8">
        <f t="shared" si="31"/>
        <v>375.74852631526352</v>
      </c>
      <c r="BF57" s="8">
        <f t="shared" si="32"/>
        <v>62.832797485023235</v>
      </c>
      <c r="BG57" s="8">
        <f t="shared" si="33"/>
        <v>197.39706920286929</v>
      </c>
      <c r="BH57" s="8">
        <f t="shared" si="34"/>
        <v>89.216878477148285</v>
      </c>
      <c r="BI57" s="8">
        <f t="shared" si="35"/>
        <v>20.182888248757383</v>
      </c>
      <c r="BJ57" s="8">
        <f t="shared" si="36"/>
        <v>13.79484393513507</v>
      </c>
      <c r="BK57" s="8">
        <f t="shared" si="37"/>
        <v>33.22033845231033</v>
      </c>
      <c r="BL57" s="8">
        <f t="shared" si="38"/>
        <v>122.04114509674982</v>
      </c>
      <c r="BM57" s="8">
        <f t="shared" si="39"/>
        <v>46.428645114701638</v>
      </c>
      <c r="BN57" s="8">
        <f t="shared" si="40"/>
        <v>1.3477368193034311</v>
      </c>
      <c r="BO57" s="8">
        <f t="shared" si="41"/>
        <v>39.439312814071172</v>
      </c>
      <c r="BP57" s="8">
        <f t="shared" si="42"/>
        <v>87.020867430869401</v>
      </c>
    </row>
    <row r="58" spans="2:68" ht="18.75" customHeight="1" x14ac:dyDescent="0.3">
      <c r="B58" s="2" t="s">
        <v>5</v>
      </c>
      <c r="C58" s="3">
        <v>2060</v>
      </c>
      <c r="D58" s="6">
        <v>31.539066950203701</v>
      </c>
      <c r="E58" s="6">
        <v>76.367380589927606</v>
      </c>
      <c r="F58" s="6">
        <v>24.899420175507402</v>
      </c>
      <c r="G58" s="6">
        <v>145.51473452250801</v>
      </c>
      <c r="H58" s="6">
        <v>80.730362607702901</v>
      </c>
      <c r="I58" s="6">
        <v>417.49836257251502</v>
      </c>
      <c r="J58" s="6">
        <v>70.796269734533098</v>
      </c>
      <c r="K58" s="6">
        <v>225.672931660892</v>
      </c>
      <c r="L58" s="6">
        <v>99.129864974609205</v>
      </c>
      <c r="M58" s="6">
        <v>22.425431387508201</v>
      </c>
      <c r="N58" s="6">
        <v>15.327604372372299</v>
      </c>
      <c r="O58" s="6">
        <v>36.911487169233702</v>
      </c>
      <c r="P58" s="6">
        <v>135.60127232972201</v>
      </c>
      <c r="Q58" s="6">
        <v>51.587383460779598</v>
      </c>
      <c r="R58" s="6">
        <v>1.4974853547815901</v>
      </c>
      <c r="S58" s="6">
        <v>44.5135056284496</v>
      </c>
      <c r="T58" s="6">
        <v>96.689852700966</v>
      </c>
      <c r="W58" s="8" t="str">
        <f t="shared" si="3"/>
        <v>*</v>
      </c>
      <c r="X58" s="15" t="str">
        <f t="shared" si="4"/>
        <v>ELEHYD</v>
      </c>
      <c r="Y58" s="15" t="s">
        <v>42</v>
      </c>
      <c r="Z58" s="8">
        <f t="shared" si="5"/>
        <v>2060</v>
      </c>
      <c r="AA58" s="8">
        <f t="shared" si="6"/>
        <v>34.692973645224072</v>
      </c>
      <c r="AB58" s="8">
        <f t="shared" si="7"/>
        <v>84.004118648920368</v>
      </c>
      <c r="AC58" s="8">
        <f t="shared" si="8"/>
        <v>27.389362193058144</v>
      </c>
      <c r="AD58" s="8">
        <f t="shared" si="9"/>
        <v>160.06620797475881</v>
      </c>
      <c r="AE58" s="8">
        <f t="shared" si="10"/>
        <v>88.803398868473195</v>
      </c>
      <c r="AF58" s="8">
        <f t="shared" si="11"/>
        <v>459.24819882976658</v>
      </c>
      <c r="AG58" s="8">
        <f t="shared" si="12"/>
        <v>77.875896707986414</v>
      </c>
      <c r="AH58" s="8">
        <f t="shared" si="13"/>
        <v>248.24022482698123</v>
      </c>
      <c r="AI58" s="8">
        <f t="shared" si="14"/>
        <v>109.04285147207014</v>
      </c>
      <c r="AJ58" s="8">
        <f t="shared" si="15"/>
        <v>24.667974526259023</v>
      </c>
      <c r="AK58" s="8">
        <f t="shared" si="16"/>
        <v>16.860364809609532</v>
      </c>
      <c r="AL58" s="8">
        <f t="shared" si="17"/>
        <v>40.602635886157074</v>
      </c>
      <c r="AM58" s="8">
        <f t="shared" si="18"/>
        <v>149.16139956269421</v>
      </c>
      <c r="AN58" s="8">
        <f t="shared" si="19"/>
        <v>56.746121806857566</v>
      </c>
      <c r="AO58" s="8">
        <f t="shared" si="20"/>
        <v>1.6472338902597492</v>
      </c>
      <c r="AP58" s="8">
        <f t="shared" si="21"/>
        <v>48.964856191294565</v>
      </c>
      <c r="AQ58" s="8">
        <f t="shared" si="22"/>
        <v>106.35883797106261</v>
      </c>
      <c r="AV58" s="8" t="str">
        <f t="shared" si="23"/>
        <v>*</v>
      </c>
      <c r="AW58" s="15" t="str">
        <f t="shared" si="24"/>
        <v>ELEHYD</v>
      </c>
      <c r="AX58" s="8" t="s">
        <v>45</v>
      </c>
      <c r="AY58" s="8">
        <f t="shared" si="25"/>
        <v>2060</v>
      </c>
      <c r="AZ58" s="8">
        <f t="shared" si="26"/>
        <v>28.38516025518333</v>
      </c>
      <c r="BA58" s="8">
        <f t="shared" si="27"/>
        <v>68.730642530934844</v>
      </c>
      <c r="BB58" s="8">
        <f t="shared" si="28"/>
        <v>22.409478157956663</v>
      </c>
      <c r="BC58" s="8">
        <f t="shared" si="29"/>
        <v>130.9632610702572</v>
      </c>
      <c r="BD58" s="8">
        <f t="shared" si="30"/>
        <v>72.657326346932606</v>
      </c>
      <c r="BE58" s="8">
        <f t="shared" si="31"/>
        <v>375.74852631526352</v>
      </c>
      <c r="BF58" s="8">
        <f t="shared" si="32"/>
        <v>63.71664276107979</v>
      </c>
      <c r="BG58" s="8">
        <f t="shared" si="33"/>
        <v>203.1056384948028</v>
      </c>
      <c r="BH58" s="8">
        <f t="shared" si="34"/>
        <v>89.216878477148285</v>
      </c>
      <c r="BI58" s="8">
        <f t="shared" si="35"/>
        <v>20.182888248757383</v>
      </c>
      <c r="BJ58" s="8">
        <f t="shared" si="36"/>
        <v>13.79484393513507</v>
      </c>
      <c r="BK58" s="8">
        <f t="shared" si="37"/>
        <v>33.22033845231033</v>
      </c>
      <c r="BL58" s="8">
        <f t="shared" si="38"/>
        <v>122.04114509674982</v>
      </c>
      <c r="BM58" s="8">
        <f t="shared" si="39"/>
        <v>46.428645114701638</v>
      </c>
      <c r="BN58" s="8">
        <f t="shared" si="40"/>
        <v>1.3477368193034311</v>
      </c>
      <c r="BO58" s="8">
        <f t="shared" si="41"/>
        <v>40.062155065604642</v>
      </c>
      <c r="BP58" s="8">
        <f t="shared" si="42"/>
        <v>87.020867430869401</v>
      </c>
    </row>
    <row r="59" spans="2:68" ht="18.75" customHeight="1" x14ac:dyDescent="0.3">
      <c r="B59" s="2" t="s">
        <v>5</v>
      </c>
      <c r="C59" s="3">
        <v>2070</v>
      </c>
      <c r="D59" s="6">
        <v>31.539066950203701</v>
      </c>
      <c r="E59" s="6">
        <v>76.367380589927606</v>
      </c>
      <c r="F59" s="6">
        <v>24.899420175507402</v>
      </c>
      <c r="G59" s="6">
        <v>159.47073335303801</v>
      </c>
      <c r="H59" s="6">
        <v>80.730362607702901</v>
      </c>
      <c r="I59" s="6">
        <v>417.49836257251502</v>
      </c>
      <c r="J59" s="6">
        <v>71.711031323051799</v>
      </c>
      <c r="K59" s="6">
        <v>226.966343354065</v>
      </c>
      <c r="L59" s="6">
        <v>99.129864974609205</v>
      </c>
      <c r="M59" s="6">
        <v>22.425431387508201</v>
      </c>
      <c r="N59" s="6">
        <v>15.327604372372299</v>
      </c>
      <c r="O59" s="6">
        <v>36.911487169233702</v>
      </c>
      <c r="P59" s="6">
        <v>135.60127232972201</v>
      </c>
      <c r="Q59" s="6">
        <v>51.587383460779598</v>
      </c>
      <c r="R59" s="6">
        <v>1.4974853547815901</v>
      </c>
      <c r="S59" s="6">
        <v>44.5642438857858</v>
      </c>
      <c r="T59" s="6">
        <v>96.689852700966</v>
      </c>
      <c r="W59" s="8" t="str">
        <f t="shared" si="3"/>
        <v>*</v>
      </c>
      <c r="X59" s="15" t="str">
        <f t="shared" si="4"/>
        <v>ELEHYD</v>
      </c>
      <c r="Y59" s="15" t="s">
        <v>42</v>
      </c>
      <c r="Z59" s="8">
        <f t="shared" si="5"/>
        <v>2070</v>
      </c>
      <c r="AA59" s="8">
        <f t="shared" si="6"/>
        <v>34.692973645224072</v>
      </c>
      <c r="AB59" s="8">
        <f t="shared" si="7"/>
        <v>84.004118648920368</v>
      </c>
      <c r="AC59" s="8">
        <f t="shared" si="8"/>
        <v>27.389362193058144</v>
      </c>
      <c r="AD59" s="8">
        <f t="shared" si="9"/>
        <v>175.41780668834184</v>
      </c>
      <c r="AE59" s="8">
        <f t="shared" si="10"/>
        <v>88.803398868473195</v>
      </c>
      <c r="AF59" s="8">
        <f t="shared" si="11"/>
        <v>459.24819882976658</v>
      </c>
      <c r="AG59" s="8">
        <f t="shared" si="12"/>
        <v>78.88213445535699</v>
      </c>
      <c r="AH59" s="8">
        <f t="shared" si="13"/>
        <v>249.66297768947152</v>
      </c>
      <c r="AI59" s="8">
        <f t="shared" si="14"/>
        <v>109.04285147207014</v>
      </c>
      <c r="AJ59" s="8">
        <f t="shared" si="15"/>
        <v>24.667974526259023</v>
      </c>
      <c r="AK59" s="8">
        <f t="shared" si="16"/>
        <v>16.860364809609532</v>
      </c>
      <c r="AL59" s="8">
        <f t="shared" si="17"/>
        <v>40.602635886157074</v>
      </c>
      <c r="AM59" s="8">
        <f t="shared" si="18"/>
        <v>149.16139956269421</v>
      </c>
      <c r="AN59" s="8">
        <f t="shared" si="19"/>
        <v>56.746121806857566</v>
      </c>
      <c r="AO59" s="8">
        <f t="shared" si="20"/>
        <v>1.6472338902597492</v>
      </c>
      <c r="AP59" s="8">
        <f t="shared" si="21"/>
        <v>49.020668274364382</v>
      </c>
      <c r="AQ59" s="8">
        <f t="shared" si="22"/>
        <v>106.35883797106261</v>
      </c>
      <c r="AV59" s="8" t="str">
        <f t="shared" si="23"/>
        <v>*</v>
      </c>
      <c r="AW59" s="15" t="str">
        <f t="shared" si="24"/>
        <v>ELEHYD</v>
      </c>
      <c r="AX59" s="8" t="s">
        <v>45</v>
      </c>
      <c r="AY59" s="8">
        <f t="shared" si="25"/>
        <v>2070</v>
      </c>
      <c r="AZ59" s="8">
        <f t="shared" si="26"/>
        <v>28.38516025518333</v>
      </c>
      <c r="BA59" s="8">
        <f t="shared" si="27"/>
        <v>68.730642530934844</v>
      </c>
      <c r="BB59" s="8">
        <f t="shared" si="28"/>
        <v>22.409478157956663</v>
      </c>
      <c r="BC59" s="8">
        <f t="shared" si="29"/>
        <v>143.52366001773422</v>
      </c>
      <c r="BD59" s="8">
        <f t="shared" si="30"/>
        <v>72.657326346932606</v>
      </c>
      <c r="BE59" s="8">
        <f t="shared" si="31"/>
        <v>375.74852631526352</v>
      </c>
      <c r="BF59" s="8">
        <f t="shared" si="32"/>
        <v>64.539928190746622</v>
      </c>
      <c r="BG59" s="8">
        <f t="shared" si="33"/>
        <v>204.26970901865852</v>
      </c>
      <c r="BH59" s="8">
        <f t="shared" si="34"/>
        <v>89.216878477148285</v>
      </c>
      <c r="BI59" s="8">
        <f t="shared" si="35"/>
        <v>20.182888248757383</v>
      </c>
      <c r="BJ59" s="8">
        <f t="shared" si="36"/>
        <v>13.79484393513507</v>
      </c>
      <c r="BK59" s="8">
        <f t="shared" si="37"/>
        <v>33.22033845231033</v>
      </c>
      <c r="BL59" s="8">
        <f t="shared" si="38"/>
        <v>122.04114509674982</v>
      </c>
      <c r="BM59" s="8">
        <f t="shared" si="39"/>
        <v>46.428645114701638</v>
      </c>
      <c r="BN59" s="8">
        <f t="shared" si="40"/>
        <v>1.3477368193034311</v>
      </c>
      <c r="BO59" s="8">
        <f t="shared" si="41"/>
        <v>40.107819497207224</v>
      </c>
      <c r="BP59" s="8">
        <f t="shared" si="42"/>
        <v>87.020867430869401</v>
      </c>
    </row>
    <row r="60" spans="2:68" ht="18.75" customHeight="1" x14ac:dyDescent="0.3">
      <c r="B60" s="2" t="s">
        <v>5</v>
      </c>
      <c r="C60" s="3">
        <v>2080</v>
      </c>
      <c r="D60" s="6">
        <v>31.539066950203701</v>
      </c>
      <c r="E60" s="6">
        <v>82.951767514993605</v>
      </c>
      <c r="F60" s="6">
        <v>24.899420175507402</v>
      </c>
      <c r="G60" s="6">
        <v>180.33609413628801</v>
      </c>
      <c r="H60" s="6">
        <v>80.730362607702901</v>
      </c>
      <c r="I60" s="6">
        <v>417.49836257251502</v>
      </c>
      <c r="J60" s="6">
        <v>71.711031323051799</v>
      </c>
      <c r="K60" s="6">
        <v>226.966343354065</v>
      </c>
      <c r="L60" s="6">
        <v>99.129864974609205</v>
      </c>
      <c r="M60" s="6">
        <v>22.425431387508201</v>
      </c>
      <c r="N60" s="6">
        <v>15.327604372372299</v>
      </c>
      <c r="O60" s="6">
        <v>36.911487169233702</v>
      </c>
      <c r="P60" s="6">
        <v>135.60127232972201</v>
      </c>
      <c r="Q60" s="6">
        <v>51.587383460779598</v>
      </c>
      <c r="R60" s="6">
        <v>1.4974853547815901</v>
      </c>
      <c r="S60" s="6">
        <v>44.611505628449599</v>
      </c>
      <c r="T60" s="6">
        <v>96.689852700966</v>
      </c>
      <c r="W60" s="8" t="str">
        <f t="shared" si="3"/>
        <v>*</v>
      </c>
      <c r="X60" s="15" t="str">
        <f t="shared" si="4"/>
        <v>ELEHYD</v>
      </c>
      <c r="Y60" s="15" t="s">
        <v>42</v>
      </c>
      <c r="Z60" s="8">
        <f t="shared" si="5"/>
        <v>2080</v>
      </c>
      <c r="AA60" s="8">
        <f t="shared" si="6"/>
        <v>34.692973645224072</v>
      </c>
      <c r="AB60" s="8">
        <f t="shared" si="7"/>
        <v>91.246944266492974</v>
      </c>
      <c r="AC60" s="8">
        <f t="shared" si="8"/>
        <v>27.389362193058144</v>
      </c>
      <c r="AD60" s="8">
        <f t="shared" si="9"/>
        <v>198.36970354991684</v>
      </c>
      <c r="AE60" s="8">
        <f t="shared" si="10"/>
        <v>88.803398868473195</v>
      </c>
      <c r="AF60" s="8">
        <f t="shared" si="11"/>
        <v>459.24819882976658</v>
      </c>
      <c r="AG60" s="8">
        <f t="shared" si="12"/>
        <v>78.88213445535699</v>
      </c>
      <c r="AH60" s="8">
        <f t="shared" si="13"/>
        <v>249.66297768947152</v>
      </c>
      <c r="AI60" s="8">
        <f t="shared" si="14"/>
        <v>109.04285147207014</v>
      </c>
      <c r="AJ60" s="8">
        <f t="shared" si="15"/>
        <v>24.667974526259023</v>
      </c>
      <c r="AK60" s="8">
        <f t="shared" si="16"/>
        <v>16.860364809609532</v>
      </c>
      <c r="AL60" s="8">
        <f t="shared" si="17"/>
        <v>40.602635886157074</v>
      </c>
      <c r="AM60" s="8">
        <f t="shared" si="18"/>
        <v>149.16139956269421</v>
      </c>
      <c r="AN60" s="8">
        <f t="shared" si="19"/>
        <v>56.746121806857566</v>
      </c>
      <c r="AO60" s="8">
        <f t="shared" si="20"/>
        <v>1.6472338902597492</v>
      </c>
      <c r="AP60" s="8">
        <f t="shared" si="21"/>
        <v>49.072656191294563</v>
      </c>
      <c r="AQ60" s="8">
        <f t="shared" si="22"/>
        <v>106.35883797106261</v>
      </c>
      <c r="AV60" s="8" t="str">
        <f t="shared" si="23"/>
        <v>*</v>
      </c>
      <c r="AW60" s="15" t="str">
        <f t="shared" si="24"/>
        <v>ELEHYD</v>
      </c>
      <c r="AX60" s="8" t="s">
        <v>45</v>
      </c>
      <c r="AY60" s="8">
        <f t="shared" si="25"/>
        <v>2080</v>
      </c>
      <c r="AZ60" s="8">
        <f t="shared" si="26"/>
        <v>28.38516025518333</v>
      </c>
      <c r="BA60" s="8">
        <f t="shared" si="27"/>
        <v>74.65659076349425</v>
      </c>
      <c r="BB60" s="8">
        <f t="shared" si="28"/>
        <v>22.409478157956663</v>
      </c>
      <c r="BC60" s="8">
        <f t="shared" si="29"/>
        <v>162.30248472265922</v>
      </c>
      <c r="BD60" s="8">
        <f t="shared" si="30"/>
        <v>72.657326346932606</v>
      </c>
      <c r="BE60" s="8">
        <f t="shared" si="31"/>
        <v>375.74852631526352</v>
      </c>
      <c r="BF60" s="8">
        <f t="shared" si="32"/>
        <v>64.539928190746622</v>
      </c>
      <c r="BG60" s="8">
        <f t="shared" si="33"/>
        <v>204.26970901865852</v>
      </c>
      <c r="BH60" s="8">
        <f t="shared" si="34"/>
        <v>89.216878477148285</v>
      </c>
      <c r="BI60" s="8">
        <f t="shared" si="35"/>
        <v>20.182888248757383</v>
      </c>
      <c r="BJ60" s="8">
        <f t="shared" si="36"/>
        <v>13.79484393513507</v>
      </c>
      <c r="BK60" s="8">
        <f t="shared" si="37"/>
        <v>33.22033845231033</v>
      </c>
      <c r="BL60" s="8">
        <f t="shared" si="38"/>
        <v>122.04114509674982</v>
      </c>
      <c r="BM60" s="8">
        <f t="shared" si="39"/>
        <v>46.428645114701638</v>
      </c>
      <c r="BN60" s="8">
        <f t="shared" si="40"/>
        <v>1.3477368193034311</v>
      </c>
      <c r="BO60" s="8">
        <f t="shared" si="41"/>
        <v>40.150355065604643</v>
      </c>
      <c r="BP60" s="8">
        <f t="shared" si="42"/>
        <v>87.020867430869401</v>
      </c>
    </row>
    <row r="61" spans="2:68" ht="18.75" customHeight="1" x14ac:dyDescent="0.3">
      <c r="B61" s="2" t="s">
        <v>6</v>
      </c>
      <c r="C61" s="3">
        <v>2017</v>
      </c>
      <c r="D61" s="7"/>
      <c r="E61" s="6">
        <v>1.86</v>
      </c>
      <c r="F61" s="7"/>
      <c r="G61" s="6">
        <v>1.88</v>
      </c>
      <c r="H61" s="6">
        <v>12.62</v>
      </c>
      <c r="I61" s="6">
        <v>35.26</v>
      </c>
      <c r="J61" s="6">
        <v>0.99</v>
      </c>
      <c r="K61" s="6">
        <v>116.28</v>
      </c>
      <c r="L61" s="6">
        <v>6.22</v>
      </c>
      <c r="M61" s="6">
        <v>3.35</v>
      </c>
      <c r="N61" s="6">
        <v>0.92</v>
      </c>
      <c r="O61" s="6">
        <v>1.62</v>
      </c>
      <c r="P61" s="6">
        <v>6.09</v>
      </c>
      <c r="Q61" s="6">
        <v>27.23</v>
      </c>
      <c r="R61" s="6">
        <v>23.83</v>
      </c>
      <c r="S61" s="6">
        <v>16.760000000000002</v>
      </c>
      <c r="T61" s="6">
        <v>100.2</v>
      </c>
      <c r="W61" s="8" t="str">
        <f t="shared" si="3"/>
        <v>CAP_BND</v>
      </c>
      <c r="X61" s="15" t="str">
        <f t="shared" si="4"/>
        <v>ELENUC</v>
      </c>
      <c r="Y61" s="15" t="s">
        <v>42</v>
      </c>
      <c r="Z61" s="8">
        <f t="shared" si="5"/>
        <v>2017</v>
      </c>
      <c r="AA61" s="8">
        <f t="shared" si="6"/>
        <v>0</v>
      </c>
      <c r="AB61" s="8">
        <f t="shared" si="7"/>
        <v>2.0460000000000003</v>
      </c>
      <c r="AC61" s="8">
        <f t="shared" si="8"/>
        <v>0</v>
      </c>
      <c r="AD61" s="8">
        <f t="shared" si="9"/>
        <v>2.0680000000000001</v>
      </c>
      <c r="AE61" s="8">
        <f t="shared" si="10"/>
        <v>13.882</v>
      </c>
      <c r="AF61" s="8">
        <f t="shared" si="11"/>
        <v>38.786000000000001</v>
      </c>
      <c r="AG61" s="8">
        <f t="shared" si="12"/>
        <v>1.089</v>
      </c>
      <c r="AH61" s="8">
        <f t="shared" si="13"/>
        <v>127.90800000000002</v>
      </c>
      <c r="AI61" s="8">
        <f t="shared" si="14"/>
        <v>6.8420000000000005</v>
      </c>
      <c r="AJ61" s="8">
        <f t="shared" si="15"/>
        <v>3.6850000000000005</v>
      </c>
      <c r="AK61" s="8">
        <f t="shared" si="16"/>
        <v>1.0120000000000002</v>
      </c>
      <c r="AL61" s="8">
        <f t="shared" si="17"/>
        <v>1.7820000000000003</v>
      </c>
      <c r="AM61" s="8">
        <f t="shared" si="18"/>
        <v>6.6990000000000007</v>
      </c>
      <c r="AN61" s="8">
        <f t="shared" si="19"/>
        <v>29.953000000000003</v>
      </c>
      <c r="AO61" s="8">
        <f t="shared" si="20"/>
        <v>26.213000000000001</v>
      </c>
      <c r="AP61" s="8">
        <f t="shared" si="21"/>
        <v>18.436000000000003</v>
      </c>
      <c r="AQ61" s="8">
        <f t="shared" si="22"/>
        <v>110.22000000000001</v>
      </c>
      <c r="AV61" s="8" t="str">
        <f t="shared" si="23"/>
        <v>CAP_BND</v>
      </c>
      <c r="AW61" s="15" t="str">
        <f t="shared" si="24"/>
        <v>ELENUC</v>
      </c>
      <c r="AX61" s="8" t="s">
        <v>45</v>
      </c>
      <c r="AY61" s="8">
        <f t="shared" si="25"/>
        <v>2017</v>
      </c>
      <c r="AZ61" s="8">
        <f t="shared" si="26"/>
        <v>0</v>
      </c>
      <c r="BA61" s="8">
        <f t="shared" si="27"/>
        <v>1.6740000000000002</v>
      </c>
      <c r="BB61" s="8">
        <f t="shared" si="28"/>
        <v>0</v>
      </c>
      <c r="BC61" s="8">
        <f t="shared" si="29"/>
        <v>1.6919999999999999</v>
      </c>
      <c r="BD61" s="8">
        <f t="shared" si="30"/>
        <v>11.357999999999999</v>
      </c>
      <c r="BE61" s="8">
        <f t="shared" si="31"/>
        <v>31.733999999999998</v>
      </c>
      <c r="BF61" s="8">
        <f t="shared" si="32"/>
        <v>0.89100000000000001</v>
      </c>
      <c r="BG61" s="8">
        <f t="shared" si="33"/>
        <v>104.652</v>
      </c>
      <c r="BH61" s="8">
        <f t="shared" si="34"/>
        <v>5.5979999999999999</v>
      </c>
      <c r="BI61" s="8">
        <f t="shared" si="35"/>
        <v>3.0150000000000001</v>
      </c>
      <c r="BJ61" s="8">
        <f t="shared" si="36"/>
        <v>0.82800000000000007</v>
      </c>
      <c r="BK61" s="8">
        <f t="shared" si="37"/>
        <v>1.4580000000000002</v>
      </c>
      <c r="BL61" s="8">
        <f t="shared" si="38"/>
        <v>5.4809999999999999</v>
      </c>
      <c r="BM61" s="8">
        <f t="shared" si="39"/>
        <v>24.507000000000001</v>
      </c>
      <c r="BN61" s="8">
        <f t="shared" si="40"/>
        <v>21.446999999999999</v>
      </c>
      <c r="BO61" s="8">
        <f t="shared" si="41"/>
        <v>15.084000000000001</v>
      </c>
      <c r="BP61" s="8">
        <f t="shared" si="42"/>
        <v>90.18</v>
      </c>
    </row>
    <row r="62" spans="2:68" ht="18.75" customHeight="1" x14ac:dyDescent="0.3">
      <c r="B62" s="2" t="s">
        <v>6</v>
      </c>
      <c r="C62" s="3">
        <v>2018</v>
      </c>
      <c r="D62" s="7"/>
      <c r="E62" s="6">
        <v>1.86</v>
      </c>
      <c r="F62" s="7"/>
      <c r="G62" s="6">
        <v>1.88</v>
      </c>
      <c r="H62" s="6">
        <v>12.18</v>
      </c>
      <c r="I62" s="6">
        <v>43.56</v>
      </c>
      <c r="J62" s="6">
        <v>0.99</v>
      </c>
      <c r="K62" s="6">
        <v>113.78</v>
      </c>
      <c r="L62" s="6">
        <v>6.22</v>
      </c>
      <c r="M62" s="6">
        <v>8.7100000000000009</v>
      </c>
      <c r="N62" s="6">
        <v>0.92</v>
      </c>
      <c r="O62" s="6">
        <v>1.62</v>
      </c>
      <c r="P62" s="6">
        <v>5.48</v>
      </c>
      <c r="Q62" s="6">
        <v>27.23</v>
      </c>
      <c r="R62" s="6">
        <v>23.83</v>
      </c>
      <c r="S62" s="6">
        <v>16.760000000000002</v>
      </c>
      <c r="T62" s="6">
        <v>99.6</v>
      </c>
      <c r="W62" s="8" t="str">
        <f t="shared" si="3"/>
        <v>CAP_BND</v>
      </c>
      <c r="X62" s="15" t="str">
        <f t="shared" si="4"/>
        <v>ELENUC</v>
      </c>
      <c r="Y62" s="15" t="s">
        <v>42</v>
      </c>
      <c r="Z62" s="8">
        <f t="shared" si="5"/>
        <v>2018</v>
      </c>
      <c r="AA62" s="8">
        <f t="shared" si="6"/>
        <v>0</v>
      </c>
      <c r="AB62" s="8">
        <f t="shared" si="7"/>
        <v>2.0460000000000003</v>
      </c>
      <c r="AC62" s="8">
        <f t="shared" si="8"/>
        <v>0</v>
      </c>
      <c r="AD62" s="8">
        <f t="shared" si="9"/>
        <v>2.0680000000000001</v>
      </c>
      <c r="AE62" s="8">
        <f t="shared" si="10"/>
        <v>13.398000000000001</v>
      </c>
      <c r="AF62" s="8">
        <f t="shared" si="11"/>
        <v>47.916000000000004</v>
      </c>
      <c r="AG62" s="8">
        <f t="shared" si="12"/>
        <v>1.089</v>
      </c>
      <c r="AH62" s="8">
        <f t="shared" si="13"/>
        <v>125.15800000000002</v>
      </c>
      <c r="AI62" s="8">
        <f t="shared" si="14"/>
        <v>6.8420000000000005</v>
      </c>
      <c r="AJ62" s="8">
        <f t="shared" si="15"/>
        <v>9.5810000000000013</v>
      </c>
      <c r="AK62" s="8">
        <f t="shared" si="16"/>
        <v>1.0120000000000002</v>
      </c>
      <c r="AL62" s="8">
        <f t="shared" si="17"/>
        <v>1.7820000000000003</v>
      </c>
      <c r="AM62" s="8">
        <f t="shared" si="18"/>
        <v>6.0280000000000014</v>
      </c>
      <c r="AN62" s="8">
        <f t="shared" si="19"/>
        <v>29.953000000000003</v>
      </c>
      <c r="AO62" s="8">
        <f t="shared" si="20"/>
        <v>26.213000000000001</v>
      </c>
      <c r="AP62" s="8">
        <f t="shared" si="21"/>
        <v>18.436000000000003</v>
      </c>
      <c r="AQ62" s="8">
        <f t="shared" si="22"/>
        <v>109.56</v>
      </c>
      <c r="AV62" s="8" t="str">
        <f t="shared" si="23"/>
        <v>CAP_BND</v>
      </c>
      <c r="AW62" s="15" t="str">
        <f t="shared" si="24"/>
        <v>ELENUC</v>
      </c>
      <c r="AX62" s="8" t="s">
        <v>45</v>
      </c>
      <c r="AY62" s="8">
        <f t="shared" si="25"/>
        <v>2018</v>
      </c>
      <c r="AZ62" s="8">
        <f t="shared" si="26"/>
        <v>0</v>
      </c>
      <c r="BA62" s="8">
        <f t="shared" si="27"/>
        <v>1.6740000000000002</v>
      </c>
      <c r="BB62" s="8">
        <f t="shared" si="28"/>
        <v>0</v>
      </c>
      <c r="BC62" s="8">
        <f t="shared" si="29"/>
        <v>1.6919999999999999</v>
      </c>
      <c r="BD62" s="8">
        <f t="shared" si="30"/>
        <v>10.962</v>
      </c>
      <c r="BE62" s="8">
        <f t="shared" si="31"/>
        <v>39.204000000000001</v>
      </c>
      <c r="BF62" s="8">
        <f t="shared" si="32"/>
        <v>0.89100000000000001</v>
      </c>
      <c r="BG62" s="8">
        <f t="shared" si="33"/>
        <v>102.402</v>
      </c>
      <c r="BH62" s="8">
        <f t="shared" si="34"/>
        <v>5.5979999999999999</v>
      </c>
      <c r="BI62" s="8">
        <f t="shared" si="35"/>
        <v>7.8390000000000013</v>
      </c>
      <c r="BJ62" s="8">
        <f t="shared" si="36"/>
        <v>0.82800000000000007</v>
      </c>
      <c r="BK62" s="8">
        <f t="shared" si="37"/>
        <v>1.4580000000000002</v>
      </c>
      <c r="BL62" s="8">
        <f t="shared" si="38"/>
        <v>4.9320000000000004</v>
      </c>
      <c r="BM62" s="8">
        <f t="shared" si="39"/>
        <v>24.507000000000001</v>
      </c>
      <c r="BN62" s="8">
        <f t="shared" si="40"/>
        <v>21.446999999999999</v>
      </c>
      <c r="BO62" s="8">
        <f t="shared" si="41"/>
        <v>15.084000000000001</v>
      </c>
      <c r="BP62" s="8">
        <f t="shared" si="42"/>
        <v>89.64</v>
      </c>
    </row>
    <row r="63" spans="2:68" ht="18.75" customHeight="1" x14ac:dyDescent="0.3">
      <c r="B63" s="2" t="s">
        <v>6</v>
      </c>
      <c r="C63" s="3">
        <v>2019</v>
      </c>
      <c r="D63" s="7"/>
      <c r="E63" s="6">
        <v>1.86</v>
      </c>
      <c r="F63" s="7"/>
      <c r="G63" s="6">
        <v>1.88</v>
      </c>
      <c r="H63" s="6">
        <v>12.18</v>
      </c>
      <c r="I63" s="6">
        <v>46.22</v>
      </c>
      <c r="J63" s="6">
        <v>1.68</v>
      </c>
      <c r="K63" s="6">
        <v>111.99</v>
      </c>
      <c r="L63" s="6">
        <v>6.22</v>
      </c>
      <c r="M63" s="6">
        <v>8.7100000000000009</v>
      </c>
      <c r="N63" s="6">
        <v>0.92</v>
      </c>
      <c r="O63" s="6">
        <v>1.62</v>
      </c>
      <c r="P63" s="6">
        <v>4.88</v>
      </c>
      <c r="Q63" s="6">
        <v>28.43</v>
      </c>
      <c r="R63" s="6">
        <v>25.17</v>
      </c>
      <c r="S63" s="6">
        <v>16.760000000000002</v>
      </c>
      <c r="T63" s="6">
        <v>98.12</v>
      </c>
      <c r="W63" s="8" t="str">
        <f t="shared" si="3"/>
        <v>CAP_BND</v>
      </c>
      <c r="X63" s="15" t="str">
        <f t="shared" si="4"/>
        <v>ELENUC</v>
      </c>
      <c r="Y63" s="15" t="s">
        <v>42</v>
      </c>
      <c r="Z63" s="8">
        <f t="shared" si="5"/>
        <v>2019</v>
      </c>
      <c r="AA63" s="8">
        <f t="shared" si="6"/>
        <v>0</v>
      </c>
      <c r="AB63" s="8">
        <f t="shared" si="7"/>
        <v>2.0460000000000003</v>
      </c>
      <c r="AC63" s="8">
        <f t="shared" si="8"/>
        <v>0</v>
      </c>
      <c r="AD63" s="8">
        <f t="shared" si="9"/>
        <v>2.0680000000000001</v>
      </c>
      <c r="AE63" s="8">
        <f t="shared" si="10"/>
        <v>13.398000000000001</v>
      </c>
      <c r="AF63" s="8">
        <f t="shared" si="11"/>
        <v>50.842000000000006</v>
      </c>
      <c r="AG63" s="8">
        <f t="shared" si="12"/>
        <v>1.8480000000000001</v>
      </c>
      <c r="AH63" s="8">
        <f t="shared" si="13"/>
        <v>123.18900000000001</v>
      </c>
      <c r="AI63" s="8">
        <f t="shared" si="14"/>
        <v>6.8420000000000005</v>
      </c>
      <c r="AJ63" s="8">
        <f t="shared" si="15"/>
        <v>9.5810000000000013</v>
      </c>
      <c r="AK63" s="8">
        <f t="shared" si="16"/>
        <v>1.0120000000000002</v>
      </c>
      <c r="AL63" s="8">
        <f t="shared" si="17"/>
        <v>1.7820000000000003</v>
      </c>
      <c r="AM63" s="8">
        <f t="shared" si="18"/>
        <v>5.3680000000000003</v>
      </c>
      <c r="AN63" s="8">
        <f t="shared" si="19"/>
        <v>31.273000000000003</v>
      </c>
      <c r="AO63" s="8">
        <f t="shared" si="20"/>
        <v>27.687000000000005</v>
      </c>
      <c r="AP63" s="8">
        <f t="shared" si="21"/>
        <v>18.436000000000003</v>
      </c>
      <c r="AQ63" s="8">
        <f t="shared" si="22"/>
        <v>107.93200000000002</v>
      </c>
      <c r="AV63" s="8" t="str">
        <f t="shared" si="23"/>
        <v>CAP_BND</v>
      </c>
      <c r="AW63" s="15" t="str">
        <f t="shared" si="24"/>
        <v>ELENUC</v>
      </c>
      <c r="AX63" s="8" t="s">
        <v>45</v>
      </c>
      <c r="AY63" s="8">
        <f t="shared" si="25"/>
        <v>2019</v>
      </c>
      <c r="AZ63" s="8">
        <f t="shared" si="26"/>
        <v>0</v>
      </c>
      <c r="BA63" s="8">
        <f t="shared" si="27"/>
        <v>1.6740000000000002</v>
      </c>
      <c r="BB63" s="8">
        <f t="shared" si="28"/>
        <v>0</v>
      </c>
      <c r="BC63" s="8">
        <f t="shared" si="29"/>
        <v>1.6919999999999999</v>
      </c>
      <c r="BD63" s="8">
        <f t="shared" si="30"/>
        <v>10.962</v>
      </c>
      <c r="BE63" s="8">
        <f t="shared" si="31"/>
        <v>41.597999999999999</v>
      </c>
      <c r="BF63" s="8">
        <f t="shared" si="32"/>
        <v>1.512</v>
      </c>
      <c r="BG63" s="8">
        <f t="shared" si="33"/>
        <v>100.791</v>
      </c>
      <c r="BH63" s="8">
        <f t="shared" si="34"/>
        <v>5.5979999999999999</v>
      </c>
      <c r="BI63" s="8">
        <f t="shared" si="35"/>
        <v>7.8390000000000013</v>
      </c>
      <c r="BJ63" s="8">
        <f t="shared" si="36"/>
        <v>0.82800000000000007</v>
      </c>
      <c r="BK63" s="8">
        <f t="shared" si="37"/>
        <v>1.4580000000000002</v>
      </c>
      <c r="BL63" s="8">
        <f t="shared" si="38"/>
        <v>4.3920000000000003</v>
      </c>
      <c r="BM63" s="8">
        <f t="shared" si="39"/>
        <v>25.587</v>
      </c>
      <c r="BN63" s="8">
        <f t="shared" si="40"/>
        <v>22.653000000000002</v>
      </c>
      <c r="BO63" s="8">
        <f t="shared" si="41"/>
        <v>15.084000000000001</v>
      </c>
      <c r="BP63" s="8">
        <f t="shared" si="42"/>
        <v>88.308000000000007</v>
      </c>
    </row>
    <row r="64" spans="2:68" ht="18.75" customHeight="1" x14ac:dyDescent="0.3">
      <c r="B64" s="2" t="s">
        <v>6</v>
      </c>
      <c r="C64" s="3">
        <v>2020</v>
      </c>
      <c r="D64" s="7"/>
      <c r="E64" s="6">
        <v>1.86</v>
      </c>
      <c r="F64" s="7"/>
      <c r="G64" s="6">
        <v>1.88</v>
      </c>
      <c r="H64" s="6">
        <v>12.18</v>
      </c>
      <c r="I64" s="6">
        <v>47.22</v>
      </c>
      <c r="J64" s="6">
        <v>1.68</v>
      </c>
      <c r="K64" s="6">
        <v>107.66</v>
      </c>
      <c r="L64" s="6">
        <v>6.22</v>
      </c>
      <c r="M64" s="6">
        <v>10.199999999999999</v>
      </c>
      <c r="N64" s="6">
        <v>0.92</v>
      </c>
      <c r="O64" s="6">
        <v>1.62</v>
      </c>
      <c r="P64" s="6">
        <v>4.88</v>
      </c>
      <c r="Q64" s="6">
        <v>29.59</v>
      </c>
      <c r="R64" s="6">
        <v>25.17</v>
      </c>
      <c r="S64" s="6">
        <v>17.87</v>
      </c>
      <c r="T64" s="6">
        <v>97.12</v>
      </c>
      <c r="W64" s="8" t="str">
        <f t="shared" si="3"/>
        <v>CAP_BND</v>
      </c>
      <c r="X64" s="15" t="str">
        <f t="shared" si="4"/>
        <v>ELENUC</v>
      </c>
      <c r="Y64" s="15" t="s">
        <v>42</v>
      </c>
      <c r="Z64" s="8">
        <f t="shared" si="5"/>
        <v>2020</v>
      </c>
      <c r="AA64" s="8">
        <f t="shared" si="6"/>
        <v>0</v>
      </c>
      <c r="AB64" s="8">
        <f t="shared" si="7"/>
        <v>2.0460000000000003</v>
      </c>
      <c r="AC64" s="8">
        <f t="shared" si="8"/>
        <v>0</v>
      </c>
      <c r="AD64" s="8">
        <f t="shared" si="9"/>
        <v>2.0680000000000001</v>
      </c>
      <c r="AE64" s="8">
        <f t="shared" si="10"/>
        <v>13.398000000000001</v>
      </c>
      <c r="AF64" s="8">
        <f t="shared" si="11"/>
        <v>51.942</v>
      </c>
      <c r="AG64" s="8">
        <f t="shared" si="12"/>
        <v>1.8480000000000001</v>
      </c>
      <c r="AH64" s="8">
        <f t="shared" si="13"/>
        <v>118.426</v>
      </c>
      <c r="AI64" s="8">
        <f t="shared" si="14"/>
        <v>6.8420000000000005</v>
      </c>
      <c r="AJ64" s="8">
        <f t="shared" si="15"/>
        <v>11.22</v>
      </c>
      <c r="AK64" s="8">
        <f t="shared" si="16"/>
        <v>1.0120000000000002</v>
      </c>
      <c r="AL64" s="8">
        <f t="shared" si="17"/>
        <v>1.7820000000000003</v>
      </c>
      <c r="AM64" s="8">
        <f t="shared" si="18"/>
        <v>5.3680000000000003</v>
      </c>
      <c r="AN64" s="8">
        <f t="shared" si="19"/>
        <v>32.548999999999999</v>
      </c>
      <c r="AO64" s="8">
        <f t="shared" si="20"/>
        <v>27.687000000000005</v>
      </c>
      <c r="AP64" s="8">
        <f t="shared" si="21"/>
        <v>19.657000000000004</v>
      </c>
      <c r="AQ64" s="8">
        <f t="shared" si="22"/>
        <v>106.83200000000001</v>
      </c>
      <c r="AV64" s="8" t="str">
        <f t="shared" si="23"/>
        <v>CAP_BND</v>
      </c>
      <c r="AW64" s="15" t="str">
        <f t="shared" si="24"/>
        <v>ELENUC</v>
      </c>
      <c r="AX64" s="8" t="s">
        <v>45</v>
      </c>
      <c r="AY64" s="8">
        <f t="shared" si="25"/>
        <v>2020</v>
      </c>
      <c r="AZ64" s="8">
        <f t="shared" si="26"/>
        <v>0</v>
      </c>
      <c r="BA64" s="8">
        <f t="shared" si="27"/>
        <v>1.6740000000000002</v>
      </c>
      <c r="BB64" s="8">
        <f t="shared" si="28"/>
        <v>0</v>
      </c>
      <c r="BC64" s="8">
        <f t="shared" si="29"/>
        <v>1.6919999999999999</v>
      </c>
      <c r="BD64" s="8">
        <f t="shared" si="30"/>
        <v>10.962</v>
      </c>
      <c r="BE64" s="8">
        <f t="shared" si="31"/>
        <v>42.497999999999998</v>
      </c>
      <c r="BF64" s="8">
        <f t="shared" si="32"/>
        <v>1.512</v>
      </c>
      <c r="BG64" s="8">
        <f t="shared" si="33"/>
        <v>96.894000000000005</v>
      </c>
      <c r="BH64" s="8">
        <f t="shared" si="34"/>
        <v>5.5979999999999999</v>
      </c>
      <c r="BI64" s="8">
        <f t="shared" si="35"/>
        <v>9.18</v>
      </c>
      <c r="BJ64" s="8">
        <f t="shared" si="36"/>
        <v>0.82800000000000007</v>
      </c>
      <c r="BK64" s="8">
        <f t="shared" si="37"/>
        <v>1.4580000000000002</v>
      </c>
      <c r="BL64" s="8">
        <f t="shared" si="38"/>
        <v>4.3920000000000003</v>
      </c>
      <c r="BM64" s="8">
        <f t="shared" si="39"/>
        <v>26.631</v>
      </c>
      <c r="BN64" s="8">
        <f t="shared" si="40"/>
        <v>22.653000000000002</v>
      </c>
      <c r="BO64" s="8">
        <f t="shared" si="41"/>
        <v>16.083000000000002</v>
      </c>
      <c r="BP64" s="8">
        <f t="shared" si="42"/>
        <v>87.408000000000001</v>
      </c>
    </row>
    <row r="65" spans="2:68" ht="18.75" customHeight="1" x14ac:dyDescent="0.3">
      <c r="B65" s="2" t="s">
        <v>6</v>
      </c>
      <c r="C65" s="3">
        <v>2021</v>
      </c>
      <c r="D65" s="7"/>
      <c r="E65" s="6">
        <v>1.86</v>
      </c>
      <c r="F65" s="7"/>
      <c r="G65" s="6">
        <v>1.88</v>
      </c>
      <c r="H65" s="6">
        <v>12.18</v>
      </c>
      <c r="I65" s="6">
        <v>49.48</v>
      </c>
      <c r="J65" s="6">
        <v>1.68</v>
      </c>
      <c r="K65" s="6">
        <v>107.85000000569499</v>
      </c>
      <c r="L65" s="6">
        <v>7.5</v>
      </c>
      <c r="M65" s="6">
        <v>12.58</v>
      </c>
      <c r="N65" s="6">
        <v>2.2599999999999998</v>
      </c>
      <c r="O65" s="6">
        <v>1.62</v>
      </c>
      <c r="P65" s="6">
        <v>4.99</v>
      </c>
      <c r="Q65" s="6">
        <v>29.73</v>
      </c>
      <c r="R65" s="6">
        <v>26.51</v>
      </c>
      <c r="S65" s="6">
        <v>17.87</v>
      </c>
      <c r="T65" s="6">
        <v>92.48</v>
      </c>
      <c r="W65" s="8" t="str">
        <f t="shared" si="3"/>
        <v>CAP_BND</v>
      </c>
      <c r="X65" s="15" t="str">
        <f t="shared" si="4"/>
        <v>ELENUC</v>
      </c>
      <c r="Y65" s="15" t="s">
        <v>42</v>
      </c>
      <c r="Z65" s="8">
        <f t="shared" si="5"/>
        <v>2021</v>
      </c>
      <c r="AA65" s="8">
        <f t="shared" si="6"/>
        <v>0</v>
      </c>
      <c r="AB65" s="8">
        <f t="shared" si="7"/>
        <v>2.0460000000000003</v>
      </c>
      <c r="AC65" s="8">
        <f t="shared" si="8"/>
        <v>0</v>
      </c>
      <c r="AD65" s="8">
        <f t="shared" si="9"/>
        <v>2.0680000000000001</v>
      </c>
      <c r="AE65" s="8">
        <f t="shared" si="10"/>
        <v>13.398000000000001</v>
      </c>
      <c r="AF65" s="8">
        <f t="shared" si="11"/>
        <v>54.428000000000004</v>
      </c>
      <c r="AG65" s="8">
        <f t="shared" si="12"/>
        <v>1.8480000000000001</v>
      </c>
      <c r="AH65" s="8">
        <f t="shared" si="13"/>
        <v>118.63500000626451</v>
      </c>
      <c r="AI65" s="8">
        <f t="shared" si="14"/>
        <v>8.25</v>
      </c>
      <c r="AJ65" s="8">
        <f t="shared" si="15"/>
        <v>13.838000000000001</v>
      </c>
      <c r="AK65" s="8">
        <f t="shared" si="16"/>
        <v>2.4859999999999998</v>
      </c>
      <c r="AL65" s="8">
        <f t="shared" si="17"/>
        <v>1.7820000000000003</v>
      </c>
      <c r="AM65" s="8">
        <f t="shared" si="18"/>
        <v>5.4890000000000008</v>
      </c>
      <c r="AN65" s="8">
        <f t="shared" si="19"/>
        <v>32.703000000000003</v>
      </c>
      <c r="AO65" s="8">
        <f t="shared" si="20"/>
        <v>29.161000000000005</v>
      </c>
      <c r="AP65" s="8">
        <f t="shared" si="21"/>
        <v>19.657000000000004</v>
      </c>
      <c r="AQ65" s="8">
        <f t="shared" si="22"/>
        <v>101.72800000000001</v>
      </c>
      <c r="AV65" s="8" t="str">
        <f t="shared" si="23"/>
        <v>CAP_BND</v>
      </c>
      <c r="AW65" s="15" t="str">
        <f t="shared" si="24"/>
        <v>ELENUC</v>
      </c>
      <c r="AX65" s="8" t="s">
        <v>45</v>
      </c>
      <c r="AY65" s="8">
        <f t="shared" si="25"/>
        <v>2021</v>
      </c>
      <c r="AZ65" s="8">
        <f t="shared" si="26"/>
        <v>0</v>
      </c>
      <c r="BA65" s="8">
        <f t="shared" si="27"/>
        <v>1.6740000000000002</v>
      </c>
      <c r="BB65" s="8">
        <f t="shared" si="28"/>
        <v>0</v>
      </c>
      <c r="BC65" s="8">
        <f t="shared" si="29"/>
        <v>1.6919999999999999</v>
      </c>
      <c r="BD65" s="8">
        <f t="shared" si="30"/>
        <v>10.962</v>
      </c>
      <c r="BE65" s="8">
        <f t="shared" si="31"/>
        <v>44.531999999999996</v>
      </c>
      <c r="BF65" s="8">
        <f t="shared" si="32"/>
        <v>1.512</v>
      </c>
      <c r="BG65" s="8">
        <f t="shared" si="33"/>
        <v>97.065000005125498</v>
      </c>
      <c r="BH65" s="8">
        <f t="shared" si="34"/>
        <v>6.75</v>
      </c>
      <c r="BI65" s="8">
        <f t="shared" si="35"/>
        <v>11.322000000000001</v>
      </c>
      <c r="BJ65" s="8">
        <f t="shared" si="36"/>
        <v>2.0339999999999998</v>
      </c>
      <c r="BK65" s="8">
        <f t="shared" si="37"/>
        <v>1.4580000000000002</v>
      </c>
      <c r="BL65" s="8">
        <f t="shared" si="38"/>
        <v>4.4910000000000005</v>
      </c>
      <c r="BM65" s="8">
        <f t="shared" si="39"/>
        <v>26.757000000000001</v>
      </c>
      <c r="BN65" s="8">
        <f t="shared" si="40"/>
        <v>23.859000000000002</v>
      </c>
      <c r="BO65" s="8">
        <f t="shared" si="41"/>
        <v>16.083000000000002</v>
      </c>
      <c r="BP65" s="8">
        <f t="shared" si="42"/>
        <v>83.231999999999999</v>
      </c>
    </row>
    <row r="66" spans="2:68" ht="18.75" customHeight="1" x14ac:dyDescent="0.3">
      <c r="B66" s="2" t="s">
        <v>6</v>
      </c>
      <c r="C66" s="3">
        <v>2030</v>
      </c>
      <c r="D66" s="6">
        <v>1.2</v>
      </c>
      <c r="E66" s="6">
        <v>3.5413519861170899</v>
      </c>
      <c r="F66" s="7"/>
      <c r="G66" s="6">
        <v>3.13</v>
      </c>
      <c r="H66" s="6">
        <v>10.85</v>
      </c>
      <c r="I66" s="6">
        <v>76.73</v>
      </c>
      <c r="J66" s="6">
        <v>2.4500000000000002</v>
      </c>
      <c r="K66" s="6">
        <v>97.37</v>
      </c>
      <c r="L66" s="6">
        <v>11.96</v>
      </c>
      <c r="M66" s="6">
        <v>24.67</v>
      </c>
      <c r="N66" s="6">
        <v>8.75</v>
      </c>
      <c r="O66" s="6">
        <v>2.82</v>
      </c>
      <c r="P66" s="6">
        <v>5.39</v>
      </c>
      <c r="Q66" s="6">
        <v>31.94</v>
      </c>
      <c r="R66" s="6">
        <v>29.24</v>
      </c>
      <c r="S66" s="6">
        <v>20.9</v>
      </c>
      <c r="T66" s="6">
        <v>76.87</v>
      </c>
      <c r="W66" s="8" t="str">
        <f t="shared" si="3"/>
        <v>*</v>
      </c>
      <c r="X66" s="15" t="str">
        <f t="shared" si="4"/>
        <v>ELENUC</v>
      </c>
      <c r="Y66" s="15" t="s">
        <v>42</v>
      </c>
      <c r="Z66" s="8">
        <f t="shared" si="5"/>
        <v>2030</v>
      </c>
      <c r="AA66" s="8">
        <f t="shared" si="6"/>
        <v>1.32</v>
      </c>
      <c r="AB66" s="8">
        <f t="shared" si="7"/>
        <v>3.8954871847287991</v>
      </c>
      <c r="AC66" s="8">
        <f t="shared" si="8"/>
        <v>0</v>
      </c>
      <c r="AD66" s="8">
        <f t="shared" si="9"/>
        <v>3.4430000000000001</v>
      </c>
      <c r="AE66" s="8">
        <f t="shared" si="10"/>
        <v>11.935</v>
      </c>
      <c r="AF66" s="8">
        <f t="shared" si="11"/>
        <v>84.403000000000006</v>
      </c>
      <c r="AG66" s="8">
        <f t="shared" si="12"/>
        <v>2.6950000000000003</v>
      </c>
      <c r="AH66" s="8">
        <f t="shared" si="13"/>
        <v>107.10700000000001</v>
      </c>
      <c r="AI66" s="8">
        <f t="shared" si="14"/>
        <v>13.156000000000002</v>
      </c>
      <c r="AJ66" s="8">
        <f t="shared" si="15"/>
        <v>27.137000000000004</v>
      </c>
      <c r="AK66" s="8">
        <f t="shared" si="16"/>
        <v>9.625</v>
      </c>
      <c r="AL66" s="8">
        <f t="shared" si="17"/>
        <v>3.1019999999999999</v>
      </c>
      <c r="AM66" s="8">
        <f t="shared" si="18"/>
        <v>5.9290000000000003</v>
      </c>
      <c r="AN66" s="8">
        <f t="shared" si="19"/>
        <v>35.134000000000007</v>
      </c>
      <c r="AO66" s="8">
        <f t="shared" si="20"/>
        <v>32.164000000000001</v>
      </c>
      <c r="AP66" s="8">
        <f t="shared" si="21"/>
        <v>22.990000000000002</v>
      </c>
      <c r="AQ66" s="8">
        <f t="shared" si="22"/>
        <v>84.557000000000016</v>
      </c>
      <c r="AV66" s="8" t="str">
        <f t="shared" si="23"/>
        <v>*</v>
      </c>
      <c r="AW66" s="15" t="str">
        <f t="shared" si="24"/>
        <v>ELENUC</v>
      </c>
      <c r="AX66" s="8" t="s">
        <v>45</v>
      </c>
      <c r="AY66" s="8">
        <f t="shared" si="25"/>
        <v>2030</v>
      </c>
      <c r="AZ66" s="8">
        <f t="shared" si="26"/>
        <v>1.08</v>
      </c>
      <c r="BA66" s="8">
        <f t="shared" si="27"/>
        <v>3.1872167875053812</v>
      </c>
      <c r="BB66" s="8">
        <f t="shared" si="28"/>
        <v>0</v>
      </c>
      <c r="BC66" s="8">
        <f t="shared" si="29"/>
        <v>2.8170000000000002</v>
      </c>
      <c r="BD66" s="8">
        <f t="shared" si="30"/>
        <v>9.7650000000000006</v>
      </c>
      <c r="BE66" s="8">
        <f t="shared" si="31"/>
        <v>69.057000000000002</v>
      </c>
      <c r="BF66" s="8">
        <f t="shared" si="32"/>
        <v>2.2050000000000001</v>
      </c>
      <c r="BG66" s="8">
        <f t="shared" si="33"/>
        <v>87.63300000000001</v>
      </c>
      <c r="BH66" s="8">
        <f t="shared" si="34"/>
        <v>10.764000000000001</v>
      </c>
      <c r="BI66" s="8">
        <f t="shared" si="35"/>
        <v>22.203000000000003</v>
      </c>
      <c r="BJ66" s="8">
        <f t="shared" si="36"/>
        <v>7.875</v>
      </c>
      <c r="BK66" s="8">
        <f t="shared" si="37"/>
        <v>2.5379999999999998</v>
      </c>
      <c r="BL66" s="8">
        <f t="shared" si="38"/>
        <v>4.851</v>
      </c>
      <c r="BM66" s="8">
        <f t="shared" si="39"/>
        <v>28.746000000000002</v>
      </c>
      <c r="BN66" s="8">
        <f t="shared" si="40"/>
        <v>26.315999999999999</v>
      </c>
      <c r="BO66" s="8">
        <f t="shared" si="41"/>
        <v>18.809999999999999</v>
      </c>
      <c r="BP66" s="8">
        <f t="shared" si="42"/>
        <v>69.183000000000007</v>
      </c>
    </row>
    <row r="67" spans="2:68" ht="18.75" customHeight="1" x14ac:dyDescent="0.3">
      <c r="B67" s="2" t="s">
        <v>6</v>
      </c>
      <c r="C67" s="3">
        <v>2040</v>
      </c>
      <c r="D67" s="6">
        <v>2.4</v>
      </c>
      <c r="E67" s="6">
        <v>5.08</v>
      </c>
      <c r="F67" s="7"/>
      <c r="G67" s="6">
        <v>3.13</v>
      </c>
      <c r="H67" s="6">
        <v>7.18</v>
      </c>
      <c r="I67" s="6">
        <v>113.23</v>
      </c>
      <c r="J67" s="6">
        <v>2.11</v>
      </c>
      <c r="K67" s="6">
        <v>87.95</v>
      </c>
      <c r="L67" s="6">
        <v>18.36</v>
      </c>
      <c r="M67" s="6">
        <v>21.45</v>
      </c>
      <c r="N67" s="6">
        <v>12.46</v>
      </c>
      <c r="O67" s="6">
        <v>3.35</v>
      </c>
      <c r="P67" s="6">
        <v>5.39</v>
      </c>
      <c r="Q67" s="6">
        <v>31.94</v>
      </c>
      <c r="R67" s="6">
        <v>26.061223322793801</v>
      </c>
      <c r="S67" s="6">
        <v>21.62</v>
      </c>
      <c r="T67" s="6">
        <v>72.45</v>
      </c>
      <c r="W67" s="8" t="str">
        <f t="shared" si="3"/>
        <v>*</v>
      </c>
      <c r="X67" s="15" t="str">
        <f t="shared" si="4"/>
        <v>ELENUC</v>
      </c>
      <c r="Y67" s="15" t="s">
        <v>42</v>
      </c>
      <c r="Z67" s="8">
        <f t="shared" si="5"/>
        <v>2040</v>
      </c>
      <c r="AA67" s="8">
        <f t="shared" si="6"/>
        <v>2.64</v>
      </c>
      <c r="AB67" s="8">
        <f t="shared" si="7"/>
        <v>5.588000000000001</v>
      </c>
      <c r="AC67" s="8">
        <f t="shared" si="8"/>
        <v>0</v>
      </c>
      <c r="AD67" s="8">
        <f t="shared" si="9"/>
        <v>3.4430000000000001</v>
      </c>
      <c r="AE67" s="8">
        <f t="shared" si="10"/>
        <v>7.8980000000000006</v>
      </c>
      <c r="AF67" s="8">
        <f t="shared" si="11"/>
        <v>124.55300000000001</v>
      </c>
      <c r="AG67" s="8">
        <f t="shared" si="12"/>
        <v>2.3210000000000002</v>
      </c>
      <c r="AH67" s="8">
        <f t="shared" si="13"/>
        <v>96.745000000000005</v>
      </c>
      <c r="AI67" s="8">
        <f t="shared" si="14"/>
        <v>20.196000000000002</v>
      </c>
      <c r="AJ67" s="8">
        <f t="shared" si="15"/>
        <v>23.595000000000002</v>
      </c>
      <c r="AK67" s="8">
        <f t="shared" si="16"/>
        <v>13.706000000000001</v>
      </c>
      <c r="AL67" s="8">
        <f t="shared" si="17"/>
        <v>3.6850000000000005</v>
      </c>
      <c r="AM67" s="8">
        <f t="shared" si="18"/>
        <v>5.9290000000000003</v>
      </c>
      <c r="AN67" s="8">
        <f t="shared" si="19"/>
        <v>35.134000000000007</v>
      </c>
      <c r="AO67" s="8">
        <f t="shared" si="20"/>
        <v>28.667345655073184</v>
      </c>
      <c r="AP67" s="8">
        <f t="shared" si="21"/>
        <v>23.782000000000004</v>
      </c>
      <c r="AQ67" s="8">
        <f t="shared" si="22"/>
        <v>79.695000000000007</v>
      </c>
      <c r="AV67" s="8" t="str">
        <f t="shared" si="23"/>
        <v>*</v>
      </c>
      <c r="AW67" s="15" t="str">
        <f t="shared" si="24"/>
        <v>ELENUC</v>
      </c>
      <c r="AX67" s="8" t="s">
        <v>45</v>
      </c>
      <c r="AY67" s="8">
        <f t="shared" si="25"/>
        <v>2040</v>
      </c>
      <c r="AZ67" s="8">
        <f t="shared" si="26"/>
        <v>2.16</v>
      </c>
      <c r="BA67" s="8">
        <f t="shared" si="27"/>
        <v>4.5720000000000001</v>
      </c>
      <c r="BB67" s="8">
        <f t="shared" si="28"/>
        <v>0</v>
      </c>
      <c r="BC67" s="8">
        <f t="shared" si="29"/>
        <v>2.8170000000000002</v>
      </c>
      <c r="BD67" s="8">
        <f t="shared" si="30"/>
        <v>6.4619999999999997</v>
      </c>
      <c r="BE67" s="8">
        <f t="shared" si="31"/>
        <v>101.90700000000001</v>
      </c>
      <c r="BF67" s="8">
        <f t="shared" si="32"/>
        <v>1.899</v>
      </c>
      <c r="BG67" s="8">
        <f t="shared" si="33"/>
        <v>79.155000000000001</v>
      </c>
      <c r="BH67" s="8">
        <f t="shared" si="34"/>
        <v>16.524000000000001</v>
      </c>
      <c r="BI67" s="8">
        <f t="shared" si="35"/>
        <v>19.305</v>
      </c>
      <c r="BJ67" s="8">
        <f t="shared" si="36"/>
        <v>11.214</v>
      </c>
      <c r="BK67" s="8">
        <f t="shared" si="37"/>
        <v>3.0150000000000001</v>
      </c>
      <c r="BL67" s="8">
        <f t="shared" si="38"/>
        <v>4.851</v>
      </c>
      <c r="BM67" s="8">
        <f t="shared" si="39"/>
        <v>28.746000000000002</v>
      </c>
      <c r="BN67" s="8">
        <f t="shared" si="40"/>
        <v>23.455100990514421</v>
      </c>
      <c r="BO67" s="8">
        <f t="shared" si="41"/>
        <v>19.458000000000002</v>
      </c>
      <c r="BP67" s="8">
        <f t="shared" si="42"/>
        <v>65.204999999999998</v>
      </c>
    </row>
    <row r="68" spans="2:68" ht="18.75" customHeight="1" x14ac:dyDescent="0.3">
      <c r="B68" s="2" t="s">
        <v>6</v>
      </c>
      <c r="C68" s="3">
        <v>2050</v>
      </c>
      <c r="D68" s="6">
        <v>2.4</v>
      </c>
      <c r="E68" s="6">
        <v>6.44</v>
      </c>
      <c r="F68" s="7"/>
      <c r="G68" s="6">
        <v>2.44</v>
      </c>
      <c r="H68" s="6">
        <v>3.92</v>
      </c>
      <c r="I68" s="6">
        <v>145.44351986117101</v>
      </c>
      <c r="J68" s="6">
        <v>2.11</v>
      </c>
      <c r="K68" s="6">
        <v>68.78</v>
      </c>
      <c r="L68" s="6">
        <v>26.02</v>
      </c>
      <c r="M68" s="6">
        <v>18.09</v>
      </c>
      <c r="N68" s="6">
        <v>12.46</v>
      </c>
      <c r="O68" s="6">
        <v>2.4</v>
      </c>
      <c r="P68" s="6">
        <v>5.39</v>
      </c>
      <c r="Q68" s="6">
        <v>31.01</v>
      </c>
      <c r="R68" s="6">
        <v>27.88</v>
      </c>
      <c r="S68" s="6">
        <v>22.98</v>
      </c>
      <c r="T68" s="6">
        <v>72.3</v>
      </c>
      <c r="W68" s="8" t="str">
        <f t="shared" si="3"/>
        <v>*</v>
      </c>
      <c r="X68" s="15" t="str">
        <f t="shared" si="4"/>
        <v>ELENUC</v>
      </c>
      <c r="Y68" s="15" t="s">
        <v>42</v>
      </c>
      <c r="Z68" s="8">
        <f t="shared" si="5"/>
        <v>2050</v>
      </c>
      <c r="AA68" s="8">
        <f t="shared" si="6"/>
        <v>2.64</v>
      </c>
      <c r="AB68" s="8">
        <f t="shared" si="7"/>
        <v>7.0840000000000014</v>
      </c>
      <c r="AC68" s="8">
        <f t="shared" si="8"/>
        <v>0</v>
      </c>
      <c r="AD68" s="8">
        <f t="shared" si="9"/>
        <v>2.6840000000000002</v>
      </c>
      <c r="AE68" s="8">
        <f t="shared" si="10"/>
        <v>4.3120000000000003</v>
      </c>
      <c r="AF68" s="8">
        <f t="shared" si="11"/>
        <v>159.98787184728812</v>
      </c>
      <c r="AG68" s="8">
        <f t="shared" si="12"/>
        <v>2.3210000000000002</v>
      </c>
      <c r="AH68" s="8">
        <f t="shared" si="13"/>
        <v>75.658000000000001</v>
      </c>
      <c r="AI68" s="8">
        <f t="shared" si="14"/>
        <v>28.622000000000003</v>
      </c>
      <c r="AJ68" s="8">
        <f t="shared" si="15"/>
        <v>19.899000000000001</v>
      </c>
      <c r="AK68" s="8">
        <f t="shared" si="16"/>
        <v>13.706000000000001</v>
      </c>
      <c r="AL68" s="8">
        <f t="shared" si="17"/>
        <v>2.64</v>
      </c>
      <c r="AM68" s="8">
        <f t="shared" si="18"/>
        <v>5.9290000000000003</v>
      </c>
      <c r="AN68" s="8">
        <f t="shared" si="19"/>
        <v>34.111000000000004</v>
      </c>
      <c r="AO68" s="8">
        <f t="shared" si="20"/>
        <v>30.668000000000003</v>
      </c>
      <c r="AP68" s="8">
        <f t="shared" si="21"/>
        <v>25.278000000000002</v>
      </c>
      <c r="AQ68" s="8">
        <f t="shared" si="22"/>
        <v>79.53</v>
      </c>
      <c r="AV68" s="8" t="str">
        <f t="shared" si="23"/>
        <v>*</v>
      </c>
      <c r="AW68" s="15" t="str">
        <f t="shared" si="24"/>
        <v>ELENUC</v>
      </c>
      <c r="AX68" s="8" t="s">
        <v>45</v>
      </c>
      <c r="AY68" s="8">
        <f t="shared" si="25"/>
        <v>2050</v>
      </c>
      <c r="AZ68" s="8">
        <f t="shared" si="26"/>
        <v>2.16</v>
      </c>
      <c r="BA68" s="8">
        <f t="shared" si="27"/>
        <v>5.7960000000000003</v>
      </c>
      <c r="BB68" s="8">
        <f t="shared" si="28"/>
        <v>0</v>
      </c>
      <c r="BC68" s="8">
        <f t="shared" si="29"/>
        <v>2.1960000000000002</v>
      </c>
      <c r="BD68" s="8">
        <f t="shared" si="30"/>
        <v>3.528</v>
      </c>
      <c r="BE68" s="8">
        <f t="shared" si="31"/>
        <v>130.89916787505391</v>
      </c>
      <c r="BF68" s="8">
        <f t="shared" si="32"/>
        <v>1.899</v>
      </c>
      <c r="BG68" s="8">
        <f t="shared" si="33"/>
        <v>61.902000000000001</v>
      </c>
      <c r="BH68" s="8">
        <f t="shared" si="34"/>
        <v>23.417999999999999</v>
      </c>
      <c r="BI68" s="8">
        <f t="shared" si="35"/>
        <v>16.280999999999999</v>
      </c>
      <c r="BJ68" s="8">
        <f t="shared" si="36"/>
        <v>11.214</v>
      </c>
      <c r="BK68" s="8">
        <f t="shared" si="37"/>
        <v>2.16</v>
      </c>
      <c r="BL68" s="8">
        <f t="shared" si="38"/>
        <v>4.851</v>
      </c>
      <c r="BM68" s="8">
        <f t="shared" si="39"/>
        <v>27.909000000000002</v>
      </c>
      <c r="BN68" s="8">
        <f t="shared" si="40"/>
        <v>25.091999999999999</v>
      </c>
      <c r="BO68" s="8">
        <f t="shared" si="41"/>
        <v>20.682000000000002</v>
      </c>
      <c r="BP68" s="8">
        <f t="shared" si="42"/>
        <v>65.069999999999993</v>
      </c>
    </row>
    <row r="69" spans="2:68" ht="18.75" customHeight="1" x14ac:dyDescent="0.3">
      <c r="B69" s="2" t="s">
        <v>6</v>
      </c>
      <c r="C69" s="3">
        <v>2060</v>
      </c>
      <c r="D69" s="6">
        <v>2.4</v>
      </c>
      <c r="E69" s="6">
        <v>6.44</v>
      </c>
      <c r="F69" s="7"/>
      <c r="G69" s="6">
        <v>2.44</v>
      </c>
      <c r="H69" s="6">
        <v>3.92</v>
      </c>
      <c r="I69" s="6">
        <v>152.22999999999999</v>
      </c>
      <c r="J69" s="6">
        <v>2.11</v>
      </c>
      <c r="K69" s="6">
        <v>68.78</v>
      </c>
      <c r="L69" s="6">
        <v>26.02</v>
      </c>
      <c r="M69" s="6">
        <v>18.09</v>
      </c>
      <c r="N69" s="6">
        <v>12.46</v>
      </c>
      <c r="O69" s="6">
        <v>2.4</v>
      </c>
      <c r="P69" s="6">
        <v>5.39</v>
      </c>
      <c r="Q69" s="6">
        <v>31.01</v>
      </c>
      <c r="R69" s="6">
        <v>27.88</v>
      </c>
      <c r="S69" s="6">
        <v>22.98</v>
      </c>
      <c r="T69" s="6">
        <v>72.3</v>
      </c>
      <c r="W69" s="8" t="str">
        <f t="shared" si="3"/>
        <v>*</v>
      </c>
      <c r="X69" s="15" t="str">
        <f t="shared" si="4"/>
        <v>ELENUC</v>
      </c>
      <c r="Y69" s="15" t="s">
        <v>42</v>
      </c>
      <c r="Z69" s="8">
        <f t="shared" si="5"/>
        <v>2060</v>
      </c>
      <c r="AA69" s="8">
        <f t="shared" si="6"/>
        <v>2.64</v>
      </c>
      <c r="AB69" s="8">
        <f t="shared" si="7"/>
        <v>7.0840000000000014</v>
      </c>
      <c r="AC69" s="8">
        <f t="shared" si="8"/>
        <v>0</v>
      </c>
      <c r="AD69" s="8">
        <f t="shared" si="9"/>
        <v>2.6840000000000002</v>
      </c>
      <c r="AE69" s="8">
        <f t="shared" si="10"/>
        <v>4.3120000000000003</v>
      </c>
      <c r="AF69" s="8">
        <f t="shared" si="11"/>
        <v>167.453</v>
      </c>
      <c r="AG69" s="8">
        <f t="shared" si="12"/>
        <v>2.3210000000000002</v>
      </c>
      <c r="AH69" s="8">
        <f t="shared" si="13"/>
        <v>75.658000000000001</v>
      </c>
      <c r="AI69" s="8">
        <f t="shared" si="14"/>
        <v>28.622000000000003</v>
      </c>
      <c r="AJ69" s="8">
        <f t="shared" si="15"/>
        <v>19.899000000000001</v>
      </c>
      <c r="AK69" s="8">
        <f t="shared" si="16"/>
        <v>13.706000000000001</v>
      </c>
      <c r="AL69" s="8">
        <f t="shared" si="17"/>
        <v>2.64</v>
      </c>
      <c r="AM69" s="8">
        <f t="shared" si="18"/>
        <v>5.9290000000000003</v>
      </c>
      <c r="AN69" s="8">
        <f t="shared" si="19"/>
        <v>34.111000000000004</v>
      </c>
      <c r="AO69" s="8">
        <f t="shared" si="20"/>
        <v>30.668000000000003</v>
      </c>
      <c r="AP69" s="8">
        <f t="shared" si="21"/>
        <v>25.278000000000002</v>
      </c>
      <c r="AQ69" s="8">
        <f t="shared" si="22"/>
        <v>79.53</v>
      </c>
      <c r="AV69" s="8" t="str">
        <f t="shared" si="23"/>
        <v>*</v>
      </c>
      <c r="AW69" s="15" t="str">
        <f t="shared" si="24"/>
        <v>ELENUC</v>
      </c>
      <c r="AX69" s="8" t="s">
        <v>45</v>
      </c>
      <c r="AY69" s="8">
        <f t="shared" si="25"/>
        <v>2060</v>
      </c>
      <c r="AZ69" s="8">
        <f t="shared" si="26"/>
        <v>2.16</v>
      </c>
      <c r="BA69" s="8">
        <f t="shared" si="27"/>
        <v>5.7960000000000003</v>
      </c>
      <c r="BB69" s="8">
        <f t="shared" si="28"/>
        <v>0</v>
      </c>
      <c r="BC69" s="8">
        <f t="shared" si="29"/>
        <v>2.1960000000000002</v>
      </c>
      <c r="BD69" s="8">
        <f t="shared" si="30"/>
        <v>3.528</v>
      </c>
      <c r="BE69" s="8">
        <f t="shared" si="31"/>
        <v>137.00700000000001</v>
      </c>
      <c r="BF69" s="8">
        <f t="shared" si="32"/>
        <v>1.899</v>
      </c>
      <c r="BG69" s="8">
        <f t="shared" si="33"/>
        <v>61.902000000000001</v>
      </c>
      <c r="BH69" s="8">
        <f t="shared" si="34"/>
        <v>23.417999999999999</v>
      </c>
      <c r="BI69" s="8">
        <f t="shared" si="35"/>
        <v>16.280999999999999</v>
      </c>
      <c r="BJ69" s="8">
        <f t="shared" si="36"/>
        <v>11.214</v>
      </c>
      <c r="BK69" s="8">
        <f t="shared" si="37"/>
        <v>2.16</v>
      </c>
      <c r="BL69" s="8">
        <f t="shared" si="38"/>
        <v>4.851</v>
      </c>
      <c r="BM69" s="8">
        <f t="shared" si="39"/>
        <v>27.909000000000002</v>
      </c>
      <c r="BN69" s="8">
        <f t="shared" si="40"/>
        <v>25.091999999999999</v>
      </c>
      <c r="BO69" s="8">
        <f t="shared" si="41"/>
        <v>20.682000000000002</v>
      </c>
      <c r="BP69" s="8">
        <f t="shared" si="42"/>
        <v>65.069999999999993</v>
      </c>
    </row>
    <row r="70" spans="2:68" ht="18.75" customHeight="1" x14ac:dyDescent="0.3">
      <c r="B70" s="2" t="s">
        <v>6</v>
      </c>
      <c r="C70" s="3">
        <v>2070</v>
      </c>
      <c r="D70" s="6">
        <v>2.4</v>
      </c>
      <c r="E70" s="6">
        <v>6.44</v>
      </c>
      <c r="F70" s="7"/>
      <c r="G70" s="6">
        <v>2.44</v>
      </c>
      <c r="H70" s="6">
        <v>3.92</v>
      </c>
      <c r="I70" s="6">
        <v>152.22999999999999</v>
      </c>
      <c r="J70" s="6">
        <v>2.11</v>
      </c>
      <c r="K70" s="6">
        <v>68.78</v>
      </c>
      <c r="L70" s="6">
        <v>26.02</v>
      </c>
      <c r="M70" s="6">
        <v>18.09</v>
      </c>
      <c r="N70" s="6">
        <v>12.46</v>
      </c>
      <c r="O70" s="6">
        <v>2.4</v>
      </c>
      <c r="P70" s="6">
        <v>5.39</v>
      </c>
      <c r="Q70" s="6">
        <v>31.01</v>
      </c>
      <c r="R70" s="6">
        <v>27.88</v>
      </c>
      <c r="S70" s="6">
        <v>22.98</v>
      </c>
      <c r="T70" s="6">
        <v>72.3</v>
      </c>
      <c r="W70" s="8" t="str">
        <f t="shared" si="3"/>
        <v>*</v>
      </c>
      <c r="X70" s="15" t="str">
        <f t="shared" si="4"/>
        <v>ELENUC</v>
      </c>
      <c r="Y70" s="15" t="s">
        <v>42</v>
      </c>
      <c r="Z70" s="8">
        <f t="shared" si="5"/>
        <v>2070</v>
      </c>
      <c r="AA70" s="8">
        <f t="shared" si="6"/>
        <v>2.64</v>
      </c>
      <c r="AB70" s="8">
        <f t="shared" si="7"/>
        <v>7.0840000000000014</v>
      </c>
      <c r="AC70" s="8">
        <f t="shared" si="8"/>
        <v>0</v>
      </c>
      <c r="AD70" s="8">
        <f t="shared" si="9"/>
        <v>2.6840000000000002</v>
      </c>
      <c r="AE70" s="8">
        <f t="shared" si="10"/>
        <v>4.3120000000000003</v>
      </c>
      <c r="AF70" s="8">
        <f t="shared" si="11"/>
        <v>167.453</v>
      </c>
      <c r="AG70" s="8">
        <f t="shared" si="12"/>
        <v>2.3210000000000002</v>
      </c>
      <c r="AH70" s="8">
        <f t="shared" si="13"/>
        <v>75.658000000000001</v>
      </c>
      <c r="AI70" s="8">
        <f t="shared" si="14"/>
        <v>28.622000000000003</v>
      </c>
      <c r="AJ70" s="8">
        <f t="shared" si="15"/>
        <v>19.899000000000001</v>
      </c>
      <c r="AK70" s="8">
        <f t="shared" si="16"/>
        <v>13.706000000000001</v>
      </c>
      <c r="AL70" s="8">
        <f t="shared" si="17"/>
        <v>2.64</v>
      </c>
      <c r="AM70" s="8">
        <f t="shared" si="18"/>
        <v>5.9290000000000003</v>
      </c>
      <c r="AN70" s="8">
        <f t="shared" si="19"/>
        <v>34.111000000000004</v>
      </c>
      <c r="AO70" s="8">
        <f t="shared" si="20"/>
        <v>30.668000000000003</v>
      </c>
      <c r="AP70" s="8">
        <f t="shared" si="21"/>
        <v>25.278000000000002</v>
      </c>
      <c r="AQ70" s="8">
        <f t="shared" si="22"/>
        <v>79.53</v>
      </c>
      <c r="AV70" s="8" t="str">
        <f t="shared" si="23"/>
        <v>*</v>
      </c>
      <c r="AW70" s="15" t="str">
        <f t="shared" si="24"/>
        <v>ELENUC</v>
      </c>
      <c r="AX70" s="8" t="s">
        <v>45</v>
      </c>
      <c r="AY70" s="8">
        <f t="shared" si="25"/>
        <v>2070</v>
      </c>
      <c r="AZ70" s="8">
        <f t="shared" si="26"/>
        <v>2.16</v>
      </c>
      <c r="BA70" s="8">
        <f t="shared" si="27"/>
        <v>5.7960000000000003</v>
      </c>
      <c r="BB70" s="8">
        <f t="shared" si="28"/>
        <v>0</v>
      </c>
      <c r="BC70" s="8">
        <f t="shared" si="29"/>
        <v>2.1960000000000002</v>
      </c>
      <c r="BD70" s="8">
        <f t="shared" si="30"/>
        <v>3.528</v>
      </c>
      <c r="BE70" s="8">
        <f t="shared" si="31"/>
        <v>137.00700000000001</v>
      </c>
      <c r="BF70" s="8">
        <f t="shared" si="32"/>
        <v>1.899</v>
      </c>
      <c r="BG70" s="8">
        <f t="shared" si="33"/>
        <v>61.902000000000001</v>
      </c>
      <c r="BH70" s="8">
        <f t="shared" si="34"/>
        <v>23.417999999999999</v>
      </c>
      <c r="BI70" s="8">
        <f t="shared" si="35"/>
        <v>16.280999999999999</v>
      </c>
      <c r="BJ70" s="8">
        <f t="shared" si="36"/>
        <v>11.214</v>
      </c>
      <c r="BK70" s="8">
        <f t="shared" si="37"/>
        <v>2.16</v>
      </c>
      <c r="BL70" s="8">
        <f t="shared" si="38"/>
        <v>4.851</v>
      </c>
      <c r="BM70" s="8">
        <f t="shared" si="39"/>
        <v>27.909000000000002</v>
      </c>
      <c r="BN70" s="8">
        <f t="shared" si="40"/>
        <v>25.091999999999999</v>
      </c>
      <c r="BO70" s="8">
        <f t="shared" si="41"/>
        <v>20.682000000000002</v>
      </c>
      <c r="BP70" s="8">
        <f t="shared" si="42"/>
        <v>65.069999999999993</v>
      </c>
    </row>
    <row r="71" spans="2:68" ht="18.75" customHeight="1" x14ac:dyDescent="0.3">
      <c r="B71" s="2" t="s">
        <v>6</v>
      </c>
      <c r="C71" s="3">
        <v>2080</v>
      </c>
      <c r="D71" s="6">
        <v>2.4</v>
      </c>
      <c r="E71" s="6">
        <v>6.44</v>
      </c>
      <c r="F71" s="7"/>
      <c r="G71" s="6">
        <v>2.44</v>
      </c>
      <c r="H71" s="6">
        <v>3.92</v>
      </c>
      <c r="I71" s="6">
        <v>152.22999999999999</v>
      </c>
      <c r="J71" s="6">
        <v>2.11</v>
      </c>
      <c r="K71" s="6">
        <v>68.78</v>
      </c>
      <c r="L71" s="6">
        <v>26.02</v>
      </c>
      <c r="M71" s="6">
        <v>18.09</v>
      </c>
      <c r="N71" s="6">
        <v>12.46</v>
      </c>
      <c r="O71" s="6">
        <v>2.4</v>
      </c>
      <c r="P71" s="6">
        <v>5.39</v>
      </c>
      <c r="Q71" s="6">
        <v>31.01</v>
      </c>
      <c r="R71" s="6">
        <v>27.88</v>
      </c>
      <c r="S71" s="6">
        <v>22.98</v>
      </c>
      <c r="T71" s="6">
        <v>72.3</v>
      </c>
      <c r="W71" s="8" t="str">
        <f t="shared" ref="W71:W122" si="43">IF(C71&gt;2021, "*","CAP_BND")</f>
        <v>*</v>
      </c>
      <c r="X71" s="15" t="str">
        <f t="shared" ref="X71:X122" si="44">B71</f>
        <v>ELENUC</v>
      </c>
      <c r="Y71" s="15" t="s">
        <v>42</v>
      </c>
      <c r="Z71" s="8">
        <f t="shared" ref="Z71:Z122" si="45">C71</f>
        <v>2080</v>
      </c>
      <c r="AA71" s="8">
        <f t="shared" ref="AA71:AA122" si="46">D71*(1+$Z$1)</f>
        <v>2.64</v>
      </c>
      <c r="AB71" s="8">
        <f t="shared" ref="AB71:AB122" si="47">E71*(1+$Z$1)</f>
        <v>7.0840000000000014</v>
      </c>
      <c r="AC71" s="8">
        <f t="shared" ref="AC71:AC122" si="48">F71*(1+$Z$1)</f>
        <v>0</v>
      </c>
      <c r="AD71" s="8">
        <f t="shared" ref="AD71:AD122" si="49">G71*(1+$Z$1)</f>
        <v>2.6840000000000002</v>
      </c>
      <c r="AE71" s="8">
        <f t="shared" ref="AE71:AE122" si="50">H71*(1+$Z$1)</f>
        <v>4.3120000000000003</v>
      </c>
      <c r="AF71" s="8">
        <f t="shared" ref="AF71:AF122" si="51">I71*(1+$Z$1)</f>
        <v>167.453</v>
      </c>
      <c r="AG71" s="8">
        <f t="shared" ref="AG71:AG122" si="52">J71*(1+$Z$1)</f>
        <v>2.3210000000000002</v>
      </c>
      <c r="AH71" s="8">
        <f t="shared" ref="AH71:AH122" si="53">K71*(1+$Z$1)</f>
        <v>75.658000000000001</v>
      </c>
      <c r="AI71" s="8">
        <f t="shared" ref="AI71:AI122" si="54">L71*(1+$Z$1)</f>
        <v>28.622000000000003</v>
      </c>
      <c r="AJ71" s="8">
        <f t="shared" ref="AJ71:AJ122" si="55">M71*(1+$Z$1)</f>
        <v>19.899000000000001</v>
      </c>
      <c r="AK71" s="8">
        <f t="shared" ref="AK71:AK122" si="56">N71*(1+$Z$1)</f>
        <v>13.706000000000001</v>
      </c>
      <c r="AL71" s="8">
        <f t="shared" ref="AL71:AL122" si="57">O71*(1+$Z$1)</f>
        <v>2.64</v>
      </c>
      <c r="AM71" s="8">
        <f t="shared" ref="AM71:AM122" si="58">P71*(1+$Z$1)</f>
        <v>5.9290000000000003</v>
      </c>
      <c r="AN71" s="8">
        <f t="shared" ref="AN71:AN122" si="59">Q71*(1+$Z$1)</f>
        <v>34.111000000000004</v>
      </c>
      <c r="AO71" s="8">
        <f t="shared" ref="AO71:AO122" si="60">R71*(1+$Z$1)</f>
        <v>30.668000000000003</v>
      </c>
      <c r="AP71" s="8">
        <f t="shared" ref="AP71:AP122" si="61">S71*(1+$Z$1)</f>
        <v>25.278000000000002</v>
      </c>
      <c r="AQ71" s="8">
        <f t="shared" ref="AQ71:AQ122" si="62">T71*(1+$Z$1)</f>
        <v>79.53</v>
      </c>
      <c r="AV71" s="8" t="str">
        <f t="shared" ref="AV71:AV122" si="63">IF(C71&gt;2021, "*","CAP_BND")</f>
        <v>*</v>
      </c>
      <c r="AW71" s="15" t="str">
        <f t="shared" ref="AW71:AW122" si="64">B71</f>
        <v>ELENUC</v>
      </c>
      <c r="AX71" s="8" t="s">
        <v>45</v>
      </c>
      <c r="AY71" s="8">
        <f t="shared" ref="AY71:AY122" si="65">C71</f>
        <v>2080</v>
      </c>
      <c r="AZ71" s="8">
        <f t="shared" ref="AZ71:AZ122" si="66">D71*(1-$AY$1)</f>
        <v>2.16</v>
      </c>
      <c r="BA71" s="8">
        <f t="shared" ref="BA71:BA122" si="67">E71*(1-$AY$1)</f>
        <v>5.7960000000000003</v>
      </c>
      <c r="BB71" s="8">
        <f t="shared" ref="BB71:BB122" si="68">F71*(1-$AY$1)</f>
        <v>0</v>
      </c>
      <c r="BC71" s="8">
        <f t="shared" ref="BC71:BC122" si="69">G71*(1-$AY$1)</f>
        <v>2.1960000000000002</v>
      </c>
      <c r="BD71" s="8">
        <f t="shared" ref="BD71:BD122" si="70">H71*(1-$AY$1)</f>
        <v>3.528</v>
      </c>
      <c r="BE71" s="8">
        <f t="shared" ref="BE71:BE122" si="71">I71*(1-$AY$1)</f>
        <v>137.00700000000001</v>
      </c>
      <c r="BF71" s="8">
        <f t="shared" ref="BF71:BF122" si="72">J71*(1-$AY$1)</f>
        <v>1.899</v>
      </c>
      <c r="BG71" s="8">
        <f t="shared" ref="BG71:BG122" si="73">K71*(1-$AY$1)</f>
        <v>61.902000000000001</v>
      </c>
      <c r="BH71" s="8">
        <f t="shared" ref="BH71:BH122" si="74">L71*(1-$AY$1)</f>
        <v>23.417999999999999</v>
      </c>
      <c r="BI71" s="8">
        <f t="shared" ref="BI71:BI122" si="75">M71*(1-$AY$1)</f>
        <v>16.280999999999999</v>
      </c>
      <c r="BJ71" s="8">
        <f t="shared" ref="BJ71:BJ122" si="76">N71*(1-$AY$1)</f>
        <v>11.214</v>
      </c>
      <c r="BK71" s="8">
        <f t="shared" ref="BK71:BK122" si="77">O71*(1-$AY$1)</f>
        <v>2.16</v>
      </c>
      <c r="BL71" s="8">
        <f t="shared" ref="BL71:BL122" si="78">P71*(1-$AY$1)</f>
        <v>4.851</v>
      </c>
      <c r="BM71" s="8">
        <f t="shared" ref="BM71:BM122" si="79">Q71*(1-$AY$1)</f>
        <v>27.909000000000002</v>
      </c>
      <c r="BN71" s="8">
        <f t="shared" ref="BN71:BN122" si="80">R71*(1-$AY$1)</f>
        <v>25.091999999999999</v>
      </c>
      <c r="BO71" s="8">
        <f t="shared" ref="BO71:BO122" si="81">S71*(1-$AY$1)</f>
        <v>20.682000000000002</v>
      </c>
      <c r="BP71" s="8">
        <f t="shared" ref="BP71:BP122" si="82">T71*(1-$AY$1)</f>
        <v>65.069999999999993</v>
      </c>
    </row>
    <row r="72" spans="2:68" ht="18.75" customHeight="1" x14ac:dyDescent="0.3">
      <c r="B72" s="2" t="s">
        <v>7</v>
      </c>
      <c r="C72" s="3">
        <v>2017</v>
      </c>
      <c r="D72" s="6">
        <v>8.9537803212642899</v>
      </c>
      <c r="E72" s="6">
        <v>1.22186001036161</v>
      </c>
      <c r="F72" s="6">
        <v>9.8862853534608205E-2</v>
      </c>
      <c r="G72" s="6">
        <v>2.86221831447385</v>
      </c>
      <c r="H72" s="6">
        <v>4.2496280541883001E-2</v>
      </c>
      <c r="I72" s="6">
        <v>6.75501819506046</v>
      </c>
      <c r="J72" s="6">
        <v>10.483731782408301</v>
      </c>
      <c r="K72" s="6">
        <v>4.5014643592963504</v>
      </c>
      <c r="L72" s="7"/>
      <c r="M72" s="6">
        <v>33.041596615371702</v>
      </c>
      <c r="N72" s="6">
        <v>22.136696734936599</v>
      </c>
      <c r="O72" s="6">
        <v>16.004003633474301</v>
      </c>
      <c r="P72" s="6">
        <v>18.333285731318</v>
      </c>
      <c r="Q72" s="7"/>
      <c r="R72" s="6">
        <v>0</v>
      </c>
      <c r="S72" s="6">
        <v>4.0703431512551003</v>
      </c>
      <c r="T72" s="7"/>
      <c r="W72" s="8" t="str">
        <f t="shared" si="43"/>
        <v>CAP_BND</v>
      </c>
      <c r="X72" s="15" t="str">
        <f t="shared" si="44"/>
        <v>ELEOIL</v>
      </c>
      <c r="Y72" s="15" t="s">
        <v>42</v>
      </c>
      <c r="Z72" s="8">
        <f t="shared" si="45"/>
        <v>2017</v>
      </c>
      <c r="AA72" s="8">
        <f t="shared" si="46"/>
        <v>9.8491583533907203</v>
      </c>
      <c r="AB72" s="8">
        <f t="shared" si="47"/>
        <v>1.344046011397771</v>
      </c>
      <c r="AC72" s="8">
        <f t="shared" si="48"/>
        <v>0.10874913888806903</v>
      </c>
      <c r="AD72" s="8">
        <f t="shared" si="49"/>
        <v>3.1484401459212354</v>
      </c>
      <c r="AE72" s="8">
        <f t="shared" si="50"/>
        <v>4.6745908596071306E-2</v>
      </c>
      <c r="AF72" s="8">
        <f t="shared" si="51"/>
        <v>7.4305200145665067</v>
      </c>
      <c r="AG72" s="8">
        <f t="shared" si="52"/>
        <v>11.532104960649132</v>
      </c>
      <c r="AH72" s="8">
        <f t="shared" si="53"/>
        <v>4.951610795225986</v>
      </c>
      <c r="AI72" s="8">
        <f t="shared" si="54"/>
        <v>0</v>
      </c>
      <c r="AJ72" s="8">
        <f t="shared" si="55"/>
        <v>36.345756276908872</v>
      </c>
      <c r="AK72" s="8">
        <f t="shared" si="56"/>
        <v>24.350366408430261</v>
      </c>
      <c r="AL72" s="8">
        <f t="shared" si="57"/>
        <v>17.604403996821734</v>
      </c>
      <c r="AM72" s="8">
        <f t="shared" si="58"/>
        <v>20.166614304449801</v>
      </c>
      <c r="AN72" s="8">
        <f t="shared" si="59"/>
        <v>0</v>
      </c>
      <c r="AO72" s="8">
        <f t="shared" si="60"/>
        <v>0</v>
      </c>
      <c r="AP72" s="8">
        <f t="shared" si="61"/>
        <v>4.4773774663806103</v>
      </c>
      <c r="AQ72" s="8">
        <f t="shared" si="62"/>
        <v>0</v>
      </c>
      <c r="AV72" s="8" t="str">
        <f t="shared" si="63"/>
        <v>CAP_BND</v>
      </c>
      <c r="AW72" s="15" t="str">
        <f t="shared" si="64"/>
        <v>ELEOIL</v>
      </c>
      <c r="AX72" s="8" t="s">
        <v>45</v>
      </c>
      <c r="AY72" s="8">
        <f t="shared" si="65"/>
        <v>2017</v>
      </c>
      <c r="AZ72" s="8">
        <f t="shared" si="66"/>
        <v>8.0584022891378613</v>
      </c>
      <c r="BA72" s="8">
        <f t="shared" si="67"/>
        <v>1.0996740093254489</v>
      </c>
      <c r="BB72" s="8">
        <f t="shared" si="68"/>
        <v>8.8976568181147381E-2</v>
      </c>
      <c r="BC72" s="8">
        <f t="shared" si="69"/>
        <v>2.575996483026465</v>
      </c>
      <c r="BD72" s="8">
        <f t="shared" si="70"/>
        <v>3.8246652487694703E-2</v>
      </c>
      <c r="BE72" s="8">
        <f t="shared" si="71"/>
        <v>6.0795163755544142</v>
      </c>
      <c r="BF72" s="8">
        <f t="shared" si="72"/>
        <v>9.4353586041674706</v>
      </c>
      <c r="BG72" s="8">
        <f t="shared" si="73"/>
        <v>4.0513179233667156</v>
      </c>
      <c r="BH72" s="8">
        <f t="shared" si="74"/>
        <v>0</v>
      </c>
      <c r="BI72" s="8">
        <f t="shared" si="75"/>
        <v>29.737436953834532</v>
      </c>
      <c r="BJ72" s="8">
        <f t="shared" si="76"/>
        <v>19.923027061442941</v>
      </c>
      <c r="BK72" s="8">
        <f t="shared" si="77"/>
        <v>14.403603270126872</v>
      </c>
      <c r="BL72" s="8">
        <f t="shared" si="78"/>
        <v>16.499957158186202</v>
      </c>
      <c r="BM72" s="8">
        <f t="shared" si="79"/>
        <v>0</v>
      </c>
      <c r="BN72" s="8">
        <f t="shared" si="80"/>
        <v>0</v>
      </c>
      <c r="BO72" s="8">
        <f t="shared" si="81"/>
        <v>3.6633088361295902</v>
      </c>
      <c r="BP72" s="8">
        <f t="shared" si="82"/>
        <v>0</v>
      </c>
    </row>
    <row r="73" spans="2:68" ht="18.75" customHeight="1" x14ac:dyDescent="0.3">
      <c r="B73" s="2" t="s">
        <v>7</v>
      </c>
      <c r="C73" s="3">
        <v>2018</v>
      </c>
      <c r="D73" s="6">
        <v>5.4883723250093599</v>
      </c>
      <c r="E73" s="6">
        <v>1.5155335362212199</v>
      </c>
      <c r="F73" s="6">
        <v>9.8862853534608205E-2</v>
      </c>
      <c r="G73" s="6">
        <v>2.86221831447385</v>
      </c>
      <c r="H73" s="6">
        <v>3.5242011323482002E-2</v>
      </c>
      <c r="I73" s="6">
        <v>6.75501819506046</v>
      </c>
      <c r="J73" s="6">
        <v>9.5266216504361907</v>
      </c>
      <c r="K73" s="6">
        <v>4.6708858818188297</v>
      </c>
      <c r="L73" s="7"/>
      <c r="M73" s="6">
        <v>25.306239064192699</v>
      </c>
      <c r="N73" s="6">
        <v>23.004304461883901</v>
      </c>
      <c r="O73" s="6">
        <v>16.004003633474301</v>
      </c>
      <c r="P73" s="6">
        <v>19.311330583558899</v>
      </c>
      <c r="Q73" s="7"/>
      <c r="R73" s="6">
        <v>0</v>
      </c>
      <c r="S73" s="6">
        <v>4.0703431512551003</v>
      </c>
      <c r="T73" s="7"/>
      <c r="W73" s="8" t="str">
        <f t="shared" si="43"/>
        <v>CAP_BND</v>
      </c>
      <c r="X73" s="15" t="str">
        <f t="shared" si="44"/>
        <v>ELEOIL</v>
      </c>
      <c r="Y73" s="15" t="s">
        <v>42</v>
      </c>
      <c r="Z73" s="8">
        <f t="shared" si="45"/>
        <v>2018</v>
      </c>
      <c r="AA73" s="8">
        <f t="shared" si="46"/>
        <v>6.0372095575102964</v>
      </c>
      <c r="AB73" s="8">
        <f t="shared" si="47"/>
        <v>1.667086889843342</v>
      </c>
      <c r="AC73" s="8">
        <f t="shared" si="48"/>
        <v>0.10874913888806903</v>
      </c>
      <c r="AD73" s="8">
        <f t="shared" si="49"/>
        <v>3.1484401459212354</v>
      </c>
      <c r="AE73" s="8">
        <f t="shared" si="50"/>
        <v>3.8766212455830208E-2</v>
      </c>
      <c r="AF73" s="8">
        <f t="shared" si="51"/>
        <v>7.4305200145665067</v>
      </c>
      <c r="AG73" s="8">
        <f t="shared" si="52"/>
        <v>10.47928381547981</v>
      </c>
      <c r="AH73" s="8">
        <f t="shared" si="53"/>
        <v>5.1379744700007128</v>
      </c>
      <c r="AI73" s="8">
        <f t="shared" si="54"/>
        <v>0</v>
      </c>
      <c r="AJ73" s="8">
        <f t="shared" si="55"/>
        <v>27.836862970611971</v>
      </c>
      <c r="AK73" s="8">
        <f t="shared" si="56"/>
        <v>25.304734908072295</v>
      </c>
      <c r="AL73" s="8">
        <f t="shared" si="57"/>
        <v>17.604403996821734</v>
      </c>
      <c r="AM73" s="8">
        <f t="shared" si="58"/>
        <v>21.242463641914789</v>
      </c>
      <c r="AN73" s="8">
        <f t="shared" si="59"/>
        <v>0</v>
      </c>
      <c r="AO73" s="8">
        <f t="shared" si="60"/>
        <v>0</v>
      </c>
      <c r="AP73" s="8">
        <f t="shared" si="61"/>
        <v>4.4773774663806103</v>
      </c>
      <c r="AQ73" s="8">
        <f t="shared" si="62"/>
        <v>0</v>
      </c>
      <c r="AV73" s="8" t="str">
        <f t="shared" si="63"/>
        <v>CAP_BND</v>
      </c>
      <c r="AW73" s="15" t="str">
        <f t="shared" si="64"/>
        <v>ELEOIL</v>
      </c>
      <c r="AX73" s="8" t="s">
        <v>45</v>
      </c>
      <c r="AY73" s="8">
        <f t="shared" si="65"/>
        <v>2018</v>
      </c>
      <c r="AZ73" s="8">
        <f t="shared" si="66"/>
        <v>4.9395350925084243</v>
      </c>
      <c r="BA73" s="8">
        <f t="shared" si="67"/>
        <v>1.363980182599098</v>
      </c>
      <c r="BB73" s="8">
        <f t="shared" si="68"/>
        <v>8.8976568181147381E-2</v>
      </c>
      <c r="BC73" s="8">
        <f t="shared" si="69"/>
        <v>2.575996483026465</v>
      </c>
      <c r="BD73" s="8">
        <f t="shared" si="70"/>
        <v>3.1717810191133802E-2</v>
      </c>
      <c r="BE73" s="8">
        <f t="shared" si="71"/>
        <v>6.0795163755544142</v>
      </c>
      <c r="BF73" s="8">
        <f t="shared" si="72"/>
        <v>8.5739594853925727</v>
      </c>
      <c r="BG73" s="8">
        <f t="shared" si="73"/>
        <v>4.2037972936369465</v>
      </c>
      <c r="BH73" s="8">
        <f t="shared" si="74"/>
        <v>0</v>
      </c>
      <c r="BI73" s="8">
        <f t="shared" si="75"/>
        <v>22.77561515777343</v>
      </c>
      <c r="BJ73" s="8">
        <f t="shared" si="76"/>
        <v>20.703874015695511</v>
      </c>
      <c r="BK73" s="8">
        <f t="shared" si="77"/>
        <v>14.403603270126872</v>
      </c>
      <c r="BL73" s="8">
        <f t="shared" si="78"/>
        <v>17.380197525203009</v>
      </c>
      <c r="BM73" s="8">
        <f t="shared" si="79"/>
        <v>0</v>
      </c>
      <c r="BN73" s="8">
        <f t="shared" si="80"/>
        <v>0</v>
      </c>
      <c r="BO73" s="8">
        <f t="shared" si="81"/>
        <v>3.6633088361295902</v>
      </c>
      <c r="BP73" s="8">
        <f t="shared" si="82"/>
        <v>0</v>
      </c>
    </row>
    <row r="74" spans="2:68" ht="18.75" customHeight="1" x14ac:dyDescent="0.3">
      <c r="B74" s="2" t="s">
        <v>7</v>
      </c>
      <c r="C74" s="3">
        <v>2019</v>
      </c>
      <c r="D74" s="6">
        <v>5.4883723250093599</v>
      </c>
      <c r="E74" s="6">
        <v>0.13052424252328901</v>
      </c>
      <c r="F74" s="6">
        <v>9.8862853534608205E-2</v>
      </c>
      <c r="G74" s="6">
        <v>1.9511237694161001</v>
      </c>
      <c r="H74" s="6">
        <v>3.5242011323482002E-2</v>
      </c>
      <c r="I74" s="6">
        <v>6.75501819506046</v>
      </c>
      <c r="J74" s="6">
        <v>0.70814273077111001</v>
      </c>
      <c r="K74" s="6">
        <v>3.9840653636713101</v>
      </c>
      <c r="L74" s="7"/>
      <c r="M74" s="6">
        <v>9.6815267404120497E-2</v>
      </c>
      <c r="N74" s="6">
        <v>21.036811414764902</v>
      </c>
      <c r="O74" s="6">
        <v>3.1410012102485201</v>
      </c>
      <c r="P74" s="6">
        <v>1.8659228797089</v>
      </c>
      <c r="Q74" s="7"/>
      <c r="R74" s="6">
        <v>0</v>
      </c>
      <c r="S74" s="6">
        <v>3.9926480729796499</v>
      </c>
      <c r="T74" s="7"/>
      <c r="W74" s="8" t="str">
        <f t="shared" si="43"/>
        <v>CAP_BND</v>
      </c>
      <c r="X74" s="15" t="str">
        <f t="shared" si="44"/>
        <v>ELEOIL</v>
      </c>
      <c r="Y74" s="15" t="s">
        <v>42</v>
      </c>
      <c r="Z74" s="8">
        <f t="shared" si="45"/>
        <v>2019</v>
      </c>
      <c r="AA74" s="8">
        <f t="shared" si="46"/>
        <v>6.0372095575102964</v>
      </c>
      <c r="AB74" s="8">
        <f t="shared" si="47"/>
        <v>0.14357666677561792</v>
      </c>
      <c r="AC74" s="8">
        <f t="shared" si="48"/>
        <v>0.10874913888806903</v>
      </c>
      <c r="AD74" s="8">
        <f t="shared" si="49"/>
        <v>2.1462361463577104</v>
      </c>
      <c r="AE74" s="8">
        <f t="shared" si="50"/>
        <v>3.8766212455830208E-2</v>
      </c>
      <c r="AF74" s="8">
        <f t="shared" si="51"/>
        <v>7.4305200145665067</v>
      </c>
      <c r="AG74" s="8">
        <f t="shared" si="52"/>
        <v>0.77895700384822109</v>
      </c>
      <c r="AH74" s="8">
        <f t="shared" si="53"/>
        <v>4.3824719000384418</v>
      </c>
      <c r="AI74" s="8">
        <f t="shared" si="54"/>
        <v>0</v>
      </c>
      <c r="AJ74" s="8">
        <f t="shared" si="55"/>
        <v>0.10649679414453256</v>
      </c>
      <c r="AK74" s="8">
        <f t="shared" si="56"/>
        <v>23.140492556241394</v>
      </c>
      <c r="AL74" s="8">
        <f t="shared" si="57"/>
        <v>3.4551013312733723</v>
      </c>
      <c r="AM74" s="8">
        <f t="shared" si="58"/>
        <v>2.0525151676797901</v>
      </c>
      <c r="AN74" s="8">
        <f t="shared" si="59"/>
        <v>0</v>
      </c>
      <c r="AO74" s="8">
        <f t="shared" si="60"/>
        <v>0</v>
      </c>
      <c r="AP74" s="8">
        <f t="shared" si="61"/>
        <v>4.3919128802776148</v>
      </c>
      <c r="AQ74" s="8">
        <f t="shared" si="62"/>
        <v>0</v>
      </c>
      <c r="AV74" s="8" t="str">
        <f t="shared" si="63"/>
        <v>CAP_BND</v>
      </c>
      <c r="AW74" s="15" t="str">
        <f t="shared" si="64"/>
        <v>ELEOIL</v>
      </c>
      <c r="AX74" s="8" t="s">
        <v>45</v>
      </c>
      <c r="AY74" s="8">
        <f t="shared" si="65"/>
        <v>2019</v>
      </c>
      <c r="AZ74" s="8">
        <f t="shared" si="66"/>
        <v>4.9395350925084243</v>
      </c>
      <c r="BA74" s="8">
        <f t="shared" si="67"/>
        <v>0.11747181827096011</v>
      </c>
      <c r="BB74" s="8">
        <f t="shared" si="68"/>
        <v>8.8976568181147381E-2</v>
      </c>
      <c r="BC74" s="8">
        <f t="shared" si="69"/>
        <v>1.7560113924744902</v>
      </c>
      <c r="BD74" s="8">
        <f t="shared" si="70"/>
        <v>3.1717810191133802E-2</v>
      </c>
      <c r="BE74" s="8">
        <f t="shared" si="71"/>
        <v>6.0795163755544142</v>
      </c>
      <c r="BF74" s="8">
        <f t="shared" si="72"/>
        <v>0.63732845769399904</v>
      </c>
      <c r="BG74" s="8">
        <f t="shared" si="73"/>
        <v>3.5856588273041794</v>
      </c>
      <c r="BH74" s="8">
        <f t="shared" si="74"/>
        <v>0</v>
      </c>
      <c r="BI74" s="8">
        <f t="shared" si="75"/>
        <v>8.7133740663708451E-2</v>
      </c>
      <c r="BJ74" s="8">
        <f t="shared" si="76"/>
        <v>18.933130273288413</v>
      </c>
      <c r="BK74" s="8">
        <f t="shared" si="77"/>
        <v>2.8269010892236683</v>
      </c>
      <c r="BL74" s="8">
        <f t="shared" si="78"/>
        <v>1.6793305917380101</v>
      </c>
      <c r="BM74" s="8">
        <f t="shared" si="79"/>
        <v>0</v>
      </c>
      <c r="BN74" s="8">
        <f t="shared" si="80"/>
        <v>0</v>
      </c>
      <c r="BO74" s="8">
        <f t="shared" si="81"/>
        <v>3.5933832656816849</v>
      </c>
      <c r="BP74" s="8">
        <f t="shared" si="82"/>
        <v>0</v>
      </c>
    </row>
    <row r="75" spans="2:68" ht="18.75" customHeight="1" x14ac:dyDescent="0.3">
      <c r="B75" s="2" t="s">
        <v>7</v>
      </c>
      <c r="C75" s="3">
        <v>2020</v>
      </c>
      <c r="D75" s="6">
        <v>6.5819046190459807E-2</v>
      </c>
      <c r="E75" s="6">
        <v>0.42074278572572199</v>
      </c>
      <c r="F75" s="6">
        <v>9.8862853534608205E-2</v>
      </c>
      <c r="G75" s="6">
        <v>1.9511237694161001</v>
      </c>
      <c r="H75" s="6">
        <v>3.5242011323482002E-2</v>
      </c>
      <c r="I75" s="6">
        <v>6.75501819506046</v>
      </c>
      <c r="J75" s="6">
        <v>0.5674105678204</v>
      </c>
      <c r="K75" s="6">
        <v>4.0221094074672603</v>
      </c>
      <c r="L75" s="7"/>
      <c r="M75" s="6">
        <v>9.6815267404120303E-2</v>
      </c>
      <c r="N75" s="6">
        <v>22.405054063487899</v>
      </c>
      <c r="O75" s="6">
        <v>3.1410012102485201</v>
      </c>
      <c r="P75" s="6">
        <v>0.97274092137179802</v>
      </c>
      <c r="Q75" s="7"/>
      <c r="R75" s="6">
        <v>0</v>
      </c>
      <c r="S75" s="6">
        <v>3.9926480729796499</v>
      </c>
      <c r="T75" s="7"/>
      <c r="W75" s="8" t="str">
        <f t="shared" si="43"/>
        <v>CAP_BND</v>
      </c>
      <c r="X75" s="15" t="str">
        <f t="shared" si="44"/>
        <v>ELEOIL</v>
      </c>
      <c r="Y75" s="15" t="s">
        <v>42</v>
      </c>
      <c r="Z75" s="8">
        <f t="shared" si="45"/>
        <v>2020</v>
      </c>
      <c r="AA75" s="8">
        <f t="shared" si="46"/>
        <v>7.2400950809505787E-2</v>
      </c>
      <c r="AB75" s="8">
        <f t="shared" si="47"/>
        <v>0.46281706429829422</v>
      </c>
      <c r="AC75" s="8">
        <f t="shared" si="48"/>
        <v>0.10874913888806903</v>
      </c>
      <c r="AD75" s="8">
        <f t="shared" si="49"/>
        <v>2.1462361463577104</v>
      </c>
      <c r="AE75" s="8">
        <f t="shared" si="50"/>
        <v>3.8766212455830208E-2</v>
      </c>
      <c r="AF75" s="8">
        <f t="shared" si="51"/>
        <v>7.4305200145665067</v>
      </c>
      <c r="AG75" s="8">
        <f t="shared" si="52"/>
        <v>0.62415162460244</v>
      </c>
      <c r="AH75" s="8">
        <f t="shared" si="53"/>
        <v>4.4243203482139863</v>
      </c>
      <c r="AI75" s="8">
        <f t="shared" si="54"/>
        <v>0</v>
      </c>
      <c r="AJ75" s="8">
        <f t="shared" si="55"/>
        <v>0.10649679414453234</v>
      </c>
      <c r="AK75" s="8">
        <f t="shared" si="56"/>
        <v>24.645559469836691</v>
      </c>
      <c r="AL75" s="8">
        <f t="shared" si="57"/>
        <v>3.4551013312733723</v>
      </c>
      <c r="AM75" s="8">
        <f t="shared" si="58"/>
        <v>1.0700150135089779</v>
      </c>
      <c r="AN75" s="8">
        <f t="shared" si="59"/>
        <v>0</v>
      </c>
      <c r="AO75" s="8">
        <f t="shared" si="60"/>
        <v>0</v>
      </c>
      <c r="AP75" s="8">
        <f t="shared" si="61"/>
        <v>4.3919128802776148</v>
      </c>
      <c r="AQ75" s="8">
        <f t="shared" si="62"/>
        <v>0</v>
      </c>
      <c r="AV75" s="8" t="str">
        <f t="shared" si="63"/>
        <v>CAP_BND</v>
      </c>
      <c r="AW75" s="15" t="str">
        <f t="shared" si="64"/>
        <v>ELEOIL</v>
      </c>
      <c r="AX75" s="8" t="s">
        <v>45</v>
      </c>
      <c r="AY75" s="8">
        <f t="shared" si="65"/>
        <v>2020</v>
      </c>
      <c r="AZ75" s="8">
        <f t="shared" si="66"/>
        <v>5.9237141571413826E-2</v>
      </c>
      <c r="BA75" s="8">
        <f t="shared" si="67"/>
        <v>0.37866850715314981</v>
      </c>
      <c r="BB75" s="8">
        <f t="shared" si="68"/>
        <v>8.8976568181147381E-2</v>
      </c>
      <c r="BC75" s="8">
        <f t="shared" si="69"/>
        <v>1.7560113924744902</v>
      </c>
      <c r="BD75" s="8">
        <f t="shared" si="70"/>
        <v>3.1717810191133802E-2</v>
      </c>
      <c r="BE75" s="8">
        <f t="shared" si="71"/>
        <v>6.0795163755544142</v>
      </c>
      <c r="BF75" s="8">
        <f t="shared" si="72"/>
        <v>0.51066951103836</v>
      </c>
      <c r="BG75" s="8">
        <f t="shared" si="73"/>
        <v>3.6198984667205343</v>
      </c>
      <c r="BH75" s="8">
        <f t="shared" si="74"/>
        <v>0</v>
      </c>
      <c r="BI75" s="8">
        <f t="shared" si="75"/>
        <v>8.713374066370827E-2</v>
      </c>
      <c r="BJ75" s="8">
        <f t="shared" si="76"/>
        <v>20.164548657139111</v>
      </c>
      <c r="BK75" s="8">
        <f t="shared" si="77"/>
        <v>2.8269010892236683</v>
      </c>
      <c r="BL75" s="8">
        <f t="shared" si="78"/>
        <v>0.87546682923461827</v>
      </c>
      <c r="BM75" s="8">
        <f t="shared" si="79"/>
        <v>0</v>
      </c>
      <c r="BN75" s="8">
        <f t="shared" si="80"/>
        <v>0</v>
      </c>
      <c r="BO75" s="8">
        <f t="shared" si="81"/>
        <v>3.5933832656816849</v>
      </c>
      <c r="BP75" s="8">
        <f t="shared" si="82"/>
        <v>0</v>
      </c>
    </row>
    <row r="76" spans="2:68" ht="18.75" customHeight="1" x14ac:dyDescent="0.3">
      <c r="B76" s="2" t="s">
        <v>7</v>
      </c>
      <c r="C76" s="3">
        <v>2021</v>
      </c>
      <c r="D76" s="6">
        <v>3.1269219618739602E-2</v>
      </c>
      <c r="E76" s="6">
        <v>0.43545510478947302</v>
      </c>
      <c r="F76" s="6">
        <v>0.101859393283878</v>
      </c>
      <c r="G76" s="6">
        <v>1.9511237694161001</v>
      </c>
      <c r="H76" s="6">
        <v>3.2803508981825498E-2</v>
      </c>
      <c r="I76" s="6">
        <v>6.75501819506046</v>
      </c>
      <c r="J76" s="6">
        <v>0.68303570709330097</v>
      </c>
      <c r="K76" s="6">
        <v>4.0226947004487403</v>
      </c>
      <c r="L76" s="7"/>
      <c r="M76" s="6">
        <v>9.2179960464280106E-2</v>
      </c>
      <c r="N76" s="6">
        <v>22.440459388407898</v>
      </c>
      <c r="O76" s="6">
        <v>3.2071070900446599E-2</v>
      </c>
      <c r="P76" s="6">
        <v>0.44765176534240297</v>
      </c>
      <c r="Q76" s="7"/>
      <c r="R76" s="6">
        <v>0</v>
      </c>
      <c r="S76" s="6">
        <v>3.9926480729796499</v>
      </c>
      <c r="T76" s="7"/>
      <c r="W76" s="8" t="str">
        <f t="shared" si="43"/>
        <v>CAP_BND</v>
      </c>
      <c r="X76" s="15" t="str">
        <f t="shared" si="44"/>
        <v>ELEOIL</v>
      </c>
      <c r="Y76" s="15" t="s">
        <v>42</v>
      </c>
      <c r="Z76" s="8">
        <f t="shared" si="45"/>
        <v>2021</v>
      </c>
      <c r="AA76" s="8">
        <f t="shared" si="46"/>
        <v>3.4396141580613562E-2</v>
      </c>
      <c r="AB76" s="8">
        <f t="shared" si="47"/>
        <v>0.47900061526842036</v>
      </c>
      <c r="AC76" s="8">
        <f t="shared" si="48"/>
        <v>0.1120453326122658</v>
      </c>
      <c r="AD76" s="8">
        <f t="shared" si="49"/>
        <v>2.1462361463577104</v>
      </c>
      <c r="AE76" s="8">
        <f t="shared" si="50"/>
        <v>3.6083859880008048E-2</v>
      </c>
      <c r="AF76" s="8">
        <f t="shared" si="51"/>
        <v>7.4305200145665067</v>
      </c>
      <c r="AG76" s="8">
        <f t="shared" si="52"/>
        <v>0.7513392778026311</v>
      </c>
      <c r="AH76" s="8">
        <f t="shared" si="53"/>
        <v>4.4249641704936149</v>
      </c>
      <c r="AI76" s="8">
        <f t="shared" si="54"/>
        <v>0</v>
      </c>
      <c r="AJ76" s="8">
        <f t="shared" si="55"/>
        <v>0.10139795651070813</v>
      </c>
      <c r="AK76" s="8">
        <f t="shared" si="56"/>
        <v>24.68450532724869</v>
      </c>
      <c r="AL76" s="8">
        <f t="shared" si="57"/>
        <v>3.5278177990491259E-2</v>
      </c>
      <c r="AM76" s="8">
        <f t="shared" si="58"/>
        <v>0.49241694187664331</v>
      </c>
      <c r="AN76" s="8">
        <f t="shared" si="59"/>
        <v>0</v>
      </c>
      <c r="AO76" s="8">
        <f t="shared" si="60"/>
        <v>0</v>
      </c>
      <c r="AP76" s="8">
        <f t="shared" si="61"/>
        <v>4.3919128802776148</v>
      </c>
      <c r="AQ76" s="8">
        <f t="shared" si="62"/>
        <v>0</v>
      </c>
      <c r="AV76" s="8" t="str">
        <f t="shared" si="63"/>
        <v>CAP_BND</v>
      </c>
      <c r="AW76" s="15" t="str">
        <f t="shared" si="64"/>
        <v>ELEOIL</v>
      </c>
      <c r="AX76" s="8" t="s">
        <v>45</v>
      </c>
      <c r="AY76" s="8">
        <f t="shared" si="65"/>
        <v>2021</v>
      </c>
      <c r="AZ76" s="8">
        <f t="shared" si="66"/>
        <v>2.8142297656865642E-2</v>
      </c>
      <c r="BA76" s="8">
        <f t="shared" si="67"/>
        <v>0.39190959431052574</v>
      </c>
      <c r="BB76" s="8">
        <f t="shared" si="68"/>
        <v>9.1673453955490203E-2</v>
      </c>
      <c r="BC76" s="8">
        <f t="shared" si="69"/>
        <v>1.7560113924744902</v>
      </c>
      <c r="BD76" s="8">
        <f t="shared" si="70"/>
        <v>2.9523158083642947E-2</v>
      </c>
      <c r="BE76" s="8">
        <f t="shared" si="71"/>
        <v>6.0795163755544142</v>
      </c>
      <c r="BF76" s="8">
        <f t="shared" si="72"/>
        <v>0.61473213638397084</v>
      </c>
      <c r="BG76" s="8">
        <f t="shared" si="73"/>
        <v>3.6204252304038662</v>
      </c>
      <c r="BH76" s="8">
        <f t="shared" si="74"/>
        <v>0</v>
      </c>
      <c r="BI76" s="8">
        <f t="shared" si="75"/>
        <v>8.2961964417852099E-2</v>
      </c>
      <c r="BJ76" s="8">
        <f t="shared" si="76"/>
        <v>20.19641344956711</v>
      </c>
      <c r="BK76" s="8">
        <f t="shared" si="77"/>
        <v>2.8863963810401939E-2</v>
      </c>
      <c r="BL76" s="8">
        <f t="shared" si="78"/>
        <v>0.40288658880816269</v>
      </c>
      <c r="BM76" s="8">
        <f t="shared" si="79"/>
        <v>0</v>
      </c>
      <c r="BN76" s="8">
        <f t="shared" si="80"/>
        <v>0</v>
      </c>
      <c r="BO76" s="8">
        <f t="shared" si="81"/>
        <v>3.5933832656816849</v>
      </c>
      <c r="BP76" s="8">
        <f t="shared" si="82"/>
        <v>0</v>
      </c>
    </row>
    <row r="77" spans="2:68" ht="18.75" customHeight="1" x14ac:dyDescent="0.3">
      <c r="B77" s="2" t="s">
        <v>7</v>
      </c>
      <c r="C77" s="3">
        <v>2030</v>
      </c>
      <c r="D77" s="6">
        <v>3.1269219618739602E-2</v>
      </c>
      <c r="E77" s="6">
        <v>0.46669309120500202</v>
      </c>
      <c r="F77" s="6">
        <v>0.10274405607249899</v>
      </c>
      <c r="G77" s="6">
        <v>1.9511237694161001</v>
      </c>
      <c r="H77" s="6">
        <v>2.4176640205663801E-2</v>
      </c>
      <c r="I77" s="6">
        <v>6.75501819506046</v>
      </c>
      <c r="J77" s="6">
        <v>3.8091913244769501E-2</v>
      </c>
      <c r="K77" s="6">
        <v>4.0226947004487403</v>
      </c>
      <c r="L77" s="7"/>
      <c r="M77" s="6">
        <v>9.2179960464280106E-2</v>
      </c>
      <c r="N77" s="6">
        <v>4.5077272727272799E-2</v>
      </c>
      <c r="O77" s="6">
        <v>3.0030143467598702E-2</v>
      </c>
      <c r="P77" s="6">
        <v>0</v>
      </c>
      <c r="Q77" s="7"/>
      <c r="R77" s="6">
        <v>0</v>
      </c>
      <c r="S77" s="6">
        <v>3.9926480729796499</v>
      </c>
      <c r="T77" s="7"/>
      <c r="W77" s="8" t="str">
        <f t="shared" si="43"/>
        <v>*</v>
      </c>
      <c r="X77" s="15" t="str">
        <f t="shared" si="44"/>
        <v>ELEOIL</v>
      </c>
      <c r="Y77" s="15" t="s">
        <v>42</v>
      </c>
      <c r="Z77" s="8">
        <f t="shared" si="45"/>
        <v>2030</v>
      </c>
      <c r="AA77" s="8">
        <f t="shared" si="46"/>
        <v>3.4396141580613562E-2</v>
      </c>
      <c r="AB77" s="8">
        <f t="shared" si="47"/>
        <v>0.51336240032550229</v>
      </c>
      <c r="AC77" s="8">
        <f t="shared" si="48"/>
        <v>0.1130184616797489</v>
      </c>
      <c r="AD77" s="8">
        <f t="shared" si="49"/>
        <v>2.1462361463577104</v>
      </c>
      <c r="AE77" s="8">
        <f t="shared" si="50"/>
        <v>2.6594304226230183E-2</v>
      </c>
      <c r="AF77" s="8">
        <f t="shared" si="51"/>
        <v>7.4305200145665067</v>
      </c>
      <c r="AG77" s="8">
        <f t="shared" si="52"/>
        <v>4.1901104569246457E-2</v>
      </c>
      <c r="AH77" s="8">
        <f t="shared" si="53"/>
        <v>4.4249641704936149</v>
      </c>
      <c r="AI77" s="8">
        <f t="shared" si="54"/>
        <v>0</v>
      </c>
      <c r="AJ77" s="8">
        <f t="shared" si="55"/>
        <v>0.10139795651070813</v>
      </c>
      <c r="AK77" s="8">
        <f t="shared" si="56"/>
        <v>4.958500000000008E-2</v>
      </c>
      <c r="AL77" s="8">
        <f t="shared" si="57"/>
        <v>3.3033157814358574E-2</v>
      </c>
      <c r="AM77" s="8">
        <f t="shared" si="58"/>
        <v>0</v>
      </c>
      <c r="AN77" s="8">
        <f t="shared" si="59"/>
        <v>0</v>
      </c>
      <c r="AO77" s="8">
        <f t="shared" si="60"/>
        <v>0</v>
      </c>
      <c r="AP77" s="8">
        <f t="shared" si="61"/>
        <v>4.3919128802776148</v>
      </c>
      <c r="AQ77" s="8">
        <f t="shared" si="62"/>
        <v>0</v>
      </c>
      <c r="AV77" s="8" t="str">
        <f t="shared" si="63"/>
        <v>*</v>
      </c>
      <c r="AW77" s="15" t="str">
        <f t="shared" si="64"/>
        <v>ELEOIL</v>
      </c>
      <c r="AX77" s="8" t="s">
        <v>45</v>
      </c>
      <c r="AY77" s="8">
        <f t="shared" si="65"/>
        <v>2030</v>
      </c>
      <c r="AZ77" s="8">
        <f t="shared" si="66"/>
        <v>2.8142297656865642E-2</v>
      </c>
      <c r="BA77" s="8">
        <f t="shared" si="67"/>
        <v>0.42002378208450181</v>
      </c>
      <c r="BB77" s="8">
        <f t="shared" si="68"/>
        <v>9.246965046524909E-2</v>
      </c>
      <c r="BC77" s="8">
        <f t="shared" si="69"/>
        <v>1.7560113924744902</v>
      </c>
      <c r="BD77" s="8">
        <f t="shared" si="70"/>
        <v>2.1758976185097423E-2</v>
      </c>
      <c r="BE77" s="8">
        <f t="shared" si="71"/>
        <v>6.0795163755544142</v>
      </c>
      <c r="BF77" s="8">
        <f t="shared" si="72"/>
        <v>3.4282721920292553E-2</v>
      </c>
      <c r="BG77" s="8">
        <f t="shared" si="73"/>
        <v>3.6204252304038662</v>
      </c>
      <c r="BH77" s="8">
        <f t="shared" si="74"/>
        <v>0</v>
      </c>
      <c r="BI77" s="8">
        <f t="shared" si="75"/>
        <v>8.2961964417852099E-2</v>
      </c>
      <c r="BJ77" s="8">
        <f t="shared" si="76"/>
        <v>4.0569545454545518E-2</v>
      </c>
      <c r="BK77" s="8">
        <f t="shared" si="77"/>
        <v>2.7027129120838832E-2</v>
      </c>
      <c r="BL77" s="8">
        <f t="shared" si="78"/>
        <v>0</v>
      </c>
      <c r="BM77" s="8">
        <f t="shared" si="79"/>
        <v>0</v>
      </c>
      <c r="BN77" s="8">
        <f t="shared" si="80"/>
        <v>0</v>
      </c>
      <c r="BO77" s="8">
        <f t="shared" si="81"/>
        <v>3.5933832656816849</v>
      </c>
      <c r="BP77" s="8">
        <f t="shared" si="82"/>
        <v>0</v>
      </c>
    </row>
    <row r="78" spans="2:68" ht="18.75" customHeight="1" x14ac:dyDescent="0.3">
      <c r="B78" s="2" t="s">
        <v>7</v>
      </c>
      <c r="C78" s="3">
        <v>2040</v>
      </c>
      <c r="D78" s="6">
        <v>3.1269219618739602E-2</v>
      </c>
      <c r="E78" s="6">
        <v>0.46669309120500202</v>
      </c>
      <c r="F78" s="6">
        <v>0.10274405607249899</v>
      </c>
      <c r="G78" s="6">
        <v>1.9511237694161001</v>
      </c>
      <c r="H78" s="6">
        <v>2.4176640205663801E-2</v>
      </c>
      <c r="I78" s="6">
        <v>6.75501819506046</v>
      </c>
      <c r="J78" s="6">
        <v>3.8091913244769203E-2</v>
      </c>
      <c r="K78" s="6">
        <v>4.0226947004487403</v>
      </c>
      <c r="L78" s="7"/>
      <c r="M78" s="6">
        <v>9.2179960464280106E-2</v>
      </c>
      <c r="N78" s="6">
        <v>4.5077272727273E-2</v>
      </c>
      <c r="O78" s="6">
        <v>3.0030143467598702E-2</v>
      </c>
      <c r="P78" s="6">
        <v>0</v>
      </c>
      <c r="Q78" s="7"/>
      <c r="R78" s="6">
        <v>0</v>
      </c>
      <c r="S78" s="6">
        <v>3.9926480729796499</v>
      </c>
      <c r="T78" s="7"/>
      <c r="W78" s="8" t="str">
        <f t="shared" si="43"/>
        <v>*</v>
      </c>
      <c r="X78" s="15" t="str">
        <f t="shared" si="44"/>
        <v>ELEOIL</v>
      </c>
      <c r="Y78" s="15" t="s">
        <v>42</v>
      </c>
      <c r="Z78" s="8">
        <f t="shared" si="45"/>
        <v>2040</v>
      </c>
      <c r="AA78" s="8">
        <f t="shared" si="46"/>
        <v>3.4396141580613562E-2</v>
      </c>
      <c r="AB78" s="8">
        <f t="shared" si="47"/>
        <v>0.51336240032550229</v>
      </c>
      <c r="AC78" s="8">
        <f t="shared" si="48"/>
        <v>0.1130184616797489</v>
      </c>
      <c r="AD78" s="8">
        <f t="shared" si="49"/>
        <v>2.1462361463577104</v>
      </c>
      <c r="AE78" s="8">
        <f t="shared" si="50"/>
        <v>2.6594304226230183E-2</v>
      </c>
      <c r="AF78" s="8">
        <f t="shared" si="51"/>
        <v>7.4305200145665067</v>
      </c>
      <c r="AG78" s="8">
        <f t="shared" si="52"/>
        <v>4.1901104569246124E-2</v>
      </c>
      <c r="AH78" s="8">
        <f t="shared" si="53"/>
        <v>4.4249641704936149</v>
      </c>
      <c r="AI78" s="8">
        <f t="shared" si="54"/>
        <v>0</v>
      </c>
      <c r="AJ78" s="8">
        <f t="shared" si="55"/>
        <v>0.10139795651070813</v>
      </c>
      <c r="AK78" s="8">
        <f t="shared" si="56"/>
        <v>4.9585000000000302E-2</v>
      </c>
      <c r="AL78" s="8">
        <f t="shared" si="57"/>
        <v>3.3033157814358574E-2</v>
      </c>
      <c r="AM78" s="8">
        <f t="shared" si="58"/>
        <v>0</v>
      </c>
      <c r="AN78" s="8">
        <f t="shared" si="59"/>
        <v>0</v>
      </c>
      <c r="AO78" s="8">
        <f t="shared" si="60"/>
        <v>0</v>
      </c>
      <c r="AP78" s="8">
        <f t="shared" si="61"/>
        <v>4.3919128802776148</v>
      </c>
      <c r="AQ78" s="8">
        <f t="shared" si="62"/>
        <v>0</v>
      </c>
      <c r="AV78" s="8" t="str">
        <f t="shared" si="63"/>
        <v>*</v>
      </c>
      <c r="AW78" s="15" t="str">
        <f t="shared" si="64"/>
        <v>ELEOIL</v>
      </c>
      <c r="AX78" s="8" t="s">
        <v>45</v>
      </c>
      <c r="AY78" s="8">
        <f t="shared" si="65"/>
        <v>2040</v>
      </c>
      <c r="AZ78" s="8">
        <f t="shared" si="66"/>
        <v>2.8142297656865642E-2</v>
      </c>
      <c r="BA78" s="8">
        <f t="shared" si="67"/>
        <v>0.42002378208450181</v>
      </c>
      <c r="BB78" s="8">
        <f t="shared" si="68"/>
        <v>9.246965046524909E-2</v>
      </c>
      <c r="BC78" s="8">
        <f t="shared" si="69"/>
        <v>1.7560113924744902</v>
      </c>
      <c r="BD78" s="8">
        <f t="shared" si="70"/>
        <v>2.1758976185097423E-2</v>
      </c>
      <c r="BE78" s="8">
        <f t="shared" si="71"/>
        <v>6.0795163755544142</v>
      </c>
      <c r="BF78" s="8">
        <f t="shared" si="72"/>
        <v>3.4282721920292282E-2</v>
      </c>
      <c r="BG78" s="8">
        <f t="shared" si="73"/>
        <v>3.6204252304038662</v>
      </c>
      <c r="BH78" s="8">
        <f t="shared" si="74"/>
        <v>0</v>
      </c>
      <c r="BI78" s="8">
        <f t="shared" si="75"/>
        <v>8.2961964417852099E-2</v>
      </c>
      <c r="BJ78" s="8">
        <f t="shared" si="76"/>
        <v>4.0569545454545698E-2</v>
      </c>
      <c r="BK78" s="8">
        <f t="shared" si="77"/>
        <v>2.7027129120838832E-2</v>
      </c>
      <c r="BL78" s="8">
        <f t="shared" si="78"/>
        <v>0</v>
      </c>
      <c r="BM78" s="8">
        <f t="shared" si="79"/>
        <v>0</v>
      </c>
      <c r="BN78" s="8">
        <f t="shared" si="80"/>
        <v>0</v>
      </c>
      <c r="BO78" s="8">
        <f t="shared" si="81"/>
        <v>3.5933832656816849</v>
      </c>
      <c r="BP78" s="8">
        <f t="shared" si="82"/>
        <v>0</v>
      </c>
    </row>
    <row r="79" spans="2:68" ht="18.75" customHeight="1" x14ac:dyDescent="0.3">
      <c r="B79" s="2" t="s">
        <v>7</v>
      </c>
      <c r="C79" s="3">
        <v>2050</v>
      </c>
      <c r="D79" s="6">
        <v>3.1269219618739602E-2</v>
      </c>
      <c r="E79" s="6">
        <v>0.46669309120500202</v>
      </c>
      <c r="F79" s="6">
        <v>0.10274405607249899</v>
      </c>
      <c r="G79" s="6">
        <v>1.9511237694161001</v>
      </c>
      <c r="H79" s="6">
        <v>2.4176640205663801E-2</v>
      </c>
      <c r="I79" s="6">
        <v>6.75501819506046</v>
      </c>
      <c r="J79" s="6">
        <v>3.8091913244769203E-2</v>
      </c>
      <c r="K79" s="6">
        <v>4.0226947004487403</v>
      </c>
      <c r="L79" s="7"/>
      <c r="M79" s="6">
        <v>9.2179960464280106E-2</v>
      </c>
      <c r="N79" s="6">
        <v>4.5077272727273E-2</v>
      </c>
      <c r="O79" s="6">
        <v>3.0030143467598702E-2</v>
      </c>
      <c r="P79" s="6">
        <v>0</v>
      </c>
      <c r="Q79" s="7"/>
      <c r="R79" s="6">
        <v>0</v>
      </c>
      <c r="S79" s="6">
        <v>3.9926480729796499</v>
      </c>
      <c r="T79" s="7"/>
      <c r="W79" s="8" t="str">
        <f t="shared" si="43"/>
        <v>*</v>
      </c>
      <c r="X79" s="15" t="str">
        <f t="shared" si="44"/>
        <v>ELEOIL</v>
      </c>
      <c r="Y79" s="15" t="s">
        <v>42</v>
      </c>
      <c r="Z79" s="8">
        <f t="shared" si="45"/>
        <v>2050</v>
      </c>
      <c r="AA79" s="8">
        <f t="shared" si="46"/>
        <v>3.4396141580613562E-2</v>
      </c>
      <c r="AB79" s="8">
        <f t="shared" si="47"/>
        <v>0.51336240032550229</v>
      </c>
      <c r="AC79" s="8">
        <f t="shared" si="48"/>
        <v>0.1130184616797489</v>
      </c>
      <c r="AD79" s="8">
        <f t="shared" si="49"/>
        <v>2.1462361463577104</v>
      </c>
      <c r="AE79" s="8">
        <f t="shared" si="50"/>
        <v>2.6594304226230183E-2</v>
      </c>
      <c r="AF79" s="8">
        <f t="shared" si="51"/>
        <v>7.4305200145665067</v>
      </c>
      <c r="AG79" s="8">
        <f t="shared" si="52"/>
        <v>4.1901104569246124E-2</v>
      </c>
      <c r="AH79" s="8">
        <f t="shared" si="53"/>
        <v>4.4249641704936149</v>
      </c>
      <c r="AI79" s="8">
        <f t="shared" si="54"/>
        <v>0</v>
      </c>
      <c r="AJ79" s="8">
        <f t="shared" si="55"/>
        <v>0.10139795651070813</v>
      </c>
      <c r="AK79" s="8">
        <f t="shared" si="56"/>
        <v>4.9585000000000302E-2</v>
      </c>
      <c r="AL79" s="8">
        <f t="shared" si="57"/>
        <v>3.3033157814358574E-2</v>
      </c>
      <c r="AM79" s="8">
        <f t="shared" si="58"/>
        <v>0</v>
      </c>
      <c r="AN79" s="8">
        <f t="shared" si="59"/>
        <v>0</v>
      </c>
      <c r="AO79" s="8">
        <f t="shared" si="60"/>
        <v>0</v>
      </c>
      <c r="AP79" s="8">
        <f t="shared" si="61"/>
        <v>4.3919128802776148</v>
      </c>
      <c r="AQ79" s="8">
        <f t="shared" si="62"/>
        <v>0</v>
      </c>
      <c r="AV79" s="8" t="str">
        <f t="shared" si="63"/>
        <v>*</v>
      </c>
      <c r="AW79" s="15" t="str">
        <f t="shared" si="64"/>
        <v>ELEOIL</v>
      </c>
      <c r="AX79" s="8" t="s">
        <v>45</v>
      </c>
      <c r="AY79" s="8">
        <f t="shared" si="65"/>
        <v>2050</v>
      </c>
      <c r="AZ79" s="8">
        <f t="shared" si="66"/>
        <v>2.8142297656865642E-2</v>
      </c>
      <c r="BA79" s="8">
        <f t="shared" si="67"/>
        <v>0.42002378208450181</v>
      </c>
      <c r="BB79" s="8">
        <f t="shared" si="68"/>
        <v>9.246965046524909E-2</v>
      </c>
      <c r="BC79" s="8">
        <f t="shared" si="69"/>
        <v>1.7560113924744902</v>
      </c>
      <c r="BD79" s="8">
        <f t="shared" si="70"/>
        <v>2.1758976185097423E-2</v>
      </c>
      <c r="BE79" s="8">
        <f t="shared" si="71"/>
        <v>6.0795163755544142</v>
      </c>
      <c r="BF79" s="8">
        <f t="shared" si="72"/>
        <v>3.4282721920292282E-2</v>
      </c>
      <c r="BG79" s="8">
        <f t="shared" si="73"/>
        <v>3.6204252304038662</v>
      </c>
      <c r="BH79" s="8">
        <f t="shared" si="74"/>
        <v>0</v>
      </c>
      <c r="BI79" s="8">
        <f t="shared" si="75"/>
        <v>8.2961964417852099E-2</v>
      </c>
      <c r="BJ79" s="8">
        <f t="shared" si="76"/>
        <v>4.0569545454545698E-2</v>
      </c>
      <c r="BK79" s="8">
        <f t="shared" si="77"/>
        <v>2.7027129120838832E-2</v>
      </c>
      <c r="BL79" s="8">
        <f t="shared" si="78"/>
        <v>0</v>
      </c>
      <c r="BM79" s="8">
        <f t="shared" si="79"/>
        <v>0</v>
      </c>
      <c r="BN79" s="8">
        <f t="shared" si="80"/>
        <v>0</v>
      </c>
      <c r="BO79" s="8">
        <f t="shared" si="81"/>
        <v>3.5933832656816849</v>
      </c>
      <c r="BP79" s="8">
        <f t="shared" si="82"/>
        <v>0</v>
      </c>
    </row>
    <row r="80" spans="2:68" ht="18.75" customHeight="1" x14ac:dyDescent="0.3">
      <c r="B80" s="2" t="s">
        <v>7</v>
      </c>
      <c r="C80" s="3">
        <v>2060</v>
      </c>
      <c r="D80" s="6">
        <v>3.1269219618739602E-2</v>
      </c>
      <c r="E80" s="6">
        <v>0.46669309120500202</v>
      </c>
      <c r="F80" s="6">
        <v>0.10274405607249899</v>
      </c>
      <c r="G80" s="6">
        <v>1.9511237694161001</v>
      </c>
      <c r="H80" s="6">
        <v>2.4176640205663801E-2</v>
      </c>
      <c r="I80" s="6">
        <v>6.75501819506046</v>
      </c>
      <c r="J80" s="6">
        <v>3.8091913244769203E-2</v>
      </c>
      <c r="K80" s="6">
        <v>4.0226947004487403</v>
      </c>
      <c r="L80" s="7"/>
      <c r="M80" s="6">
        <v>9.2179960464280106E-2</v>
      </c>
      <c r="N80" s="6">
        <v>4.5077272727273E-2</v>
      </c>
      <c r="O80" s="6">
        <v>3.0030143467598702E-2</v>
      </c>
      <c r="P80" s="6">
        <v>0</v>
      </c>
      <c r="Q80" s="7"/>
      <c r="R80" s="6">
        <v>0</v>
      </c>
      <c r="S80" s="6">
        <v>3.9926480729796499</v>
      </c>
      <c r="T80" s="7"/>
      <c r="W80" s="8" t="str">
        <f t="shared" si="43"/>
        <v>*</v>
      </c>
      <c r="X80" s="15" t="str">
        <f t="shared" si="44"/>
        <v>ELEOIL</v>
      </c>
      <c r="Y80" s="15" t="s">
        <v>42</v>
      </c>
      <c r="Z80" s="8">
        <f t="shared" si="45"/>
        <v>2060</v>
      </c>
      <c r="AA80" s="8">
        <f t="shared" si="46"/>
        <v>3.4396141580613562E-2</v>
      </c>
      <c r="AB80" s="8">
        <f t="shared" si="47"/>
        <v>0.51336240032550229</v>
      </c>
      <c r="AC80" s="8">
        <f t="shared" si="48"/>
        <v>0.1130184616797489</v>
      </c>
      <c r="AD80" s="8">
        <f t="shared" si="49"/>
        <v>2.1462361463577104</v>
      </c>
      <c r="AE80" s="8">
        <f t="shared" si="50"/>
        <v>2.6594304226230183E-2</v>
      </c>
      <c r="AF80" s="8">
        <f t="shared" si="51"/>
        <v>7.4305200145665067</v>
      </c>
      <c r="AG80" s="8">
        <f t="shared" si="52"/>
        <v>4.1901104569246124E-2</v>
      </c>
      <c r="AH80" s="8">
        <f t="shared" si="53"/>
        <v>4.4249641704936149</v>
      </c>
      <c r="AI80" s="8">
        <f t="shared" si="54"/>
        <v>0</v>
      </c>
      <c r="AJ80" s="8">
        <f t="shared" si="55"/>
        <v>0.10139795651070813</v>
      </c>
      <c r="AK80" s="8">
        <f t="shared" si="56"/>
        <v>4.9585000000000302E-2</v>
      </c>
      <c r="AL80" s="8">
        <f t="shared" si="57"/>
        <v>3.3033157814358574E-2</v>
      </c>
      <c r="AM80" s="8">
        <f t="shared" si="58"/>
        <v>0</v>
      </c>
      <c r="AN80" s="8">
        <f t="shared" si="59"/>
        <v>0</v>
      </c>
      <c r="AO80" s="8">
        <f t="shared" si="60"/>
        <v>0</v>
      </c>
      <c r="AP80" s="8">
        <f t="shared" si="61"/>
        <v>4.3919128802776148</v>
      </c>
      <c r="AQ80" s="8">
        <f t="shared" si="62"/>
        <v>0</v>
      </c>
      <c r="AV80" s="8" t="str">
        <f t="shared" si="63"/>
        <v>*</v>
      </c>
      <c r="AW80" s="15" t="str">
        <f t="shared" si="64"/>
        <v>ELEOIL</v>
      </c>
      <c r="AX80" s="8" t="s">
        <v>45</v>
      </c>
      <c r="AY80" s="8">
        <f t="shared" si="65"/>
        <v>2060</v>
      </c>
      <c r="AZ80" s="8">
        <f t="shared" si="66"/>
        <v>2.8142297656865642E-2</v>
      </c>
      <c r="BA80" s="8">
        <f t="shared" si="67"/>
        <v>0.42002378208450181</v>
      </c>
      <c r="BB80" s="8">
        <f t="shared" si="68"/>
        <v>9.246965046524909E-2</v>
      </c>
      <c r="BC80" s="8">
        <f t="shared" si="69"/>
        <v>1.7560113924744902</v>
      </c>
      <c r="BD80" s="8">
        <f t="shared" si="70"/>
        <v>2.1758976185097423E-2</v>
      </c>
      <c r="BE80" s="8">
        <f t="shared" si="71"/>
        <v>6.0795163755544142</v>
      </c>
      <c r="BF80" s="8">
        <f t="shared" si="72"/>
        <v>3.4282721920292282E-2</v>
      </c>
      <c r="BG80" s="8">
        <f t="shared" si="73"/>
        <v>3.6204252304038662</v>
      </c>
      <c r="BH80" s="8">
        <f t="shared" si="74"/>
        <v>0</v>
      </c>
      <c r="BI80" s="8">
        <f t="shared" si="75"/>
        <v>8.2961964417852099E-2</v>
      </c>
      <c r="BJ80" s="8">
        <f t="shared" si="76"/>
        <v>4.0569545454545698E-2</v>
      </c>
      <c r="BK80" s="8">
        <f t="shared" si="77"/>
        <v>2.7027129120838832E-2</v>
      </c>
      <c r="BL80" s="8">
        <f t="shared" si="78"/>
        <v>0</v>
      </c>
      <c r="BM80" s="8">
        <f t="shared" si="79"/>
        <v>0</v>
      </c>
      <c r="BN80" s="8">
        <f t="shared" si="80"/>
        <v>0</v>
      </c>
      <c r="BO80" s="8">
        <f t="shared" si="81"/>
        <v>3.5933832656816849</v>
      </c>
      <c r="BP80" s="8">
        <f t="shared" si="82"/>
        <v>0</v>
      </c>
    </row>
    <row r="81" spans="2:68" ht="18.75" customHeight="1" x14ac:dyDescent="0.3">
      <c r="B81" s="2" t="s">
        <v>7</v>
      </c>
      <c r="C81" s="3">
        <v>2070</v>
      </c>
      <c r="D81" s="6">
        <v>3.1269219618739602E-2</v>
      </c>
      <c r="E81" s="6">
        <v>0.46669309120500202</v>
      </c>
      <c r="F81" s="6">
        <v>0.10274405607249899</v>
      </c>
      <c r="G81" s="6">
        <v>1.9511237694161001</v>
      </c>
      <c r="H81" s="6">
        <v>2.4176640205663801E-2</v>
      </c>
      <c r="I81" s="6">
        <v>6.75501819506046</v>
      </c>
      <c r="J81" s="6">
        <v>3.8091913244769203E-2</v>
      </c>
      <c r="K81" s="6">
        <v>4.0226947004487403</v>
      </c>
      <c r="L81" s="7"/>
      <c r="M81" s="6">
        <v>9.2179960464280106E-2</v>
      </c>
      <c r="N81" s="6">
        <v>4.5077272727272598E-2</v>
      </c>
      <c r="O81" s="6">
        <v>3.0030143467598702E-2</v>
      </c>
      <c r="P81" s="6">
        <v>0</v>
      </c>
      <c r="Q81" s="7"/>
      <c r="R81" s="6">
        <v>0</v>
      </c>
      <c r="S81" s="6">
        <v>3.9926480729796499</v>
      </c>
      <c r="T81" s="7"/>
      <c r="W81" s="8" t="str">
        <f t="shared" si="43"/>
        <v>*</v>
      </c>
      <c r="X81" s="15" t="str">
        <f t="shared" si="44"/>
        <v>ELEOIL</v>
      </c>
      <c r="Y81" s="15" t="s">
        <v>42</v>
      </c>
      <c r="Z81" s="8">
        <f t="shared" si="45"/>
        <v>2070</v>
      </c>
      <c r="AA81" s="8">
        <f t="shared" si="46"/>
        <v>3.4396141580613562E-2</v>
      </c>
      <c r="AB81" s="8">
        <f t="shared" si="47"/>
        <v>0.51336240032550229</v>
      </c>
      <c r="AC81" s="8">
        <f t="shared" si="48"/>
        <v>0.1130184616797489</v>
      </c>
      <c r="AD81" s="8">
        <f t="shared" si="49"/>
        <v>2.1462361463577104</v>
      </c>
      <c r="AE81" s="8">
        <f t="shared" si="50"/>
        <v>2.6594304226230183E-2</v>
      </c>
      <c r="AF81" s="8">
        <f t="shared" si="51"/>
        <v>7.4305200145665067</v>
      </c>
      <c r="AG81" s="8">
        <f t="shared" si="52"/>
        <v>4.1901104569246124E-2</v>
      </c>
      <c r="AH81" s="8">
        <f t="shared" si="53"/>
        <v>4.4249641704936149</v>
      </c>
      <c r="AI81" s="8">
        <f t="shared" si="54"/>
        <v>0</v>
      </c>
      <c r="AJ81" s="8">
        <f t="shared" si="55"/>
        <v>0.10139795651070813</v>
      </c>
      <c r="AK81" s="8">
        <f t="shared" si="56"/>
        <v>4.9584999999999858E-2</v>
      </c>
      <c r="AL81" s="8">
        <f t="shared" si="57"/>
        <v>3.3033157814358574E-2</v>
      </c>
      <c r="AM81" s="8">
        <f t="shared" si="58"/>
        <v>0</v>
      </c>
      <c r="AN81" s="8">
        <f t="shared" si="59"/>
        <v>0</v>
      </c>
      <c r="AO81" s="8">
        <f t="shared" si="60"/>
        <v>0</v>
      </c>
      <c r="AP81" s="8">
        <f t="shared" si="61"/>
        <v>4.3919128802776148</v>
      </c>
      <c r="AQ81" s="8">
        <f t="shared" si="62"/>
        <v>0</v>
      </c>
      <c r="AV81" s="8" t="str">
        <f t="shared" si="63"/>
        <v>*</v>
      </c>
      <c r="AW81" s="15" t="str">
        <f t="shared" si="64"/>
        <v>ELEOIL</v>
      </c>
      <c r="AX81" s="8" t="s">
        <v>45</v>
      </c>
      <c r="AY81" s="8">
        <f t="shared" si="65"/>
        <v>2070</v>
      </c>
      <c r="AZ81" s="8">
        <f t="shared" si="66"/>
        <v>2.8142297656865642E-2</v>
      </c>
      <c r="BA81" s="8">
        <f t="shared" si="67"/>
        <v>0.42002378208450181</v>
      </c>
      <c r="BB81" s="8">
        <f t="shared" si="68"/>
        <v>9.246965046524909E-2</v>
      </c>
      <c r="BC81" s="8">
        <f t="shared" si="69"/>
        <v>1.7560113924744902</v>
      </c>
      <c r="BD81" s="8">
        <f t="shared" si="70"/>
        <v>2.1758976185097423E-2</v>
      </c>
      <c r="BE81" s="8">
        <f t="shared" si="71"/>
        <v>6.0795163755544142</v>
      </c>
      <c r="BF81" s="8">
        <f t="shared" si="72"/>
        <v>3.4282721920292282E-2</v>
      </c>
      <c r="BG81" s="8">
        <f t="shared" si="73"/>
        <v>3.6204252304038662</v>
      </c>
      <c r="BH81" s="8">
        <f t="shared" si="74"/>
        <v>0</v>
      </c>
      <c r="BI81" s="8">
        <f t="shared" si="75"/>
        <v>8.2961964417852099E-2</v>
      </c>
      <c r="BJ81" s="8">
        <f t="shared" si="76"/>
        <v>4.0569545454545337E-2</v>
      </c>
      <c r="BK81" s="8">
        <f t="shared" si="77"/>
        <v>2.7027129120838832E-2</v>
      </c>
      <c r="BL81" s="8">
        <f t="shared" si="78"/>
        <v>0</v>
      </c>
      <c r="BM81" s="8">
        <f t="shared" si="79"/>
        <v>0</v>
      </c>
      <c r="BN81" s="8">
        <f t="shared" si="80"/>
        <v>0</v>
      </c>
      <c r="BO81" s="8">
        <f t="shared" si="81"/>
        <v>3.5933832656816849</v>
      </c>
      <c r="BP81" s="8">
        <f t="shared" si="82"/>
        <v>0</v>
      </c>
    </row>
    <row r="82" spans="2:68" ht="18.75" customHeight="1" x14ac:dyDescent="0.3">
      <c r="B82" s="2" t="s">
        <v>7</v>
      </c>
      <c r="C82" s="3">
        <v>2080</v>
      </c>
      <c r="D82" s="6">
        <v>3.1269219618739602E-2</v>
      </c>
      <c r="E82" s="6">
        <v>0.46669309120500202</v>
      </c>
      <c r="F82" s="6">
        <v>0.10274405607249899</v>
      </c>
      <c r="G82" s="6">
        <v>1.9511237694161001</v>
      </c>
      <c r="H82" s="6">
        <v>2.4176640205663801E-2</v>
      </c>
      <c r="I82" s="6">
        <v>6.75501819506046</v>
      </c>
      <c r="J82" s="6">
        <v>3.8091913244769203E-2</v>
      </c>
      <c r="K82" s="6">
        <v>4.0226947004487403</v>
      </c>
      <c r="L82" s="7"/>
      <c r="M82" s="6">
        <v>9.2179960464280106E-2</v>
      </c>
      <c r="N82" s="6">
        <v>4.5077272727273E-2</v>
      </c>
      <c r="O82" s="6">
        <v>3.0030143467598702E-2</v>
      </c>
      <c r="P82" s="6">
        <v>0</v>
      </c>
      <c r="Q82" s="7"/>
      <c r="R82" s="6">
        <v>0</v>
      </c>
      <c r="S82" s="6">
        <v>3.9926480729796499</v>
      </c>
      <c r="T82" s="7"/>
      <c r="W82" s="8" t="str">
        <f t="shared" si="43"/>
        <v>*</v>
      </c>
      <c r="X82" s="15" t="str">
        <f t="shared" si="44"/>
        <v>ELEOIL</v>
      </c>
      <c r="Y82" s="15" t="s">
        <v>42</v>
      </c>
      <c r="Z82" s="8">
        <f t="shared" si="45"/>
        <v>2080</v>
      </c>
      <c r="AA82" s="8">
        <f t="shared" si="46"/>
        <v>3.4396141580613562E-2</v>
      </c>
      <c r="AB82" s="8">
        <f t="shared" si="47"/>
        <v>0.51336240032550229</v>
      </c>
      <c r="AC82" s="8">
        <f t="shared" si="48"/>
        <v>0.1130184616797489</v>
      </c>
      <c r="AD82" s="8">
        <f t="shared" si="49"/>
        <v>2.1462361463577104</v>
      </c>
      <c r="AE82" s="8">
        <f t="shared" si="50"/>
        <v>2.6594304226230183E-2</v>
      </c>
      <c r="AF82" s="8">
        <f t="shared" si="51"/>
        <v>7.4305200145665067</v>
      </c>
      <c r="AG82" s="8">
        <f t="shared" si="52"/>
        <v>4.1901104569246124E-2</v>
      </c>
      <c r="AH82" s="8">
        <f t="shared" si="53"/>
        <v>4.4249641704936149</v>
      </c>
      <c r="AI82" s="8">
        <f t="shared" si="54"/>
        <v>0</v>
      </c>
      <c r="AJ82" s="8">
        <f t="shared" si="55"/>
        <v>0.10139795651070813</v>
      </c>
      <c r="AK82" s="8">
        <f t="shared" si="56"/>
        <v>4.9585000000000302E-2</v>
      </c>
      <c r="AL82" s="8">
        <f t="shared" si="57"/>
        <v>3.3033157814358574E-2</v>
      </c>
      <c r="AM82" s="8">
        <f t="shared" si="58"/>
        <v>0</v>
      </c>
      <c r="AN82" s="8">
        <f t="shared" si="59"/>
        <v>0</v>
      </c>
      <c r="AO82" s="8">
        <f t="shared" si="60"/>
        <v>0</v>
      </c>
      <c r="AP82" s="8">
        <f t="shared" si="61"/>
        <v>4.3919128802776148</v>
      </c>
      <c r="AQ82" s="8">
        <f t="shared" si="62"/>
        <v>0</v>
      </c>
      <c r="AV82" s="8" t="str">
        <f t="shared" si="63"/>
        <v>*</v>
      </c>
      <c r="AW82" s="15" t="str">
        <f t="shared" si="64"/>
        <v>ELEOIL</v>
      </c>
      <c r="AX82" s="8" t="s">
        <v>45</v>
      </c>
      <c r="AY82" s="8">
        <f t="shared" si="65"/>
        <v>2080</v>
      </c>
      <c r="AZ82" s="8">
        <f t="shared" si="66"/>
        <v>2.8142297656865642E-2</v>
      </c>
      <c r="BA82" s="8">
        <f t="shared" si="67"/>
        <v>0.42002378208450181</v>
      </c>
      <c r="BB82" s="8">
        <f t="shared" si="68"/>
        <v>9.246965046524909E-2</v>
      </c>
      <c r="BC82" s="8">
        <f t="shared" si="69"/>
        <v>1.7560113924744902</v>
      </c>
      <c r="BD82" s="8">
        <f t="shared" si="70"/>
        <v>2.1758976185097423E-2</v>
      </c>
      <c r="BE82" s="8">
        <f t="shared" si="71"/>
        <v>6.0795163755544142</v>
      </c>
      <c r="BF82" s="8">
        <f t="shared" si="72"/>
        <v>3.4282721920292282E-2</v>
      </c>
      <c r="BG82" s="8">
        <f t="shared" si="73"/>
        <v>3.6204252304038662</v>
      </c>
      <c r="BH82" s="8">
        <f t="shared" si="74"/>
        <v>0</v>
      </c>
      <c r="BI82" s="8">
        <f t="shared" si="75"/>
        <v>8.2961964417852099E-2</v>
      </c>
      <c r="BJ82" s="8">
        <f t="shared" si="76"/>
        <v>4.0569545454545698E-2</v>
      </c>
      <c r="BK82" s="8">
        <f t="shared" si="77"/>
        <v>2.7027129120838832E-2</v>
      </c>
      <c r="BL82" s="8">
        <f t="shared" si="78"/>
        <v>0</v>
      </c>
      <c r="BM82" s="8">
        <f t="shared" si="79"/>
        <v>0</v>
      </c>
      <c r="BN82" s="8">
        <f t="shared" si="80"/>
        <v>0</v>
      </c>
      <c r="BO82" s="8">
        <f t="shared" si="81"/>
        <v>3.5933832656816849</v>
      </c>
      <c r="BP82" s="8">
        <f t="shared" si="82"/>
        <v>0</v>
      </c>
    </row>
    <row r="83" spans="2:68" ht="18.75" customHeight="1" x14ac:dyDescent="0.3">
      <c r="B83" s="2" t="s">
        <v>8</v>
      </c>
      <c r="C83" s="3">
        <v>2017</v>
      </c>
      <c r="D83" s="6">
        <v>1.5393780226061999</v>
      </c>
      <c r="E83" s="6">
        <v>3.2455219976613998</v>
      </c>
      <c r="F83" s="6">
        <v>2.5413907831493301</v>
      </c>
      <c r="G83" s="6">
        <v>1.3376371686117901</v>
      </c>
      <c r="H83" s="6">
        <v>3.0372656930508302</v>
      </c>
      <c r="I83" s="6">
        <v>151.01377223876599</v>
      </c>
      <c r="J83" s="6">
        <v>1.8410835484743899</v>
      </c>
      <c r="K83" s="6">
        <v>115.116810775562</v>
      </c>
      <c r="L83" s="6">
        <v>19.478259363582101</v>
      </c>
      <c r="M83" s="6">
        <v>43.2402688638714</v>
      </c>
      <c r="N83" s="6">
        <v>1.71354104654676</v>
      </c>
      <c r="O83" s="6">
        <v>3.2051164982192701</v>
      </c>
      <c r="P83" s="6">
        <v>8.3309165746246094</v>
      </c>
      <c r="Q83" s="6">
        <v>0.35835691490428301</v>
      </c>
      <c r="R83" s="6">
        <v>7.0955152657718203</v>
      </c>
      <c r="S83" s="6">
        <v>4.8160795173435904</v>
      </c>
      <c r="T83" s="6">
        <v>49.443068884469497</v>
      </c>
      <c r="W83" s="8" t="str">
        <f t="shared" si="43"/>
        <v>CAP_BND</v>
      </c>
      <c r="X83" s="15" t="str">
        <f t="shared" si="44"/>
        <v>ELESOL</v>
      </c>
      <c r="Y83" s="15" t="s">
        <v>42</v>
      </c>
      <c r="Z83" s="8">
        <f t="shared" si="45"/>
        <v>2017</v>
      </c>
      <c r="AA83" s="8">
        <f t="shared" si="46"/>
        <v>1.6933158248668201</v>
      </c>
      <c r="AB83" s="8">
        <f t="shared" si="47"/>
        <v>3.5700741974275401</v>
      </c>
      <c r="AC83" s="8">
        <f t="shared" si="48"/>
        <v>2.7955298614642632</v>
      </c>
      <c r="AD83" s="8">
        <f t="shared" si="49"/>
        <v>1.4714008854729692</v>
      </c>
      <c r="AE83" s="8">
        <f t="shared" si="50"/>
        <v>3.3409922623559134</v>
      </c>
      <c r="AF83" s="8">
        <f t="shared" si="51"/>
        <v>166.11514946264262</v>
      </c>
      <c r="AG83" s="8">
        <f t="shared" si="52"/>
        <v>2.0251919033218293</v>
      </c>
      <c r="AH83" s="8">
        <f t="shared" si="53"/>
        <v>126.62849185311821</v>
      </c>
      <c r="AI83" s="8">
        <f t="shared" si="54"/>
        <v>21.426085299940311</v>
      </c>
      <c r="AJ83" s="8">
        <f t="shared" si="55"/>
        <v>47.564295750258545</v>
      </c>
      <c r="AK83" s="8">
        <f t="shared" si="56"/>
        <v>1.884895151201436</v>
      </c>
      <c r="AL83" s="8">
        <f t="shared" si="57"/>
        <v>3.5256281480411973</v>
      </c>
      <c r="AM83" s="8">
        <f t="shared" si="58"/>
        <v>9.1640082320870704</v>
      </c>
      <c r="AN83" s="8">
        <f t="shared" si="59"/>
        <v>0.39419260639471132</v>
      </c>
      <c r="AO83" s="8">
        <f t="shared" si="60"/>
        <v>7.8050667923490034</v>
      </c>
      <c r="AP83" s="8">
        <f t="shared" si="61"/>
        <v>5.2976874690779496</v>
      </c>
      <c r="AQ83" s="8">
        <f t="shared" si="62"/>
        <v>54.38737577291645</v>
      </c>
      <c r="AV83" s="8" t="str">
        <f t="shared" si="63"/>
        <v>CAP_BND</v>
      </c>
      <c r="AW83" s="15" t="str">
        <f t="shared" si="64"/>
        <v>ELESOL</v>
      </c>
      <c r="AX83" s="8" t="s">
        <v>45</v>
      </c>
      <c r="AY83" s="8">
        <f t="shared" si="65"/>
        <v>2017</v>
      </c>
      <c r="AZ83" s="8">
        <f t="shared" si="66"/>
        <v>1.38544022034558</v>
      </c>
      <c r="BA83" s="8">
        <f t="shared" si="67"/>
        <v>2.92096979789526</v>
      </c>
      <c r="BB83" s="8">
        <f t="shared" si="68"/>
        <v>2.287251704834397</v>
      </c>
      <c r="BC83" s="8">
        <f t="shared" si="69"/>
        <v>1.2038734517506111</v>
      </c>
      <c r="BD83" s="8">
        <f t="shared" si="70"/>
        <v>2.7335391237457474</v>
      </c>
      <c r="BE83" s="8">
        <f t="shared" si="71"/>
        <v>135.9123950148894</v>
      </c>
      <c r="BF83" s="8">
        <f t="shared" si="72"/>
        <v>1.656975193626951</v>
      </c>
      <c r="BG83" s="8">
        <f t="shared" si="73"/>
        <v>103.6051296980058</v>
      </c>
      <c r="BH83" s="8">
        <f t="shared" si="74"/>
        <v>17.53043342722389</v>
      </c>
      <c r="BI83" s="8">
        <f t="shared" si="75"/>
        <v>38.916241977484262</v>
      </c>
      <c r="BJ83" s="8">
        <f t="shared" si="76"/>
        <v>1.5421869418920839</v>
      </c>
      <c r="BK83" s="8">
        <f t="shared" si="77"/>
        <v>2.884604848397343</v>
      </c>
      <c r="BL83" s="8">
        <f t="shared" si="78"/>
        <v>7.4978249171621485</v>
      </c>
      <c r="BM83" s="8">
        <f t="shared" si="79"/>
        <v>0.3225212234138547</v>
      </c>
      <c r="BN83" s="8">
        <f t="shared" si="80"/>
        <v>6.3859637391946382</v>
      </c>
      <c r="BO83" s="8">
        <f t="shared" si="81"/>
        <v>4.3344715656092312</v>
      </c>
      <c r="BP83" s="8">
        <f t="shared" si="82"/>
        <v>44.498761996022552</v>
      </c>
    </row>
    <row r="84" spans="2:68" ht="18.75" customHeight="1" x14ac:dyDescent="0.3">
      <c r="B84" s="2" t="s">
        <v>8</v>
      </c>
      <c r="C84" s="3">
        <v>2018</v>
      </c>
      <c r="D84" s="6">
        <v>2.43093446069896</v>
      </c>
      <c r="E84" s="6">
        <v>3.6672474351045499</v>
      </c>
      <c r="F84" s="6">
        <v>11.2075912441392</v>
      </c>
      <c r="G84" s="6">
        <v>2.07439922814876</v>
      </c>
      <c r="H84" s="6">
        <v>3.0547715471894499</v>
      </c>
      <c r="I84" s="6">
        <v>169.147690414755</v>
      </c>
      <c r="J84" s="6">
        <v>2.4912907818410202</v>
      </c>
      <c r="K84" s="6">
        <v>120.468640629303</v>
      </c>
      <c r="L84" s="6">
        <v>27.2465243076172</v>
      </c>
      <c r="M84" s="6">
        <v>55.373703739018303</v>
      </c>
      <c r="N84" s="6">
        <v>2.3214606339146</v>
      </c>
      <c r="O84" s="6">
        <v>5.1015731382247802</v>
      </c>
      <c r="P84" s="6">
        <v>9.2974509250644708</v>
      </c>
      <c r="Q84" s="6">
        <v>0.53588395800202704</v>
      </c>
      <c r="R84" s="6">
        <v>7.1398622361828901</v>
      </c>
      <c r="S84" s="6">
        <v>5.1782239652318802</v>
      </c>
      <c r="T84" s="6">
        <v>55.608014822523302</v>
      </c>
      <c r="W84" s="8" t="str">
        <f t="shared" si="43"/>
        <v>CAP_BND</v>
      </c>
      <c r="X84" s="15" t="str">
        <f t="shared" si="44"/>
        <v>ELESOL</v>
      </c>
      <c r="Y84" s="15" t="s">
        <v>42</v>
      </c>
      <c r="Z84" s="8">
        <f t="shared" si="45"/>
        <v>2018</v>
      </c>
      <c r="AA84" s="8">
        <f t="shared" si="46"/>
        <v>2.6740279067688562</v>
      </c>
      <c r="AB84" s="8">
        <f t="shared" si="47"/>
        <v>4.0339721786150049</v>
      </c>
      <c r="AC84" s="8">
        <f t="shared" si="48"/>
        <v>12.328350368553121</v>
      </c>
      <c r="AD84" s="8">
        <f t="shared" si="49"/>
        <v>2.281839150963636</v>
      </c>
      <c r="AE84" s="8">
        <f t="shared" si="50"/>
        <v>3.3602487019083953</v>
      </c>
      <c r="AF84" s="8">
        <f t="shared" si="51"/>
        <v>186.06245945623053</v>
      </c>
      <c r="AG84" s="8">
        <f t="shared" si="52"/>
        <v>2.7404198600251224</v>
      </c>
      <c r="AH84" s="8">
        <f t="shared" si="53"/>
        <v>132.51550469223329</v>
      </c>
      <c r="AI84" s="8">
        <f t="shared" si="54"/>
        <v>29.971176738378922</v>
      </c>
      <c r="AJ84" s="8">
        <f t="shared" si="55"/>
        <v>60.91107411292014</v>
      </c>
      <c r="AK84" s="8">
        <f t="shared" si="56"/>
        <v>2.5536066973060603</v>
      </c>
      <c r="AL84" s="8">
        <f t="shared" si="57"/>
        <v>5.6117304520472588</v>
      </c>
      <c r="AM84" s="8">
        <f t="shared" si="58"/>
        <v>10.227196017570918</v>
      </c>
      <c r="AN84" s="8">
        <f t="shared" si="59"/>
        <v>0.58947235380222984</v>
      </c>
      <c r="AO84" s="8">
        <f t="shared" si="60"/>
        <v>7.8538484598011795</v>
      </c>
      <c r="AP84" s="8">
        <f t="shared" si="61"/>
        <v>5.6960463617550685</v>
      </c>
      <c r="AQ84" s="8">
        <f t="shared" si="62"/>
        <v>61.168816304775639</v>
      </c>
      <c r="AV84" s="8" t="str">
        <f t="shared" si="63"/>
        <v>CAP_BND</v>
      </c>
      <c r="AW84" s="15" t="str">
        <f t="shared" si="64"/>
        <v>ELESOL</v>
      </c>
      <c r="AX84" s="8" t="s">
        <v>45</v>
      </c>
      <c r="AY84" s="8">
        <f t="shared" si="65"/>
        <v>2018</v>
      </c>
      <c r="AZ84" s="8">
        <f t="shared" si="66"/>
        <v>2.1878410146290639</v>
      </c>
      <c r="BA84" s="8">
        <f t="shared" si="67"/>
        <v>3.3005226915940948</v>
      </c>
      <c r="BB84" s="8">
        <f t="shared" si="68"/>
        <v>10.08683211972528</v>
      </c>
      <c r="BC84" s="8">
        <f t="shared" si="69"/>
        <v>1.866959305333884</v>
      </c>
      <c r="BD84" s="8">
        <f t="shared" si="70"/>
        <v>2.7492943924705049</v>
      </c>
      <c r="BE84" s="8">
        <f t="shared" si="71"/>
        <v>152.23292137327951</v>
      </c>
      <c r="BF84" s="8">
        <f t="shared" si="72"/>
        <v>2.2421617036569184</v>
      </c>
      <c r="BG84" s="8">
        <f t="shared" si="73"/>
        <v>108.4217765663727</v>
      </c>
      <c r="BH84" s="8">
        <f t="shared" si="74"/>
        <v>24.521871876855482</v>
      </c>
      <c r="BI84" s="8">
        <f t="shared" si="75"/>
        <v>49.836333365116474</v>
      </c>
      <c r="BJ84" s="8">
        <f t="shared" si="76"/>
        <v>2.0893145705231402</v>
      </c>
      <c r="BK84" s="8">
        <f t="shared" si="77"/>
        <v>4.5914158244023024</v>
      </c>
      <c r="BL84" s="8">
        <f t="shared" si="78"/>
        <v>8.3677058325580234</v>
      </c>
      <c r="BM84" s="8">
        <f t="shared" si="79"/>
        <v>0.48229556220182435</v>
      </c>
      <c r="BN84" s="8">
        <f t="shared" si="80"/>
        <v>6.4258760125646015</v>
      </c>
      <c r="BO84" s="8">
        <f t="shared" si="81"/>
        <v>4.6604015687086919</v>
      </c>
      <c r="BP84" s="8">
        <f t="shared" si="82"/>
        <v>50.047213340270972</v>
      </c>
    </row>
    <row r="85" spans="2:68" ht="18.75" customHeight="1" x14ac:dyDescent="0.3">
      <c r="B85" s="2" t="s">
        <v>8</v>
      </c>
      <c r="C85" s="3">
        <v>2019</v>
      </c>
      <c r="D85" s="6">
        <v>2.43093446069896</v>
      </c>
      <c r="E85" s="6">
        <v>3.6672474351045499</v>
      </c>
      <c r="F85" s="6">
        <v>11.2075912441392</v>
      </c>
      <c r="G85" s="6">
        <v>2.07439922814876</v>
      </c>
      <c r="H85" s="6">
        <v>3.0547715471894499</v>
      </c>
      <c r="I85" s="6">
        <v>169.147690414755</v>
      </c>
      <c r="J85" s="6">
        <v>2.4912907818410202</v>
      </c>
      <c r="K85" s="6">
        <v>120.468640629303</v>
      </c>
      <c r="L85" s="6">
        <v>27.2465243076172</v>
      </c>
      <c r="M85" s="6">
        <v>55.373703739018303</v>
      </c>
      <c r="N85" s="6">
        <v>2.3214606339146</v>
      </c>
      <c r="O85" s="6">
        <v>5.1015731382247802</v>
      </c>
      <c r="P85" s="6">
        <v>9.2974509250644708</v>
      </c>
      <c r="Q85" s="6">
        <v>0.53588395800202704</v>
      </c>
      <c r="R85" s="6">
        <v>7.1398622361828901</v>
      </c>
      <c r="S85" s="6">
        <v>5.1782239652318802</v>
      </c>
      <c r="T85" s="6">
        <v>55.608014822523302</v>
      </c>
      <c r="W85" s="8" t="str">
        <f t="shared" si="43"/>
        <v>CAP_BND</v>
      </c>
      <c r="X85" s="15" t="str">
        <f t="shared" si="44"/>
        <v>ELESOL</v>
      </c>
      <c r="Y85" s="15" t="s">
        <v>42</v>
      </c>
      <c r="Z85" s="8">
        <f t="shared" si="45"/>
        <v>2019</v>
      </c>
      <c r="AA85" s="8">
        <f t="shared" si="46"/>
        <v>2.6740279067688562</v>
      </c>
      <c r="AB85" s="8">
        <f t="shared" si="47"/>
        <v>4.0339721786150049</v>
      </c>
      <c r="AC85" s="8">
        <f t="shared" si="48"/>
        <v>12.328350368553121</v>
      </c>
      <c r="AD85" s="8">
        <f t="shared" si="49"/>
        <v>2.281839150963636</v>
      </c>
      <c r="AE85" s="8">
        <f t="shared" si="50"/>
        <v>3.3602487019083953</v>
      </c>
      <c r="AF85" s="8">
        <f t="shared" si="51"/>
        <v>186.06245945623053</v>
      </c>
      <c r="AG85" s="8">
        <f t="shared" si="52"/>
        <v>2.7404198600251224</v>
      </c>
      <c r="AH85" s="8">
        <f t="shared" si="53"/>
        <v>132.51550469223329</v>
      </c>
      <c r="AI85" s="8">
        <f t="shared" si="54"/>
        <v>29.971176738378922</v>
      </c>
      <c r="AJ85" s="8">
        <f t="shared" si="55"/>
        <v>60.91107411292014</v>
      </c>
      <c r="AK85" s="8">
        <f t="shared" si="56"/>
        <v>2.5536066973060603</v>
      </c>
      <c r="AL85" s="8">
        <f t="shared" si="57"/>
        <v>5.6117304520472588</v>
      </c>
      <c r="AM85" s="8">
        <f t="shared" si="58"/>
        <v>10.227196017570918</v>
      </c>
      <c r="AN85" s="8">
        <f t="shared" si="59"/>
        <v>0.58947235380222984</v>
      </c>
      <c r="AO85" s="8">
        <f t="shared" si="60"/>
        <v>7.8538484598011795</v>
      </c>
      <c r="AP85" s="8">
        <f t="shared" si="61"/>
        <v>5.6960463617550685</v>
      </c>
      <c r="AQ85" s="8">
        <f t="shared" si="62"/>
        <v>61.168816304775639</v>
      </c>
      <c r="AV85" s="8" t="str">
        <f t="shared" si="63"/>
        <v>CAP_BND</v>
      </c>
      <c r="AW85" s="15" t="str">
        <f t="shared" si="64"/>
        <v>ELESOL</v>
      </c>
      <c r="AX85" s="8" t="s">
        <v>45</v>
      </c>
      <c r="AY85" s="8">
        <f t="shared" si="65"/>
        <v>2019</v>
      </c>
      <c r="AZ85" s="8">
        <f t="shared" si="66"/>
        <v>2.1878410146290639</v>
      </c>
      <c r="BA85" s="8">
        <f t="shared" si="67"/>
        <v>3.3005226915940948</v>
      </c>
      <c r="BB85" s="8">
        <f t="shared" si="68"/>
        <v>10.08683211972528</v>
      </c>
      <c r="BC85" s="8">
        <f t="shared" si="69"/>
        <v>1.866959305333884</v>
      </c>
      <c r="BD85" s="8">
        <f t="shared" si="70"/>
        <v>2.7492943924705049</v>
      </c>
      <c r="BE85" s="8">
        <f t="shared" si="71"/>
        <v>152.23292137327951</v>
      </c>
      <c r="BF85" s="8">
        <f t="shared" si="72"/>
        <v>2.2421617036569184</v>
      </c>
      <c r="BG85" s="8">
        <f t="shared" si="73"/>
        <v>108.4217765663727</v>
      </c>
      <c r="BH85" s="8">
        <f t="shared" si="74"/>
        <v>24.521871876855482</v>
      </c>
      <c r="BI85" s="8">
        <f t="shared" si="75"/>
        <v>49.836333365116474</v>
      </c>
      <c r="BJ85" s="8">
        <f t="shared" si="76"/>
        <v>2.0893145705231402</v>
      </c>
      <c r="BK85" s="8">
        <f t="shared" si="77"/>
        <v>4.5914158244023024</v>
      </c>
      <c r="BL85" s="8">
        <f t="shared" si="78"/>
        <v>8.3677058325580234</v>
      </c>
      <c r="BM85" s="8">
        <f t="shared" si="79"/>
        <v>0.48229556220182435</v>
      </c>
      <c r="BN85" s="8">
        <f t="shared" si="80"/>
        <v>6.4258760125646015</v>
      </c>
      <c r="BO85" s="8">
        <f t="shared" si="81"/>
        <v>4.6604015687086919</v>
      </c>
      <c r="BP85" s="8">
        <f t="shared" si="82"/>
        <v>50.047213340270972</v>
      </c>
    </row>
    <row r="86" spans="2:68" ht="18.75" customHeight="1" x14ac:dyDescent="0.3">
      <c r="B86" s="2" t="s">
        <v>8</v>
      </c>
      <c r="C86" s="3">
        <v>2020</v>
      </c>
      <c r="D86" s="6">
        <v>2.43093446069896</v>
      </c>
      <c r="E86" s="6">
        <v>3.6672474351045499</v>
      </c>
      <c r="F86" s="6">
        <v>11.2075912441392</v>
      </c>
      <c r="G86" s="6">
        <v>2.07439922814876</v>
      </c>
      <c r="H86" s="6">
        <v>3.0547715471894499</v>
      </c>
      <c r="I86" s="6">
        <v>169.147690414755</v>
      </c>
      <c r="J86" s="6">
        <v>2.4912907818410202</v>
      </c>
      <c r="K86" s="6">
        <v>120.468640629303</v>
      </c>
      <c r="L86" s="6">
        <v>27.2465243076172</v>
      </c>
      <c r="M86" s="6">
        <v>55.373703739018303</v>
      </c>
      <c r="N86" s="6">
        <v>2.3214606339146</v>
      </c>
      <c r="O86" s="6">
        <v>5.1015731382247802</v>
      </c>
      <c r="P86" s="6">
        <v>9.2974509250644708</v>
      </c>
      <c r="Q86" s="6">
        <v>0.53588395800202704</v>
      </c>
      <c r="R86" s="6">
        <v>7.1398622361828901</v>
      </c>
      <c r="S86" s="6">
        <v>5.1782239652318802</v>
      </c>
      <c r="T86" s="6">
        <v>55.608014822523302</v>
      </c>
      <c r="W86" s="8" t="str">
        <f t="shared" si="43"/>
        <v>CAP_BND</v>
      </c>
      <c r="X86" s="15" t="str">
        <f t="shared" si="44"/>
        <v>ELESOL</v>
      </c>
      <c r="Y86" s="15" t="s">
        <v>42</v>
      </c>
      <c r="Z86" s="8">
        <f t="shared" si="45"/>
        <v>2020</v>
      </c>
      <c r="AA86" s="8">
        <f t="shared" si="46"/>
        <v>2.6740279067688562</v>
      </c>
      <c r="AB86" s="8">
        <f t="shared" si="47"/>
        <v>4.0339721786150049</v>
      </c>
      <c r="AC86" s="8">
        <f t="shared" si="48"/>
        <v>12.328350368553121</v>
      </c>
      <c r="AD86" s="8">
        <f t="shared" si="49"/>
        <v>2.281839150963636</v>
      </c>
      <c r="AE86" s="8">
        <f t="shared" si="50"/>
        <v>3.3602487019083953</v>
      </c>
      <c r="AF86" s="8">
        <f t="shared" si="51"/>
        <v>186.06245945623053</v>
      </c>
      <c r="AG86" s="8">
        <f t="shared" si="52"/>
        <v>2.7404198600251224</v>
      </c>
      <c r="AH86" s="8">
        <f t="shared" si="53"/>
        <v>132.51550469223329</v>
      </c>
      <c r="AI86" s="8">
        <f t="shared" si="54"/>
        <v>29.971176738378922</v>
      </c>
      <c r="AJ86" s="8">
        <f t="shared" si="55"/>
        <v>60.91107411292014</v>
      </c>
      <c r="AK86" s="8">
        <f t="shared" si="56"/>
        <v>2.5536066973060603</v>
      </c>
      <c r="AL86" s="8">
        <f t="shared" si="57"/>
        <v>5.6117304520472588</v>
      </c>
      <c r="AM86" s="8">
        <f t="shared" si="58"/>
        <v>10.227196017570918</v>
      </c>
      <c r="AN86" s="8">
        <f t="shared" si="59"/>
        <v>0.58947235380222984</v>
      </c>
      <c r="AO86" s="8">
        <f t="shared" si="60"/>
        <v>7.8538484598011795</v>
      </c>
      <c r="AP86" s="8">
        <f t="shared" si="61"/>
        <v>5.6960463617550685</v>
      </c>
      <c r="AQ86" s="8">
        <f t="shared" si="62"/>
        <v>61.168816304775639</v>
      </c>
      <c r="AV86" s="8" t="str">
        <f t="shared" si="63"/>
        <v>CAP_BND</v>
      </c>
      <c r="AW86" s="15" t="str">
        <f t="shared" si="64"/>
        <v>ELESOL</v>
      </c>
      <c r="AX86" s="8" t="s">
        <v>45</v>
      </c>
      <c r="AY86" s="8">
        <f t="shared" si="65"/>
        <v>2020</v>
      </c>
      <c r="AZ86" s="8">
        <f t="shared" si="66"/>
        <v>2.1878410146290639</v>
      </c>
      <c r="BA86" s="8">
        <f t="shared" si="67"/>
        <v>3.3005226915940948</v>
      </c>
      <c r="BB86" s="8">
        <f t="shared" si="68"/>
        <v>10.08683211972528</v>
      </c>
      <c r="BC86" s="8">
        <f t="shared" si="69"/>
        <v>1.866959305333884</v>
      </c>
      <c r="BD86" s="8">
        <f t="shared" si="70"/>
        <v>2.7492943924705049</v>
      </c>
      <c r="BE86" s="8">
        <f t="shared" si="71"/>
        <v>152.23292137327951</v>
      </c>
      <c r="BF86" s="8">
        <f t="shared" si="72"/>
        <v>2.2421617036569184</v>
      </c>
      <c r="BG86" s="8">
        <f t="shared" si="73"/>
        <v>108.4217765663727</v>
      </c>
      <c r="BH86" s="8">
        <f t="shared" si="74"/>
        <v>24.521871876855482</v>
      </c>
      <c r="BI86" s="8">
        <f t="shared" si="75"/>
        <v>49.836333365116474</v>
      </c>
      <c r="BJ86" s="8">
        <f t="shared" si="76"/>
        <v>2.0893145705231402</v>
      </c>
      <c r="BK86" s="8">
        <f t="shared" si="77"/>
        <v>4.5914158244023024</v>
      </c>
      <c r="BL86" s="8">
        <f t="shared" si="78"/>
        <v>8.3677058325580234</v>
      </c>
      <c r="BM86" s="8">
        <f t="shared" si="79"/>
        <v>0.48229556220182435</v>
      </c>
      <c r="BN86" s="8">
        <f t="shared" si="80"/>
        <v>6.4258760125646015</v>
      </c>
      <c r="BO86" s="8">
        <f t="shared" si="81"/>
        <v>4.6604015687086919</v>
      </c>
      <c r="BP86" s="8">
        <f t="shared" si="82"/>
        <v>50.047213340270972</v>
      </c>
    </row>
    <row r="87" spans="2:68" ht="18.75" customHeight="1" x14ac:dyDescent="0.3">
      <c r="B87" s="2" t="s">
        <v>8</v>
      </c>
      <c r="C87" s="3">
        <v>2021</v>
      </c>
      <c r="D87" s="6">
        <v>2.43093446069896</v>
      </c>
      <c r="E87" s="6">
        <v>3.6672474351045499</v>
      </c>
      <c r="F87" s="6">
        <v>47.904252831731398</v>
      </c>
      <c r="G87" s="6">
        <v>2.07439922814876</v>
      </c>
      <c r="H87" s="6">
        <v>8.0194291051558295</v>
      </c>
      <c r="I87" s="6">
        <v>169.147690414755</v>
      </c>
      <c r="J87" s="6">
        <v>2.4912907818410202</v>
      </c>
      <c r="K87" s="6">
        <v>272.06326733984002</v>
      </c>
      <c r="L87" s="6">
        <v>316.25130507206501</v>
      </c>
      <c r="M87" s="6">
        <v>55.373703739018303</v>
      </c>
      <c r="N87" s="6">
        <v>64.654156681331798</v>
      </c>
      <c r="O87" s="6">
        <v>5.1015731382247802</v>
      </c>
      <c r="P87" s="6">
        <v>9.2974509250644708</v>
      </c>
      <c r="Q87" s="6">
        <v>0.53588395800202704</v>
      </c>
      <c r="R87" s="6">
        <v>7.1398622361828901</v>
      </c>
      <c r="S87" s="6">
        <v>18.659842471982898</v>
      </c>
      <c r="T87" s="6">
        <v>319.59228270806301</v>
      </c>
      <c r="W87" s="8" t="str">
        <f t="shared" si="43"/>
        <v>CAP_BND</v>
      </c>
      <c r="X87" s="15" t="str">
        <f t="shared" si="44"/>
        <v>ELESOL</v>
      </c>
      <c r="Y87" s="15" t="s">
        <v>42</v>
      </c>
      <c r="Z87" s="8">
        <f t="shared" si="45"/>
        <v>2021</v>
      </c>
      <c r="AA87" s="8">
        <f t="shared" si="46"/>
        <v>2.6740279067688562</v>
      </c>
      <c r="AB87" s="8">
        <f t="shared" si="47"/>
        <v>4.0339721786150049</v>
      </c>
      <c r="AC87" s="8">
        <f t="shared" si="48"/>
        <v>52.694678114904541</v>
      </c>
      <c r="AD87" s="8">
        <f t="shared" si="49"/>
        <v>2.281839150963636</v>
      </c>
      <c r="AE87" s="8">
        <f t="shared" si="50"/>
        <v>8.8213720156714128</v>
      </c>
      <c r="AF87" s="8">
        <f t="shared" si="51"/>
        <v>186.06245945623053</v>
      </c>
      <c r="AG87" s="8">
        <f t="shared" si="52"/>
        <v>2.7404198600251224</v>
      </c>
      <c r="AH87" s="8">
        <f t="shared" si="53"/>
        <v>299.26959407382407</v>
      </c>
      <c r="AI87" s="8">
        <f t="shared" si="54"/>
        <v>347.87643557927152</v>
      </c>
      <c r="AJ87" s="8">
        <f t="shared" si="55"/>
        <v>60.91107411292014</v>
      </c>
      <c r="AK87" s="8">
        <f t="shared" si="56"/>
        <v>71.119572349464988</v>
      </c>
      <c r="AL87" s="8">
        <f t="shared" si="57"/>
        <v>5.6117304520472588</v>
      </c>
      <c r="AM87" s="8">
        <f t="shared" si="58"/>
        <v>10.227196017570918</v>
      </c>
      <c r="AN87" s="8">
        <f t="shared" si="59"/>
        <v>0.58947235380222984</v>
      </c>
      <c r="AO87" s="8">
        <f t="shared" si="60"/>
        <v>7.8538484598011795</v>
      </c>
      <c r="AP87" s="8">
        <f t="shared" si="61"/>
        <v>20.52582671918119</v>
      </c>
      <c r="AQ87" s="8">
        <f t="shared" si="62"/>
        <v>351.55151097886932</v>
      </c>
      <c r="AV87" s="8" t="str">
        <f t="shared" si="63"/>
        <v>CAP_BND</v>
      </c>
      <c r="AW87" s="15" t="str">
        <f t="shared" si="64"/>
        <v>ELESOL</v>
      </c>
      <c r="AX87" s="8" t="s">
        <v>45</v>
      </c>
      <c r="AY87" s="8">
        <f t="shared" si="65"/>
        <v>2021</v>
      </c>
      <c r="AZ87" s="8">
        <f t="shared" si="66"/>
        <v>2.1878410146290639</v>
      </c>
      <c r="BA87" s="8">
        <f t="shared" si="67"/>
        <v>3.3005226915940948</v>
      </c>
      <c r="BB87" s="8">
        <f t="shared" si="68"/>
        <v>43.113827548558262</v>
      </c>
      <c r="BC87" s="8">
        <f t="shared" si="69"/>
        <v>1.866959305333884</v>
      </c>
      <c r="BD87" s="8">
        <f t="shared" si="70"/>
        <v>7.2174861946402471</v>
      </c>
      <c r="BE87" s="8">
        <f t="shared" si="71"/>
        <v>152.23292137327951</v>
      </c>
      <c r="BF87" s="8">
        <f t="shared" si="72"/>
        <v>2.2421617036569184</v>
      </c>
      <c r="BG87" s="8">
        <f t="shared" si="73"/>
        <v>244.85694060585604</v>
      </c>
      <c r="BH87" s="8">
        <f t="shared" si="74"/>
        <v>284.6261745648585</v>
      </c>
      <c r="BI87" s="8">
        <f t="shared" si="75"/>
        <v>49.836333365116474</v>
      </c>
      <c r="BJ87" s="8">
        <f t="shared" si="76"/>
        <v>58.188741013198623</v>
      </c>
      <c r="BK87" s="8">
        <f t="shared" si="77"/>
        <v>4.5914158244023024</v>
      </c>
      <c r="BL87" s="8">
        <f t="shared" si="78"/>
        <v>8.3677058325580234</v>
      </c>
      <c r="BM87" s="8">
        <f t="shared" si="79"/>
        <v>0.48229556220182435</v>
      </c>
      <c r="BN87" s="8">
        <f t="shared" si="80"/>
        <v>6.4258760125646015</v>
      </c>
      <c r="BO87" s="8">
        <f t="shared" si="81"/>
        <v>16.793858224784611</v>
      </c>
      <c r="BP87" s="8">
        <f t="shared" si="82"/>
        <v>287.6330544372567</v>
      </c>
    </row>
    <row r="88" spans="2:68" ht="18.75" customHeight="1" x14ac:dyDescent="0.3">
      <c r="B88" s="2" t="s">
        <v>8</v>
      </c>
      <c r="C88" s="3">
        <v>2030</v>
      </c>
      <c r="D88" s="6">
        <v>2.43093446069896</v>
      </c>
      <c r="E88" s="6">
        <v>3.6672474351045499</v>
      </c>
      <c r="F88" s="6">
        <v>58.738139143797</v>
      </c>
      <c r="G88" s="6">
        <v>2.07439922814876</v>
      </c>
      <c r="H88" s="6">
        <v>9.48513560908291</v>
      </c>
      <c r="I88" s="6">
        <v>169.147690414755</v>
      </c>
      <c r="J88" s="6">
        <v>2.4912907818410202</v>
      </c>
      <c r="K88" s="6">
        <v>316.81826357789703</v>
      </c>
      <c r="L88" s="6">
        <v>316.25130507206501</v>
      </c>
      <c r="M88" s="6">
        <v>55.373703739018303</v>
      </c>
      <c r="N88" s="6">
        <v>79.961417094168397</v>
      </c>
      <c r="O88" s="6">
        <v>5.1015731382247802</v>
      </c>
      <c r="P88" s="6">
        <v>9.2974509250644708</v>
      </c>
      <c r="Q88" s="6">
        <v>0.53588395800202704</v>
      </c>
      <c r="R88" s="6">
        <v>7.1398622361828901</v>
      </c>
      <c r="S88" s="6">
        <v>22.639995322022099</v>
      </c>
      <c r="T88" s="6">
        <v>397.52786111535897</v>
      </c>
      <c r="W88" s="8" t="str">
        <f t="shared" si="43"/>
        <v>*</v>
      </c>
      <c r="X88" s="15" t="str">
        <f t="shared" si="44"/>
        <v>ELESOL</v>
      </c>
      <c r="Y88" s="15" t="s">
        <v>42</v>
      </c>
      <c r="Z88" s="8">
        <f t="shared" si="45"/>
        <v>2030</v>
      </c>
      <c r="AA88" s="8">
        <f t="shared" si="46"/>
        <v>2.6740279067688562</v>
      </c>
      <c r="AB88" s="8">
        <f t="shared" si="47"/>
        <v>4.0339721786150049</v>
      </c>
      <c r="AC88" s="8">
        <f t="shared" si="48"/>
        <v>64.611953058176709</v>
      </c>
      <c r="AD88" s="8">
        <f t="shared" si="49"/>
        <v>2.281839150963636</v>
      </c>
      <c r="AE88" s="8">
        <f t="shared" si="50"/>
        <v>10.433649169991202</v>
      </c>
      <c r="AF88" s="8">
        <f t="shared" si="51"/>
        <v>186.06245945623053</v>
      </c>
      <c r="AG88" s="8">
        <f t="shared" si="52"/>
        <v>2.7404198600251224</v>
      </c>
      <c r="AH88" s="8">
        <f t="shared" si="53"/>
        <v>348.50008993568673</v>
      </c>
      <c r="AI88" s="8">
        <f t="shared" si="54"/>
        <v>347.87643557927152</v>
      </c>
      <c r="AJ88" s="8">
        <f t="shared" si="55"/>
        <v>60.91107411292014</v>
      </c>
      <c r="AK88" s="8">
        <f t="shared" si="56"/>
        <v>87.957558803585243</v>
      </c>
      <c r="AL88" s="8">
        <f t="shared" si="57"/>
        <v>5.6117304520472588</v>
      </c>
      <c r="AM88" s="8">
        <f t="shared" si="58"/>
        <v>10.227196017570918</v>
      </c>
      <c r="AN88" s="8">
        <f t="shared" si="59"/>
        <v>0.58947235380222984</v>
      </c>
      <c r="AO88" s="8">
        <f t="shared" si="60"/>
        <v>7.8538484598011795</v>
      </c>
      <c r="AP88" s="8">
        <f t="shared" si="61"/>
        <v>24.903994854224312</v>
      </c>
      <c r="AQ88" s="8">
        <f t="shared" si="62"/>
        <v>437.28064722689493</v>
      </c>
      <c r="AV88" s="8" t="str">
        <f t="shared" si="63"/>
        <v>*</v>
      </c>
      <c r="AW88" s="15" t="str">
        <f t="shared" si="64"/>
        <v>ELESOL</v>
      </c>
      <c r="AX88" s="8" t="s">
        <v>45</v>
      </c>
      <c r="AY88" s="8">
        <f t="shared" si="65"/>
        <v>2030</v>
      </c>
      <c r="AZ88" s="8">
        <f t="shared" si="66"/>
        <v>2.1878410146290639</v>
      </c>
      <c r="BA88" s="8">
        <f t="shared" si="67"/>
        <v>3.3005226915940948</v>
      </c>
      <c r="BB88" s="8">
        <f t="shared" si="68"/>
        <v>52.864325229417304</v>
      </c>
      <c r="BC88" s="8">
        <f t="shared" si="69"/>
        <v>1.866959305333884</v>
      </c>
      <c r="BD88" s="8">
        <f t="shared" si="70"/>
        <v>8.5366220481746193</v>
      </c>
      <c r="BE88" s="8">
        <f t="shared" si="71"/>
        <v>152.23292137327951</v>
      </c>
      <c r="BF88" s="8">
        <f t="shared" si="72"/>
        <v>2.2421617036569184</v>
      </c>
      <c r="BG88" s="8">
        <f t="shared" si="73"/>
        <v>285.13643722010733</v>
      </c>
      <c r="BH88" s="8">
        <f t="shared" si="74"/>
        <v>284.6261745648585</v>
      </c>
      <c r="BI88" s="8">
        <f t="shared" si="75"/>
        <v>49.836333365116474</v>
      </c>
      <c r="BJ88" s="8">
        <f t="shared" si="76"/>
        <v>71.965275384751564</v>
      </c>
      <c r="BK88" s="8">
        <f t="shared" si="77"/>
        <v>4.5914158244023024</v>
      </c>
      <c r="BL88" s="8">
        <f t="shared" si="78"/>
        <v>8.3677058325580234</v>
      </c>
      <c r="BM88" s="8">
        <f t="shared" si="79"/>
        <v>0.48229556220182435</v>
      </c>
      <c r="BN88" s="8">
        <f t="shared" si="80"/>
        <v>6.4258760125646015</v>
      </c>
      <c r="BO88" s="8">
        <f t="shared" si="81"/>
        <v>20.375995789819889</v>
      </c>
      <c r="BP88" s="8">
        <f t="shared" si="82"/>
        <v>357.77507500382308</v>
      </c>
    </row>
    <row r="89" spans="2:68" ht="18.75" customHeight="1" x14ac:dyDescent="0.3">
      <c r="B89" s="2" t="s">
        <v>8</v>
      </c>
      <c r="C89" s="3">
        <v>2040</v>
      </c>
      <c r="D89" s="6">
        <v>11.8629508712754</v>
      </c>
      <c r="E89" s="6">
        <v>3.6672474351045499</v>
      </c>
      <c r="F89" s="6">
        <v>86.482225663879902</v>
      </c>
      <c r="G89" s="6">
        <v>2.07439922814876</v>
      </c>
      <c r="H89" s="6">
        <v>46.2866806355728</v>
      </c>
      <c r="I89" s="6">
        <v>215.112307048421</v>
      </c>
      <c r="J89" s="6">
        <v>2.4912907818410202</v>
      </c>
      <c r="K89" s="6">
        <v>323.73463290339402</v>
      </c>
      <c r="L89" s="6">
        <v>435.43407709117901</v>
      </c>
      <c r="M89" s="6">
        <v>70.941297874500606</v>
      </c>
      <c r="N89" s="6">
        <v>97.168959304926204</v>
      </c>
      <c r="O89" s="6">
        <v>5.1015731382247802</v>
      </c>
      <c r="P89" s="6">
        <v>9.2974509250644708</v>
      </c>
      <c r="Q89" s="6">
        <v>0.59403471441328004</v>
      </c>
      <c r="R89" s="6">
        <v>7.1398622361828901</v>
      </c>
      <c r="S89" s="6">
        <v>69.629690501736803</v>
      </c>
      <c r="T89" s="6">
        <v>397.52786111535897</v>
      </c>
      <c r="W89" s="8" t="str">
        <f t="shared" si="43"/>
        <v>*</v>
      </c>
      <c r="X89" s="15" t="str">
        <f t="shared" si="44"/>
        <v>ELESOL</v>
      </c>
      <c r="Y89" s="15" t="s">
        <v>42</v>
      </c>
      <c r="Z89" s="8">
        <f t="shared" si="45"/>
        <v>2040</v>
      </c>
      <c r="AA89" s="8">
        <f t="shared" si="46"/>
        <v>13.04924595840294</v>
      </c>
      <c r="AB89" s="8">
        <f t="shared" si="47"/>
        <v>4.0339721786150049</v>
      </c>
      <c r="AC89" s="8">
        <f t="shared" si="48"/>
        <v>95.130448230267902</v>
      </c>
      <c r="AD89" s="8">
        <f t="shared" si="49"/>
        <v>2.281839150963636</v>
      </c>
      <c r="AE89" s="8">
        <f t="shared" si="50"/>
        <v>50.915348699130085</v>
      </c>
      <c r="AF89" s="8">
        <f t="shared" si="51"/>
        <v>236.62353775326312</v>
      </c>
      <c r="AG89" s="8">
        <f t="shared" si="52"/>
        <v>2.7404198600251224</v>
      </c>
      <c r="AH89" s="8">
        <f t="shared" si="53"/>
        <v>356.10809619373345</v>
      </c>
      <c r="AI89" s="8">
        <f t="shared" si="54"/>
        <v>478.97748480029696</v>
      </c>
      <c r="AJ89" s="8">
        <f t="shared" si="55"/>
        <v>78.035427661950678</v>
      </c>
      <c r="AK89" s="8">
        <f t="shared" si="56"/>
        <v>106.88585523541883</v>
      </c>
      <c r="AL89" s="8">
        <f t="shared" si="57"/>
        <v>5.6117304520472588</v>
      </c>
      <c r="AM89" s="8">
        <f t="shared" si="58"/>
        <v>10.227196017570918</v>
      </c>
      <c r="AN89" s="8">
        <f t="shared" si="59"/>
        <v>0.65343818585460811</v>
      </c>
      <c r="AO89" s="8">
        <f t="shared" si="60"/>
        <v>7.8538484598011795</v>
      </c>
      <c r="AP89" s="8">
        <f t="shared" si="61"/>
        <v>76.592659551910486</v>
      </c>
      <c r="AQ89" s="8">
        <f t="shared" si="62"/>
        <v>437.28064722689493</v>
      </c>
      <c r="AV89" s="8" t="str">
        <f t="shared" si="63"/>
        <v>*</v>
      </c>
      <c r="AW89" s="15" t="str">
        <f t="shared" si="64"/>
        <v>ELESOL</v>
      </c>
      <c r="AX89" s="8" t="s">
        <v>45</v>
      </c>
      <c r="AY89" s="8">
        <f t="shared" si="65"/>
        <v>2040</v>
      </c>
      <c r="AZ89" s="8">
        <f t="shared" si="66"/>
        <v>10.67665578414786</v>
      </c>
      <c r="BA89" s="8">
        <f t="shared" si="67"/>
        <v>3.3005226915940948</v>
      </c>
      <c r="BB89" s="8">
        <f t="shared" si="68"/>
        <v>77.834003097491916</v>
      </c>
      <c r="BC89" s="8">
        <f t="shared" si="69"/>
        <v>1.866959305333884</v>
      </c>
      <c r="BD89" s="8">
        <f t="shared" si="70"/>
        <v>41.658012572015522</v>
      </c>
      <c r="BE89" s="8">
        <f t="shared" si="71"/>
        <v>193.60107634357891</v>
      </c>
      <c r="BF89" s="8">
        <f t="shared" si="72"/>
        <v>2.2421617036569184</v>
      </c>
      <c r="BG89" s="8">
        <f t="shared" si="73"/>
        <v>291.36116961305464</v>
      </c>
      <c r="BH89" s="8">
        <f t="shared" si="74"/>
        <v>391.89066938206111</v>
      </c>
      <c r="BI89" s="8">
        <f t="shared" si="75"/>
        <v>63.847168087050548</v>
      </c>
      <c r="BJ89" s="8">
        <f t="shared" si="76"/>
        <v>87.452063374433592</v>
      </c>
      <c r="BK89" s="8">
        <f t="shared" si="77"/>
        <v>4.5914158244023024</v>
      </c>
      <c r="BL89" s="8">
        <f t="shared" si="78"/>
        <v>8.3677058325580234</v>
      </c>
      <c r="BM89" s="8">
        <f t="shared" si="79"/>
        <v>0.53463124297195208</v>
      </c>
      <c r="BN89" s="8">
        <f t="shared" si="80"/>
        <v>6.4258760125646015</v>
      </c>
      <c r="BO89" s="8">
        <f t="shared" si="81"/>
        <v>62.666721451563127</v>
      </c>
      <c r="BP89" s="8">
        <f t="shared" si="82"/>
        <v>357.77507500382308</v>
      </c>
    </row>
    <row r="90" spans="2:68" ht="18.75" customHeight="1" x14ac:dyDescent="0.3">
      <c r="B90" s="2" t="s">
        <v>8</v>
      </c>
      <c r="C90" s="3">
        <v>2050</v>
      </c>
      <c r="D90" s="6">
        <v>25.460433883844001</v>
      </c>
      <c r="E90" s="6">
        <v>3.6672474351045499</v>
      </c>
      <c r="F90" s="6">
        <v>100.74029038354099</v>
      </c>
      <c r="G90" s="6">
        <v>2.07439922814876</v>
      </c>
      <c r="H90" s="6">
        <v>94.010873785865599</v>
      </c>
      <c r="I90" s="6">
        <v>323.640431098531</v>
      </c>
      <c r="J90" s="6">
        <v>2.4912907818410202</v>
      </c>
      <c r="K90" s="6">
        <v>405.95545126773402</v>
      </c>
      <c r="L90" s="6">
        <v>662.11349774258201</v>
      </c>
      <c r="M90" s="6">
        <v>103.242264512874</v>
      </c>
      <c r="N90" s="6">
        <v>102.06187762916799</v>
      </c>
      <c r="O90" s="6">
        <v>5.1015731382247802</v>
      </c>
      <c r="P90" s="6">
        <v>9.2974509250644708</v>
      </c>
      <c r="Q90" s="6">
        <v>0.61419315495337901</v>
      </c>
      <c r="R90" s="6">
        <v>7.1398622361828901</v>
      </c>
      <c r="S90" s="6">
        <v>85.919056878652199</v>
      </c>
      <c r="T90" s="6">
        <v>411.75027289289602</v>
      </c>
      <c r="W90" s="8" t="str">
        <f t="shared" si="43"/>
        <v>*</v>
      </c>
      <c r="X90" s="15" t="str">
        <f t="shared" si="44"/>
        <v>ELESOL</v>
      </c>
      <c r="Y90" s="15" t="s">
        <v>42</v>
      </c>
      <c r="Z90" s="8">
        <f t="shared" si="45"/>
        <v>2050</v>
      </c>
      <c r="AA90" s="8">
        <f t="shared" si="46"/>
        <v>28.006477272228402</v>
      </c>
      <c r="AB90" s="8">
        <f t="shared" si="47"/>
        <v>4.0339721786150049</v>
      </c>
      <c r="AC90" s="8">
        <f t="shared" si="48"/>
        <v>110.81431942189511</v>
      </c>
      <c r="AD90" s="8">
        <f t="shared" si="49"/>
        <v>2.281839150963636</v>
      </c>
      <c r="AE90" s="8">
        <f t="shared" si="50"/>
        <v>103.41196116445217</v>
      </c>
      <c r="AF90" s="8">
        <f t="shared" si="51"/>
        <v>356.00447420838412</v>
      </c>
      <c r="AG90" s="8">
        <f t="shared" si="52"/>
        <v>2.7404198600251224</v>
      </c>
      <c r="AH90" s="8">
        <f t="shared" si="53"/>
        <v>446.55099639450748</v>
      </c>
      <c r="AI90" s="8">
        <f t="shared" si="54"/>
        <v>728.32484751684024</v>
      </c>
      <c r="AJ90" s="8">
        <f t="shared" si="55"/>
        <v>113.56649096416142</v>
      </c>
      <c r="AK90" s="8">
        <f t="shared" si="56"/>
        <v>112.26806539208481</v>
      </c>
      <c r="AL90" s="8">
        <f t="shared" si="57"/>
        <v>5.6117304520472588</v>
      </c>
      <c r="AM90" s="8">
        <f t="shared" si="58"/>
        <v>10.227196017570918</v>
      </c>
      <c r="AN90" s="8">
        <f t="shared" si="59"/>
        <v>0.67561247044871697</v>
      </c>
      <c r="AO90" s="8">
        <f t="shared" si="60"/>
        <v>7.8538484598011795</v>
      </c>
      <c r="AP90" s="8">
        <f t="shared" si="61"/>
        <v>94.510962566517421</v>
      </c>
      <c r="AQ90" s="8">
        <f t="shared" si="62"/>
        <v>452.92530018218565</v>
      </c>
      <c r="AV90" s="8" t="str">
        <f t="shared" si="63"/>
        <v>*</v>
      </c>
      <c r="AW90" s="15" t="str">
        <f t="shared" si="64"/>
        <v>ELESOL</v>
      </c>
      <c r="AX90" s="8" t="s">
        <v>45</v>
      </c>
      <c r="AY90" s="8">
        <f t="shared" si="65"/>
        <v>2050</v>
      </c>
      <c r="AZ90" s="8">
        <f t="shared" si="66"/>
        <v>22.9143904954596</v>
      </c>
      <c r="BA90" s="8">
        <f t="shared" si="67"/>
        <v>3.3005226915940948</v>
      </c>
      <c r="BB90" s="8">
        <f t="shared" si="68"/>
        <v>90.666261345186896</v>
      </c>
      <c r="BC90" s="8">
        <f t="shared" si="69"/>
        <v>1.866959305333884</v>
      </c>
      <c r="BD90" s="8">
        <f t="shared" si="70"/>
        <v>84.609786407279046</v>
      </c>
      <c r="BE90" s="8">
        <f t="shared" si="71"/>
        <v>291.27638798867793</v>
      </c>
      <c r="BF90" s="8">
        <f t="shared" si="72"/>
        <v>2.2421617036569184</v>
      </c>
      <c r="BG90" s="8">
        <f t="shared" si="73"/>
        <v>365.35990614096062</v>
      </c>
      <c r="BH90" s="8">
        <f t="shared" si="74"/>
        <v>595.90214796832379</v>
      </c>
      <c r="BI90" s="8">
        <f t="shared" si="75"/>
        <v>92.9180380615866</v>
      </c>
      <c r="BJ90" s="8">
        <f t="shared" si="76"/>
        <v>91.855689866251197</v>
      </c>
      <c r="BK90" s="8">
        <f t="shared" si="77"/>
        <v>4.5914158244023024</v>
      </c>
      <c r="BL90" s="8">
        <f t="shared" si="78"/>
        <v>8.3677058325580234</v>
      </c>
      <c r="BM90" s="8">
        <f t="shared" si="79"/>
        <v>0.55277383945804115</v>
      </c>
      <c r="BN90" s="8">
        <f t="shared" si="80"/>
        <v>6.4258760125646015</v>
      </c>
      <c r="BO90" s="8">
        <f t="shared" si="81"/>
        <v>77.327151190786978</v>
      </c>
      <c r="BP90" s="8">
        <f t="shared" si="82"/>
        <v>370.57524560360645</v>
      </c>
    </row>
    <row r="91" spans="2:68" ht="18.75" customHeight="1" x14ac:dyDescent="0.3">
      <c r="B91" s="2" t="s">
        <v>8</v>
      </c>
      <c r="C91" s="3">
        <v>2060</v>
      </c>
      <c r="D91" s="6">
        <v>36.133807237352002</v>
      </c>
      <c r="E91" s="6">
        <v>3.6672474351045499</v>
      </c>
      <c r="F91" s="6">
        <v>102.348905290391</v>
      </c>
      <c r="G91" s="6">
        <v>3.2816949130778301</v>
      </c>
      <c r="H91" s="6">
        <v>135.16867524492099</v>
      </c>
      <c r="I91" s="6">
        <v>708.64942207104002</v>
      </c>
      <c r="J91" s="6">
        <v>2.4912907818410202</v>
      </c>
      <c r="K91" s="6">
        <v>581.90386492302798</v>
      </c>
      <c r="L91" s="6">
        <v>846.112505412519</v>
      </c>
      <c r="M91" s="6">
        <v>124.60176781853301</v>
      </c>
      <c r="N91" s="6">
        <v>107.852847367263</v>
      </c>
      <c r="O91" s="6">
        <v>5.1015731382247802</v>
      </c>
      <c r="P91" s="6">
        <v>9.2974509250644708</v>
      </c>
      <c r="Q91" s="6">
        <v>0.61419315495337901</v>
      </c>
      <c r="R91" s="6">
        <v>7.1398622361828901</v>
      </c>
      <c r="S91" s="6">
        <v>100.679442071857</v>
      </c>
      <c r="T91" s="6">
        <v>438.17025585015102</v>
      </c>
      <c r="W91" s="8" t="str">
        <f t="shared" si="43"/>
        <v>*</v>
      </c>
      <c r="X91" s="15" t="str">
        <f t="shared" si="44"/>
        <v>ELESOL</v>
      </c>
      <c r="Y91" s="15" t="s">
        <v>42</v>
      </c>
      <c r="Z91" s="8">
        <f t="shared" si="45"/>
        <v>2060</v>
      </c>
      <c r="AA91" s="8">
        <f t="shared" si="46"/>
        <v>39.747187961087207</v>
      </c>
      <c r="AB91" s="8">
        <f t="shared" si="47"/>
        <v>4.0339721786150049</v>
      </c>
      <c r="AC91" s="8">
        <f t="shared" si="48"/>
        <v>112.58379581943011</v>
      </c>
      <c r="AD91" s="8">
        <f t="shared" si="49"/>
        <v>3.6098644043856134</v>
      </c>
      <c r="AE91" s="8">
        <f t="shared" si="50"/>
        <v>148.6855427694131</v>
      </c>
      <c r="AF91" s="8">
        <f t="shared" si="51"/>
        <v>779.51436427814406</v>
      </c>
      <c r="AG91" s="8">
        <f t="shared" si="52"/>
        <v>2.7404198600251224</v>
      </c>
      <c r="AH91" s="8">
        <f t="shared" si="53"/>
        <v>640.09425141533086</v>
      </c>
      <c r="AI91" s="8">
        <f t="shared" si="54"/>
        <v>930.72375595377093</v>
      </c>
      <c r="AJ91" s="8">
        <f t="shared" si="55"/>
        <v>137.06194460038631</v>
      </c>
      <c r="AK91" s="8">
        <f t="shared" si="56"/>
        <v>118.63813210398931</v>
      </c>
      <c r="AL91" s="8">
        <f t="shared" si="57"/>
        <v>5.6117304520472588</v>
      </c>
      <c r="AM91" s="8">
        <f t="shared" si="58"/>
        <v>10.227196017570918</v>
      </c>
      <c r="AN91" s="8">
        <f t="shared" si="59"/>
        <v>0.67561247044871697</v>
      </c>
      <c r="AO91" s="8">
        <f t="shared" si="60"/>
        <v>7.8538484598011795</v>
      </c>
      <c r="AP91" s="8">
        <f t="shared" si="61"/>
        <v>110.7473862790427</v>
      </c>
      <c r="AQ91" s="8">
        <f t="shared" si="62"/>
        <v>481.98728143516615</v>
      </c>
      <c r="AV91" s="8" t="str">
        <f t="shared" si="63"/>
        <v>*</v>
      </c>
      <c r="AW91" s="15" t="str">
        <f t="shared" si="64"/>
        <v>ELESOL</v>
      </c>
      <c r="AX91" s="8" t="s">
        <v>45</v>
      </c>
      <c r="AY91" s="8">
        <f t="shared" si="65"/>
        <v>2060</v>
      </c>
      <c r="AZ91" s="8">
        <f t="shared" si="66"/>
        <v>32.520426513616805</v>
      </c>
      <c r="BA91" s="8">
        <f t="shared" si="67"/>
        <v>3.3005226915940948</v>
      </c>
      <c r="BB91" s="8">
        <f t="shared" si="68"/>
        <v>92.11401476135191</v>
      </c>
      <c r="BC91" s="8">
        <f t="shared" si="69"/>
        <v>2.9535254217700473</v>
      </c>
      <c r="BD91" s="8">
        <f t="shared" si="70"/>
        <v>121.65180772042889</v>
      </c>
      <c r="BE91" s="8">
        <f t="shared" si="71"/>
        <v>637.78447986393599</v>
      </c>
      <c r="BF91" s="8">
        <f t="shared" si="72"/>
        <v>2.2421617036569184</v>
      </c>
      <c r="BG91" s="8">
        <f t="shared" si="73"/>
        <v>523.71347843072522</v>
      </c>
      <c r="BH91" s="8">
        <f t="shared" si="74"/>
        <v>761.50125487126707</v>
      </c>
      <c r="BI91" s="8">
        <f t="shared" si="75"/>
        <v>112.14159103667971</v>
      </c>
      <c r="BJ91" s="8">
        <f t="shared" si="76"/>
        <v>97.067562630536699</v>
      </c>
      <c r="BK91" s="8">
        <f t="shared" si="77"/>
        <v>4.5914158244023024</v>
      </c>
      <c r="BL91" s="8">
        <f t="shared" si="78"/>
        <v>8.3677058325580234</v>
      </c>
      <c r="BM91" s="8">
        <f t="shared" si="79"/>
        <v>0.55277383945804115</v>
      </c>
      <c r="BN91" s="8">
        <f t="shared" si="80"/>
        <v>6.4258760125646015</v>
      </c>
      <c r="BO91" s="8">
        <f t="shared" si="81"/>
        <v>90.611497864671293</v>
      </c>
      <c r="BP91" s="8">
        <f t="shared" si="82"/>
        <v>394.35323026513595</v>
      </c>
    </row>
    <row r="92" spans="2:68" ht="18.75" customHeight="1" x14ac:dyDescent="0.3">
      <c r="B92" s="2" t="s">
        <v>8</v>
      </c>
      <c r="C92" s="3">
        <v>2070</v>
      </c>
      <c r="D92" s="6">
        <v>67.410661623673306</v>
      </c>
      <c r="E92" s="6">
        <v>3.6672474351045499</v>
      </c>
      <c r="F92" s="6">
        <v>112.968479135726</v>
      </c>
      <c r="G92" s="6">
        <v>3.7002139450031302</v>
      </c>
      <c r="H92" s="6">
        <v>185.442671255981</v>
      </c>
      <c r="I92" s="6">
        <v>1297.35385590177</v>
      </c>
      <c r="J92" s="6">
        <v>2.4912907818410202</v>
      </c>
      <c r="K92" s="6">
        <v>695.50504131371702</v>
      </c>
      <c r="L92" s="6">
        <v>1078.4604379422401</v>
      </c>
      <c r="M92" s="6">
        <v>154.79248149391799</v>
      </c>
      <c r="N92" s="6">
        <v>112.90161241937901</v>
      </c>
      <c r="O92" s="6">
        <v>5.1015731382247802</v>
      </c>
      <c r="P92" s="6">
        <v>9.2974509250644708</v>
      </c>
      <c r="Q92" s="6">
        <v>0.61419315495337901</v>
      </c>
      <c r="R92" s="6">
        <v>7.1398622361828901</v>
      </c>
      <c r="S92" s="6">
        <v>125.08361440143899</v>
      </c>
      <c r="T92" s="6">
        <v>476.70483444825101</v>
      </c>
      <c r="W92" s="8" t="str">
        <f t="shared" si="43"/>
        <v>*</v>
      </c>
      <c r="X92" s="15" t="str">
        <f t="shared" si="44"/>
        <v>ELESOL</v>
      </c>
      <c r="Y92" s="15" t="s">
        <v>42</v>
      </c>
      <c r="Z92" s="8">
        <f t="shared" si="45"/>
        <v>2070</v>
      </c>
      <c r="AA92" s="8">
        <f t="shared" si="46"/>
        <v>74.151727786040638</v>
      </c>
      <c r="AB92" s="8">
        <f t="shared" si="47"/>
        <v>4.0339721786150049</v>
      </c>
      <c r="AC92" s="8">
        <f t="shared" si="48"/>
        <v>124.26532704929861</v>
      </c>
      <c r="AD92" s="8">
        <f t="shared" si="49"/>
        <v>4.0702353395034434</v>
      </c>
      <c r="AE92" s="8">
        <f t="shared" si="50"/>
        <v>203.98693838157911</v>
      </c>
      <c r="AF92" s="8">
        <f t="shared" si="51"/>
        <v>1427.0892414919472</v>
      </c>
      <c r="AG92" s="8">
        <f t="shared" si="52"/>
        <v>2.7404198600251224</v>
      </c>
      <c r="AH92" s="8">
        <f t="shared" si="53"/>
        <v>765.0555454450888</v>
      </c>
      <c r="AI92" s="8">
        <f t="shared" si="54"/>
        <v>1186.3064817364643</v>
      </c>
      <c r="AJ92" s="8">
        <f t="shared" si="55"/>
        <v>170.27172964330981</v>
      </c>
      <c r="AK92" s="8">
        <f t="shared" si="56"/>
        <v>124.19177366131692</v>
      </c>
      <c r="AL92" s="8">
        <f t="shared" si="57"/>
        <v>5.6117304520472588</v>
      </c>
      <c r="AM92" s="8">
        <f t="shared" si="58"/>
        <v>10.227196017570918</v>
      </c>
      <c r="AN92" s="8">
        <f t="shared" si="59"/>
        <v>0.67561247044871697</v>
      </c>
      <c r="AO92" s="8">
        <f t="shared" si="60"/>
        <v>7.8538484598011795</v>
      </c>
      <c r="AP92" s="8">
        <f t="shared" si="61"/>
        <v>137.59197584158289</v>
      </c>
      <c r="AQ92" s="8">
        <f t="shared" si="62"/>
        <v>524.37531789307616</v>
      </c>
      <c r="AV92" s="8" t="str">
        <f t="shared" si="63"/>
        <v>*</v>
      </c>
      <c r="AW92" s="15" t="str">
        <f t="shared" si="64"/>
        <v>ELESOL</v>
      </c>
      <c r="AX92" s="8" t="s">
        <v>45</v>
      </c>
      <c r="AY92" s="8">
        <f t="shared" si="65"/>
        <v>2070</v>
      </c>
      <c r="AZ92" s="8">
        <f t="shared" si="66"/>
        <v>60.669595461305974</v>
      </c>
      <c r="BA92" s="8">
        <f t="shared" si="67"/>
        <v>3.3005226915940948</v>
      </c>
      <c r="BB92" s="8">
        <f t="shared" si="68"/>
        <v>101.67163122215341</v>
      </c>
      <c r="BC92" s="8">
        <f t="shared" si="69"/>
        <v>3.3301925505028174</v>
      </c>
      <c r="BD92" s="8">
        <f t="shared" si="70"/>
        <v>166.89840413038291</v>
      </c>
      <c r="BE92" s="8">
        <f t="shared" si="71"/>
        <v>1167.618470311593</v>
      </c>
      <c r="BF92" s="8">
        <f t="shared" si="72"/>
        <v>2.2421617036569184</v>
      </c>
      <c r="BG92" s="8">
        <f t="shared" si="73"/>
        <v>625.95453718234535</v>
      </c>
      <c r="BH92" s="8">
        <f t="shared" si="74"/>
        <v>970.61439414801612</v>
      </c>
      <c r="BI92" s="8">
        <f t="shared" si="75"/>
        <v>139.3132333445262</v>
      </c>
      <c r="BJ92" s="8">
        <f t="shared" si="76"/>
        <v>101.61145117744111</v>
      </c>
      <c r="BK92" s="8">
        <f t="shared" si="77"/>
        <v>4.5914158244023024</v>
      </c>
      <c r="BL92" s="8">
        <f t="shared" si="78"/>
        <v>8.3677058325580234</v>
      </c>
      <c r="BM92" s="8">
        <f t="shared" si="79"/>
        <v>0.55277383945804115</v>
      </c>
      <c r="BN92" s="8">
        <f t="shared" si="80"/>
        <v>6.4258760125646015</v>
      </c>
      <c r="BO92" s="8">
        <f t="shared" si="81"/>
        <v>112.57525296129509</v>
      </c>
      <c r="BP92" s="8">
        <f t="shared" si="82"/>
        <v>429.03435100342591</v>
      </c>
    </row>
    <row r="93" spans="2:68" ht="18.75" customHeight="1" x14ac:dyDescent="0.3">
      <c r="B93" s="2" t="s">
        <v>8</v>
      </c>
      <c r="C93" s="3">
        <v>2080</v>
      </c>
      <c r="D93" s="6">
        <v>117.28524628711899</v>
      </c>
      <c r="E93" s="6">
        <v>16.898379977782401</v>
      </c>
      <c r="F93" s="6">
        <v>127.745743300077</v>
      </c>
      <c r="G93" s="6">
        <v>3.7002139450031302</v>
      </c>
      <c r="H93" s="6">
        <v>228.22977689130801</v>
      </c>
      <c r="I93" s="6">
        <v>2164.1296101525099</v>
      </c>
      <c r="J93" s="6">
        <v>2.4912907818410202</v>
      </c>
      <c r="K93" s="6">
        <v>947.65596817119899</v>
      </c>
      <c r="L93" s="6">
        <v>1428.0328150647599</v>
      </c>
      <c r="M93" s="6">
        <v>195.22647307344701</v>
      </c>
      <c r="N93" s="6">
        <v>121.862024595034</v>
      </c>
      <c r="O93" s="6">
        <v>6.5109015462754902</v>
      </c>
      <c r="P93" s="6">
        <v>10.563029668924001</v>
      </c>
      <c r="Q93" s="6">
        <v>0.61419315495337901</v>
      </c>
      <c r="R93" s="6">
        <v>30.509239670784801</v>
      </c>
      <c r="S93" s="6">
        <v>156.981836643734</v>
      </c>
      <c r="T93" s="6">
        <v>533.41002939136899</v>
      </c>
      <c r="W93" s="8" t="str">
        <f t="shared" si="43"/>
        <v>*</v>
      </c>
      <c r="X93" s="15" t="str">
        <f t="shared" si="44"/>
        <v>ELESOL</v>
      </c>
      <c r="Y93" s="15" t="s">
        <v>42</v>
      </c>
      <c r="Z93" s="8">
        <f t="shared" si="45"/>
        <v>2080</v>
      </c>
      <c r="AA93" s="8">
        <f t="shared" si="46"/>
        <v>129.01377091583092</v>
      </c>
      <c r="AB93" s="8">
        <f t="shared" si="47"/>
        <v>18.588217975560642</v>
      </c>
      <c r="AC93" s="8">
        <f t="shared" si="48"/>
        <v>140.52031763008472</v>
      </c>
      <c r="AD93" s="8">
        <f t="shared" si="49"/>
        <v>4.0702353395034434</v>
      </c>
      <c r="AE93" s="8">
        <f t="shared" si="50"/>
        <v>251.05275458043883</v>
      </c>
      <c r="AF93" s="8">
        <f t="shared" si="51"/>
        <v>2380.5425711677613</v>
      </c>
      <c r="AG93" s="8">
        <f t="shared" si="52"/>
        <v>2.7404198600251224</v>
      </c>
      <c r="AH93" s="8">
        <f t="shared" si="53"/>
        <v>1042.421564988319</v>
      </c>
      <c r="AI93" s="8">
        <f t="shared" si="54"/>
        <v>1570.8360965712361</v>
      </c>
      <c r="AJ93" s="8">
        <f t="shared" si="55"/>
        <v>214.74912038079174</v>
      </c>
      <c r="AK93" s="8">
        <f t="shared" si="56"/>
        <v>134.04822705453742</v>
      </c>
      <c r="AL93" s="8">
        <f t="shared" si="57"/>
        <v>7.16199170090304</v>
      </c>
      <c r="AM93" s="8">
        <f t="shared" si="58"/>
        <v>11.619332635816402</v>
      </c>
      <c r="AN93" s="8">
        <f t="shared" si="59"/>
        <v>0.67561247044871697</v>
      </c>
      <c r="AO93" s="8">
        <f t="shared" si="60"/>
        <v>33.560163637863283</v>
      </c>
      <c r="AP93" s="8">
        <f t="shared" si="61"/>
        <v>172.6800203081074</v>
      </c>
      <c r="AQ93" s="8">
        <f t="shared" si="62"/>
        <v>586.75103233050595</v>
      </c>
      <c r="AV93" s="8" t="str">
        <f t="shared" si="63"/>
        <v>*</v>
      </c>
      <c r="AW93" s="15" t="str">
        <f t="shared" si="64"/>
        <v>ELESOL</v>
      </c>
      <c r="AX93" s="8" t="s">
        <v>45</v>
      </c>
      <c r="AY93" s="8">
        <f t="shared" si="65"/>
        <v>2080</v>
      </c>
      <c r="AZ93" s="8">
        <f t="shared" si="66"/>
        <v>105.5567216584071</v>
      </c>
      <c r="BA93" s="8">
        <f t="shared" si="67"/>
        <v>15.208541980004162</v>
      </c>
      <c r="BB93" s="8">
        <f t="shared" si="68"/>
        <v>114.9711689700693</v>
      </c>
      <c r="BC93" s="8">
        <f t="shared" si="69"/>
        <v>3.3301925505028174</v>
      </c>
      <c r="BD93" s="8">
        <f t="shared" si="70"/>
        <v>205.40679920217721</v>
      </c>
      <c r="BE93" s="8">
        <f t="shared" si="71"/>
        <v>1947.7166491372591</v>
      </c>
      <c r="BF93" s="8">
        <f t="shared" si="72"/>
        <v>2.2421617036569184</v>
      </c>
      <c r="BG93" s="8">
        <f t="shared" si="73"/>
        <v>852.89037135407909</v>
      </c>
      <c r="BH93" s="8">
        <f t="shared" si="74"/>
        <v>1285.2295335582839</v>
      </c>
      <c r="BI93" s="8">
        <f t="shared" si="75"/>
        <v>175.70382576610231</v>
      </c>
      <c r="BJ93" s="8">
        <f t="shared" si="76"/>
        <v>109.67582213553061</v>
      </c>
      <c r="BK93" s="8">
        <f t="shared" si="77"/>
        <v>5.8598113916479413</v>
      </c>
      <c r="BL93" s="8">
        <f t="shared" si="78"/>
        <v>9.5067267020316013</v>
      </c>
      <c r="BM93" s="8">
        <f t="shared" si="79"/>
        <v>0.55277383945804115</v>
      </c>
      <c r="BN93" s="8">
        <f t="shared" si="80"/>
        <v>27.458315703706322</v>
      </c>
      <c r="BO93" s="8">
        <f t="shared" si="81"/>
        <v>141.2836529793606</v>
      </c>
      <c r="BP93" s="8">
        <f t="shared" si="82"/>
        <v>480.06902645223209</v>
      </c>
    </row>
    <row r="94" spans="2:68" ht="18.75" customHeight="1" x14ac:dyDescent="0.3">
      <c r="B94" s="2" t="s">
        <v>9</v>
      </c>
      <c r="C94" s="3">
        <v>2021</v>
      </c>
      <c r="D94" s="7"/>
      <c r="E94" s="7"/>
      <c r="F94" s="7"/>
      <c r="G94" s="7"/>
      <c r="H94" s="7"/>
      <c r="I94" s="7"/>
      <c r="J94" s="7"/>
      <c r="K94" s="7"/>
      <c r="L94" s="6">
        <v>34.624426090673403</v>
      </c>
      <c r="M94" s="7"/>
      <c r="N94" s="7"/>
      <c r="O94" s="7"/>
      <c r="P94" s="7"/>
      <c r="Q94" s="7"/>
      <c r="R94" s="7"/>
      <c r="S94" s="7"/>
      <c r="T94" s="7"/>
      <c r="W94" s="8" t="str">
        <f t="shared" si="43"/>
        <v>CAP_BND</v>
      </c>
      <c r="X94" s="15" t="str">
        <f t="shared" si="44"/>
        <v>ELESTG</v>
      </c>
      <c r="Y94" s="15" t="s">
        <v>42</v>
      </c>
      <c r="Z94" s="8">
        <f t="shared" si="45"/>
        <v>2021</v>
      </c>
      <c r="AA94" s="8">
        <f t="shared" si="46"/>
        <v>0</v>
      </c>
      <c r="AB94" s="8">
        <f t="shared" si="47"/>
        <v>0</v>
      </c>
      <c r="AC94" s="8">
        <f t="shared" si="48"/>
        <v>0</v>
      </c>
      <c r="AD94" s="8">
        <f t="shared" si="49"/>
        <v>0</v>
      </c>
      <c r="AE94" s="8">
        <f t="shared" si="50"/>
        <v>0</v>
      </c>
      <c r="AF94" s="8">
        <f t="shared" si="51"/>
        <v>0</v>
      </c>
      <c r="AG94" s="8">
        <f t="shared" si="52"/>
        <v>0</v>
      </c>
      <c r="AH94" s="8">
        <f t="shared" si="53"/>
        <v>0</v>
      </c>
      <c r="AI94" s="8">
        <f t="shared" si="54"/>
        <v>38.086868699740748</v>
      </c>
      <c r="AJ94" s="8">
        <f t="shared" si="55"/>
        <v>0</v>
      </c>
      <c r="AK94" s="8">
        <f t="shared" si="56"/>
        <v>0</v>
      </c>
      <c r="AL94" s="8">
        <f t="shared" si="57"/>
        <v>0</v>
      </c>
      <c r="AM94" s="8">
        <f t="shared" si="58"/>
        <v>0</v>
      </c>
      <c r="AN94" s="8">
        <f t="shared" si="59"/>
        <v>0</v>
      </c>
      <c r="AO94" s="8">
        <f t="shared" si="60"/>
        <v>0</v>
      </c>
      <c r="AP94" s="8">
        <f t="shared" si="61"/>
        <v>0</v>
      </c>
      <c r="AQ94" s="8">
        <f t="shared" si="62"/>
        <v>0</v>
      </c>
      <c r="AV94" s="8" t="str">
        <f t="shared" si="63"/>
        <v>CAP_BND</v>
      </c>
      <c r="AW94" s="15" t="str">
        <f t="shared" si="64"/>
        <v>ELESTG</v>
      </c>
      <c r="AX94" s="8" t="s">
        <v>45</v>
      </c>
      <c r="AY94" s="8">
        <f t="shared" si="65"/>
        <v>2021</v>
      </c>
      <c r="AZ94" s="8">
        <f t="shared" si="66"/>
        <v>0</v>
      </c>
      <c r="BA94" s="8">
        <f t="shared" si="67"/>
        <v>0</v>
      </c>
      <c r="BB94" s="8">
        <f t="shared" si="68"/>
        <v>0</v>
      </c>
      <c r="BC94" s="8">
        <f t="shared" si="69"/>
        <v>0</v>
      </c>
      <c r="BD94" s="8">
        <f t="shared" si="70"/>
        <v>0</v>
      </c>
      <c r="BE94" s="8">
        <f t="shared" si="71"/>
        <v>0</v>
      </c>
      <c r="BF94" s="8">
        <f t="shared" si="72"/>
        <v>0</v>
      </c>
      <c r="BG94" s="8">
        <f t="shared" si="73"/>
        <v>0</v>
      </c>
      <c r="BH94" s="8">
        <f t="shared" si="74"/>
        <v>31.161983481606065</v>
      </c>
      <c r="BI94" s="8">
        <f t="shared" si="75"/>
        <v>0</v>
      </c>
      <c r="BJ94" s="8">
        <f t="shared" si="76"/>
        <v>0</v>
      </c>
      <c r="BK94" s="8">
        <f t="shared" si="77"/>
        <v>0</v>
      </c>
      <c r="BL94" s="8">
        <f t="shared" si="78"/>
        <v>0</v>
      </c>
      <c r="BM94" s="8">
        <f t="shared" si="79"/>
        <v>0</v>
      </c>
      <c r="BN94" s="8">
        <f t="shared" si="80"/>
        <v>0</v>
      </c>
      <c r="BO94" s="8">
        <f t="shared" si="81"/>
        <v>0</v>
      </c>
      <c r="BP94" s="8">
        <f t="shared" si="82"/>
        <v>0</v>
      </c>
    </row>
    <row r="95" spans="2:68" ht="18.75" customHeight="1" x14ac:dyDescent="0.3">
      <c r="B95" s="2" t="s">
        <v>9</v>
      </c>
      <c r="C95" s="3">
        <v>2030</v>
      </c>
      <c r="D95" s="7"/>
      <c r="E95" s="7"/>
      <c r="F95" s="6">
        <v>6.5775389732783998</v>
      </c>
      <c r="G95" s="7"/>
      <c r="H95" s="7"/>
      <c r="I95" s="7"/>
      <c r="J95" s="7"/>
      <c r="K95" s="7"/>
      <c r="L95" s="6">
        <v>47.408222677307499</v>
      </c>
      <c r="M95" s="7"/>
      <c r="N95" s="7"/>
      <c r="O95" s="7"/>
      <c r="P95" s="7"/>
      <c r="Q95" s="7"/>
      <c r="R95" s="7"/>
      <c r="S95" s="7"/>
      <c r="T95" s="7"/>
      <c r="W95" s="8" t="str">
        <f t="shared" si="43"/>
        <v>*</v>
      </c>
      <c r="X95" s="15" t="str">
        <f t="shared" si="44"/>
        <v>ELESTG</v>
      </c>
      <c r="Y95" s="15" t="s">
        <v>42</v>
      </c>
      <c r="Z95" s="8">
        <f t="shared" si="45"/>
        <v>2030</v>
      </c>
      <c r="AA95" s="8">
        <f t="shared" si="46"/>
        <v>0</v>
      </c>
      <c r="AB95" s="8">
        <f t="shared" si="47"/>
        <v>0</v>
      </c>
      <c r="AC95" s="8">
        <f t="shared" si="48"/>
        <v>7.2352928706062407</v>
      </c>
      <c r="AD95" s="8">
        <f t="shared" si="49"/>
        <v>0</v>
      </c>
      <c r="AE95" s="8">
        <f t="shared" si="50"/>
        <v>0</v>
      </c>
      <c r="AF95" s="8">
        <f t="shared" si="51"/>
        <v>0</v>
      </c>
      <c r="AG95" s="8">
        <f t="shared" si="52"/>
        <v>0</v>
      </c>
      <c r="AH95" s="8">
        <f t="shared" si="53"/>
        <v>0</v>
      </c>
      <c r="AI95" s="8">
        <f t="shared" si="54"/>
        <v>52.149044945038256</v>
      </c>
      <c r="AJ95" s="8">
        <f t="shared" si="55"/>
        <v>0</v>
      </c>
      <c r="AK95" s="8">
        <f t="shared" si="56"/>
        <v>0</v>
      </c>
      <c r="AL95" s="8">
        <f t="shared" si="57"/>
        <v>0</v>
      </c>
      <c r="AM95" s="8">
        <f t="shared" si="58"/>
        <v>0</v>
      </c>
      <c r="AN95" s="8">
        <f t="shared" si="59"/>
        <v>0</v>
      </c>
      <c r="AO95" s="8">
        <f t="shared" si="60"/>
        <v>0</v>
      </c>
      <c r="AP95" s="8">
        <f t="shared" si="61"/>
        <v>0</v>
      </c>
      <c r="AQ95" s="8">
        <f t="shared" si="62"/>
        <v>0</v>
      </c>
      <c r="AV95" s="8" t="str">
        <f t="shared" si="63"/>
        <v>*</v>
      </c>
      <c r="AW95" s="15" t="str">
        <f t="shared" si="64"/>
        <v>ELESTG</v>
      </c>
      <c r="AX95" s="8" t="s">
        <v>45</v>
      </c>
      <c r="AY95" s="8">
        <f t="shared" si="65"/>
        <v>2030</v>
      </c>
      <c r="AZ95" s="8">
        <f t="shared" si="66"/>
        <v>0</v>
      </c>
      <c r="BA95" s="8">
        <f t="shared" si="67"/>
        <v>0</v>
      </c>
      <c r="BB95" s="8">
        <f t="shared" si="68"/>
        <v>5.9197850759505597</v>
      </c>
      <c r="BC95" s="8">
        <f t="shared" si="69"/>
        <v>0</v>
      </c>
      <c r="BD95" s="8">
        <f t="shared" si="70"/>
        <v>0</v>
      </c>
      <c r="BE95" s="8">
        <f t="shared" si="71"/>
        <v>0</v>
      </c>
      <c r="BF95" s="8">
        <f t="shared" si="72"/>
        <v>0</v>
      </c>
      <c r="BG95" s="8">
        <f t="shared" si="73"/>
        <v>0</v>
      </c>
      <c r="BH95" s="8">
        <f t="shared" si="74"/>
        <v>42.66740040957675</v>
      </c>
      <c r="BI95" s="8">
        <f t="shared" si="75"/>
        <v>0</v>
      </c>
      <c r="BJ95" s="8">
        <f t="shared" si="76"/>
        <v>0</v>
      </c>
      <c r="BK95" s="8">
        <f t="shared" si="77"/>
        <v>0</v>
      </c>
      <c r="BL95" s="8">
        <f t="shared" si="78"/>
        <v>0</v>
      </c>
      <c r="BM95" s="8">
        <f t="shared" si="79"/>
        <v>0</v>
      </c>
      <c r="BN95" s="8">
        <f t="shared" si="80"/>
        <v>0</v>
      </c>
      <c r="BO95" s="8">
        <f t="shared" si="81"/>
        <v>0</v>
      </c>
      <c r="BP95" s="8">
        <f t="shared" si="82"/>
        <v>0</v>
      </c>
    </row>
    <row r="96" spans="2:68" ht="18.75" customHeight="1" x14ac:dyDescent="0.3">
      <c r="B96" s="2" t="s">
        <v>9</v>
      </c>
      <c r="C96" s="3">
        <v>2040</v>
      </c>
      <c r="D96" s="7"/>
      <c r="E96" s="7"/>
      <c r="F96" s="6">
        <v>24.775508807448599</v>
      </c>
      <c r="G96" s="7"/>
      <c r="H96" s="7"/>
      <c r="I96" s="6">
        <v>6.82838750894153</v>
      </c>
      <c r="J96" s="7"/>
      <c r="K96" s="6">
        <v>0.76096348163910899</v>
      </c>
      <c r="L96" s="6">
        <v>98.702572331466797</v>
      </c>
      <c r="M96" s="7"/>
      <c r="N96" s="7"/>
      <c r="O96" s="7"/>
      <c r="P96" s="7"/>
      <c r="Q96" s="7"/>
      <c r="R96" s="6">
        <v>5.3430954401691197</v>
      </c>
      <c r="S96" s="7"/>
      <c r="T96" s="6">
        <v>6.1895398686898302</v>
      </c>
      <c r="W96" s="8" t="str">
        <f t="shared" si="43"/>
        <v>*</v>
      </c>
      <c r="X96" s="15" t="str">
        <f t="shared" si="44"/>
        <v>ELESTG</v>
      </c>
      <c r="Y96" s="15" t="s">
        <v>42</v>
      </c>
      <c r="Z96" s="8">
        <f t="shared" si="45"/>
        <v>2040</v>
      </c>
      <c r="AA96" s="8">
        <f t="shared" si="46"/>
        <v>0</v>
      </c>
      <c r="AB96" s="8">
        <f t="shared" si="47"/>
        <v>0</v>
      </c>
      <c r="AC96" s="8">
        <f t="shared" si="48"/>
        <v>27.25305968819346</v>
      </c>
      <c r="AD96" s="8">
        <f t="shared" si="49"/>
        <v>0</v>
      </c>
      <c r="AE96" s="8">
        <f t="shared" si="50"/>
        <v>0</v>
      </c>
      <c r="AF96" s="8">
        <f t="shared" si="51"/>
        <v>7.5112262598356834</v>
      </c>
      <c r="AG96" s="8">
        <f t="shared" si="52"/>
        <v>0</v>
      </c>
      <c r="AH96" s="8">
        <f t="shared" si="53"/>
        <v>0.83705982980301996</v>
      </c>
      <c r="AI96" s="8">
        <f t="shared" si="54"/>
        <v>108.57282956461349</v>
      </c>
      <c r="AJ96" s="8">
        <f t="shared" si="55"/>
        <v>0</v>
      </c>
      <c r="AK96" s="8">
        <f t="shared" si="56"/>
        <v>0</v>
      </c>
      <c r="AL96" s="8">
        <f t="shared" si="57"/>
        <v>0</v>
      </c>
      <c r="AM96" s="8">
        <f t="shared" si="58"/>
        <v>0</v>
      </c>
      <c r="AN96" s="8">
        <f t="shared" si="59"/>
        <v>0</v>
      </c>
      <c r="AO96" s="8">
        <f t="shared" si="60"/>
        <v>5.8774049841860325</v>
      </c>
      <c r="AP96" s="8">
        <f t="shared" si="61"/>
        <v>0</v>
      </c>
      <c r="AQ96" s="8">
        <f t="shared" si="62"/>
        <v>6.8084938555588135</v>
      </c>
      <c r="AV96" s="8" t="str">
        <f t="shared" si="63"/>
        <v>*</v>
      </c>
      <c r="AW96" s="15" t="str">
        <f t="shared" si="64"/>
        <v>ELESTG</v>
      </c>
      <c r="AX96" s="8" t="s">
        <v>45</v>
      </c>
      <c r="AY96" s="8">
        <f t="shared" si="65"/>
        <v>2040</v>
      </c>
      <c r="AZ96" s="8">
        <f t="shared" si="66"/>
        <v>0</v>
      </c>
      <c r="BA96" s="8">
        <f t="shared" si="67"/>
        <v>0</v>
      </c>
      <c r="BB96" s="8">
        <f t="shared" si="68"/>
        <v>22.297957926703738</v>
      </c>
      <c r="BC96" s="8">
        <f t="shared" si="69"/>
        <v>0</v>
      </c>
      <c r="BD96" s="8">
        <f t="shared" si="70"/>
        <v>0</v>
      </c>
      <c r="BE96" s="8">
        <f t="shared" si="71"/>
        <v>6.1455487580473775</v>
      </c>
      <c r="BF96" s="8">
        <f t="shared" si="72"/>
        <v>0</v>
      </c>
      <c r="BG96" s="8">
        <f t="shared" si="73"/>
        <v>0.68486713347519812</v>
      </c>
      <c r="BH96" s="8">
        <f t="shared" si="74"/>
        <v>88.832315098320123</v>
      </c>
      <c r="BI96" s="8">
        <f t="shared" si="75"/>
        <v>0</v>
      </c>
      <c r="BJ96" s="8">
        <f t="shared" si="76"/>
        <v>0</v>
      </c>
      <c r="BK96" s="8">
        <f t="shared" si="77"/>
        <v>0</v>
      </c>
      <c r="BL96" s="8">
        <f t="shared" si="78"/>
        <v>0</v>
      </c>
      <c r="BM96" s="8">
        <f t="shared" si="79"/>
        <v>0</v>
      </c>
      <c r="BN96" s="8">
        <f t="shared" si="80"/>
        <v>4.8087858961522079</v>
      </c>
      <c r="BO96" s="8">
        <f t="shared" si="81"/>
        <v>0</v>
      </c>
      <c r="BP96" s="8">
        <f t="shared" si="82"/>
        <v>5.5705858818208469</v>
      </c>
    </row>
    <row r="97" spans="2:68" ht="18.75" customHeight="1" x14ac:dyDescent="0.3">
      <c r="B97" s="2" t="s">
        <v>9</v>
      </c>
      <c r="C97" s="3">
        <v>2050</v>
      </c>
      <c r="D97" s="6">
        <v>6.1402499197333604</v>
      </c>
      <c r="E97" s="7"/>
      <c r="F97" s="6">
        <v>30.8803723553334</v>
      </c>
      <c r="G97" s="7"/>
      <c r="H97" s="7"/>
      <c r="I97" s="6">
        <v>99.875964312573998</v>
      </c>
      <c r="J97" s="7"/>
      <c r="K97" s="6">
        <v>54.010485635408102</v>
      </c>
      <c r="L97" s="6">
        <v>184.22590862463699</v>
      </c>
      <c r="M97" s="7"/>
      <c r="N97" s="6">
        <v>13.0736018410949</v>
      </c>
      <c r="O97" s="7"/>
      <c r="P97" s="7"/>
      <c r="Q97" s="7"/>
      <c r="R97" s="6">
        <v>5.3430954401691197</v>
      </c>
      <c r="S97" s="6">
        <v>5.1817722235973802</v>
      </c>
      <c r="T97" s="6">
        <v>6.1895398686898302</v>
      </c>
      <c r="W97" s="8" t="str">
        <f t="shared" si="43"/>
        <v>*</v>
      </c>
      <c r="X97" s="15" t="str">
        <f t="shared" si="44"/>
        <v>ELESTG</v>
      </c>
      <c r="Y97" s="15" t="s">
        <v>42</v>
      </c>
      <c r="Z97" s="8">
        <f t="shared" si="45"/>
        <v>2050</v>
      </c>
      <c r="AA97" s="8">
        <f t="shared" si="46"/>
        <v>6.7542749117066974</v>
      </c>
      <c r="AB97" s="8">
        <f t="shared" si="47"/>
        <v>0</v>
      </c>
      <c r="AC97" s="8">
        <f t="shared" si="48"/>
        <v>33.968409590866742</v>
      </c>
      <c r="AD97" s="8">
        <f t="shared" si="49"/>
        <v>0</v>
      </c>
      <c r="AE97" s="8">
        <f t="shared" si="50"/>
        <v>0</v>
      </c>
      <c r="AF97" s="8">
        <f t="shared" si="51"/>
        <v>109.86356074383141</v>
      </c>
      <c r="AG97" s="8">
        <f t="shared" si="52"/>
        <v>0</v>
      </c>
      <c r="AH97" s="8">
        <f t="shared" si="53"/>
        <v>59.411534198948914</v>
      </c>
      <c r="AI97" s="8">
        <f t="shared" si="54"/>
        <v>202.64849948710071</v>
      </c>
      <c r="AJ97" s="8">
        <f t="shared" si="55"/>
        <v>0</v>
      </c>
      <c r="AK97" s="8">
        <f t="shared" si="56"/>
        <v>14.380962025204392</v>
      </c>
      <c r="AL97" s="8">
        <f t="shared" si="57"/>
        <v>0</v>
      </c>
      <c r="AM97" s="8">
        <f t="shared" si="58"/>
        <v>0</v>
      </c>
      <c r="AN97" s="8">
        <f t="shared" si="59"/>
        <v>0</v>
      </c>
      <c r="AO97" s="8">
        <f t="shared" si="60"/>
        <v>5.8774049841860325</v>
      </c>
      <c r="AP97" s="8">
        <f t="shared" si="61"/>
        <v>5.6999494459571185</v>
      </c>
      <c r="AQ97" s="8">
        <f t="shared" si="62"/>
        <v>6.8084938555588135</v>
      </c>
      <c r="AV97" s="8" t="str">
        <f t="shared" si="63"/>
        <v>*</v>
      </c>
      <c r="AW97" s="15" t="str">
        <f t="shared" si="64"/>
        <v>ELESTG</v>
      </c>
      <c r="AX97" s="8" t="s">
        <v>45</v>
      </c>
      <c r="AY97" s="8">
        <f t="shared" si="65"/>
        <v>2050</v>
      </c>
      <c r="AZ97" s="8">
        <f t="shared" si="66"/>
        <v>5.5262249277600244</v>
      </c>
      <c r="BA97" s="8">
        <f t="shared" si="67"/>
        <v>0</v>
      </c>
      <c r="BB97" s="8">
        <f t="shared" si="68"/>
        <v>27.792335119800061</v>
      </c>
      <c r="BC97" s="8">
        <f t="shared" si="69"/>
        <v>0</v>
      </c>
      <c r="BD97" s="8">
        <f t="shared" si="70"/>
        <v>0</v>
      </c>
      <c r="BE97" s="8">
        <f t="shared" si="71"/>
        <v>89.888367881316597</v>
      </c>
      <c r="BF97" s="8">
        <f t="shared" si="72"/>
        <v>0</v>
      </c>
      <c r="BG97" s="8">
        <f t="shared" si="73"/>
        <v>48.609437071867291</v>
      </c>
      <c r="BH97" s="8">
        <f t="shared" si="74"/>
        <v>165.80331776217329</v>
      </c>
      <c r="BI97" s="8">
        <f t="shared" si="75"/>
        <v>0</v>
      </c>
      <c r="BJ97" s="8">
        <f t="shared" si="76"/>
        <v>11.766241656985411</v>
      </c>
      <c r="BK97" s="8">
        <f t="shared" si="77"/>
        <v>0</v>
      </c>
      <c r="BL97" s="8">
        <f t="shared" si="78"/>
        <v>0</v>
      </c>
      <c r="BM97" s="8">
        <f t="shared" si="79"/>
        <v>0</v>
      </c>
      <c r="BN97" s="8">
        <f t="shared" si="80"/>
        <v>4.8087858961522079</v>
      </c>
      <c r="BO97" s="8">
        <f t="shared" si="81"/>
        <v>4.6635950012376419</v>
      </c>
      <c r="BP97" s="8">
        <f t="shared" si="82"/>
        <v>5.5705858818208469</v>
      </c>
    </row>
    <row r="98" spans="2:68" ht="18.75" customHeight="1" x14ac:dyDescent="0.3">
      <c r="B98" s="2" t="s">
        <v>9</v>
      </c>
      <c r="C98" s="3">
        <v>2060</v>
      </c>
      <c r="D98" s="6">
        <v>14.246569628522799</v>
      </c>
      <c r="E98" s="7"/>
      <c r="F98" s="6">
        <v>30.8803723553334</v>
      </c>
      <c r="G98" s="7"/>
      <c r="H98" s="7"/>
      <c r="I98" s="6">
        <v>262.05648531462901</v>
      </c>
      <c r="J98" s="7"/>
      <c r="K98" s="6">
        <v>125.53127368289501</v>
      </c>
      <c r="L98" s="6">
        <v>248.471090053517</v>
      </c>
      <c r="M98" s="7"/>
      <c r="N98" s="6">
        <v>22.2811942677627</v>
      </c>
      <c r="O98" s="7"/>
      <c r="P98" s="7"/>
      <c r="Q98" s="7"/>
      <c r="R98" s="6">
        <v>5.9819154040400404</v>
      </c>
      <c r="S98" s="6">
        <v>5.95071247316098</v>
      </c>
      <c r="T98" s="6">
        <v>6.1895398686898302</v>
      </c>
      <c r="W98" s="8" t="str">
        <f t="shared" si="43"/>
        <v>*</v>
      </c>
      <c r="X98" s="15" t="str">
        <f t="shared" si="44"/>
        <v>ELESTG</v>
      </c>
      <c r="Y98" s="15" t="s">
        <v>42</v>
      </c>
      <c r="Z98" s="8">
        <f t="shared" si="45"/>
        <v>2060</v>
      </c>
      <c r="AA98" s="8">
        <f t="shared" si="46"/>
        <v>15.671226591375081</v>
      </c>
      <c r="AB98" s="8">
        <f t="shared" si="47"/>
        <v>0</v>
      </c>
      <c r="AC98" s="8">
        <f t="shared" si="48"/>
        <v>33.968409590866742</v>
      </c>
      <c r="AD98" s="8">
        <f t="shared" si="49"/>
        <v>0</v>
      </c>
      <c r="AE98" s="8">
        <f t="shared" si="50"/>
        <v>0</v>
      </c>
      <c r="AF98" s="8">
        <f t="shared" si="51"/>
        <v>288.26213384609196</v>
      </c>
      <c r="AG98" s="8">
        <f t="shared" si="52"/>
        <v>0</v>
      </c>
      <c r="AH98" s="8">
        <f t="shared" si="53"/>
        <v>138.08440105118453</v>
      </c>
      <c r="AI98" s="8">
        <f t="shared" si="54"/>
        <v>273.31819905886874</v>
      </c>
      <c r="AJ98" s="8">
        <f t="shared" si="55"/>
        <v>0</v>
      </c>
      <c r="AK98" s="8">
        <f t="shared" si="56"/>
        <v>24.509313694538971</v>
      </c>
      <c r="AL98" s="8">
        <f t="shared" si="57"/>
        <v>0</v>
      </c>
      <c r="AM98" s="8">
        <f t="shared" si="58"/>
        <v>0</v>
      </c>
      <c r="AN98" s="8">
        <f t="shared" si="59"/>
        <v>0</v>
      </c>
      <c r="AO98" s="8">
        <f t="shared" si="60"/>
        <v>6.5801069444440445</v>
      </c>
      <c r="AP98" s="8">
        <f t="shared" si="61"/>
        <v>6.5457837204770781</v>
      </c>
      <c r="AQ98" s="8">
        <f t="shared" si="62"/>
        <v>6.8084938555588135</v>
      </c>
      <c r="AV98" s="8" t="str">
        <f t="shared" si="63"/>
        <v>*</v>
      </c>
      <c r="AW98" s="15" t="str">
        <f t="shared" si="64"/>
        <v>ELESTG</v>
      </c>
      <c r="AX98" s="8" t="s">
        <v>45</v>
      </c>
      <c r="AY98" s="8">
        <f t="shared" si="65"/>
        <v>2060</v>
      </c>
      <c r="AZ98" s="8">
        <f t="shared" si="66"/>
        <v>12.821912665670519</v>
      </c>
      <c r="BA98" s="8">
        <f t="shared" si="67"/>
        <v>0</v>
      </c>
      <c r="BB98" s="8">
        <f t="shared" si="68"/>
        <v>27.792335119800061</v>
      </c>
      <c r="BC98" s="8">
        <f t="shared" si="69"/>
        <v>0</v>
      </c>
      <c r="BD98" s="8">
        <f t="shared" si="70"/>
        <v>0</v>
      </c>
      <c r="BE98" s="8">
        <f t="shared" si="71"/>
        <v>235.85083678316613</v>
      </c>
      <c r="BF98" s="8">
        <f t="shared" si="72"/>
        <v>0</v>
      </c>
      <c r="BG98" s="8">
        <f t="shared" si="73"/>
        <v>112.97814631460551</v>
      </c>
      <c r="BH98" s="8">
        <f t="shared" si="74"/>
        <v>223.62398104816532</v>
      </c>
      <c r="BI98" s="8">
        <f t="shared" si="75"/>
        <v>0</v>
      </c>
      <c r="BJ98" s="8">
        <f t="shared" si="76"/>
        <v>20.053074840986429</v>
      </c>
      <c r="BK98" s="8">
        <f t="shared" si="77"/>
        <v>0</v>
      </c>
      <c r="BL98" s="8">
        <f t="shared" si="78"/>
        <v>0</v>
      </c>
      <c r="BM98" s="8">
        <f t="shared" si="79"/>
        <v>0</v>
      </c>
      <c r="BN98" s="8">
        <f t="shared" si="80"/>
        <v>5.3837238636360363</v>
      </c>
      <c r="BO98" s="8">
        <f t="shared" si="81"/>
        <v>5.3556412258448818</v>
      </c>
      <c r="BP98" s="8">
        <f t="shared" si="82"/>
        <v>5.5705858818208469</v>
      </c>
    </row>
    <row r="99" spans="2:68" ht="18.75" customHeight="1" x14ac:dyDescent="0.3">
      <c r="B99" s="2" t="s">
        <v>9</v>
      </c>
      <c r="C99" s="3">
        <v>2070</v>
      </c>
      <c r="D99" s="6">
        <v>23.576769454692101</v>
      </c>
      <c r="E99" s="7"/>
      <c r="F99" s="6">
        <v>35.198143961713903</v>
      </c>
      <c r="G99" s="7"/>
      <c r="H99" s="7"/>
      <c r="I99" s="6">
        <v>505.78244160133801</v>
      </c>
      <c r="J99" s="7"/>
      <c r="K99" s="6">
        <v>150.074066093223</v>
      </c>
      <c r="L99" s="6">
        <v>326.864270810959</v>
      </c>
      <c r="M99" s="7"/>
      <c r="N99" s="6">
        <v>22.2811942677627</v>
      </c>
      <c r="O99" s="7"/>
      <c r="P99" s="7"/>
      <c r="Q99" s="7"/>
      <c r="R99" s="6">
        <v>9.5622255029360499</v>
      </c>
      <c r="S99" s="6">
        <v>5.95071247316098</v>
      </c>
      <c r="T99" s="6">
        <v>6.1895398686898302</v>
      </c>
      <c r="W99" s="8" t="str">
        <f t="shared" si="43"/>
        <v>*</v>
      </c>
      <c r="X99" s="15" t="str">
        <f t="shared" si="44"/>
        <v>ELESTG</v>
      </c>
      <c r="Y99" s="15" t="s">
        <v>42</v>
      </c>
      <c r="Z99" s="8">
        <f t="shared" si="45"/>
        <v>2070</v>
      </c>
      <c r="AA99" s="8">
        <f t="shared" si="46"/>
        <v>25.934446400161313</v>
      </c>
      <c r="AB99" s="8">
        <f t="shared" si="47"/>
        <v>0</v>
      </c>
      <c r="AC99" s="8">
        <f t="shared" si="48"/>
        <v>38.717958357885294</v>
      </c>
      <c r="AD99" s="8">
        <f t="shared" si="49"/>
        <v>0</v>
      </c>
      <c r="AE99" s="8">
        <f t="shared" si="50"/>
        <v>0</v>
      </c>
      <c r="AF99" s="8">
        <f t="shared" si="51"/>
        <v>556.36068576147181</v>
      </c>
      <c r="AG99" s="8">
        <f t="shared" si="52"/>
        <v>0</v>
      </c>
      <c r="AH99" s="8">
        <f t="shared" si="53"/>
        <v>165.08147270254531</v>
      </c>
      <c r="AI99" s="8">
        <f t="shared" si="54"/>
        <v>359.55069789205493</v>
      </c>
      <c r="AJ99" s="8">
        <f t="shared" si="55"/>
        <v>0</v>
      </c>
      <c r="AK99" s="8">
        <f t="shared" si="56"/>
        <v>24.509313694538971</v>
      </c>
      <c r="AL99" s="8">
        <f t="shared" si="57"/>
        <v>0</v>
      </c>
      <c r="AM99" s="8">
        <f t="shared" si="58"/>
        <v>0</v>
      </c>
      <c r="AN99" s="8">
        <f t="shared" si="59"/>
        <v>0</v>
      </c>
      <c r="AO99" s="8">
        <f t="shared" si="60"/>
        <v>10.518448053229656</v>
      </c>
      <c r="AP99" s="8">
        <f t="shared" si="61"/>
        <v>6.5457837204770781</v>
      </c>
      <c r="AQ99" s="8">
        <f t="shared" si="62"/>
        <v>6.8084938555588135</v>
      </c>
      <c r="AV99" s="8" t="str">
        <f t="shared" si="63"/>
        <v>*</v>
      </c>
      <c r="AW99" s="15" t="str">
        <f t="shared" si="64"/>
        <v>ELESTG</v>
      </c>
      <c r="AX99" s="8" t="s">
        <v>45</v>
      </c>
      <c r="AY99" s="8">
        <f t="shared" si="65"/>
        <v>2070</v>
      </c>
      <c r="AZ99" s="8">
        <f t="shared" si="66"/>
        <v>21.219092509222893</v>
      </c>
      <c r="BA99" s="8">
        <f t="shared" si="67"/>
        <v>0</v>
      </c>
      <c r="BB99" s="8">
        <f t="shared" si="68"/>
        <v>31.678329565542512</v>
      </c>
      <c r="BC99" s="8">
        <f t="shared" si="69"/>
        <v>0</v>
      </c>
      <c r="BD99" s="8">
        <f t="shared" si="70"/>
        <v>0</v>
      </c>
      <c r="BE99" s="8">
        <f t="shared" si="71"/>
        <v>455.2041974412042</v>
      </c>
      <c r="BF99" s="8">
        <f t="shared" si="72"/>
        <v>0</v>
      </c>
      <c r="BG99" s="8">
        <f t="shared" si="73"/>
        <v>135.06665948390071</v>
      </c>
      <c r="BH99" s="8">
        <f t="shared" si="74"/>
        <v>294.17784372986313</v>
      </c>
      <c r="BI99" s="8">
        <f t="shared" si="75"/>
        <v>0</v>
      </c>
      <c r="BJ99" s="8">
        <f t="shared" si="76"/>
        <v>20.053074840986429</v>
      </c>
      <c r="BK99" s="8">
        <f t="shared" si="77"/>
        <v>0</v>
      </c>
      <c r="BL99" s="8">
        <f t="shared" si="78"/>
        <v>0</v>
      </c>
      <c r="BM99" s="8">
        <f t="shared" si="79"/>
        <v>0</v>
      </c>
      <c r="BN99" s="8">
        <f t="shared" si="80"/>
        <v>8.6060029526424451</v>
      </c>
      <c r="BO99" s="8">
        <f t="shared" si="81"/>
        <v>5.3556412258448818</v>
      </c>
      <c r="BP99" s="8">
        <f t="shared" si="82"/>
        <v>5.5705858818208469</v>
      </c>
    </row>
    <row r="100" spans="2:68" ht="18.75" customHeight="1" x14ac:dyDescent="0.3">
      <c r="B100" s="2" t="s">
        <v>9</v>
      </c>
      <c r="C100" s="3">
        <v>2080</v>
      </c>
      <c r="D100" s="6">
        <v>40.0157048347791</v>
      </c>
      <c r="E100" s="6">
        <v>4.5806200199786202</v>
      </c>
      <c r="F100" s="6">
        <v>40.659697881754298</v>
      </c>
      <c r="G100" s="7"/>
      <c r="H100" s="7"/>
      <c r="I100" s="6">
        <v>864.38368308850397</v>
      </c>
      <c r="J100" s="7"/>
      <c r="K100" s="6">
        <v>237.94637898882601</v>
      </c>
      <c r="L100" s="6">
        <v>437.07121728195801</v>
      </c>
      <c r="M100" s="7"/>
      <c r="N100" s="6">
        <v>28.512769851250201</v>
      </c>
      <c r="O100" s="7"/>
      <c r="P100" s="6">
        <v>4.8513468498530603</v>
      </c>
      <c r="Q100" s="6">
        <v>5.9475689410663604</v>
      </c>
      <c r="R100" s="6">
        <v>9.5622255029360499</v>
      </c>
      <c r="S100" s="6">
        <v>5.95071247316098</v>
      </c>
      <c r="T100" s="6">
        <v>6.1895398686898302</v>
      </c>
      <c r="W100" s="8" t="str">
        <f t="shared" si="43"/>
        <v>*</v>
      </c>
      <c r="X100" s="15" t="str">
        <f t="shared" si="44"/>
        <v>ELESTG</v>
      </c>
      <c r="Y100" s="15" t="s">
        <v>42</v>
      </c>
      <c r="Z100" s="8">
        <f t="shared" si="45"/>
        <v>2080</v>
      </c>
      <c r="AA100" s="8">
        <f t="shared" si="46"/>
        <v>44.017275318257013</v>
      </c>
      <c r="AB100" s="8">
        <f t="shared" si="47"/>
        <v>5.0386820219764825</v>
      </c>
      <c r="AC100" s="8">
        <f t="shared" si="48"/>
        <v>44.725667669929734</v>
      </c>
      <c r="AD100" s="8">
        <f t="shared" si="49"/>
        <v>0</v>
      </c>
      <c r="AE100" s="8">
        <f t="shared" si="50"/>
        <v>0</v>
      </c>
      <c r="AF100" s="8">
        <f t="shared" si="51"/>
        <v>950.82205139735447</v>
      </c>
      <c r="AG100" s="8">
        <f t="shared" si="52"/>
        <v>0</v>
      </c>
      <c r="AH100" s="8">
        <f t="shared" si="53"/>
        <v>261.74101688770861</v>
      </c>
      <c r="AI100" s="8">
        <f t="shared" si="54"/>
        <v>480.77833901015384</v>
      </c>
      <c r="AJ100" s="8">
        <f t="shared" si="55"/>
        <v>0</v>
      </c>
      <c r="AK100" s="8">
        <f t="shared" si="56"/>
        <v>31.364046836375223</v>
      </c>
      <c r="AL100" s="8">
        <f t="shared" si="57"/>
        <v>0</v>
      </c>
      <c r="AM100" s="8">
        <f t="shared" si="58"/>
        <v>5.3364815348383665</v>
      </c>
      <c r="AN100" s="8">
        <f t="shared" si="59"/>
        <v>6.5423258351729965</v>
      </c>
      <c r="AO100" s="8">
        <f t="shared" si="60"/>
        <v>10.518448053229656</v>
      </c>
      <c r="AP100" s="8">
        <f t="shared" si="61"/>
        <v>6.5457837204770781</v>
      </c>
      <c r="AQ100" s="8">
        <f t="shared" si="62"/>
        <v>6.8084938555588135</v>
      </c>
      <c r="AV100" s="8" t="str">
        <f t="shared" si="63"/>
        <v>*</v>
      </c>
      <c r="AW100" s="15" t="str">
        <f t="shared" si="64"/>
        <v>ELESTG</v>
      </c>
      <c r="AX100" s="8" t="s">
        <v>45</v>
      </c>
      <c r="AY100" s="8">
        <f t="shared" si="65"/>
        <v>2080</v>
      </c>
      <c r="AZ100" s="8">
        <f t="shared" si="66"/>
        <v>36.014134351301195</v>
      </c>
      <c r="BA100" s="8">
        <f t="shared" si="67"/>
        <v>4.1225580179807579</v>
      </c>
      <c r="BB100" s="8">
        <f t="shared" si="68"/>
        <v>36.593728093578868</v>
      </c>
      <c r="BC100" s="8">
        <f t="shared" si="69"/>
        <v>0</v>
      </c>
      <c r="BD100" s="8">
        <f t="shared" si="70"/>
        <v>0</v>
      </c>
      <c r="BE100" s="8">
        <f t="shared" si="71"/>
        <v>777.94531477965359</v>
      </c>
      <c r="BF100" s="8">
        <f t="shared" si="72"/>
        <v>0</v>
      </c>
      <c r="BG100" s="8">
        <f t="shared" si="73"/>
        <v>214.15174108994341</v>
      </c>
      <c r="BH100" s="8">
        <f t="shared" si="74"/>
        <v>393.36409555376224</v>
      </c>
      <c r="BI100" s="8">
        <f t="shared" si="75"/>
        <v>0</v>
      </c>
      <c r="BJ100" s="8">
        <f t="shared" si="76"/>
        <v>25.661492866125183</v>
      </c>
      <c r="BK100" s="8">
        <f t="shared" si="77"/>
        <v>0</v>
      </c>
      <c r="BL100" s="8">
        <f t="shared" si="78"/>
        <v>4.3662121648677541</v>
      </c>
      <c r="BM100" s="8">
        <f t="shared" si="79"/>
        <v>5.3528120469597242</v>
      </c>
      <c r="BN100" s="8">
        <f t="shared" si="80"/>
        <v>8.6060029526424451</v>
      </c>
      <c r="BO100" s="8">
        <f t="shared" si="81"/>
        <v>5.3556412258448818</v>
      </c>
      <c r="BP100" s="8">
        <f t="shared" si="82"/>
        <v>5.5705858818208469</v>
      </c>
    </row>
    <row r="101" spans="2:68" ht="18.75" customHeight="1" x14ac:dyDescent="0.3">
      <c r="B101" s="2" t="s">
        <v>10</v>
      </c>
      <c r="C101" s="3">
        <v>2017</v>
      </c>
      <c r="D101" s="6">
        <v>7.7269472360041403E-3</v>
      </c>
      <c r="E101" s="6">
        <v>0.146811997484079</v>
      </c>
      <c r="F101" s="6">
        <v>0.26373362892464303</v>
      </c>
      <c r="G101" s="6">
        <v>1.3940277782864401</v>
      </c>
      <c r="H101" s="6">
        <v>0.88542361165300698</v>
      </c>
      <c r="I101" s="6">
        <v>9.0112439114759404</v>
      </c>
      <c r="J101" s="6">
        <v>0.25307611916995598</v>
      </c>
      <c r="K101" s="6">
        <v>9.2764431021292193</v>
      </c>
      <c r="L101" s="6">
        <v>3.1878015743128101</v>
      </c>
      <c r="M101" s="6">
        <v>2.43867063991188</v>
      </c>
      <c r="N101" s="6">
        <v>7.9201103190613895E-2</v>
      </c>
      <c r="O101" s="6">
        <v>0.909136543817466</v>
      </c>
      <c r="P101" s="6">
        <v>2.3873941449962399</v>
      </c>
      <c r="Q101" s="7"/>
      <c r="R101" s="6">
        <v>1.09304449468465</v>
      </c>
      <c r="S101" s="6">
        <v>0.120998581678957</v>
      </c>
      <c r="T101" s="6">
        <v>4.0841563022867398</v>
      </c>
      <c r="W101" s="8" t="str">
        <f t="shared" si="43"/>
        <v>CAP_BND</v>
      </c>
      <c r="X101" s="15" t="str">
        <f t="shared" si="44"/>
        <v>ELEWAS</v>
      </c>
      <c r="Y101" s="15" t="s">
        <v>42</v>
      </c>
      <c r="Z101" s="8">
        <f t="shared" si="45"/>
        <v>2017</v>
      </c>
      <c r="AA101" s="8">
        <f t="shared" si="46"/>
        <v>8.4996419596045543E-3</v>
      </c>
      <c r="AB101" s="8">
        <f t="shared" si="47"/>
        <v>0.16149319723248692</v>
      </c>
      <c r="AC101" s="8">
        <f t="shared" si="48"/>
        <v>0.29010699181710736</v>
      </c>
      <c r="AD101" s="8">
        <f t="shared" si="49"/>
        <v>1.5334305561150843</v>
      </c>
      <c r="AE101" s="8">
        <f t="shared" si="50"/>
        <v>0.97396597281830777</v>
      </c>
      <c r="AF101" s="8">
        <f t="shared" si="51"/>
        <v>9.9123683026235359</v>
      </c>
      <c r="AG101" s="8">
        <f t="shared" si="52"/>
        <v>0.27838373108695158</v>
      </c>
      <c r="AH101" s="8">
        <f t="shared" si="53"/>
        <v>10.204087412342142</v>
      </c>
      <c r="AI101" s="8">
        <f t="shared" si="54"/>
        <v>3.5065817317440913</v>
      </c>
      <c r="AJ101" s="8">
        <f t="shared" si="55"/>
        <v>2.6825377039030682</v>
      </c>
      <c r="AK101" s="8">
        <f t="shared" si="56"/>
        <v>8.7121213509675291E-2</v>
      </c>
      <c r="AL101" s="8">
        <f t="shared" si="57"/>
        <v>1.0000501981992127</v>
      </c>
      <c r="AM101" s="8">
        <f t="shared" si="58"/>
        <v>2.6261335594958641</v>
      </c>
      <c r="AN101" s="8">
        <f t="shared" si="59"/>
        <v>0</v>
      </c>
      <c r="AO101" s="8">
        <f t="shared" si="60"/>
        <v>1.2023489441531152</v>
      </c>
      <c r="AP101" s="8">
        <f t="shared" si="61"/>
        <v>0.13309843984685271</v>
      </c>
      <c r="AQ101" s="8">
        <f t="shared" si="62"/>
        <v>4.4925719325154141</v>
      </c>
      <c r="AV101" s="8" t="str">
        <f t="shared" si="63"/>
        <v>CAP_BND</v>
      </c>
      <c r="AW101" s="15" t="str">
        <f t="shared" si="64"/>
        <v>ELEWAS</v>
      </c>
      <c r="AX101" s="8" t="s">
        <v>45</v>
      </c>
      <c r="AY101" s="8">
        <f t="shared" si="65"/>
        <v>2017</v>
      </c>
      <c r="AZ101" s="8">
        <f t="shared" si="66"/>
        <v>6.9542525124037264E-3</v>
      </c>
      <c r="BA101" s="8">
        <f t="shared" si="67"/>
        <v>0.1321307977356711</v>
      </c>
      <c r="BB101" s="8">
        <f t="shared" si="68"/>
        <v>0.23736026603217872</v>
      </c>
      <c r="BC101" s="8">
        <f t="shared" si="69"/>
        <v>1.2546250004577961</v>
      </c>
      <c r="BD101" s="8">
        <f t="shared" si="70"/>
        <v>0.79688125048770631</v>
      </c>
      <c r="BE101" s="8">
        <f t="shared" si="71"/>
        <v>8.1101195203283467</v>
      </c>
      <c r="BF101" s="8">
        <f t="shared" si="72"/>
        <v>0.22776850725296038</v>
      </c>
      <c r="BG101" s="8">
        <f t="shared" si="73"/>
        <v>8.3487987919162983</v>
      </c>
      <c r="BH101" s="8">
        <f t="shared" si="74"/>
        <v>2.8690214168815293</v>
      </c>
      <c r="BI101" s="8">
        <f t="shared" si="75"/>
        <v>2.1948035759206923</v>
      </c>
      <c r="BJ101" s="8">
        <f t="shared" si="76"/>
        <v>7.1280992871552512E-2</v>
      </c>
      <c r="BK101" s="8">
        <f t="shared" si="77"/>
        <v>0.81822288943571941</v>
      </c>
      <c r="BL101" s="8">
        <f t="shared" si="78"/>
        <v>2.1486547304966161</v>
      </c>
      <c r="BM101" s="8">
        <f t="shared" si="79"/>
        <v>0</v>
      </c>
      <c r="BN101" s="8">
        <f t="shared" si="80"/>
        <v>0.98374004521618508</v>
      </c>
      <c r="BO101" s="8">
        <f t="shared" si="81"/>
        <v>0.10889872351106129</v>
      </c>
      <c r="BP101" s="8">
        <f t="shared" si="82"/>
        <v>3.6757406720580659</v>
      </c>
    </row>
    <row r="102" spans="2:68" ht="18.75" customHeight="1" x14ac:dyDescent="0.3">
      <c r="B102" s="2" t="s">
        <v>10</v>
      </c>
      <c r="C102" s="3">
        <v>2018</v>
      </c>
      <c r="D102" s="6">
        <v>7.7269472360041403E-3</v>
      </c>
      <c r="E102" s="6">
        <v>0.33998567838418298</v>
      </c>
      <c r="F102" s="6">
        <v>0.26639760497438703</v>
      </c>
      <c r="G102" s="6">
        <v>1.4719547969484099</v>
      </c>
      <c r="H102" s="6">
        <v>0.88542361165300698</v>
      </c>
      <c r="I102" s="6">
        <v>10.6961975767416</v>
      </c>
      <c r="J102" s="6">
        <v>0.25307611916995598</v>
      </c>
      <c r="K102" s="6">
        <v>9.2764431021292193</v>
      </c>
      <c r="L102" s="6">
        <v>3.1878015743128101</v>
      </c>
      <c r="M102" s="6">
        <v>2.43867063991188</v>
      </c>
      <c r="N102" s="6">
        <v>7.9201103190613895E-2</v>
      </c>
      <c r="O102" s="6">
        <v>0.909136543817466</v>
      </c>
      <c r="P102" s="6">
        <v>2.6441031928453</v>
      </c>
      <c r="Q102" s="7"/>
      <c r="R102" s="6">
        <v>1.21228571228661</v>
      </c>
      <c r="S102" s="6">
        <v>0.120998581678957</v>
      </c>
      <c r="T102" s="6">
        <v>4.0872449004482903</v>
      </c>
      <c r="W102" s="8" t="str">
        <f t="shared" si="43"/>
        <v>CAP_BND</v>
      </c>
      <c r="X102" s="15" t="str">
        <f t="shared" si="44"/>
        <v>ELEWAS</v>
      </c>
      <c r="Y102" s="15" t="s">
        <v>42</v>
      </c>
      <c r="Z102" s="8">
        <f t="shared" si="45"/>
        <v>2018</v>
      </c>
      <c r="AA102" s="8">
        <f t="shared" si="46"/>
        <v>8.4996419596045543E-3</v>
      </c>
      <c r="AB102" s="8">
        <f t="shared" si="47"/>
        <v>0.37398424622260129</v>
      </c>
      <c r="AC102" s="8">
        <f t="shared" si="48"/>
        <v>0.29303736547182574</v>
      </c>
      <c r="AD102" s="8">
        <f t="shared" si="49"/>
        <v>1.6191502766432511</v>
      </c>
      <c r="AE102" s="8">
        <f t="shared" si="50"/>
        <v>0.97396597281830777</v>
      </c>
      <c r="AF102" s="8">
        <f t="shared" si="51"/>
        <v>11.765817334415761</v>
      </c>
      <c r="AG102" s="8">
        <f t="shared" si="52"/>
        <v>0.27838373108695158</v>
      </c>
      <c r="AH102" s="8">
        <f t="shared" si="53"/>
        <v>10.204087412342142</v>
      </c>
      <c r="AI102" s="8">
        <f t="shared" si="54"/>
        <v>3.5065817317440913</v>
      </c>
      <c r="AJ102" s="8">
        <f t="shared" si="55"/>
        <v>2.6825377039030682</v>
      </c>
      <c r="AK102" s="8">
        <f t="shared" si="56"/>
        <v>8.7121213509675291E-2</v>
      </c>
      <c r="AL102" s="8">
        <f t="shared" si="57"/>
        <v>1.0000501981992127</v>
      </c>
      <c r="AM102" s="8">
        <f t="shared" si="58"/>
        <v>2.9085135121298302</v>
      </c>
      <c r="AN102" s="8">
        <f t="shared" si="59"/>
        <v>0</v>
      </c>
      <c r="AO102" s="8">
        <f t="shared" si="60"/>
        <v>1.3335142835152711</v>
      </c>
      <c r="AP102" s="8">
        <f t="shared" si="61"/>
        <v>0.13309843984685271</v>
      </c>
      <c r="AQ102" s="8">
        <f t="shared" si="62"/>
        <v>4.4959693904931193</v>
      </c>
      <c r="AV102" s="8" t="str">
        <f t="shared" si="63"/>
        <v>CAP_BND</v>
      </c>
      <c r="AW102" s="15" t="str">
        <f t="shared" si="64"/>
        <v>ELEWAS</v>
      </c>
      <c r="AX102" s="8" t="s">
        <v>45</v>
      </c>
      <c r="AY102" s="8">
        <f t="shared" si="65"/>
        <v>2018</v>
      </c>
      <c r="AZ102" s="8">
        <f t="shared" si="66"/>
        <v>6.9542525124037264E-3</v>
      </c>
      <c r="BA102" s="8">
        <f t="shared" si="67"/>
        <v>0.30598711054576466</v>
      </c>
      <c r="BB102" s="8">
        <f t="shared" si="68"/>
        <v>0.23975784447694834</v>
      </c>
      <c r="BC102" s="8">
        <f t="shared" si="69"/>
        <v>1.324759317253569</v>
      </c>
      <c r="BD102" s="8">
        <f t="shared" si="70"/>
        <v>0.79688125048770631</v>
      </c>
      <c r="BE102" s="8">
        <f t="shared" si="71"/>
        <v>9.6265778190674407</v>
      </c>
      <c r="BF102" s="8">
        <f t="shared" si="72"/>
        <v>0.22776850725296038</v>
      </c>
      <c r="BG102" s="8">
        <f t="shared" si="73"/>
        <v>8.3487987919162983</v>
      </c>
      <c r="BH102" s="8">
        <f t="shared" si="74"/>
        <v>2.8690214168815293</v>
      </c>
      <c r="BI102" s="8">
        <f t="shared" si="75"/>
        <v>2.1948035759206923</v>
      </c>
      <c r="BJ102" s="8">
        <f t="shared" si="76"/>
        <v>7.1280992871552512E-2</v>
      </c>
      <c r="BK102" s="8">
        <f t="shared" si="77"/>
        <v>0.81822288943571941</v>
      </c>
      <c r="BL102" s="8">
        <f t="shared" si="78"/>
        <v>2.3796928735607703</v>
      </c>
      <c r="BM102" s="8">
        <f t="shared" si="79"/>
        <v>0</v>
      </c>
      <c r="BN102" s="8">
        <f t="shared" si="80"/>
        <v>1.091057141057949</v>
      </c>
      <c r="BO102" s="8">
        <f t="shared" si="81"/>
        <v>0.10889872351106129</v>
      </c>
      <c r="BP102" s="8">
        <f t="shared" si="82"/>
        <v>3.6785204104034612</v>
      </c>
    </row>
    <row r="103" spans="2:68" ht="18.75" customHeight="1" x14ac:dyDescent="0.3">
      <c r="B103" s="2" t="s">
        <v>10</v>
      </c>
      <c r="C103" s="3">
        <v>2019</v>
      </c>
      <c r="D103" s="6">
        <v>7.7269472360041403E-3</v>
      </c>
      <c r="E103" s="6">
        <v>0.33998567838418298</v>
      </c>
      <c r="F103" s="6">
        <v>0.26906158102413102</v>
      </c>
      <c r="G103" s="6">
        <v>0.37124737425949</v>
      </c>
      <c r="H103" s="6">
        <v>0.88542361165300698</v>
      </c>
      <c r="I103" s="6">
        <v>11.4735104554691</v>
      </c>
      <c r="J103" s="6">
        <v>0</v>
      </c>
      <c r="K103" s="6">
        <v>9.5568191889811391</v>
      </c>
      <c r="L103" s="6">
        <v>3.7868515345863498</v>
      </c>
      <c r="M103" s="6">
        <v>2.43867063991188</v>
      </c>
      <c r="N103" s="6">
        <v>7.0756179911259695E-2</v>
      </c>
      <c r="O103" s="6">
        <v>0.909136543817466</v>
      </c>
      <c r="P103" s="6">
        <v>2.38217434916176</v>
      </c>
      <c r="Q103" s="7"/>
      <c r="R103" s="6">
        <v>1.16260187161913</v>
      </c>
      <c r="S103" s="6">
        <v>0.114630235274802</v>
      </c>
      <c r="T103" s="6">
        <v>2.6324602951299001</v>
      </c>
      <c r="W103" s="8" t="str">
        <f t="shared" si="43"/>
        <v>CAP_BND</v>
      </c>
      <c r="X103" s="15" t="str">
        <f t="shared" si="44"/>
        <v>ELEWAS</v>
      </c>
      <c r="Y103" s="15" t="s">
        <v>42</v>
      </c>
      <c r="Z103" s="8">
        <f t="shared" si="45"/>
        <v>2019</v>
      </c>
      <c r="AA103" s="8">
        <f t="shared" si="46"/>
        <v>8.4996419596045543E-3</v>
      </c>
      <c r="AB103" s="8">
        <f t="shared" si="47"/>
        <v>0.37398424622260129</v>
      </c>
      <c r="AC103" s="8">
        <f t="shared" si="48"/>
        <v>0.29596773912654417</v>
      </c>
      <c r="AD103" s="8">
        <f t="shared" si="49"/>
        <v>0.40837211168543902</v>
      </c>
      <c r="AE103" s="8">
        <f t="shared" si="50"/>
        <v>0.97396597281830777</v>
      </c>
      <c r="AF103" s="8">
        <f t="shared" si="51"/>
        <v>12.620861501016011</v>
      </c>
      <c r="AG103" s="8">
        <f t="shared" si="52"/>
        <v>0</v>
      </c>
      <c r="AH103" s="8">
        <f t="shared" si="53"/>
        <v>10.512501107879254</v>
      </c>
      <c r="AI103" s="8">
        <f t="shared" si="54"/>
        <v>4.1655366880449849</v>
      </c>
      <c r="AJ103" s="8">
        <f t="shared" si="55"/>
        <v>2.6825377039030682</v>
      </c>
      <c r="AK103" s="8">
        <f t="shared" si="56"/>
        <v>7.7831797902385674E-2</v>
      </c>
      <c r="AL103" s="8">
        <f t="shared" si="57"/>
        <v>1.0000501981992127</v>
      </c>
      <c r="AM103" s="8">
        <f t="shared" si="58"/>
        <v>2.620391784077936</v>
      </c>
      <c r="AN103" s="8">
        <f t="shared" si="59"/>
        <v>0</v>
      </c>
      <c r="AO103" s="8">
        <f t="shared" si="60"/>
        <v>1.2788620587810431</v>
      </c>
      <c r="AP103" s="8">
        <f t="shared" si="61"/>
        <v>0.1260932588022822</v>
      </c>
      <c r="AQ103" s="8">
        <f t="shared" si="62"/>
        <v>2.8957063246428905</v>
      </c>
      <c r="AV103" s="8" t="str">
        <f t="shared" si="63"/>
        <v>CAP_BND</v>
      </c>
      <c r="AW103" s="15" t="str">
        <f t="shared" si="64"/>
        <v>ELEWAS</v>
      </c>
      <c r="AX103" s="8" t="s">
        <v>45</v>
      </c>
      <c r="AY103" s="8">
        <f t="shared" si="65"/>
        <v>2019</v>
      </c>
      <c r="AZ103" s="8">
        <f t="shared" si="66"/>
        <v>6.9542525124037264E-3</v>
      </c>
      <c r="BA103" s="8">
        <f t="shared" si="67"/>
        <v>0.30598711054576466</v>
      </c>
      <c r="BB103" s="8">
        <f t="shared" si="68"/>
        <v>0.24215542292171793</v>
      </c>
      <c r="BC103" s="8">
        <f t="shared" si="69"/>
        <v>0.33412263683354099</v>
      </c>
      <c r="BD103" s="8">
        <f t="shared" si="70"/>
        <v>0.79688125048770631</v>
      </c>
      <c r="BE103" s="8">
        <f t="shared" si="71"/>
        <v>10.326159409922191</v>
      </c>
      <c r="BF103" s="8">
        <f t="shared" si="72"/>
        <v>0</v>
      </c>
      <c r="BG103" s="8">
        <f t="shared" si="73"/>
        <v>8.6011372700830258</v>
      </c>
      <c r="BH103" s="8">
        <f t="shared" si="74"/>
        <v>3.4081663811277148</v>
      </c>
      <c r="BI103" s="8">
        <f t="shared" si="75"/>
        <v>2.1948035759206923</v>
      </c>
      <c r="BJ103" s="8">
        <f t="shared" si="76"/>
        <v>6.368056192013373E-2</v>
      </c>
      <c r="BK103" s="8">
        <f t="shared" si="77"/>
        <v>0.81822288943571941</v>
      </c>
      <c r="BL103" s="8">
        <f t="shared" si="78"/>
        <v>2.1439569142455839</v>
      </c>
      <c r="BM103" s="8">
        <f t="shared" si="79"/>
        <v>0</v>
      </c>
      <c r="BN103" s="8">
        <f t="shared" si="80"/>
        <v>1.0463416844572171</v>
      </c>
      <c r="BO103" s="8">
        <f t="shared" si="81"/>
        <v>0.1031672117473218</v>
      </c>
      <c r="BP103" s="8">
        <f t="shared" si="82"/>
        <v>2.3692142656169102</v>
      </c>
    </row>
    <row r="104" spans="2:68" ht="18.75" customHeight="1" x14ac:dyDescent="0.3">
      <c r="B104" s="2" t="s">
        <v>10</v>
      </c>
      <c r="C104" s="3">
        <v>2020</v>
      </c>
      <c r="D104" s="6">
        <v>7.7269472360041403E-3</v>
      </c>
      <c r="E104" s="6">
        <v>0.33998567838418298</v>
      </c>
      <c r="F104" s="6">
        <v>0.26906158102413102</v>
      </c>
      <c r="G104" s="6">
        <v>0</v>
      </c>
      <c r="H104" s="6">
        <v>0.78263444067565702</v>
      </c>
      <c r="I104" s="6">
        <v>12.683698170853299</v>
      </c>
      <c r="J104" s="6">
        <v>0.37619423119858397</v>
      </c>
      <c r="K104" s="6">
        <v>9.8131630398171907</v>
      </c>
      <c r="L104" s="6">
        <v>4.7282157578733601</v>
      </c>
      <c r="M104" s="6">
        <v>2.43867063991188</v>
      </c>
      <c r="N104" s="6">
        <v>3.9293097036633702E-2</v>
      </c>
      <c r="O104" s="6">
        <v>0.909136543817466</v>
      </c>
      <c r="P104" s="6">
        <v>2.3103814306415198</v>
      </c>
      <c r="Q104" s="7"/>
      <c r="R104" s="6">
        <v>1.16260187161913</v>
      </c>
      <c r="S104" s="6">
        <v>0.114630235274802</v>
      </c>
      <c r="T104" s="6">
        <v>2.55624215112103</v>
      </c>
      <c r="W104" s="8" t="str">
        <f t="shared" si="43"/>
        <v>CAP_BND</v>
      </c>
      <c r="X104" s="15" t="str">
        <f t="shared" si="44"/>
        <v>ELEWAS</v>
      </c>
      <c r="Y104" s="15" t="s">
        <v>42</v>
      </c>
      <c r="Z104" s="8">
        <f t="shared" si="45"/>
        <v>2020</v>
      </c>
      <c r="AA104" s="8">
        <f t="shared" si="46"/>
        <v>8.4996419596045543E-3</v>
      </c>
      <c r="AB104" s="8">
        <f t="shared" si="47"/>
        <v>0.37398424622260129</v>
      </c>
      <c r="AC104" s="8">
        <f t="shared" si="48"/>
        <v>0.29596773912654417</v>
      </c>
      <c r="AD104" s="8">
        <f t="shared" si="49"/>
        <v>0</v>
      </c>
      <c r="AE104" s="8">
        <f t="shared" si="50"/>
        <v>0.86089788474322282</v>
      </c>
      <c r="AF104" s="8">
        <f t="shared" si="51"/>
        <v>13.95206798793863</v>
      </c>
      <c r="AG104" s="8">
        <f t="shared" si="52"/>
        <v>0.41381365431844241</v>
      </c>
      <c r="AH104" s="8">
        <f t="shared" si="53"/>
        <v>10.79447934379891</v>
      </c>
      <c r="AI104" s="8">
        <f t="shared" si="54"/>
        <v>5.2010373336606968</v>
      </c>
      <c r="AJ104" s="8">
        <f t="shared" si="55"/>
        <v>2.6825377039030682</v>
      </c>
      <c r="AK104" s="8">
        <f t="shared" si="56"/>
        <v>4.3222406740297079E-2</v>
      </c>
      <c r="AL104" s="8">
        <f t="shared" si="57"/>
        <v>1.0000501981992127</v>
      </c>
      <c r="AM104" s="8">
        <f t="shared" si="58"/>
        <v>2.5414195737056722</v>
      </c>
      <c r="AN104" s="8">
        <f t="shared" si="59"/>
        <v>0</v>
      </c>
      <c r="AO104" s="8">
        <f t="shared" si="60"/>
        <v>1.2788620587810431</v>
      </c>
      <c r="AP104" s="8">
        <f t="shared" si="61"/>
        <v>0.1260932588022822</v>
      </c>
      <c r="AQ104" s="8">
        <f t="shared" si="62"/>
        <v>2.8118663662331334</v>
      </c>
      <c r="AV104" s="8" t="str">
        <f t="shared" si="63"/>
        <v>CAP_BND</v>
      </c>
      <c r="AW104" s="15" t="str">
        <f t="shared" si="64"/>
        <v>ELEWAS</v>
      </c>
      <c r="AX104" s="8" t="s">
        <v>45</v>
      </c>
      <c r="AY104" s="8">
        <f t="shared" si="65"/>
        <v>2020</v>
      </c>
      <c r="AZ104" s="8">
        <f t="shared" si="66"/>
        <v>6.9542525124037264E-3</v>
      </c>
      <c r="BA104" s="8">
        <f t="shared" si="67"/>
        <v>0.30598711054576466</v>
      </c>
      <c r="BB104" s="8">
        <f t="shared" si="68"/>
        <v>0.24215542292171793</v>
      </c>
      <c r="BC104" s="8">
        <f t="shared" si="69"/>
        <v>0</v>
      </c>
      <c r="BD104" s="8">
        <f t="shared" si="70"/>
        <v>0.70437099660809133</v>
      </c>
      <c r="BE104" s="8">
        <f t="shared" si="71"/>
        <v>11.41532835376797</v>
      </c>
      <c r="BF104" s="8">
        <f t="shared" si="72"/>
        <v>0.33857480807872559</v>
      </c>
      <c r="BG104" s="8">
        <f t="shared" si="73"/>
        <v>8.8318467358354713</v>
      </c>
      <c r="BH104" s="8">
        <f t="shared" si="74"/>
        <v>4.2553941820860244</v>
      </c>
      <c r="BI104" s="8">
        <f t="shared" si="75"/>
        <v>2.1948035759206923</v>
      </c>
      <c r="BJ104" s="8">
        <f t="shared" si="76"/>
        <v>3.5363787332970333E-2</v>
      </c>
      <c r="BK104" s="8">
        <f t="shared" si="77"/>
        <v>0.81822288943571941</v>
      </c>
      <c r="BL104" s="8">
        <f t="shared" si="78"/>
        <v>2.0793432875773679</v>
      </c>
      <c r="BM104" s="8">
        <f t="shared" si="79"/>
        <v>0</v>
      </c>
      <c r="BN104" s="8">
        <f t="shared" si="80"/>
        <v>1.0463416844572171</v>
      </c>
      <c r="BO104" s="8">
        <f t="shared" si="81"/>
        <v>0.1031672117473218</v>
      </c>
      <c r="BP104" s="8">
        <f t="shared" si="82"/>
        <v>2.3006179360089272</v>
      </c>
    </row>
    <row r="105" spans="2:68" ht="18.75" customHeight="1" x14ac:dyDescent="0.3">
      <c r="B105" s="2" t="s">
        <v>10</v>
      </c>
      <c r="C105" s="3">
        <v>2021</v>
      </c>
      <c r="D105" s="6">
        <v>7.7269472360041403E-3</v>
      </c>
      <c r="E105" s="6">
        <v>0.33998567838418298</v>
      </c>
      <c r="F105" s="6">
        <v>0.26906158102413102</v>
      </c>
      <c r="G105" s="6">
        <v>0</v>
      </c>
      <c r="H105" s="6">
        <v>0.78263444067565702</v>
      </c>
      <c r="I105" s="6">
        <v>12.753516692894699</v>
      </c>
      <c r="J105" s="6">
        <v>0.37619423119858397</v>
      </c>
      <c r="K105" s="6">
        <v>9.8345250273868601</v>
      </c>
      <c r="L105" s="6">
        <v>5.6768212394076096</v>
      </c>
      <c r="M105" s="6">
        <v>2.4714821283216901</v>
      </c>
      <c r="N105" s="6">
        <v>3.9293097036633702E-2</v>
      </c>
      <c r="O105" s="6">
        <v>0</v>
      </c>
      <c r="P105" s="6">
        <v>2.6492373738022801</v>
      </c>
      <c r="Q105" s="7"/>
      <c r="R105" s="6">
        <v>1.16260187161913</v>
      </c>
      <c r="S105" s="6">
        <v>0.114630235274802</v>
      </c>
      <c r="T105" s="6">
        <v>2.3288030138070499</v>
      </c>
      <c r="W105" s="8" t="str">
        <f t="shared" si="43"/>
        <v>CAP_BND</v>
      </c>
      <c r="X105" s="15" t="str">
        <f t="shared" si="44"/>
        <v>ELEWAS</v>
      </c>
      <c r="Y105" s="15" t="s">
        <v>42</v>
      </c>
      <c r="Z105" s="8">
        <f t="shared" si="45"/>
        <v>2021</v>
      </c>
      <c r="AA105" s="8">
        <f t="shared" si="46"/>
        <v>8.4996419596045543E-3</v>
      </c>
      <c r="AB105" s="8">
        <f t="shared" si="47"/>
        <v>0.37398424622260129</v>
      </c>
      <c r="AC105" s="8">
        <f t="shared" si="48"/>
        <v>0.29596773912654417</v>
      </c>
      <c r="AD105" s="8">
        <f t="shared" si="49"/>
        <v>0</v>
      </c>
      <c r="AE105" s="8">
        <f t="shared" si="50"/>
        <v>0.86089788474322282</v>
      </c>
      <c r="AF105" s="8">
        <f t="shared" si="51"/>
        <v>14.02886836218417</v>
      </c>
      <c r="AG105" s="8">
        <f t="shared" si="52"/>
        <v>0.41381365431844241</v>
      </c>
      <c r="AH105" s="8">
        <f t="shared" si="53"/>
        <v>10.817977530125546</v>
      </c>
      <c r="AI105" s="8">
        <f t="shared" si="54"/>
        <v>6.2445033633483709</v>
      </c>
      <c r="AJ105" s="8">
        <f t="shared" si="55"/>
        <v>2.7186303411538595</v>
      </c>
      <c r="AK105" s="8">
        <f t="shared" si="56"/>
        <v>4.3222406740297079E-2</v>
      </c>
      <c r="AL105" s="8">
        <f t="shared" si="57"/>
        <v>0</v>
      </c>
      <c r="AM105" s="8">
        <f t="shared" si="58"/>
        <v>2.9141611111825085</v>
      </c>
      <c r="AN105" s="8">
        <f t="shared" si="59"/>
        <v>0</v>
      </c>
      <c r="AO105" s="8">
        <f t="shared" si="60"/>
        <v>1.2788620587810431</v>
      </c>
      <c r="AP105" s="8">
        <f t="shared" si="61"/>
        <v>0.1260932588022822</v>
      </c>
      <c r="AQ105" s="8">
        <f t="shared" si="62"/>
        <v>2.5616833151877549</v>
      </c>
      <c r="AV105" s="8" t="str">
        <f t="shared" si="63"/>
        <v>CAP_BND</v>
      </c>
      <c r="AW105" s="15" t="str">
        <f t="shared" si="64"/>
        <v>ELEWAS</v>
      </c>
      <c r="AX105" s="8" t="s">
        <v>45</v>
      </c>
      <c r="AY105" s="8">
        <f t="shared" si="65"/>
        <v>2021</v>
      </c>
      <c r="AZ105" s="8">
        <f t="shared" si="66"/>
        <v>6.9542525124037264E-3</v>
      </c>
      <c r="BA105" s="8">
        <f t="shared" si="67"/>
        <v>0.30598711054576466</v>
      </c>
      <c r="BB105" s="8">
        <f t="shared" si="68"/>
        <v>0.24215542292171793</v>
      </c>
      <c r="BC105" s="8">
        <f t="shared" si="69"/>
        <v>0</v>
      </c>
      <c r="BD105" s="8">
        <f t="shared" si="70"/>
        <v>0.70437099660809133</v>
      </c>
      <c r="BE105" s="8">
        <f t="shared" si="71"/>
        <v>11.47816502360523</v>
      </c>
      <c r="BF105" s="8">
        <f t="shared" si="72"/>
        <v>0.33857480807872559</v>
      </c>
      <c r="BG105" s="8">
        <f t="shared" si="73"/>
        <v>8.8510725246481741</v>
      </c>
      <c r="BH105" s="8">
        <f t="shared" si="74"/>
        <v>5.1091391154668484</v>
      </c>
      <c r="BI105" s="8">
        <f t="shared" si="75"/>
        <v>2.2243339154895212</v>
      </c>
      <c r="BJ105" s="8">
        <f t="shared" si="76"/>
        <v>3.5363787332970333E-2</v>
      </c>
      <c r="BK105" s="8">
        <f t="shared" si="77"/>
        <v>0</v>
      </c>
      <c r="BL105" s="8">
        <f t="shared" si="78"/>
        <v>2.3843136364220521</v>
      </c>
      <c r="BM105" s="8">
        <f t="shared" si="79"/>
        <v>0</v>
      </c>
      <c r="BN105" s="8">
        <f t="shared" si="80"/>
        <v>1.0463416844572171</v>
      </c>
      <c r="BO105" s="8">
        <f t="shared" si="81"/>
        <v>0.1031672117473218</v>
      </c>
      <c r="BP105" s="8">
        <f t="shared" si="82"/>
        <v>2.0959227124263449</v>
      </c>
    </row>
    <row r="106" spans="2:68" ht="18.75" customHeight="1" x14ac:dyDescent="0.3">
      <c r="B106" s="2" t="s">
        <v>10</v>
      </c>
      <c r="C106" s="3">
        <v>2030</v>
      </c>
      <c r="D106" s="6">
        <v>0</v>
      </c>
      <c r="E106" s="6">
        <v>0.33998567838418298</v>
      </c>
      <c r="F106" s="6">
        <v>0.26906158102413102</v>
      </c>
      <c r="G106" s="6">
        <v>0</v>
      </c>
      <c r="H106" s="6">
        <v>0.478276602635124</v>
      </c>
      <c r="I106" s="6">
        <v>12.753516692894699</v>
      </c>
      <c r="J106" s="6">
        <v>0</v>
      </c>
      <c r="K106" s="6">
        <v>3.0574344709090302</v>
      </c>
      <c r="L106" s="6">
        <v>5.8621317541054303</v>
      </c>
      <c r="M106" s="6">
        <v>2.0336928441142299</v>
      </c>
      <c r="N106" s="6">
        <v>3.29483433836259E-2</v>
      </c>
      <c r="O106" s="6">
        <v>0</v>
      </c>
      <c r="P106" s="6">
        <v>0.236172324021133</v>
      </c>
      <c r="Q106" s="7"/>
      <c r="R106" s="6">
        <v>1.16260187161913</v>
      </c>
      <c r="S106" s="6">
        <v>0.114630235274802</v>
      </c>
      <c r="T106" s="6">
        <v>1.91287179471862</v>
      </c>
      <c r="W106" s="8" t="str">
        <f t="shared" si="43"/>
        <v>*</v>
      </c>
      <c r="X106" s="15" t="str">
        <f t="shared" si="44"/>
        <v>ELEWAS</v>
      </c>
      <c r="Y106" s="15" t="s">
        <v>42</v>
      </c>
      <c r="Z106" s="8">
        <f t="shared" si="45"/>
        <v>2030</v>
      </c>
      <c r="AA106" s="8">
        <f t="shared" si="46"/>
        <v>0</v>
      </c>
      <c r="AB106" s="8">
        <f t="shared" si="47"/>
        <v>0.37398424622260129</v>
      </c>
      <c r="AC106" s="8">
        <f t="shared" si="48"/>
        <v>0.29596773912654417</v>
      </c>
      <c r="AD106" s="8">
        <f t="shared" si="49"/>
        <v>0</v>
      </c>
      <c r="AE106" s="8">
        <f t="shared" si="50"/>
        <v>0.52610426289863643</v>
      </c>
      <c r="AF106" s="8">
        <f t="shared" si="51"/>
        <v>14.02886836218417</v>
      </c>
      <c r="AG106" s="8">
        <f t="shared" si="52"/>
        <v>0</v>
      </c>
      <c r="AH106" s="8">
        <f t="shared" si="53"/>
        <v>3.3631779179999337</v>
      </c>
      <c r="AI106" s="8">
        <f t="shared" si="54"/>
        <v>6.448344929515974</v>
      </c>
      <c r="AJ106" s="8">
        <f t="shared" si="55"/>
        <v>2.2370621285256531</v>
      </c>
      <c r="AK106" s="8">
        <f t="shared" si="56"/>
        <v>3.6243177721988491E-2</v>
      </c>
      <c r="AL106" s="8">
        <f t="shared" si="57"/>
        <v>0</v>
      </c>
      <c r="AM106" s="8">
        <f t="shared" si="58"/>
        <v>0.2597895564232463</v>
      </c>
      <c r="AN106" s="8">
        <f t="shared" si="59"/>
        <v>0</v>
      </c>
      <c r="AO106" s="8">
        <f t="shared" si="60"/>
        <v>1.2788620587810431</v>
      </c>
      <c r="AP106" s="8">
        <f t="shared" si="61"/>
        <v>0.1260932588022822</v>
      </c>
      <c r="AQ106" s="8">
        <f t="shared" si="62"/>
        <v>2.104158974190482</v>
      </c>
      <c r="AV106" s="8" t="str">
        <f t="shared" si="63"/>
        <v>*</v>
      </c>
      <c r="AW106" s="15" t="str">
        <f t="shared" si="64"/>
        <v>ELEWAS</v>
      </c>
      <c r="AX106" s="8" t="s">
        <v>45</v>
      </c>
      <c r="AY106" s="8">
        <f t="shared" si="65"/>
        <v>2030</v>
      </c>
      <c r="AZ106" s="8">
        <f t="shared" si="66"/>
        <v>0</v>
      </c>
      <c r="BA106" s="8">
        <f t="shared" si="67"/>
        <v>0.30598711054576466</v>
      </c>
      <c r="BB106" s="8">
        <f t="shared" si="68"/>
        <v>0.24215542292171793</v>
      </c>
      <c r="BC106" s="8">
        <f t="shared" si="69"/>
        <v>0</v>
      </c>
      <c r="BD106" s="8">
        <f t="shared" si="70"/>
        <v>0.43044894237161163</v>
      </c>
      <c r="BE106" s="8">
        <f t="shared" si="71"/>
        <v>11.47816502360523</v>
      </c>
      <c r="BF106" s="8">
        <f t="shared" si="72"/>
        <v>0</v>
      </c>
      <c r="BG106" s="8">
        <f t="shared" si="73"/>
        <v>2.7516910238181271</v>
      </c>
      <c r="BH106" s="8">
        <f t="shared" si="74"/>
        <v>5.2759185786948875</v>
      </c>
      <c r="BI106" s="8">
        <f t="shared" si="75"/>
        <v>1.8303235597028069</v>
      </c>
      <c r="BJ106" s="8">
        <f t="shared" si="76"/>
        <v>2.9653509045263312E-2</v>
      </c>
      <c r="BK106" s="8">
        <f t="shared" si="77"/>
        <v>0</v>
      </c>
      <c r="BL106" s="8">
        <f t="shared" si="78"/>
        <v>0.2125550916190197</v>
      </c>
      <c r="BM106" s="8">
        <f t="shared" si="79"/>
        <v>0</v>
      </c>
      <c r="BN106" s="8">
        <f t="shared" si="80"/>
        <v>1.0463416844572171</v>
      </c>
      <c r="BO106" s="8">
        <f t="shared" si="81"/>
        <v>0.1031672117473218</v>
      </c>
      <c r="BP106" s="8">
        <f t="shared" si="82"/>
        <v>1.721584615246758</v>
      </c>
    </row>
    <row r="107" spans="2:68" ht="18.75" customHeight="1" x14ac:dyDescent="0.3">
      <c r="B107" s="2" t="s">
        <v>10</v>
      </c>
      <c r="C107" s="3">
        <v>2040</v>
      </c>
      <c r="D107" s="6">
        <v>0</v>
      </c>
      <c r="E107" s="6">
        <v>0.33998567838418298</v>
      </c>
      <c r="F107" s="6">
        <v>0.26906158102413102</v>
      </c>
      <c r="G107" s="6">
        <v>0</v>
      </c>
      <c r="H107" s="6">
        <v>0.478276602635124</v>
      </c>
      <c r="I107" s="6">
        <v>12.753516692894699</v>
      </c>
      <c r="J107" s="6">
        <v>0</v>
      </c>
      <c r="K107" s="6">
        <v>3.0574344709090302</v>
      </c>
      <c r="L107" s="6">
        <v>5.8621317541054303</v>
      </c>
      <c r="M107" s="6">
        <v>2.0336928441142299</v>
      </c>
      <c r="N107" s="6">
        <v>3.29483433836259E-2</v>
      </c>
      <c r="O107" s="6">
        <v>0</v>
      </c>
      <c r="P107" s="6">
        <v>0.236172324021133</v>
      </c>
      <c r="Q107" s="7"/>
      <c r="R107" s="6">
        <v>1.16260187161913</v>
      </c>
      <c r="S107" s="6">
        <v>0.114630235274802</v>
      </c>
      <c r="T107" s="6">
        <v>1.91287179471862</v>
      </c>
      <c r="W107" s="8" t="str">
        <f t="shared" si="43"/>
        <v>*</v>
      </c>
      <c r="X107" s="15" t="str">
        <f t="shared" si="44"/>
        <v>ELEWAS</v>
      </c>
      <c r="Y107" s="15" t="s">
        <v>42</v>
      </c>
      <c r="Z107" s="8">
        <f t="shared" si="45"/>
        <v>2040</v>
      </c>
      <c r="AA107" s="8">
        <f t="shared" si="46"/>
        <v>0</v>
      </c>
      <c r="AB107" s="8">
        <f t="shared" si="47"/>
        <v>0.37398424622260129</v>
      </c>
      <c r="AC107" s="8">
        <f t="shared" si="48"/>
        <v>0.29596773912654417</v>
      </c>
      <c r="AD107" s="8">
        <f t="shared" si="49"/>
        <v>0</v>
      </c>
      <c r="AE107" s="8">
        <f t="shared" si="50"/>
        <v>0.52610426289863643</v>
      </c>
      <c r="AF107" s="8">
        <f t="shared" si="51"/>
        <v>14.02886836218417</v>
      </c>
      <c r="AG107" s="8">
        <f t="shared" si="52"/>
        <v>0</v>
      </c>
      <c r="AH107" s="8">
        <f t="shared" si="53"/>
        <v>3.3631779179999337</v>
      </c>
      <c r="AI107" s="8">
        <f t="shared" si="54"/>
        <v>6.448344929515974</v>
      </c>
      <c r="AJ107" s="8">
        <f t="shared" si="55"/>
        <v>2.2370621285256531</v>
      </c>
      <c r="AK107" s="8">
        <f t="shared" si="56"/>
        <v>3.6243177721988491E-2</v>
      </c>
      <c r="AL107" s="8">
        <f t="shared" si="57"/>
        <v>0</v>
      </c>
      <c r="AM107" s="8">
        <f t="shared" si="58"/>
        <v>0.2597895564232463</v>
      </c>
      <c r="AN107" s="8">
        <f t="shared" si="59"/>
        <v>0</v>
      </c>
      <c r="AO107" s="8">
        <f t="shared" si="60"/>
        <v>1.2788620587810431</v>
      </c>
      <c r="AP107" s="8">
        <f t="shared" si="61"/>
        <v>0.1260932588022822</v>
      </c>
      <c r="AQ107" s="8">
        <f t="shared" si="62"/>
        <v>2.104158974190482</v>
      </c>
      <c r="AV107" s="8" t="str">
        <f t="shared" si="63"/>
        <v>*</v>
      </c>
      <c r="AW107" s="15" t="str">
        <f t="shared" si="64"/>
        <v>ELEWAS</v>
      </c>
      <c r="AX107" s="8" t="s">
        <v>45</v>
      </c>
      <c r="AY107" s="8">
        <f t="shared" si="65"/>
        <v>2040</v>
      </c>
      <c r="AZ107" s="8">
        <f t="shared" si="66"/>
        <v>0</v>
      </c>
      <c r="BA107" s="8">
        <f t="shared" si="67"/>
        <v>0.30598711054576466</v>
      </c>
      <c r="BB107" s="8">
        <f t="shared" si="68"/>
        <v>0.24215542292171793</v>
      </c>
      <c r="BC107" s="8">
        <f t="shared" si="69"/>
        <v>0</v>
      </c>
      <c r="BD107" s="8">
        <f t="shared" si="70"/>
        <v>0.43044894237161163</v>
      </c>
      <c r="BE107" s="8">
        <f t="shared" si="71"/>
        <v>11.47816502360523</v>
      </c>
      <c r="BF107" s="8">
        <f t="shared" si="72"/>
        <v>0</v>
      </c>
      <c r="BG107" s="8">
        <f t="shared" si="73"/>
        <v>2.7516910238181271</v>
      </c>
      <c r="BH107" s="8">
        <f t="shared" si="74"/>
        <v>5.2759185786948875</v>
      </c>
      <c r="BI107" s="8">
        <f t="shared" si="75"/>
        <v>1.8303235597028069</v>
      </c>
      <c r="BJ107" s="8">
        <f t="shared" si="76"/>
        <v>2.9653509045263312E-2</v>
      </c>
      <c r="BK107" s="8">
        <f t="shared" si="77"/>
        <v>0</v>
      </c>
      <c r="BL107" s="8">
        <f t="shared" si="78"/>
        <v>0.2125550916190197</v>
      </c>
      <c r="BM107" s="8">
        <f t="shared" si="79"/>
        <v>0</v>
      </c>
      <c r="BN107" s="8">
        <f t="shared" si="80"/>
        <v>1.0463416844572171</v>
      </c>
      <c r="BO107" s="8">
        <f t="shared" si="81"/>
        <v>0.1031672117473218</v>
      </c>
      <c r="BP107" s="8">
        <f t="shared" si="82"/>
        <v>1.721584615246758</v>
      </c>
    </row>
    <row r="108" spans="2:68" ht="18.75" customHeight="1" x14ac:dyDescent="0.3">
      <c r="B108" s="2" t="s">
        <v>10</v>
      </c>
      <c r="C108" s="3">
        <v>2050</v>
      </c>
      <c r="D108" s="6">
        <v>0</v>
      </c>
      <c r="E108" s="6">
        <v>0.33998567838418298</v>
      </c>
      <c r="F108" s="6">
        <v>0.26906158102413102</v>
      </c>
      <c r="G108" s="6">
        <v>0</v>
      </c>
      <c r="H108" s="6">
        <v>0.478276602635124</v>
      </c>
      <c r="I108" s="6">
        <v>12.753516692894699</v>
      </c>
      <c r="J108" s="6">
        <v>0</v>
      </c>
      <c r="K108" s="6">
        <v>3.0574344709090302</v>
      </c>
      <c r="L108" s="6">
        <v>5.8621317541054303</v>
      </c>
      <c r="M108" s="6">
        <v>2.0336928441142299</v>
      </c>
      <c r="N108" s="6">
        <v>3.29483433836259E-2</v>
      </c>
      <c r="O108" s="6">
        <v>0</v>
      </c>
      <c r="P108" s="6">
        <v>0.236172324021133</v>
      </c>
      <c r="Q108" s="7"/>
      <c r="R108" s="6">
        <v>1.16260187161913</v>
      </c>
      <c r="S108" s="6">
        <v>0.114630235274802</v>
      </c>
      <c r="T108" s="6">
        <v>1.91287179471862</v>
      </c>
      <c r="W108" s="8" t="str">
        <f t="shared" si="43"/>
        <v>*</v>
      </c>
      <c r="X108" s="15" t="str">
        <f t="shared" si="44"/>
        <v>ELEWAS</v>
      </c>
      <c r="Y108" s="15" t="s">
        <v>42</v>
      </c>
      <c r="Z108" s="8">
        <f t="shared" si="45"/>
        <v>2050</v>
      </c>
      <c r="AA108" s="8">
        <f t="shared" si="46"/>
        <v>0</v>
      </c>
      <c r="AB108" s="8">
        <f t="shared" si="47"/>
        <v>0.37398424622260129</v>
      </c>
      <c r="AC108" s="8">
        <f t="shared" si="48"/>
        <v>0.29596773912654417</v>
      </c>
      <c r="AD108" s="8">
        <f t="shared" si="49"/>
        <v>0</v>
      </c>
      <c r="AE108" s="8">
        <f t="shared" si="50"/>
        <v>0.52610426289863643</v>
      </c>
      <c r="AF108" s="8">
        <f t="shared" si="51"/>
        <v>14.02886836218417</v>
      </c>
      <c r="AG108" s="8">
        <f t="shared" si="52"/>
        <v>0</v>
      </c>
      <c r="AH108" s="8">
        <f t="shared" si="53"/>
        <v>3.3631779179999337</v>
      </c>
      <c r="AI108" s="8">
        <f t="shared" si="54"/>
        <v>6.448344929515974</v>
      </c>
      <c r="AJ108" s="8">
        <f t="shared" si="55"/>
        <v>2.2370621285256531</v>
      </c>
      <c r="AK108" s="8">
        <f t="shared" si="56"/>
        <v>3.6243177721988491E-2</v>
      </c>
      <c r="AL108" s="8">
        <f t="shared" si="57"/>
        <v>0</v>
      </c>
      <c r="AM108" s="8">
        <f t="shared" si="58"/>
        <v>0.2597895564232463</v>
      </c>
      <c r="AN108" s="8">
        <f t="shared" si="59"/>
        <v>0</v>
      </c>
      <c r="AO108" s="8">
        <f t="shared" si="60"/>
        <v>1.2788620587810431</v>
      </c>
      <c r="AP108" s="8">
        <f t="shared" si="61"/>
        <v>0.1260932588022822</v>
      </c>
      <c r="AQ108" s="8">
        <f t="shared" si="62"/>
        <v>2.104158974190482</v>
      </c>
      <c r="AV108" s="8" t="str">
        <f t="shared" si="63"/>
        <v>*</v>
      </c>
      <c r="AW108" s="15" t="str">
        <f t="shared" si="64"/>
        <v>ELEWAS</v>
      </c>
      <c r="AX108" s="8" t="s">
        <v>45</v>
      </c>
      <c r="AY108" s="8">
        <f t="shared" si="65"/>
        <v>2050</v>
      </c>
      <c r="AZ108" s="8">
        <f t="shared" si="66"/>
        <v>0</v>
      </c>
      <c r="BA108" s="8">
        <f t="shared" si="67"/>
        <v>0.30598711054576466</v>
      </c>
      <c r="BB108" s="8">
        <f t="shared" si="68"/>
        <v>0.24215542292171793</v>
      </c>
      <c r="BC108" s="8">
        <f t="shared" si="69"/>
        <v>0</v>
      </c>
      <c r="BD108" s="8">
        <f t="shared" si="70"/>
        <v>0.43044894237161163</v>
      </c>
      <c r="BE108" s="8">
        <f t="shared" si="71"/>
        <v>11.47816502360523</v>
      </c>
      <c r="BF108" s="8">
        <f t="shared" si="72"/>
        <v>0</v>
      </c>
      <c r="BG108" s="8">
        <f t="shared" si="73"/>
        <v>2.7516910238181271</v>
      </c>
      <c r="BH108" s="8">
        <f t="shared" si="74"/>
        <v>5.2759185786948875</v>
      </c>
      <c r="BI108" s="8">
        <f t="shared" si="75"/>
        <v>1.8303235597028069</v>
      </c>
      <c r="BJ108" s="8">
        <f t="shared" si="76"/>
        <v>2.9653509045263312E-2</v>
      </c>
      <c r="BK108" s="8">
        <f t="shared" si="77"/>
        <v>0</v>
      </c>
      <c r="BL108" s="8">
        <f t="shared" si="78"/>
        <v>0.2125550916190197</v>
      </c>
      <c r="BM108" s="8">
        <f t="shared" si="79"/>
        <v>0</v>
      </c>
      <c r="BN108" s="8">
        <f t="shared" si="80"/>
        <v>1.0463416844572171</v>
      </c>
      <c r="BO108" s="8">
        <f t="shared" si="81"/>
        <v>0.1031672117473218</v>
      </c>
      <c r="BP108" s="8">
        <f t="shared" si="82"/>
        <v>1.721584615246758</v>
      </c>
    </row>
    <row r="109" spans="2:68" ht="18.75" customHeight="1" x14ac:dyDescent="0.3">
      <c r="B109" s="2" t="s">
        <v>10</v>
      </c>
      <c r="C109" s="3">
        <v>2060</v>
      </c>
      <c r="D109" s="6">
        <v>0</v>
      </c>
      <c r="E109" s="6">
        <v>0.33998567838418298</v>
      </c>
      <c r="F109" s="6">
        <v>0.26906158102413102</v>
      </c>
      <c r="G109" s="6">
        <v>0</v>
      </c>
      <c r="H109" s="6">
        <v>0.478276602635124</v>
      </c>
      <c r="I109" s="6">
        <v>12.753516692894699</v>
      </c>
      <c r="J109" s="6">
        <v>0</v>
      </c>
      <c r="K109" s="6">
        <v>3.0574344709090302</v>
      </c>
      <c r="L109" s="6">
        <v>5.8621317541054303</v>
      </c>
      <c r="M109" s="6">
        <v>1.39688059848569</v>
      </c>
      <c r="N109" s="6">
        <v>3.29483433836259E-2</v>
      </c>
      <c r="O109" s="6">
        <v>0</v>
      </c>
      <c r="P109" s="6">
        <v>0.236172324021133</v>
      </c>
      <c r="Q109" s="7"/>
      <c r="R109" s="6">
        <v>1.16260187161913</v>
      </c>
      <c r="S109" s="6">
        <v>0.114630235274802</v>
      </c>
      <c r="T109" s="6">
        <v>1.91287179471862</v>
      </c>
      <c r="W109" s="8" t="str">
        <f t="shared" si="43"/>
        <v>*</v>
      </c>
      <c r="X109" s="15" t="str">
        <f t="shared" si="44"/>
        <v>ELEWAS</v>
      </c>
      <c r="Y109" s="15" t="s">
        <v>42</v>
      </c>
      <c r="Z109" s="8">
        <f t="shared" si="45"/>
        <v>2060</v>
      </c>
      <c r="AA109" s="8">
        <f t="shared" si="46"/>
        <v>0</v>
      </c>
      <c r="AB109" s="8">
        <f t="shared" si="47"/>
        <v>0.37398424622260129</v>
      </c>
      <c r="AC109" s="8">
        <f t="shared" si="48"/>
        <v>0.29596773912654417</v>
      </c>
      <c r="AD109" s="8">
        <f t="shared" si="49"/>
        <v>0</v>
      </c>
      <c r="AE109" s="8">
        <f t="shared" si="50"/>
        <v>0.52610426289863643</v>
      </c>
      <c r="AF109" s="8">
        <f t="shared" si="51"/>
        <v>14.02886836218417</v>
      </c>
      <c r="AG109" s="8">
        <f t="shared" si="52"/>
        <v>0</v>
      </c>
      <c r="AH109" s="8">
        <f t="shared" si="53"/>
        <v>3.3631779179999337</v>
      </c>
      <c r="AI109" s="8">
        <f t="shared" si="54"/>
        <v>6.448344929515974</v>
      </c>
      <c r="AJ109" s="8">
        <f t="shared" si="55"/>
        <v>1.536568658334259</v>
      </c>
      <c r="AK109" s="8">
        <f t="shared" si="56"/>
        <v>3.6243177721988491E-2</v>
      </c>
      <c r="AL109" s="8">
        <f t="shared" si="57"/>
        <v>0</v>
      </c>
      <c r="AM109" s="8">
        <f t="shared" si="58"/>
        <v>0.2597895564232463</v>
      </c>
      <c r="AN109" s="8">
        <f t="shared" si="59"/>
        <v>0</v>
      </c>
      <c r="AO109" s="8">
        <f t="shared" si="60"/>
        <v>1.2788620587810431</v>
      </c>
      <c r="AP109" s="8">
        <f t="shared" si="61"/>
        <v>0.1260932588022822</v>
      </c>
      <c r="AQ109" s="8">
        <f t="shared" si="62"/>
        <v>2.104158974190482</v>
      </c>
      <c r="AV109" s="8" t="str">
        <f t="shared" si="63"/>
        <v>*</v>
      </c>
      <c r="AW109" s="15" t="str">
        <f t="shared" si="64"/>
        <v>ELEWAS</v>
      </c>
      <c r="AX109" s="8" t="s">
        <v>45</v>
      </c>
      <c r="AY109" s="8">
        <f t="shared" si="65"/>
        <v>2060</v>
      </c>
      <c r="AZ109" s="8">
        <f t="shared" si="66"/>
        <v>0</v>
      </c>
      <c r="BA109" s="8">
        <f t="shared" si="67"/>
        <v>0.30598711054576466</v>
      </c>
      <c r="BB109" s="8">
        <f t="shared" si="68"/>
        <v>0.24215542292171793</v>
      </c>
      <c r="BC109" s="8">
        <f t="shared" si="69"/>
        <v>0</v>
      </c>
      <c r="BD109" s="8">
        <f t="shared" si="70"/>
        <v>0.43044894237161163</v>
      </c>
      <c r="BE109" s="8">
        <f t="shared" si="71"/>
        <v>11.47816502360523</v>
      </c>
      <c r="BF109" s="8">
        <f t="shared" si="72"/>
        <v>0</v>
      </c>
      <c r="BG109" s="8">
        <f t="shared" si="73"/>
        <v>2.7516910238181271</v>
      </c>
      <c r="BH109" s="8">
        <f t="shared" si="74"/>
        <v>5.2759185786948875</v>
      </c>
      <c r="BI109" s="8">
        <f t="shared" si="75"/>
        <v>1.257192538637121</v>
      </c>
      <c r="BJ109" s="8">
        <f t="shared" si="76"/>
        <v>2.9653509045263312E-2</v>
      </c>
      <c r="BK109" s="8">
        <f t="shared" si="77"/>
        <v>0</v>
      </c>
      <c r="BL109" s="8">
        <f t="shared" si="78"/>
        <v>0.2125550916190197</v>
      </c>
      <c r="BM109" s="8">
        <f t="shared" si="79"/>
        <v>0</v>
      </c>
      <c r="BN109" s="8">
        <f t="shared" si="80"/>
        <v>1.0463416844572171</v>
      </c>
      <c r="BO109" s="8">
        <f t="shared" si="81"/>
        <v>0.1031672117473218</v>
      </c>
      <c r="BP109" s="8">
        <f t="shared" si="82"/>
        <v>1.721584615246758</v>
      </c>
    </row>
    <row r="110" spans="2:68" ht="18.75" customHeight="1" x14ac:dyDescent="0.3">
      <c r="B110" s="2" t="s">
        <v>10</v>
      </c>
      <c r="C110" s="3">
        <v>2070</v>
      </c>
      <c r="D110" s="6">
        <v>0</v>
      </c>
      <c r="E110" s="6">
        <v>0.33998567838418298</v>
      </c>
      <c r="F110" s="6">
        <v>0.26906158102413102</v>
      </c>
      <c r="G110" s="6">
        <v>0</v>
      </c>
      <c r="H110" s="6">
        <v>0.478276602635124</v>
      </c>
      <c r="I110" s="6">
        <v>12.753516692894699</v>
      </c>
      <c r="J110" s="6">
        <v>0</v>
      </c>
      <c r="K110" s="6">
        <v>3.0574344709090302</v>
      </c>
      <c r="L110" s="6">
        <v>5.8621317541054303</v>
      </c>
      <c r="M110" s="6">
        <v>1.3968802659083399</v>
      </c>
      <c r="N110" s="6">
        <v>3.29483433836259E-2</v>
      </c>
      <c r="O110" s="6">
        <v>0</v>
      </c>
      <c r="P110" s="6">
        <v>0.236172324021133</v>
      </c>
      <c r="Q110" s="7"/>
      <c r="R110" s="6">
        <v>1.16260187161913</v>
      </c>
      <c r="S110" s="6">
        <v>0.114630235274802</v>
      </c>
      <c r="T110" s="6">
        <v>1.91287179471862</v>
      </c>
      <c r="W110" s="8" t="str">
        <f t="shared" si="43"/>
        <v>*</v>
      </c>
      <c r="X110" s="15" t="str">
        <f t="shared" si="44"/>
        <v>ELEWAS</v>
      </c>
      <c r="Y110" s="15" t="s">
        <v>42</v>
      </c>
      <c r="Z110" s="8">
        <f t="shared" si="45"/>
        <v>2070</v>
      </c>
      <c r="AA110" s="8">
        <f t="shared" si="46"/>
        <v>0</v>
      </c>
      <c r="AB110" s="8">
        <f t="shared" si="47"/>
        <v>0.37398424622260129</v>
      </c>
      <c r="AC110" s="8">
        <f t="shared" si="48"/>
        <v>0.29596773912654417</v>
      </c>
      <c r="AD110" s="8">
        <f t="shared" si="49"/>
        <v>0</v>
      </c>
      <c r="AE110" s="8">
        <f t="shared" si="50"/>
        <v>0.52610426289863643</v>
      </c>
      <c r="AF110" s="8">
        <f t="shared" si="51"/>
        <v>14.02886836218417</v>
      </c>
      <c r="AG110" s="8">
        <f t="shared" si="52"/>
        <v>0</v>
      </c>
      <c r="AH110" s="8">
        <f t="shared" si="53"/>
        <v>3.3631779179999337</v>
      </c>
      <c r="AI110" s="8">
        <f t="shared" si="54"/>
        <v>6.448344929515974</v>
      </c>
      <c r="AJ110" s="8">
        <f t="shared" si="55"/>
        <v>1.5365682924991739</v>
      </c>
      <c r="AK110" s="8">
        <f t="shared" si="56"/>
        <v>3.6243177721988491E-2</v>
      </c>
      <c r="AL110" s="8">
        <f t="shared" si="57"/>
        <v>0</v>
      </c>
      <c r="AM110" s="8">
        <f t="shared" si="58"/>
        <v>0.2597895564232463</v>
      </c>
      <c r="AN110" s="8">
        <f t="shared" si="59"/>
        <v>0</v>
      </c>
      <c r="AO110" s="8">
        <f t="shared" si="60"/>
        <v>1.2788620587810431</v>
      </c>
      <c r="AP110" s="8">
        <f t="shared" si="61"/>
        <v>0.1260932588022822</v>
      </c>
      <c r="AQ110" s="8">
        <f t="shared" si="62"/>
        <v>2.104158974190482</v>
      </c>
      <c r="AV110" s="8" t="str">
        <f t="shared" si="63"/>
        <v>*</v>
      </c>
      <c r="AW110" s="15" t="str">
        <f t="shared" si="64"/>
        <v>ELEWAS</v>
      </c>
      <c r="AX110" s="8" t="s">
        <v>45</v>
      </c>
      <c r="AY110" s="8">
        <f t="shared" si="65"/>
        <v>2070</v>
      </c>
      <c r="AZ110" s="8">
        <f t="shared" si="66"/>
        <v>0</v>
      </c>
      <c r="BA110" s="8">
        <f t="shared" si="67"/>
        <v>0.30598711054576466</v>
      </c>
      <c r="BB110" s="8">
        <f t="shared" si="68"/>
        <v>0.24215542292171793</v>
      </c>
      <c r="BC110" s="8">
        <f t="shared" si="69"/>
        <v>0</v>
      </c>
      <c r="BD110" s="8">
        <f t="shared" si="70"/>
        <v>0.43044894237161163</v>
      </c>
      <c r="BE110" s="8">
        <f t="shared" si="71"/>
        <v>11.47816502360523</v>
      </c>
      <c r="BF110" s="8">
        <f t="shared" si="72"/>
        <v>0</v>
      </c>
      <c r="BG110" s="8">
        <f t="shared" si="73"/>
        <v>2.7516910238181271</v>
      </c>
      <c r="BH110" s="8">
        <f t="shared" si="74"/>
        <v>5.2759185786948875</v>
      </c>
      <c r="BI110" s="8">
        <f t="shared" si="75"/>
        <v>1.2571922393175059</v>
      </c>
      <c r="BJ110" s="8">
        <f t="shared" si="76"/>
        <v>2.9653509045263312E-2</v>
      </c>
      <c r="BK110" s="8">
        <f t="shared" si="77"/>
        <v>0</v>
      </c>
      <c r="BL110" s="8">
        <f t="shared" si="78"/>
        <v>0.2125550916190197</v>
      </c>
      <c r="BM110" s="8">
        <f t="shared" si="79"/>
        <v>0</v>
      </c>
      <c r="BN110" s="8">
        <f t="shared" si="80"/>
        <v>1.0463416844572171</v>
      </c>
      <c r="BO110" s="8">
        <f t="shared" si="81"/>
        <v>0.1031672117473218</v>
      </c>
      <c r="BP110" s="8">
        <f t="shared" si="82"/>
        <v>1.721584615246758</v>
      </c>
    </row>
    <row r="111" spans="2:68" ht="18.75" customHeight="1" x14ac:dyDescent="0.3">
      <c r="B111" s="2" t="s">
        <v>10</v>
      </c>
      <c r="C111" s="3">
        <v>2080</v>
      </c>
      <c r="D111" s="6">
        <v>0</v>
      </c>
      <c r="E111" s="6">
        <v>0.33998567838418298</v>
      </c>
      <c r="F111" s="6">
        <v>0.26906158102413102</v>
      </c>
      <c r="G111" s="6">
        <v>0</v>
      </c>
      <c r="H111" s="6">
        <v>0.478276602635124</v>
      </c>
      <c r="I111" s="6">
        <v>12.753516692894699</v>
      </c>
      <c r="J111" s="6">
        <v>0</v>
      </c>
      <c r="K111" s="6">
        <v>3.0574344709090302</v>
      </c>
      <c r="L111" s="6">
        <v>5.8621317541054303</v>
      </c>
      <c r="M111" s="6">
        <v>1.39687993333099</v>
      </c>
      <c r="N111" s="6">
        <v>3.29483433836259E-2</v>
      </c>
      <c r="O111" s="6">
        <v>0</v>
      </c>
      <c r="P111" s="6">
        <v>0.236172324021133</v>
      </c>
      <c r="Q111" s="7"/>
      <c r="R111" s="6">
        <v>1.16260187161913</v>
      </c>
      <c r="S111" s="6">
        <v>0.114630235274802</v>
      </c>
      <c r="T111" s="6">
        <v>1.91287179471862</v>
      </c>
      <c r="W111" s="8" t="str">
        <f t="shared" si="43"/>
        <v>*</v>
      </c>
      <c r="X111" s="15" t="str">
        <f t="shared" si="44"/>
        <v>ELEWAS</v>
      </c>
      <c r="Y111" s="15" t="s">
        <v>42</v>
      </c>
      <c r="Z111" s="8">
        <f t="shared" si="45"/>
        <v>2080</v>
      </c>
      <c r="AA111" s="8">
        <f t="shared" si="46"/>
        <v>0</v>
      </c>
      <c r="AB111" s="8">
        <f t="shared" si="47"/>
        <v>0.37398424622260129</v>
      </c>
      <c r="AC111" s="8">
        <f t="shared" si="48"/>
        <v>0.29596773912654417</v>
      </c>
      <c r="AD111" s="8">
        <f t="shared" si="49"/>
        <v>0</v>
      </c>
      <c r="AE111" s="8">
        <f t="shared" si="50"/>
        <v>0.52610426289863643</v>
      </c>
      <c r="AF111" s="8">
        <f t="shared" si="51"/>
        <v>14.02886836218417</v>
      </c>
      <c r="AG111" s="8">
        <f t="shared" si="52"/>
        <v>0</v>
      </c>
      <c r="AH111" s="8">
        <f t="shared" si="53"/>
        <v>3.3631779179999337</v>
      </c>
      <c r="AI111" s="8">
        <f t="shared" si="54"/>
        <v>6.448344929515974</v>
      </c>
      <c r="AJ111" s="8">
        <f t="shared" si="55"/>
        <v>1.5365679266640893</v>
      </c>
      <c r="AK111" s="8">
        <f t="shared" si="56"/>
        <v>3.6243177721988491E-2</v>
      </c>
      <c r="AL111" s="8">
        <f t="shared" si="57"/>
        <v>0</v>
      </c>
      <c r="AM111" s="8">
        <f t="shared" si="58"/>
        <v>0.2597895564232463</v>
      </c>
      <c r="AN111" s="8">
        <f t="shared" si="59"/>
        <v>0</v>
      </c>
      <c r="AO111" s="8">
        <f t="shared" si="60"/>
        <v>1.2788620587810431</v>
      </c>
      <c r="AP111" s="8">
        <f t="shared" si="61"/>
        <v>0.1260932588022822</v>
      </c>
      <c r="AQ111" s="8">
        <f t="shared" si="62"/>
        <v>2.104158974190482</v>
      </c>
      <c r="AV111" s="8" t="str">
        <f t="shared" si="63"/>
        <v>*</v>
      </c>
      <c r="AW111" s="15" t="str">
        <f t="shared" si="64"/>
        <v>ELEWAS</v>
      </c>
      <c r="AX111" s="8" t="s">
        <v>45</v>
      </c>
      <c r="AY111" s="8">
        <f t="shared" si="65"/>
        <v>2080</v>
      </c>
      <c r="AZ111" s="8">
        <f t="shared" si="66"/>
        <v>0</v>
      </c>
      <c r="BA111" s="8">
        <f t="shared" si="67"/>
        <v>0.30598711054576466</v>
      </c>
      <c r="BB111" s="8">
        <f t="shared" si="68"/>
        <v>0.24215542292171793</v>
      </c>
      <c r="BC111" s="8">
        <f t="shared" si="69"/>
        <v>0</v>
      </c>
      <c r="BD111" s="8">
        <f t="shared" si="70"/>
        <v>0.43044894237161163</v>
      </c>
      <c r="BE111" s="8">
        <f t="shared" si="71"/>
        <v>11.47816502360523</v>
      </c>
      <c r="BF111" s="8">
        <f t="shared" si="72"/>
        <v>0</v>
      </c>
      <c r="BG111" s="8">
        <f t="shared" si="73"/>
        <v>2.7516910238181271</v>
      </c>
      <c r="BH111" s="8">
        <f t="shared" si="74"/>
        <v>5.2759185786948875</v>
      </c>
      <c r="BI111" s="8">
        <f t="shared" si="75"/>
        <v>1.257191939997891</v>
      </c>
      <c r="BJ111" s="8">
        <f t="shared" si="76"/>
        <v>2.9653509045263312E-2</v>
      </c>
      <c r="BK111" s="8">
        <f t="shared" si="77"/>
        <v>0</v>
      </c>
      <c r="BL111" s="8">
        <f t="shared" si="78"/>
        <v>0.2125550916190197</v>
      </c>
      <c r="BM111" s="8">
        <f t="shared" si="79"/>
        <v>0</v>
      </c>
      <c r="BN111" s="8">
        <f t="shared" si="80"/>
        <v>1.0463416844572171</v>
      </c>
      <c r="BO111" s="8">
        <f t="shared" si="81"/>
        <v>0.1031672117473218</v>
      </c>
      <c r="BP111" s="8">
        <f t="shared" si="82"/>
        <v>1.721584615246758</v>
      </c>
    </row>
    <row r="112" spans="2:68" ht="18.75" customHeight="1" x14ac:dyDescent="0.3">
      <c r="B112" s="2" t="s">
        <v>11</v>
      </c>
      <c r="C112" s="3">
        <v>2017</v>
      </c>
      <c r="D112" s="6">
        <v>2.2352015731293098</v>
      </c>
      <c r="E112" s="6">
        <v>3.2275859314044202</v>
      </c>
      <c r="F112" s="6">
        <v>6.3680000000000003</v>
      </c>
      <c r="G112" s="6">
        <v>14.39</v>
      </c>
      <c r="H112" s="6">
        <v>12.816000000000001</v>
      </c>
      <c r="I112" s="6">
        <v>184.26</v>
      </c>
      <c r="J112" s="6">
        <v>4.3663506377509904</v>
      </c>
      <c r="K112" s="6">
        <v>183.41199010655001</v>
      </c>
      <c r="L112" s="6">
        <v>35.299999999999997</v>
      </c>
      <c r="M112" s="6">
        <v>3.6669999999999998</v>
      </c>
      <c r="N112" s="6">
        <v>0.58825000000000005</v>
      </c>
      <c r="O112" s="6">
        <v>6.5005199999999999</v>
      </c>
      <c r="P112" s="6">
        <v>3.4133082393038499</v>
      </c>
      <c r="Q112" s="6">
        <v>5.1900000000000002E-2</v>
      </c>
      <c r="R112" s="6">
        <v>1.4197525760563301</v>
      </c>
      <c r="S112" s="6">
        <v>5.5711954767162499</v>
      </c>
      <c r="T112" s="6">
        <v>94.513962000000006</v>
      </c>
      <c r="W112" s="8" t="str">
        <f t="shared" si="43"/>
        <v>CAP_BND</v>
      </c>
      <c r="X112" s="15" t="str">
        <f t="shared" si="44"/>
        <v>ELEWIN</v>
      </c>
      <c r="Y112" s="15" t="s">
        <v>42</v>
      </c>
      <c r="Z112" s="8">
        <f t="shared" si="45"/>
        <v>2017</v>
      </c>
      <c r="AA112" s="8">
        <f t="shared" si="46"/>
        <v>2.4587217304422411</v>
      </c>
      <c r="AB112" s="8">
        <f t="shared" si="47"/>
        <v>3.5503445245448626</v>
      </c>
      <c r="AC112" s="8">
        <f t="shared" si="48"/>
        <v>7.0048000000000012</v>
      </c>
      <c r="AD112" s="8">
        <f t="shared" si="49"/>
        <v>15.829000000000002</v>
      </c>
      <c r="AE112" s="8">
        <f t="shared" si="50"/>
        <v>14.097600000000002</v>
      </c>
      <c r="AF112" s="8">
        <f t="shared" si="51"/>
        <v>202.68600000000001</v>
      </c>
      <c r="AG112" s="8">
        <f t="shared" si="52"/>
        <v>4.8029857015260902</v>
      </c>
      <c r="AH112" s="8">
        <f t="shared" si="53"/>
        <v>201.75318911720501</v>
      </c>
      <c r="AI112" s="8">
        <f t="shared" si="54"/>
        <v>38.83</v>
      </c>
      <c r="AJ112" s="8">
        <f t="shared" si="55"/>
        <v>4.0337000000000005</v>
      </c>
      <c r="AK112" s="8">
        <f t="shared" si="56"/>
        <v>0.64707500000000007</v>
      </c>
      <c r="AL112" s="8">
        <f t="shared" si="57"/>
        <v>7.1505720000000004</v>
      </c>
      <c r="AM112" s="8">
        <f t="shared" si="58"/>
        <v>3.7546390632342352</v>
      </c>
      <c r="AN112" s="8">
        <f t="shared" si="59"/>
        <v>5.7090000000000009E-2</v>
      </c>
      <c r="AO112" s="8">
        <f t="shared" si="60"/>
        <v>1.5617278336619633</v>
      </c>
      <c r="AP112" s="8">
        <f t="shared" si="61"/>
        <v>6.1283150243878755</v>
      </c>
      <c r="AQ112" s="8">
        <f t="shared" si="62"/>
        <v>103.96535820000001</v>
      </c>
      <c r="AV112" s="8" t="str">
        <f t="shared" si="63"/>
        <v>CAP_BND</v>
      </c>
      <c r="AW112" s="15" t="str">
        <f t="shared" si="64"/>
        <v>ELEWIN</v>
      </c>
      <c r="AX112" s="8" t="s">
        <v>45</v>
      </c>
      <c r="AY112" s="8">
        <f t="shared" si="65"/>
        <v>2017</v>
      </c>
      <c r="AZ112" s="8">
        <f t="shared" si="66"/>
        <v>2.0116814158163789</v>
      </c>
      <c r="BA112" s="8">
        <f t="shared" si="67"/>
        <v>2.9048273382639782</v>
      </c>
      <c r="BB112" s="8">
        <f t="shared" si="68"/>
        <v>5.7312000000000003</v>
      </c>
      <c r="BC112" s="8">
        <f t="shared" si="69"/>
        <v>12.951000000000001</v>
      </c>
      <c r="BD112" s="8">
        <f t="shared" si="70"/>
        <v>11.534400000000002</v>
      </c>
      <c r="BE112" s="8">
        <f t="shared" si="71"/>
        <v>165.834</v>
      </c>
      <c r="BF112" s="8">
        <f t="shared" si="72"/>
        <v>3.9297155739758916</v>
      </c>
      <c r="BG112" s="8">
        <f t="shared" si="73"/>
        <v>165.070791095895</v>
      </c>
      <c r="BH112" s="8">
        <f t="shared" si="74"/>
        <v>31.77</v>
      </c>
      <c r="BI112" s="8">
        <f t="shared" si="75"/>
        <v>3.3003</v>
      </c>
      <c r="BJ112" s="8">
        <f t="shared" si="76"/>
        <v>0.52942500000000003</v>
      </c>
      <c r="BK112" s="8">
        <f t="shared" si="77"/>
        <v>5.8504680000000002</v>
      </c>
      <c r="BL112" s="8">
        <f t="shared" si="78"/>
        <v>3.0719774153734649</v>
      </c>
      <c r="BM112" s="8">
        <f t="shared" si="79"/>
        <v>4.6710000000000002E-2</v>
      </c>
      <c r="BN112" s="8">
        <f t="shared" si="80"/>
        <v>1.2777773184506971</v>
      </c>
      <c r="BO112" s="8">
        <f t="shared" si="81"/>
        <v>5.0140759290446253</v>
      </c>
      <c r="BP112" s="8">
        <f t="shared" si="82"/>
        <v>85.062565800000002</v>
      </c>
    </row>
    <row r="113" spans="2:68" ht="18.75" customHeight="1" x14ac:dyDescent="0.3">
      <c r="B113" s="2" t="s">
        <v>11</v>
      </c>
      <c r="C113" s="3">
        <v>2018</v>
      </c>
      <c r="D113" s="6">
        <v>2.2352015731293098</v>
      </c>
      <c r="E113" s="6">
        <v>3.2275859314044202</v>
      </c>
      <c r="F113" s="6">
        <v>6.3680000000000003</v>
      </c>
      <c r="G113" s="6">
        <v>14.39</v>
      </c>
      <c r="H113" s="6">
        <v>12.816000000000001</v>
      </c>
      <c r="I113" s="6">
        <v>184.26</v>
      </c>
      <c r="J113" s="6">
        <v>4.3663506377509904</v>
      </c>
      <c r="K113" s="6">
        <v>183.41199010655001</v>
      </c>
      <c r="L113" s="6">
        <v>35.299999999999997</v>
      </c>
      <c r="M113" s="6">
        <v>3.6669999999999998</v>
      </c>
      <c r="N113" s="6">
        <v>0.58825000000000005</v>
      </c>
      <c r="O113" s="6">
        <v>6.5005199999999999</v>
      </c>
      <c r="P113" s="6">
        <v>3.4133082393038499</v>
      </c>
      <c r="Q113" s="6">
        <v>5.1900000000000002E-2</v>
      </c>
      <c r="R113" s="6">
        <v>1.4197525760563301</v>
      </c>
      <c r="S113" s="6">
        <v>5.5711954767162499</v>
      </c>
      <c r="T113" s="6">
        <v>94.513962000000006</v>
      </c>
      <c r="W113" s="8" t="str">
        <f t="shared" si="43"/>
        <v>CAP_BND</v>
      </c>
      <c r="X113" s="15" t="str">
        <f t="shared" si="44"/>
        <v>ELEWIN</v>
      </c>
      <c r="Y113" s="15" t="s">
        <v>42</v>
      </c>
      <c r="Z113" s="8">
        <f t="shared" si="45"/>
        <v>2018</v>
      </c>
      <c r="AA113" s="8">
        <f t="shared" si="46"/>
        <v>2.4587217304422411</v>
      </c>
      <c r="AB113" s="8">
        <f t="shared" si="47"/>
        <v>3.5503445245448626</v>
      </c>
      <c r="AC113" s="8">
        <f t="shared" si="48"/>
        <v>7.0048000000000012</v>
      </c>
      <c r="AD113" s="8">
        <f t="shared" si="49"/>
        <v>15.829000000000002</v>
      </c>
      <c r="AE113" s="8">
        <f t="shared" si="50"/>
        <v>14.097600000000002</v>
      </c>
      <c r="AF113" s="8">
        <f t="shared" si="51"/>
        <v>202.68600000000001</v>
      </c>
      <c r="AG113" s="8">
        <f t="shared" si="52"/>
        <v>4.8029857015260902</v>
      </c>
      <c r="AH113" s="8">
        <f t="shared" si="53"/>
        <v>201.75318911720501</v>
      </c>
      <c r="AI113" s="8">
        <f t="shared" si="54"/>
        <v>38.83</v>
      </c>
      <c r="AJ113" s="8">
        <f t="shared" si="55"/>
        <v>4.0337000000000005</v>
      </c>
      <c r="AK113" s="8">
        <f t="shared" si="56"/>
        <v>0.64707500000000007</v>
      </c>
      <c r="AL113" s="8">
        <f t="shared" si="57"/>
        <v>7.1505720000000004</v>
      </c>
      <c r="AM113" s="8">
        <f t="shared" si="58"/>
        <v>3.7546390632342352</v>
      </c>
      <c r="AN113" s="8">
        <f t="shared" si="59"/>
        <v>5.7090000000000009E-2</v>
      </c>
      <c r="AO113" s="8">
        <f t="shared" si="60"/>
        <v>1.5617278336619633</v>
      </c>
      <c r="AP113" s="8">
        <f t="shared" si="61"/>
        <v>6.1283150243878755</v>
      </c>
      <c r="AQ113" s="8">
        <f t="shared" si="62"/>
        <v>103.96535820000001</v>
      </c>
      <c r="AV113" s="8" t="str">
        <f t="shared" si="63"/>
        <v>CAP_BND</v>
      </c>
      <c r="AW113" s="15" t="str">
        <f t="shared" si="64"/>
        <v>ELEWIN</v>
      </c>
      <c r="AX113" s="8" t="s">
        <v>45</v>
      </c>
      <c r="AY113" s="8">
        <f t="shared" si="65"/>
        <v>2018</v>
      </c>
      <c r="AZ113" s="8">
        <f t="shared" si="66"/>
        <v>2.0116814158163789</v>
      </c>
      <c r="BA113" s="8">
        <f t="shared" si="67"/>
        <v>2.9048273382639782</v>
      </c>
      <c r="BB113" s="8">
        <f t="shared" si="68"/>
        <v>5.7312000000000003</v>
      </c>
      <c r="BC113" s="8">
        <f t="shared" si="69"/>
        <v>12.951000000000001</v>
      </c>
      <c r="BD113" s="8">
        <f t="shared" si="70"/>
        <v>11.534400000000002</v>
      </c>
      <c r="BE113" s="8">
        <f t="shared" si="71"/>
        <v>165.834</v>
      </c>
      <c r="BF113" s="8">
        <f t="shared" si="72"/>
        <v>3.9297155739758916</v>
      </c>
      <c r="BG113" s="8">
        <f t="shared" si="73"/>
        <v>165.070791095895</v>
      </c>
      <c r="BH113" s="8">
        <f t="shared" si="74"/>
        <v>31.77</v>
      </c>
      <c r="BI113" s="8">
        <f t="shared" si="75"/>
        <v>3.3003</v>
      </c>
      <c r="BJ113" s="8">
        <f t="shared" si="76"/>
        <v>0.52942500000000003</v>
      </c>
      <c r="BK113" s="8">
        <f t="shared" si="77"/>
        <v>5.8504680000000002</v>
      </c>
      <c r="BL113" s="8">
        <f t="shared" si="78"/>
        <v>3.0719774153734649</v>
      </c>
      <c r="BM113" s="8">
        <f t="shared" si="79"/>
        <v>4.6710000000000002E-2</v>
      </c>
      <c r="BN113" s="8">
        <f t="shared" si="80"/>
        <v>1.2777773184506971</v>
      </c>
      <c r="BO113" s="8">
        <f t="shared" si="81"/>
        <v>5.0140759290446253</v>
      </c>
      <c r="BP113" s="8">
        <f t="shared" si="82"/>
        <v>85.062565800000002</v>
      </c>
    </row>
    <row r="114" spans="2:68" ht="18.75" customHeight="1" x14ac:dyDescent="0.3">
      <c r="B114" s="2" t="s">
        <v>11</v>
      </c>
      <c r="C114" s="3">
        <v>2019</v>
      </c>
      <c r="D114" s="6">
        <v>2.2352015731293098</v>
      </c>
      <c r="E114" s="6">
        <v>3.2275859314044202</v>
      </c>
      <c r="F114" s="6">
        <v>6.3680000000000003</v>
      </c>
      <c r="G114" s="6">
        <v>14.39</v>
      </c>
      <c r="H114" s="6">
        <v>12.816000000000001</v>
      </c>
      <c r="I114" s="6">
        <v>184.26</v>
      </c>
      <c r="J114" s="6">
        <v>4.3663506377509904</v>
      </c>
      <c r="K114" s="6">
        <v>183.41199010655001</v>
      </c>
      <c r="L114" s="6">
        <v>35.299999999999997</v>
      </c>
      <c r="M114" s="6">
        <v>3.6669999999999998</v>
      </c>
      <c r="N114" s="6">
        <v>0.58825000000000005</v>
      </c>
      <c r="O114" s="6">
        <v>6.5005199999999999</v>
      </c>
      <c r="P114" s="6">
        <v>3.4133082393038499</v>
      </c>
      <c r="Q114" s="6">
        <v>5.1900000000000002E-2</v>
      </c>
      <c r="R114" s="6">
        <v>1.4197525760563301</v>
      </c>
      <c r="S114" s="6">
        <v>5.5711954767162499</v>
      </c>
      <c r="T114" s="6">
        <v>94.513962000000006</v>
      </c>
      <c r="W114" s="8" t="str">
        <f t="shared" si="43"/>
        <v>CAP_BND</v>
      </c>
      <c r="X114" s="15" t="str">
        <f t="shared" si="44"/>
        <v>ELEWIN</v>
      </c>
      <c r="Y114" s="15" t="s">
        <v>42</v>
      </c>
      <c r="Z114" s="8">
        <f t="shared" si="45"/>
        <v>2019</v>
      </c>
      <c r="AA114" s="8">
        <f t="shared" si="46"/>
        <v>2.4587217304422411</v>
      </c>
      <c r="AB114" s="8">
        <f t="shared" si="47"/>
        <v>3.5503445245448626</v>
      </c>
      <c r="AC114" s="8">
        <f t="shared" si="48"/>
        <v>7.0048000000000012</v>
      </c>
      <c r="AD114" s="8">
        <f t="shared" si="49"/>
        <v>15.829000000000002</v>
      </c>
      <c r="AE114" s="8">
        <f t="shared" si="50"/>
        <v>14.097600000000002</v>
      </c>
      <c r="AF114" s="8">
        <f t="shared" si="51"/>
        <v>202.68600000000001</v>
      </c>
      <c r="AG114" s="8">
        <f t="shared" si="52"/>
        <v>4.8029857015260902</v>
      </c>
      <c r="AH114" s="8">
        <f t="shared" si="53"/>
        <v>201.75318911720501</v>
      </c>
      <c r="AI114" s="8">
        <f t="shared" si="54"/>
        <v>38.83</v>
      </c>
      <c r="AJ114" s="8">
        <f t="shared" si="55"/>
        <v>4.0337000000000005</v>
      </c>
      <c r="AK114" s="8">
        <f t="shared" si="56"/>
        <v>0.64707500000000007</v>
      </c>
      <c r="AL114" s="8">
        <f t="shared" si="57"/>
        <v>7.1505720000000004</v>
      </c>
      <c r="AM114" s="8">
        <f t="shared" si="58"/>
        <v>3.7546390632342352</v>
      </c>
      <c r="AN114" s="8">
        <f t="shared" si="59"/>
        <v>5.7090000000000009E-2</v>
      </c>
      <c r="AO114" s="8">
        <f t="shared" si="60"/>
        <v>1.5617278336619633</v>
      </c>
      <c r="AP114" s="8">
        <f t="shared" si="61"/>
        <v>6.1283150243878755</v>
      </c>
      <c r="AQ114" s="8">
        <f t="shared" si="62"/>
        <v>103.96535820000001</v>
      </c>
      <c r="AV114" s="8" t="str">
        <f t="shared" si="63"/>
        <v>CAP_BND</v>
      </c>
      <c r="AW114" s="15" t="str">
        <f t="shared" si="64"/>
        <v>ELEWIN</v>
      </c>
      <c r="AX114" s="8" t="s">
        <v>45</v>
      </c>
      <c r="AY114" s="8">
        <f t="shared" si="65"/>
        <v>2019</v>
      </c>
      <c r="AZ114" s="8">
        <f t="shared" si="66"/>
        <v>2.0116814158163789</v>
      </c>
      <c r="BA114" s="8">
        <f t="shared" si="67"/>
        <v>2.9048273382639782</v>
      </c>
      <c r="BB114" s="8">
        <f t="shared" si="68"/>
        <v>5.7312000000000003</v>
      </c>
      <c r="BC114" s="8">
        <f t="shared" si="69"/>
        <v>12.951000000000001</v>
      </c>
      <c r="BD114" s="8">
        <f t="shared" si="70"/>
        <v>11.534400000000002</v>
      </c>
      <c r="BE114" s="8">
        <f t="shared" si="71"/>
        <v>165.834</v>
      </c>
      <c r="BF114" s="8">
        <f t="shared" si="72"/>
        <v>3.9297155739758916</v>
      </c>
      <c r="BG114" s="8">
        <f t="shared" si="73"/>
        <v>165.070791095895</v>
      </c>
      <c r="BH114" s="8">
        <f t="shared" si="74"/>
        <v>31.77</v>
      </c>
      <c r="BI114" s="8">
        <f t="shared" si="75"/>
        <v>3.3003</v>
      </c>
      <c r="BJ114" s="8">
        <f t="shared" si="76"/>
        <v>0.52942500000000003</v>
      </c>
      <c r="BK114" s="8">
        <f t="shared" si="77"/>
        <v>5.8504680000000002</v>
      </c>
      <c r="BL114" s="8">
        <f t="shared" si="78"/>
        <v>3.0719774153734649</v>
      </c>
      <c r="BM114" s="8">
        <f t="shared" si="79"/>
        <v>4.6710000000000002E-2</v>
      </c>
      <c r="BN114" s="8">
        <f t="shared" si="80"/>
        <v>1.2777773184506971</v>
      </c>
      <c r="BO114" s="8">
        <f t="shared" si="81"/>
        <v>5.0140759290446253</v>
      </c>
      <c r="BP114" s="8">
        <f t="shared" si="82"/>
        <v>85.062565800000002</v>
      </c>
    </row>
    <row r="115" spans="2:68" ht="18.75" customHeight="1" x14ac:dyDescent="0.3">
      <c r="B115" s="2" t="s">
        <v>11</v>
      </c>
      <c r="C115" s="3">
        <v>2020</v>
      </c>
      <c r="D115" s="6">
        <v>2.2352015731293098</v>
      </c>
      <c r="E115" s="6">
        <v>3.2275859314044202</v>
      </c>
      <c r="F115" s="6">
        <v>6.3680000000000003</v>
      </c>
      <c r="G115" s="6">
        <v>14.39</v>
      </c>
      <c r="H115" s="6">
        <v>12.816000000000001</v>
      </c>
      <c r="I115" s="6">
        <v>184.26</v>
      </c>
      <c r="J115" s="6">
        <v>4.3663506377509904</v>
      </c>
      <c r="K115" s="6">
        <v>183.41199010655001</v>
      </c>
      <c r="L115" s="6">
        <v>35.299999999999997</v>
      </c>
      <c r="M115" s="6">
        <v>3.6669999999999998</v>
      </c>
      <c r="N115" s="6">
        <v>0.58825000000000005</v>
      </c>
      <c r="O115" s="6">
        <v>6.5005199999999999</v>
      </c>
      <c r="P115" s="6">
        <v>3.4133082393038499</v>
      </c>
      <c r="Q115" s="6">
        <v>5.1900000000000002E-2</v>
      </c>
      <c r="R115" s="6">
        <v>1.4197525760563301</v>
      </c>
      <c r="S115" s="6">
        <v>5.5711954767162499</v>
      </c>
      <c r="T115" s="6">
        <v>94.513962000000006</v>
      </c>
      <c r="W115" s="8" t="str">
        <f t="shared" si="43"/>
        <v>CAP_BND</v>
      </c>
      <c r="X115" s="15" t="str">
        <f t="shared" si="44"/>
        <v>ELEWIN</v>
      </c>
      <c r="Y115" s="15" t="s">
        <v>42</v>
      </c>
      <c r="Z115" s="8">
        <f t="shared" si="45"/>
        <v>2020</v>
      </c>
      <c r="AA115" s="8">
        <f t="shared" si="46"/>
        <v>2.4587217304422411</v>
      </c>
      <c r="AB115" s="8">
        <f t="shared" si="47"/>
        <v>3.5503445245448626</v>
      </c>
      <c r="AC115" s="8">
        <f t="shared" si="48"/>
        <v>7.0048000000000012</v>
      </c>
      <c r="AD115" s="8">
        <f t="shared" si="49"/>
        <v>15.829000000000002</v>
      </c>
      <c r="AE115" s="8">
        <f t="shared" si="50"/>
        <v>14.097600000000002</v>
      </c>
      <c r="AF115" s="8">
        <f t="shared" si="51"/>
        <v>202.68600000000001</v>
      </c>
      <c r="AG115" s="8">
        <f t="shared" si="52"/>
        <v>4.8029857015260902</v>
      </c>
      <c r="AH115" s="8">
        <f t="shared" si="53"/>
        <v>201.75318911720501</v>
      </c>
      <c r="AI115" s="8">
        <f t="shared" si="54"/>
        <v>38.83</v>
      </c>
      <c r="AJ115" s="8">
        <f t="shared" si="55"/>
        <v>4.0337000000000005</v>
      </c>
      <c r="AK115" s="8">
        <f t="shared" si="56"/>
        <v>0.64707500000000007</v>
      </c>
      <c r="AL115" s="8">
        <f t="shared" si="57"/>
        <v>7.1505720000000004</v>
      </c>
      <c r="AM115" s="8">
        <f t="shared" si="58"/>
        <v>3.7546390632342352</v>
      </c>
      <c r="AN115" s="8">
        <f t="shared" si="59"/>
        <v>5.7090000000000009E-2</v>
      </c>
      <c r="AO115" s="8">
        <f t="shared" si="60"/>
        <v>1.5617278336619633</v>
      </c>
      <c r="AP115" s="8">
        <f t="shared" si="61"/>
        <v>6.1283150243878755</v>
      </c>
      <c r="AQ115" s="8">
        <f t="shared" si="62"/>
        <v>103.96535820000001</v>
      </c>
      <c r="AV115" s="8" t="str">
        <f t="shared" si="63"/>
        <v>CAP_BND</v>
      </c>
      <c r="AW115" s="15" t="str">
        <f t="shared" si="64"/>
        <v>ELEWIN</v>
      </c>
      <c r="AX115" s="8" t="s">
        <v>45</v>
      </c>
      <c r="AY115" s="8">
        <f t="shared" si="65"/>
        <v>2020</v>
      </c>
      <c r="AZ115" s="8">
        <f t="shared" si="66"/>
        <v>2.0116814158163789</v>
      </c>
      <c r="BA115" s="8">
        <f t="shared" si="67"/>
        <v>2.9048273382639782</v>
      </c>
      <c r="BB115" s="8">
        <f t="shared" si="68"/>
        <v>5.7312000000000003</v>
      </c>
      <c r="BC115" s="8">
        <f t="shared" si="69"/>
        <v>12.951000000000001</v>
      </c>
      <c r="BD115" s="8">
        <f t="shared" si="70"/>
        <v>11.534400000000002</v>
      </c>
      <c r="BE115" s="8">
        <f t="shared" si="71"/>
        <v>165.834</v>
      </c>
      <c r="BF115" s="8">
        <f t="shared" si="72"/>
        <v>3.9297155739758916</v>
      </c>
      <c r="BG115" s="8">
        <f t="shared" si="73"/>
        <v>165.070791095895</v>
      </c>
      <c r="BH115" s="8">
        <f t="shared" si="74"/>
        <v>31.77</v>
      </c>
      <c r="BI115" s="8">
        <f t="shared" si="75"/>
        <v>3.3003</v>
      </c>
      <c r="BJ115" s="8">
        <f t="shared" si="76"/>
        <v>0.52942500000000003</v>
      </c>
      <c r="BK115" s="8">
        <f t="shared" si="77"/>
        <v>5.8504680000000002</v>
      </c>
      <c r="BL115" s="8">
        <f t="shared" si="78"/>
        <v>3.0719774153734649</v>
      </c>
      <c r="BM115" s="8">
        <f t="shared" si="79"/>
        <v>4.6710000000000002E-2</v>
      </c>
      <c r="BN115" s="8">
        <f t="shared" si="80"/>
        <v>1.2777773184506971</v>
      </c>
      <c r="BO115" s="8">
        <f t="shared" si="81"/>
        <v>5.0140759290446253</v>
      </c>
      <c r="BP115" s="8">
        <f t="shared" si="82"/>
        <v>85.062565800000002</v>
      </c>
    </row>
    <row r="116" spans="2:68" ht="18.75" customHeight="1" x14ac:dyDescent="0.3">
      <c r="B116" s="2" t="s">
        <v>11</v>
      </c>
      <c r="C116" s="3">
        <v>2021</v>
      </c>
      <c r="D116" s="6">
        <v>6.7915823429871702</v>
      </c>
      <c r="E116" s="6">
        <v>7.8005428886592103</v>
      </c>
      <c r="F116" s="6">
        <v>13.278211143644301</v>
      </c>
      <c r="G116" s="6">
        <v>14.39</v>
      </c>
      <c r="H116" s="6">
        <v>13.2520521303984</v>
      </c>
      <c r="I116" s="6">
        <v>649.63552173733694</v>
      </c>
      <c r="J116" s="6">
        <v>4.3663506377509904</v>
      </c>
      <c r="K116" s="6">
        <v>189.29028007182899</v>
      </c>
      <c r="L116" s="6">
        <v>61.327399938348002</v>
      </c>
      <c r="M116" s="6">
        <v>56.909610579569701</v>
      </c>
      <c r="N116" s="6">
        <v>19.711894654227802</v>
      </c>
      <c r="O116" s="6">
        <v>26.651923425298701</v>
      </c>
      <c r="P116" s="6">
        <v>153.130400696934</v>
      </c>
      <c r="Q116" s="6">
        <v>5.1900000000000002E-2</v>
      </c>
      <c r="R116" s="6">
        <v>23.419725106385201</v>
      </c>
      <c r="S116" s="6">
        <v>5.5711954767162499</v>
      </c>
      <c r="T116" s="6">
        <v>296.565342319656</v>
      </c>
      <c r="W116" s="8" t="str">
        <f t="shared" si="43"/>
        <v>CAP_BND</v>
      </c>
      <c r="X116" s="15" t="str">
        <f t="shared" si="44"/>
        <v>ELEWIN</v>
      </c>
      <c r="Y116" s="15" t="s">
        <v>42</v>
      </c>
      <c r="Z116" s="8">
        <f t="shared" si="45"/>
        <v>2021</v>
      </c>
      <c r="AA116" s="8">
        <f t="shared" si="46"/>
        <v>7.4707405772858877</v>
      </c>
      <c r="AB116" s="8">
        <f t="shared" si="47"/>
        <v>8.5805971775251315</v>
      </c>
      <c r="AC116" s="8">
        <f t="shared" si="48"/>
        <v>14.606032258008732</v>
      </c>
      <c r="AD116" s="8">
        <f t="shared" si="49"/>
        <v>15.829000000000002</v>
      </c>
      <c r="AE116" s="8">
        <f t="shared" si="50"/>
        <v>14.577257343438241</v>
      </c>
      <c r="AF116" s="8">
        <f t="shared" si="51"/>
        <v>714.59907391107072</v>
      </c>
      <c r="AG116" s="8">
        <f t="shared" si="52"/>
        <v>4.8029857015260902</v>
      </c>
      <c r="AH116" s="8">
        <f t="shared" si="53"/>
        <v>208.21930807901191</v>
      </c>
      <c r="AI116" s="8">
        <f t="shared" si="54"/>
        <v>67.460139932182813</v>
      </c>
      <c r="AJ116" s="8">
        <f t="shared" si="55"/>
        <v>62.600571637526677</v>
      </c>
      <c r="AK116" s="8">
        <f t="shared" si="56"/>
        <v>21.683084119650584</v>
      </c>
      <c r="AL116" s="8">
        <f t="shared" si="57"/>
        <v>29.317115767828575</v>
      </c>
      <c r="AM116" s="8">
        <f t="shared" si="58"/>
        <v>168.44344076662742</v>
      </c>
      <c r="AN116" s="8">
        <f t="shared" si="59"/>
        <v>5.7090000000000009E-2</v>
      </c>
      <c r="AO116" s="8">
        <f t="shared" si="60"/>
        <v>25.761697617023724</v>
      </c>
      <c r="AP116" s="8">
        <f t="shared" si="61"/>
        <v>6.1283150243878755</v>
      </c>
      <c r="AQ116" s="8">
        <f t="shared" si="62"/>
        <v>326.22187655162162</v>
      </c>
      <c r="AV116" s="8" t="str">
        <f t="shared" si="63"/>
        <v>CAP_BND</v>
      </c>
      <c r="AW116" s="15" t="str">
        <f t="shared" si="64"/>
        <v>ELEWIN</v>
      </c>
      <c r="AX116" s="8" t="s">
        <v>45</v>
      </c>
      <c r="AY116" s="8">
        <f t="shared" si="65"/>
        <v>2021</v>
      </c>
      <c r="AZ116" s="8">
        <f t="shared" si="66"/>
        <v>6.1124241086884537</v>
      </c>
      <c r="BA116" s="8">
        <f t="shared" si="67"/>
        <v>7.0204885997932891</v>
      </c>
      <c r="BB116" s="8">
        <f t="shared" si="68"/>
        <v>11.950390029279871</v>
      </c>
      <c r="BC116" s="8">
        <f t="shared" si="69"/>
        <v>12.951000000000001</v>
      </c>
      <c r="BD116" s="8">
        <f t="shared" si="70"/>
        <v>11.92684691735856</v>
      </c>
      <c r="BE116" s="8">
        <f t="shared" si="71"/>
        <v>584.67196956360328</v>
      </c>
      <c r="BF116" s="8">
        <f t="shared" si="72"/>
        <v>3.9297155739758916</v>
      </c>
      <c r="BG116" s="8">
        <f t="shared" si="73"/>
        <v>170.3612520646461</v>
      </c>
      <c r="BH116" s="8">
        <f t="shared" si="74"/>
        <v>55.194659944513205</v>
      </c>
      <c r="BI116" s="8">
        <f t="shared" si="75"/>
        <v>51.218649521612733</v>
      </c>
      <c r="BJ116" s="8">
        <f t="shared" si="76"/>
        <v>17.740705188805023</v>
      </c>
      <c r="BK116" s="8">
        <f t="shared" si="77"/>
        <v>23.986731082768831</v>
      </c>
      <c r="BL116" s="8">
        <f t="shared" si="78"/>
        <v>137.81736062724062</v>
      </c>
      <c r="BM116" s="8">
        <f t="shared" si="79"/>
        <v>4.6710000000000002E-2</v>
      </c>
      <c r="BN116" s="8">
        <f t="shared" si="80"/>
        <v>21.077752595746681</v>
      </c>
      <c r="BO116" s="8">
        <f t="shared" si="81"/>
        <v>5.0140759290446253</v>
      </c>
      <c r="BP116" s="8">
        <f t="shared" si="82"/>
        <v>266.90880808769043</v>
      </c>
    </row>
    <row r="117" spans="2:68" ht="18.75" customHeight="1" x14ac:dyDescent="0.3">
      <c r="B117" s="2" t="s">
        <v>11</v>
      </c>
      <c r="C117" s="3">
        <v>2030</v>
      </c>
      <c r="D117" s="6">
        <v>14.2223408389162</v>
      </c>
      <c r="E117" s="6">
        <v>11.4075859314044</v>
      </c>
      <c r="F117" s="6">
        <v>25.565498024084501</v>
      </c>
      <c r="G117" s="6">
        <v>14.39</v>
      </c>
      <c r="H117" s="6">
        <v>13.596</v>
      </c>
      <c r="I117" s="6">
        <v>1289.11790692509</v>
      </c>
      <c r="J117" s="6">
        <v>4.3663506377509904</v>
      </c>
      <c r="K117" s="6">
        <v>195.03192220164499</v>
      </c>
      <c r="L117" s="6">
        <v>70.909709423509995</v>
      </c>
      <c r="M117" s="6">
        <v>151.58214906726101</v>
      </c>
      <c r="N117" s="6">
        <v>46.5292894478007</v>
      </c>
      <c r="O117" s="6">
        <v>47.386670371341602</v>
      </c>
      <c r="P117" s="6">
        <v>264.02304991524102</v>
      </c>
      <c r="Q117" s="6">
        <v>4.9088836060565599</v>
      </c>
      <c r="R117" s="6">
        <v>62.538641767938302</v>
      </c>
      <c r="S117" s="6">
        <v>5.5711954767162499</v>
      </c>
      <c r="T117" s="6">
        <v>455.93881389866499</v>
      </c>
      <c r="W117" s="8" t="str">
        <f t="shared" si="43"/>
        <v>*</v>
      </c>
      <c r="X117" s="15" t="str">
        <f t="shared" si="44"/>
        <v>ELEWIN</v>
      </c>
      <c r="Y117" s="15" t="s">
        <v>42</v>
      </c>
      <c r="Z117" s="8">
        <f t="shared" si="45"/>
        <v>2030</v>
      </c>
      <c r="AA117" s="8">
        <f t="shared" si="46"/>
        <v>15.644574922807822</v>
      </c>
      <c r="AB117" s="8">
        <f t="shared" si="47"/>
        <v>12.548344524544842</v>
      </c>
      <c r="AC117" s="8">
        <f t="shared" si="48"/>
        <v>28.122047826492953</v>
      </c>
      <c r="AD117" s="8">
        <f t="shared" si="49"/>
        <v>15.829000000000002</v>
      </c>
      <c r="AE117" s="8">
        <f t="shared" si="50"/>
        <v>14.9556</v>
      </c>
      <c r="AF117" s="8">
        <f t="shared" si="51"/>
        <v>1418.0296976175991</v>
      </c>
      <c r="AG117" s="8">
        <f t="shared" si="52"/>
        <v>4.8029857015260902</v>
      </c>
      <c r="AH117" s="8">
        <f t="shared" si="53"/>
        <v>214.53511442180951</v>
      </c>
      <c r="AI117" s="8">
        <f t="shared" si="54"/>
        <v>78.000680365861001</v>
      </c>
      <c r="AJ117" s="8">
        <f t="shared" si="55"/>
        <v>166.74036397398712</v>
      </c>
      <c r="AK117" s="8">
        <f t="shared" si="56"/>
        <v>51.182218392580772</v>
      </c>
      <c r="AL117" s="8">
        <f t="shared" si="57"/>
        <v>52.125337408475765</v>
      </c>
      <c r="AM117" s="8">
        <f t="shared" si="58"/>
        <v>290.42535490676516</v>
      </c>
      <c r="AN117" s="8">
        <f t="shared" si="59"/>
        <v>5.3997719666622164</v>
      </c>
      <c r="AO117" s="8">
        <f t="shared" si="60"/>
        <v>68.792505944732142</v>
      </c>
      <c r="AP117" s="8">
        <f t="shared" si="61"/>
        <v>6.1283150243878755</v>
      </c>
      <c r="AQ117" s="8">
        <f t="shared" si="62"/>
        <v>501.53269528853156</v>
      </c>
      <c r="AV117" s="8" t="str">
        <f t="shared" si="63"/>
        <v>*</v>
      </c>
      <c r="AW117" s="15" t="str">
        <f t="shared" si="64"/>
        <v>ELEWIN</v>
      </c>
      <c r="AX117" s="8" t="s">
        <v>45</v>
      </c>
      <c r="AY117" s="8">
        <f t="shared" si="65"/>
        <v>2030</v>
      </c>
      <c r="AZ117" s="8">
        <f t="shared" si="66"/>
        <v>12.800106755024579</v>
      </c>
      <c r="BA117" s="8">
        <f t="shared" si="67"/>
        <v>10.26682733826396</v>
      </c>
      <c r="BB117" s="8">
        <f t="shared" si="68"/>
        <v>23.00894822167605</v>
      </c>
      <c r="BC117" s="8">
        <f t="shared" si="69"/>
        <v>12.951000000000001</v>
      </c>
      <c r="BD117" s="8">
        <f t="shared" si="70"/>
        <v>12.2364</v>
      </c>
      <c r="BE117" s="8">
        <f t="shared" si="71"/>
        <v>1160.2061162325811</v>
      </c>
      <c r="BF117" s="8">
        <f t="shared" si="72"/>
        <v>3.9297155739758916</v>
      </c>
      <c r="BG117" s="8">
        <f t="shared" si="73"/>
        <v>175.5287299814805</v>
      </c>
      <c r="BH117" s="8">
        <f t="shared" si="74"/>
        <v>63.818738481158995</v>
      </c>
      <c r="BI117" s="8">
        <f t="shared" si="75"/>
        <v>136.42393416053491</v>
      </c>
      <c r="BJ117" s="8">
        <f t="shared" si="76"/>
        <v>41.876360503020628</v>
      </c>
      <c r="BK117" s="8">
        <f t="shared" si="77"/>
        <v>42.648003334207445</v>
      </c>
      <c r="BL117" s="8">
        <f t="shared" si="78"/>
        <v>237.62074492371693</v>
      </c>
      <c r="BM117" s="8">
        <f t="shared" si="79"/>
        <v>4.4179952454509044</v>
      </c>
      <c r="BN117" s="8">
        <f t="shared" si="80"/>
        <v>56.284777591144476</v>
      </c>
      <c r="BO117" s="8">
        <f t="shared" si="81"/>
        <v>5.0140759290446253</v>
      </c>
      <c r="BP117" s="8">
        <f t="shared" si="82"/>
        <v>410.34493250879848</v>
      </c>
    </row>
    <row r="118" spans="2:68" ht="18.75" customHeight="1" x14ac:dyDescent="0.3">
      <c r="B118" s="2" t="s">
        <v>11</v>
      </c>
      <c r="C118" s="3">
        <v>2040</v>
      </c>
      <c r="D118" s="6">
        <v>34.377102244111299</v>
      </c>
      <c r="E118" s="6">
        <v>23.510535093766801</v>
      </c>
      <c r="F118" s="6">
        <v>27.4781235856479</v>
      </c>
      <c r="G118" s="6">
        <v>14.39</v>
      </c>
      <c r="H118" s="6">
        <v>13.6477737319757</v>
      </c>
      <c r="I118" s="6">
        <v>2524.8440706383499</v>
      </c>
      <c r="J118" s="6">
        <v>8.8744217450422695</v>
      </c>
      <c r="K118" s="6">
        <v>317.516593936032</v>
      </c>
      <c r="L118" s="6">
        <v>78.154866578718199</v>
      </c>
      <c r="M118" s="6">
        <v>154.75423456841901</v>
      </c>
      <c r="N118" s="6">
        <v>83.416997379932894</v>
      </c>
      <c r="O118" s="6">
        <v>53.4676629940938</v>
      </c>
      <c r="P118" s="6">
        <v>314.56152276454998</v>
      </c>
      <c r="Q118" s="6">
        <v>119.358133422837</v>
      </c>
      <c r="R118" s="6">
        <v>87.508980805365496</v>
      </c>
      <c r="S118" s="6">
        <v>21.0944452894786</v>
      </c>
      <c r="T118" s="6">
        <v>474.72652193099702</v>
      </c>
      <c r="W118" s="8" t="str">
        <f t="shared" si="43"/>
        <v>*</v>
      </c>
      <c r="X118" s="15" t="str">
        <f t="shared" si="44"/>
        <v>ELEWIN</v>
      </c>
      <c r="Y118" s="15" t="s">
        <v>42</v>
      </c>
      <c r="Z118" s="8">
        <f t="shared" si="45"/>
        <v>2040</v>
      </c>
      <c r="AA118" s="8">
        <f t="shared" si="46"/>
        <v>37.814812468522433</v>
      </c>
      <c r="AB118" s="8">
        <f t="shared" si="47"/>
        <v>25.861588603143485</v>
      </c>
      <c r="AC118" s="8">
        <f t="shared" si="48"/>
        <v>30.225935944212694</v>
      </c>
      <c r="AD118" s="8">
        <f t="shared" si="49"/>
        <v>15.829000000000002</v>
      </c>
      <c r="AE118" s="8">
        <f t="shared" si="50"/>
        <v>15.012551105173271</v>
      </c>
      <c r="AF118" s="8">
        <f t="shared" si="51"/>
        <v>2777.328477702185</v>
      </c>
      <c r="AG118" s="8">
        <f t="shared" si="52"/>
        <v>9.7618639195464976</v>
      </c>
      <c r="AH118" s="8">
        <f t="shared" si="53"/>
        <v>349.26825332963523</v>
      </c>
      <c r="AI118" s="8">
        <f t="shared" si="54"/>
        <v>85.970353236590029</v>
      </c>
      <c r="AJ118" s="8">
        <f t="shared" si="55"/>
        <v>170.22965802526093</v>
      </c>
      <c r="AK118" s="8">
        <f t="shared" si="56"/>
        <v>91.758697117926189</v>
      </c>
      <c r="AL118" s="8">
        <f t="shared" si="57"/>
        <v>58.814429293503181</v>
      </c>
      <c r="AM118" s="8">
        <f t="shared" si="58"/>
        <v>346.01767504100502</v>
      </c>
      <c r="AN118" s="8">
        <f t="shared" si="59"/>
        <v>131.29394676512072</v>
      </c>
      <c r="AO118" s="8">
        <f t="shared" si="60"/>
        <v>96.259878885902054</v>
      </c>
      <c r="AP118" s="8">
        <f t="shared" si="61"/>
        <v>23.203889818426461</v>
      </c>
      <c r="AQ118" s="8">
        <f t="shared" si="62"/>
        <v>522.19917412409677</v>
      </c>
      <c r="AV118" s="8" t="str">
        <f t="shared" si="63"/>
        <v>*</v>
      </c>
      <c r="AW118" s="15" t="str">
        <f t="shared" si="64"/>
        <v>ELEWIN</v>
      </c>
      <c r="AX118" s="8" t="s">
        <v>45</v>
      </c>
      <c r="AY118" s="8">
        <f t="shared" si="65"/>
        <v>2040</v>
      </c>
      <c r="AZ118" s="8">
        <f t="shared" si="66"/>
        <v>30.939392019700168</v>
      </c>
      <c r="BA118" s="8">
        <f t="shared" si="67"/>
        <v>21.159481584390122</v>
      </c>
      <c r="BB118" s="8">
        <f t="shared" si="68"/>
        <v>24.73031122708311</v>
      </c>
      <c r="BC118" s="8">
        <f t="shared" si="69"/>
        <v>12.951000000000001</v>
      </c>
      <c r="BD118" s="8">
        <f t="shared" si="70"/>
        <v>12.282996358778131</v>
      </c>
      <c r="BE118" s="8">
        <f t="shared" si="71"/>
        <v>2272.3596635745148</v>
      </c>
      <c r="BF118" s="8">
        <f t="shared" si="72"/>
        <v>7.9869795705380424</v>
      </c>
      <c r="BG118" s="8">
        <f t="shared" si="73"/>
        <v>285.76493454242882</v>
      </c>
      <c r="BH118" s="8">
        <f t="shared" si="74"/>
        <v>70.339379920846383</v>
      </c>
      <c r="BI118" s="8">
        <f t="shared" si="75"/>
        <v>139.27881111157711</v>
      </c>
      <c r="BJ118" s="8">
        <f t="shared" si="76"/>
        <v>75.075297641939613</v>
      </c>
      <c r="BK118" s="8">
        <f t="shared" si="77"/>
        <v>48.120896694684419</v>
      </c>
      <c r="BL118" s="8">
        <f t="shared" si="78"/>
        <v>283.10537048809499</v>
      </c>
      <c r="BM118" s="8">
        <f t="shared" si="79"/>
        <v>107.42232008055331</v>
      </c>
      <c r="BN118" s="8">
        <f t="shared" si="80"/>
        <v>78.758082724828952</v>
      </c>
      <c r="BO118" s="8">
        <f t="shared" si="81"/>
        <v>18.985000760530742</v>
      </c>
      <c r="BP118" s="8">
        <f t="shared" si="82"/>
        <v>427.25386973789733</v>
      </c>
    </row>
    <row r="119" spans="2:68" ht="18.75" customHeight="1" x14ac:dyDescent="0.3">
      <c r="B119" s="2" t="s">
        <v>11</v>
      </c>
      <c r="C119" s="3">
        <v>2050</v>
      </c>
      <c r="D119" s="6">
        <v>71.690735089948305</v>
      </c>
      <c r="E119" s="6">
        <v>50.128109998350098</v>
      </c>
      <c r="F119" s="6">
        <v>34.692272536436903</v>
      </c>
      <c r="G119" s="6">
        <v>14.39</v>
      </c>
      <c r="H119" s="6">
        <v>21.410286064383399</v>
      </c>
      <c r="I119" s="6">
        <v>3675.9</v>
      </c>
      <c r="J119" s="6">
        <v>23.5582868037182</v>
      </c>
      <c r="K119" s="6">
        <v>496.865241790244</v>
      </c>
      <c r="L119" s="6">
        <v>92.034092252423093</v>
      </c>
      <c r="M119" s="6">
        <v>166.20919838745499</v>
      </c>
      <c r="N119" s="6">
        <v>146.30401178597401</v>
      </c>
      <c r="O119" s="6">
        <v>66.083050932601694</v>
      </c>
      <c r="P119" s="6">
        <v>429.62575978208997</v>
      </c>
      <c r="Q119" s="6">
        <v>221.75128148846301</v>
      </c>
      <c r="R119" s="6">
        <v>117.142078223108</v>
      </c>
      <c r="S119" s="6">
        <v>52.2053377375343</v>
      </c>
      <c r="T119" s="6">
        <v>530.72667809988502</v>
      </c>
      <c r="W119" s="8" t="str">
        <f t="shared" si="43"/>
        <v>*</v>
      </c>
      <c r="X119" s="15" t="str">
        <f t="shared" si="44"/>
        <v>ELEWIN</v>
      </c>
      <c r="Y119" s="15" t="s">
        <v>42</v>
      </c>
      <c r="Z119" s="8">
        <f t="shared" si="45"/>
        <v>2050</v>
      </c>
      <c r="AA119" s="8">
        <f t="shared" si="46"/>
        <v>78.859808598943147</v>
      </c>
      <c r="AB119" s="8">
        <f t="shared" si="47"/>
        <v>55.140920998185109</v>
      </c>
      <c r="AC119" s="8">
        <f t="shared" si="48"/>
        <v>38.161499790080597</v>
      </c>
      <c r="AD119" s="8">
        <f t="shared" si="49"/>
        <v>15.829000000000002</v>
      </c>
      <c r="AE119" s="8">
        <f t="shared" si="50"/>
        <v>23.551314670821743</v>
      </c>
      <c r="AF119" s="8">
        <f t="shared" si="51"/>
        <v>4043.4900000000002</v>
      </c>
      <c r="AG119" s="8">
        <f t="shared" si="52"/>
        <v>25.914115484090022</v>
      </c>
      <c r="AH119" s="8">
        <f t="shared" si="53"/>
        <v>546.55176596926844</v>
      </c>
      <c r="AI119" s="8">
        <f t="shared" si="54"/>
        <v>101.2375014776654</v>
      </c>
      <c r="AJ119" s="8">
        <f t="shared" si="55"/>
        <v>182.83011822620051</v>
      </c>
      <c r="AK119" s="8">
        <f t="shared" si="56"/>
        <v>160.93441296457144</v>
      </c>
      <c r="AL119" s="8">
        <f t="shared" si="57"/>
        <v>72.691356025861865</v>
      </c>
      <c r="AM119" s="8">
        <f t="shared" si="58"/>
        <v>472.588335760299</v>
      </c>
      <c r="AN119" s="8">
        <f t="shared" si="59"/>
        <v>243.92640963730932</v>
      </c>
      <c r="AO119" s="8">
        <f t="shared" si="60"/>
        <v>128.85628604541881</v>
      </c>
      <c r="AP119" s="8">
        <f t="shared" si="61"/>
        <v>57.425871511287738</v>
      </c>
      <c r="AQ119" s="8">
        <f t="shared" si="62"/>
        <v>583.79934590987352</v>
      </c>
      <c r="AV119" s="8" t="str">
        <f t="shared" si="63"/>
        <v>*</v>
      </c>
      <c r="AW119" s="15" t="str">
        <f t="shared" si="64"/>
        <v>ELEWIN</v>
      </c>
      <c r="AX119" s="8" t="s">
        <v>45</v>
      </c>
      <c r="AY119" s="8">
        <f t="shared" si="65"/>
        <v>2050</v>
      </c>
      <c r="AZ119" s="8">
        <f t="shared" si="66"/>
        <v>64.521661580953477</v>
      </c>
      <c r="BA119" s="8">
        <f t="shared" si="67"/>
        <v>45.115298998515087</v>
      </c>
      <c r="BB119" s="8">
        <f t="shared" si="68"/>
        <v>31.223045282793212</v>
      </c>
      <c r="BC119" s="8">
        <f t="shared" si="69"/>
        <v>12.951000000000001</v>
      </c>
      <c r="BD119" s="8">
        <f t="shared" si="70"/>
        <v>19.269257457945059</v>
      </c>
      <c r="BE119" s="8">
        <f t="shared" si="71"/>
        <v>3308.31</v>
      </c>
      <c r="BF119" s="8">
        <f t="shared" si="72"/>
        <v>21.202458123346382</v>
      </c>
      <c r="BG119" s="8">
        <f t="shared" si="73"/>
        <v>447.17871761121961</v>
      </c>
      <c r="BH119" s="8">
        <f t="shared" si="74"/>
        <v>82.830683027180783</v>
      </c>
      <c r="BI119" s="8">
        <f t="shared" si="75"/>
        <v>149.5882785487095</v>
      </c>
      <c r="BJ119" s="8">
        <f t="shared" si="76"/>
        <v>131.67361060737662</v>
      </c>
      <c r="BK119" s="8">
        <f t="shared" si="77"/>
        <v>59.474745839341523</v>
      </c>
      <c r="BL119" s="8">
        <f t="shared" si="78"/>
        <v>386.663183803881</v>
      </c>
      <c r="BM119" s="8">
        <f t="shared" si="79"/>
        <v>199.57615333961672</v>
      </c>
      <c r="BN119" s="8">
        <f t="shared" si="80"/>
        <v>105.4278704007972</v>
      </c>
      <c r="BO119" s="8">
        <f t="shared" si="81"/>
        <v>46.98480396378087</v>
      </c>
      <c r="BP119" s="8">
        <f t="shared" si="82"/>
        <v>477.65401028989652</v>
      </c>
    </row>
    <row r="120" spans="2:68" ht="18.75" customHeight="1" x14ac:dyDescent="0.3">
      <c r="B120" s="2" t="s">
        <v>11</v>
      </c>
      <c r="C120" s="3">
        <v>2060</v>
      </c>
      <c r="D120" s="6">
        <v>97.775481617099302</v>
      </c>
      <c r="E120" s="6">
        <v>85.570172655536993</v>
      </c>
      <c r="F120" s="6">
        <v>40.182114334759</v>
      </c>
      <c r="G120" s="6">
        <v>14.39</v>
      </c>
      <c r="H120" s="6">
        <v>37.837086424627302</v>
      </c>
      <c r="I120" s="6">
        <v>3675.9</v>
      </c>
      <c r="J120" s="6">
        <v>44.598831490275899</v>
      </c>
      <c r="K120" s="6">
        <v>641.63667159348802</v>
      </c>
      <c r="L120" s="6">
        <v>105.00703243138901</v>
      </c>
      <c r="M120" s="6">
        <v>204.48513920532801</v>
      </c>
      <c r="N120" s="6">
        <v>190.06434207919901</v>
      </c>
      <c r="O120" s="6">
        <v>73.372523735886503</v>
      </c>
      <c r="P120" s="6">
        <v>582.38030038957504</v>
      </c>
      <c r="Q120" s="6">
        <v>228.446501653317</v>
      </c>
      <c r="R120" s="6">
        <v>152.37074493378699</v>
      </c>
      <c r="S120" s="6">
        <v>86.538606621461</v>
      </c>
      <c r="T120" s="6">
        <v>577.941899500879</v>
      </c>
      <c r="W120" s="8" t="str">
        <f t="shared" si="43"/>
        <v>*</v>
      </c>
      <c r="X120" s="15" t="str">
        <f t="shared" si="44"/>
        <v>ELEWIN</v>
      </c>
      <c r="Y120" s="15" t="s">
        <v>42</v>
      </c>
      <c r="Z120" s="8">
        <f t="shared" si="45"/>
        <v>2060</v>
      </c>
      <c r="AA120" s="8">
        <f t="shared" si="46"/>
        <v>107.55302977880925</v>
      </c>
      <c r="AB120" s="8">
        <f t="shared" si="47"/>
        <v>94.127189921090704</v>
      </c>
      <c r="AC120" s="8">
        <f t="shared" si="48"/>
        <v>44.200325768234904</v>
      </c>
      <c r="AD120" s="8">
        <f t="shared" si="49"/>
        <v>15.829000000000002</v>
      </c>
      <c r="AE120" s="8">
        <f t="shared" si="50"/>
        <v>41.620795067090036</v>
      </c>
      <c r="AF120" s="8">
        <f t="shared" si="51"/>
        <v>4043.4900000000002</v>
      </c>
      <c r="AG120" s="8">
        <f t="shared" si="52"/>
        <v>49.058714639303496</v>
      </c>
      <c r="AH120" s="8">
        <f t="shared" si="53"/>
        <v>705.80033875283686</v>
      </c>
      <c r="AI120" s="8">
        <f t="shared" si="54"/>
        <v>115.50773567452792</v>
      </c>
      <c r="AJ120" s="8">
        <f t="shared" si="55"/>
        <v>224.93365312586084</v>
      </c>
      <c r="AK120" s="8">
        <f t="shared" si="56"/>
        <v>209.07077628711892</v>
      </c>
      <c r="AL120" s="8">
        <f t="shared" si="57"/>
        <v>80.709776109475158</v>
      </c>
      <c r="AM120" s="8">
        <f t="shared" si="58"/>
        <v>640.61833042853254</v>
      </c>
      <c r="AN120" s="8">
        <f t="shared" si="59"/>
        <v>251.29115181864873</v>
      </c>
      <c r="AO120" s="8">
        <f t="shared" si="60"/>
        <v>167.60781942716571</v>
      </c>
      <c r="AP120" s="8">
        <f t="shared" si="61"/>
        <v>95.192467283607101</v>
      </c>
      <c r="AQ120" s="8">
        <f t="shared" si="62"/>
        <v>635.73608945096692</v>
      </c>
      <c r="AV120" s="8" t="str">
        <f t="shared" si="63"/>
        <v>*</v>
      </c>
      <c r="AW120" s="15" t="str">
        <f t="shared" si="64"/>
        <v>ELEWIN</v>
      </c>
      <c r="AX120" s="8" t="s">
        <v>45</v>
      </c>
      <c r="AY120" s="8">
        <f t="shared" si="65"/>
        <v>2060</v>
      </c>
      <c r="AZ120" s="8">
        <f t="shared" si="66"/>
        <v>87.997933455389372</v>
      </c>
      <c r="BA120" s="8">
        <f t="shared" si="67"/>
        <v>77.013155389983297</v>
      </c>
      <c r="BB120" s="8">
        <f t="shared" si="68"/>
        <v>36.163902901283102</v>
      </c>
      <c r="BC120" s="8">
        <f t="shared" si="69"/>
        <v>12.951000000000001</v>
      </c>
      <c r="BD120" s="8">
        <f t="shared" si="70"/>
        <v>34.053377782164574</v>
      </c>
      <c r="BE120" s="8">
        <f t="shared" si="71"/>
        <v>3308.31</v>
      </c>
      <c r="BF120" s="8">
        <f t="shared" si="72"/>
        <v>40.138948341248309</v>
      </c>
      <c r="BG120" s="8">
        <f t="shared" si="73"/>
        <v>577.47300443413928</v>
      </c>
      <c r="BH120" s="8">
        <f t="shared" si="74"/>
        <v>94.506329188250106</v>
      </c>
      <c r="BI120" s="8">
        <f t="shared" si="75"/>
        <v>184.03662528479521</v>
      </c>
      <c r="BJ120" s="8">
        <f t="shared" si="76"/>
        <v>171.0579078712791</v>
      </c>
      <c r="BK120" s="8">
        <f t="shared" si="77"/>
        <v>66.035271362297848</v>
      </c>
      <c r="BL120" s="8">
        <f t="shared" si="78"/>
        <v>524.14227035061754</v>
      </c>
      <c r="BM120" s="8">
        <f t="shared" si="79"/>
        <v>205.6018514879853</v>
      </c>
      <c r="BN120" s="8">
        <f t="shared" si="80"/>
        <v>137.13367044040831</v>
      </c>
      <c r="BO120" s="8">
        <f t="shared" si="81"/>
        <v>77.884745959314898</v>
      </c>
      <c r="BP120" s="8">
        <f t="shared" si="82"/>
        <v>520.14770955079109</v>
      </c>
    </row>
    <row r="121" spans="2:68" ht="18.75" customHeight="1" x14ac:dyDescent="0.3">
      <c r="B121" s="2" t="s">
        <v>11</v>
      </c>
      <c r="C121" s="3">
        <v>2070</v>
      </c>
      <c r="D121" s="6">
        <v>111.567689263205</v>
      </c>
      <c r="E121" s="6">
        <v>134.79273520167601</v>
      </c>
      <c r="F121" s="6">
        <v>43.403266994853198</v>
      </c>
      <c r="G121" s="6">
        <v>14.39</v>
      </c>
      <c r="H121" s="6">
        <v>59.810620504396603</v>
      </c>
      <c r="I121" s="6">
        <v>3675.9</v>
      </c>
      <c r="J121" s="6">
        <v>73.186222083053394</v>
      </c>
      <c r="K121" s="6">
        <v>866.49976624581996</v>
      </c>
      <c r="L121" s="6">
        <v>130.692543905447</v>
      </c>
      <c r="M121" s="6">
        <v>253.25611506109101</v>
      </c>
      <c r="N121" s="6">
        <v>207.44136316914501</v>
      </c>
      <c r="O121" s="6">
        <v>83.744595822371195</v>
      </c>
      <c r="P121" s="6">
        <v>762.70820260754601</v>
      </c>
      <c r="Q121" s="6">
        <v>256.90706248524202</v>
      </c>
      <c r="R121" s="6">
        <v>198.30705609986299</v>
      </c>
      <c r="S121" s="6">
        <v>123.129311718819</v>
      </c>
      <c r="T121" s="6">
        <v>650.31566779206696</v>
      </c>
      <c r="W121" s="8" t="str">
        <f t="shared" si="43"/>
        <v>*</v>
      </c>
      <c r="X121" s="15" t="str">
        <f t="shared" si="44"/>
        <v>ELEWIN</v>
      </c>
      <c r="Y121" s="15" t="s">
        <v>42</v>
      </c>
      <c r="Z121" s="8">
        <f t="shared" si="45"/>
        <v>2070</v>
      </c>
      <c r="AA121" s="8">
        <f t="shared" si="46"/>
        <v>122.72445818952551</v>
      </c>
      <c r="AB121" s="8">
        <f t="shared" si="47"/>
        <v>148.27200872184363</v>
      </c>
      <c r="AC121" s="8">
        <f t="shared" si="48"/>
        <v>47.743593694338522</v>
      </c>
      <c r="AD121" s="8">
        <f t="shared" si="49"/>
        <v>15.829000000000002</v>
      </c>
      <c r="AE121" s="8">
        <f t="shared" si="50"/>
        <v>65.791682554836271</v>
      </c>
      <c r="AF121" s="8">
        <f t="shared" si="51"/>
        <v>4043.4900000000002</v>
      </c>
      <c r="AG121" s="8">
        <f t="shared" si="52"/>
        <v>80.504844291358737</v>
      </c>
      <c r="AH121" s="8">
        <f t="shared" si="53"/>
        <v>953.14974287040206</v>
      </c>
      <c r="AI121" s="8">
        <f t="shared" si="54"/>
        <v>143.7617982959917</v>
      </c>
      <c r="AJ121" s="8">
        <f t="shared" si="55"/>
        <v>278.58172656720012</v>
      </c>
      <c r="AK121" s="8">
        <f t="shared" si="56"/>
        <v>228.18549948605951</v>
      </c>
      <c r="AL121" s="8">
        <f t="shared" si="57"/>
        <v>92.119055404608318</v>
      </c>
      <c r="AM121" s="8">
        <f t="shared" si="58"/>
        <v>838.97902286830072</v>
      </c>
      <c r="AN121" s="8">
        <f t="shared" si="59"/>
        <v>282.59776873376626</v>
      </c>
      <c r="AO121" s="8">
        <f t="shared" si="60"/>
        <v>218.13776170984931</v>
      </c>
      <c r="AP121" s="8">
        <f t="shared" si="61"/>
        <v>135.4422428907009</v>
      </c>
      <c r="AQ121" s="8">
        <f t="shared" si="62"/>
        <v>715.3472345712737</v>
      </c>
      <c r="AV121" s="8" t="str">
        <f t="shared" si="63"/>
        <v>*</v>
      </c>
      <c r="AW121" s="15" t="str">
        <f t="shared" si="64"/>
        <v>ELEWIN</v>
      </c>
      <c r="AX121" s="8" t="s">
        <v>45</v>
      </c>
      <c r="AY121" s="8">
        <f t="shared" si="65"/>
        <v>2070</v>
      </c>
      <c r="AZ121" s="8">
        <f t="shared" si="66"/>
        <v>100.4109203368845</v>
      </c>
      <c r="BA121" s="8">
        <f t="shared" si="67"/>
        <v>121.31346168150841</v>
      </c>
      <c r="BB121" s="8">
        <f t="shared" si="68"/>
        <v>39.062940295367881</v>
      </c>
      <c r="BC121" s="8">
        <f t="shared" si="69"/>
        <v>12.951000000000001</v>
      </c>
      <c r="BD121" s="8">
        <f t="shared" si="70"/>
        <v>53.829558453956942</v>
      </c>
      <c r="BE121" s="8">
        <f t="shared" si="71"/>
        <v>3308.31</v>
      </c>
      <c r="BF121" s="8">
        <f t="shared" si="72"/>
        <v>65.867599874748052</v>
      </c>
      <c r="BG121" s="8">
        <f t="shared" si="73"/>
        <v>779.84978962123796</v>
      </c>
      <c r="BH121" s="8">
        <f t="shared" si="74"/>
        <v>117.6232895149023</v>
      </c>
      <c r="BI121" s="8">
        <f t="shared" si="75"/>
        <v>227.93050355498193</v>
      </c>
      <c r="BJ121" s="8">
        <f t="shared" si="76"/>
        <v>186.6972268522305</v>
      </c>
      <c r="BK121" s="8">
        <f t="shared" si="77"/>
        <v>75.370136240134073</v>
      </c>
      <c r="BL121" s="8">
        <f t="shared" si="78"/>
        <v>686.43738234679142</v>
      </c>
      <c r="BM121" s="8">
        <f t="shared" si="79"/>
        <v>231.21635623671781</v>
      </c>
      <c r="BN121" s="8">
        <f t="shared" si="80"/>
        <v>178.47635048987669</v>
      </c>
      <c r="BO121" s="8">
        <f t="shared" si="81"/>
        <v>110.8163805469371</v>
      </c>
      <c r="BP121" s="8">
        <f t="shared" si="82"/>
        <v>585.28410101286033</v>
      </c>
    </row>
    <row r="122" spans="2:68" x14ac:dyDescent="0.3">
      <c r="B122" s="2" t="s">
        <v>11</v>
      </c>
      <c r="C122" s="3">
        <v>2080</v>
      </c>
      <c r="D122" s="6">
        <v>126.904445991182</v>
      </c>
      <c r="E122" s="6">
        <v>188.84382786825</v>
      </c>
      <c r="F122" s="6">
        <v>49.515968183456998</v>
      </c>
      <c r="G122" s="6">
        <v>14.39</v>
      </c>
      <c r="H122" s="6">
        <v>97.884663323758204</v>
      </c>
      <c r="I122" s="6">
        <v>3675.9</v>
      </c>
      <c r="J122" s="6">
        <v>111.922600640515</v>
      </c>
      <c r="K122" s="6">
        <v>1162.3079461070099</v>
      </c>
      <c r="L122" s="6">
        <v>149.124966494565</v>
      </c>
      <c r="M122" s="6">
        <v>321.40563964838702</v>
      </c>
      <c r="N122" s="6">
        <v>258.871664044238</v>
      </c>
      <c r="O122" s="6">
        <v>98.1965631408696</v>
      </c>
      <c r="P122" s="6">
        <v>1011.92569408296</v>
      </c>
      <c r="Q122" s="6">
        <v>322.21734036094199</v>
      </c>
      <c r="R122" s="6">
        <v>239.39449522168499</v>
      </c>
      <c r="S122" s="6">
        <v>174.61372685813001</v>
      </c>
      <c r="T122" s="6">
        <v>756.804617983914</v>
      </c>
      <c r="W122" s="8" t="str">
        <f t="shared" si="43"/>
        <v>*</v>
      </c>
      <c r="X122" s="15" t="str">
        <f t="shared" si="44"/>
        <v>ELEWIN</v>
      </c>
      <c r="Y122" s="15" t="s">
        <v>42</v>
      </c>
      <c r="Z122" s="8">
        <f t="shared" si="45"/>
        <v>2080</v>
      </c>
      <c r="AA122" s="8">
        <f t="shared" si="46"/>
        <v>139.59489059030022</v>
      </c>
      <c r="AB122" s="8">
        <f t="shared" si="47"/>
        <v>207.72821065507503</v>
      </c>
      <c r="AC122" s="8">
        <f t="shared" si="48"/>
        <v>54.467565001802704</v>
      </c>
      <c r="AD122" s="8">
        <f t="shared" si="49"/>
        <v>15.829000000000002</v>
      </c>
      <c r="AE122" s="8">
        <f t="shared" si="50"/>
        <v>107.67312965613404</v>
      </c>
      <c r="AF122" s="8">
        <f t="shared" si="51"/>
        <v>4043.4900000000002</v>
      </c>
      <c r="AG122" s="8">
        <f t="shared" si="52"/>
        <v>123.11486070456651</v>
      </c>
      <c r="AH122" s="8">
        <f t="shared" si="53"/>
        <v>1278.5387407177111</v>
      </c>
      <c r="AI122" s="8">
        <f t="shared" si="54"/>
        <v>164.0374631440215</v>
      </c>
      <c r="AJ122" s="8">
        <f t="shared" si="55"/>
        <v>353.54620361322577</v>
      </c>
      <c r="AK122" s="8">
        <f t="shared" si="56"/>
        <v>284.75883044866185</v>
      </c>
      <c r="AL122" s="8">
        <f t="shared" si="57"/>
        <v>108.01621945495657</v>
      </c>
      <c r="AM122" s="8">
        <f t="shared" si="58"/>
        <v>1113.1182634912561</v>
      </c>
      <c r="AN122" s="8">
        <f t="shared" si="59"/>
        <v>354.43907439703622</v>
      </c>
      <c r="AO122" s="8">
        <f t="shared" si="60"/>
        <v>263.33394474385352</v>
      </c>
      <c r="AP122" s="8">
        <f t="shared" si="61"/>
        <v>192.07509954394303</v>
      </c>
      <c r="AQ122" s="8">
        <f t="shared" si="62"/>
        <v>832.48507978230543</v>
      </c>
      <c r="AV122" s="8" t="str">
        <f t="shared" si="63"/>
        <v>*</v>
      </c>
      <c r="AW122" s="15" t="str">
        <f t="shared" si="64"/>
        <v>ELEWIN</v>
      </c>
      <c r="AX122" s="8" t="s">
        <v>45</v>
      </c>
      <c r="AY122" s="8">
        <f t="shared" si="65"/>
        <v>2080</v>
      </c>
      <c r="AZ122" s="8">
        <f t="shared" si="66"/>
        <v>114.21400139206381</v>
      </c>
      <c r="BA122" s="8">
        <f t="shared" si="67"/>
        <v>169.959445081425</v>
      </c>
      <c r="BB122" s="8">
        <f t="shared" si="68"/>
        <v>44.564371365111299</v>
      </c>
      <c r="BC122" s="8">
        <f t="shared" si="69"/>
        <v>12.951000000000001</v>
      </c>
      <c r="BD122" s="8">
        <f t="shared" si="70"/>
        <v>88.096196991382385</v>
      </c>
      <c r="BE122" s="8">
        <f t="shared" si="71"/>
        <v>3308.31</v>
      </c>
      <c r="BF122" s="8">
        <f t="shared" si="72"/>
        <v>100.7303405764635</v>
      </c>
      <c r="BG122" s="8">
        <f t="shared" si="73"/>
        <v>1046.0771514963089</v>
      </c>
      <c r="BH122" s="8">
        <f t="shared" si="74"/>
        <v>134.2124698451085</v>
      </c>
      <c r="BI122" s="8">
        <f t="shared" si="75"/>
        <v>289.26507568354833</v>
      </c>
      <c r="BJ122" s="8">
        <f t="shared" si="76"/>
        <v>232.98449763981421</v>
      </c>
      <c r="BK122" s="8">
        <f t="shared" si="77"/>
        <v>88.376906826782644</v>
      </c>
      <c r="BL122" s="8">
        <f t="shared" si="78"/>
        <v>910.73312467466405</v>
      </c>
      <c r="BM122" s="8">
        <f t="shared" si="79"/>
        <v>289.99560632484781</v>
      </c>
      <c r="BN122" s="8">
        <f t="shared" si="80"/>
        <v>215.45504569951649</v>
      </c>
      <c r="BO122" s="8">
        <f t="shared" si="81"/>
        <v>157.15235417231702</v>
      </c>
      <c r="BP122" s="8">
        <f t="shared" si="82"/>
        <v>681.12415618552257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1DDA-5069-4AB3-A65B-C6F7A92944D0}">
  <dimension ref="A1:AT209"/>
  <sheetViews>
    <sheetView topLeftCell="K1" workbookViewId="0">
      <selection activeCell="Y4" sqref="Y3:Y4"/>
    </sheetView>
  </sheetViews>
  <sheetFormatPr defaultRowHeight="14.4" x14ac:dyDescent="0.3"/>
  <cols>
    <col min="1" max="2" width="8.5546875" bestFit="1" customWidth="1"/>
    <col min="3" max="3" width="5.77734375" bestFit="1" customWidth="1"/>
    <col min="4" max="7" width="5.6640625" bestFit="1" customWidth="1"/>
    <col min="8" max="8" width="6.5546875" bestFit="1" customWidth="1"/>
    <col min="9" max="9" width="5.6640625" bestFit="1" customWidth="1"/>
    <col min="10" max="11" width="6.5546875" bestFit="1" customWidth="1"/>
    <col min="12" max="13" width="5.6640625" bestFit="1" customWidth="1"/>
    <col min="14" max="14" width="4.77734375" bestFit="1" customWidth="1"/>
    <col min="15" max="15" width="6.5546875" bestFit="1" customWidth="1"/>
    <col min="16" max="19" width="5.6640625" bestFit="1" customWidth="1"/>
    <col min="24" max="24" width="9.6640625" customWidth="1"/>
  </cols>
  <sheetData>
    <row r="1" spans="2:46" s="8" customFormat="1" x14ac:dyDescent="0.3">
      <c r="W1" s="16" t="s">
        <v>48</v>
      </c>
      <c r="Y1" s="17">
        <v>0.1</v>
      </c>
    </row>
    <row r="2" spans="2:46" s="8" customFormat="1" x14ac:dyDescent="0.3"/>
    <row r="4" spans="2:46" x14ac:dyDescent="0.3">
      <c r="W4" t="s">
        <v>46</v>
      </c>
    </row>
    <row r="5" spans="2:46" x14ac:dyDescent="0.3">
      <c r="B5" s="9" t="s">
        <v>0</v>
      </c>
      <c r="C5" s="9" t="s">
        <v>12</v>
      </c>
      <c r="D5" s="10" t="s">
        <v>13</v>
      </c>
      <c r="E5" s="10" t="s">
        <v>14</v>
      </c>
      <c r="F5" s="10" t="s">
        <v>15</v>
      </c>
      <c r="G5" s="10" t="s">
        <v>16</v>
      </c>
      <c r="H5" s="10" t="s">
        <v>17</v>
      </c>
      <c r="I5" s="10" t="s">
        <v>18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23</v>
      </c>
      <c r="O5" s="10" t="s">
        <v>24</v>
      </c>
      <c r="P5" s="10" t="s">
        <v>25</v>
      </c>
      <c r="Q5" s="10" t="s">
        <v>26</v>
      </c>
      <c r="R5" s="10" t="s">
        <v>27</v>
      </c>
      <c r="S5" s="10" t="s">
        <v>28</v>
      </c>
      <c r="T5" s="10" t="s">
        <v>29</v>
      </c>
      <c r="W5" t="s">
        <v>38</v>
      </c>
      <c r="X5" t="s">
        <v>40</v>
      </c>
      <c r="Y5" t="s">
        <v>41</v>
      </c>
      <c r="Z5" t="s">
        <v>39</v>
      </c>
      <c r="AA5" s="8" t="s">
        <v>13</v>
      </c>
      <c r="AB5" s="8" t="s">
        <v>14</v>
      </c>
      <c r="AC5" s="8" t="s">
        <v>15</v>
      </c>
      <c r="AD5" s="8" t="s">
        <v>16</v>
      </c>
      <c r="AE5" s="8" t="s">
        <v>17</v>
      </c>
      <c r="AF5" s="8" t="s">
        <v>18</v>
      </c>
      <c r="AG5" s="8" t="s">
        <v>19</v>
      </c>
      <c r="AH5" s="8" t="s">
        <v>20</v>
      </c>
      <c r="AI5" s="8" t="s">
        <v>21</v>
      </c>
      <c r="AJ5" s="8" t="s">
        <v>22</v>
      </c>
      <c r="AK5" s="8" t="s">
        <v>23</v>
      </c>
      <c r="AL5" s="8" t="s">
        <v>24</v>
      </c>
      <c r="AM5" s="8" t="s">
        <v>25</v>
      </c>
      <c r="AN5" s="8" t="s">
        <v>26</v>
      </c>
      <c r="AO5" s="8" t="s">
        <v>27</v>
      </c>
      <c r="AP5" s="8" t="s">
        <v>28</v>
      </c>
      <c r="AQ5" s="8" t="s">
        <v>29</v>
      </c>
      <c r="AR5" s="8"/>
      <c r="AS5" s="8"/>
      <c r="AT5" s="8"/>
    </row>
    <row r="6" spans="2:46" x14ac:dyDescent="0.3">
      <c r="B6" s="10" t="s">
        <v>30</v>
      </c>
      <c r="C6" s="11">
        <v>2017</v>
      </c>
      <c r="D6" s="12">
        <v>5.3955329182209202E-2</v>
      </c>
      <c r="E6" s="13">
        <v>0.22748262981015299</v>
      </c>
      <c r="F6" s="13">
        <v>0.49034807473511</v>
      </c>
      <c r="G6" s="13">
        <v>12.751996521133</v>
      </c>
      <c r="H6" s="14"/>
      <c r="I6" s="14"/>
      <c r="J6" s="13">
        <v>0.548749948911046</v>
      </c>
      <c r="K6" s="13">
        <v>10.9844441427327</v>
      </c>
      <c r="L6" s="14"/>
      <c r="M6" s="14"/>
      <c r="N6" s="14"/>
      <c r="O6" s="13">
        <v>1.1103736417157799</v>
      </c>
      <c r="P6" s="13">
        <v>2.1153649707881101E-2</v>
      </c>
      <c r="Q6" s="13">
        <v>3.70215925369917E-2</v>
      </c>
      <c r="R6" s="13">
        <v>4.11134722169775E-3</v>
      </c>
      <c r="S6" s="13">
        <v>8.6919987512776895E-2</v>
      </c>
      <c r="T6" s="13">
        <v>2.9624910567296201</v>
      </c>
      <c r="W6" t="s">
        <v>47</v>
      </c>
      <c r="X6" s="15" t="str">
        <f>B6</f>
        <v>CHPBIO</v>
      </c>
      <c r="Y6" t="s">
        <v>42</v>
      </c>
      <c r="Z6">
        <f>C6</f>
        <v>2017</v>
      </c>
      <c r="AA6">
        <f>IF(D6="","", D6*(1+$Y$1))</f>
        <v>5.9350862100430127E-2</v>
      </c>
      <c r="AB6" s="8">
        <f t="shared" ref="AB6:AQ6" si="0">IF(E6="","", E6*(1+$Y$1))</f>
        <v>0.25023089279116834</v>
      </c>
      <c r="AC6" s="8">
        <f t="shared" si="0"/>
        <v>0.53938288220862107</v>
      </c>
      <c r="AD6" s="8">
        <f t="shared" si="0"/>
        <v>14.027196173246301</v>
      </c>
      <c r="AE6" s="8" t="str">
        <f t="shared" si="0"/>
        <v/>
      </c>
      <c r="AF6" s="8" t="str">
        <f t="shared" si="0"/>
        <v/>
      </c>
      <c r="AG6" s="8">
        <f t="shared" si="0"/>
        <v>0.6036249438021507</v>
      </c>
      <c r="AH6" s="8">
        <f t="shared" si="0"/>
        <v>12.082888557005971</v>
      </c>
      <c r="AI6" s="8" t="str">
        <f t="shared" si="0"/>
        <v/>
      </c>
      <c r="AJ6" s="8" t="str">
        <f t="shared" si="0"/>
        <v/>
      </c>
      <c r="AK6" s="8" t="str">
        <f t="shared" si="0"/>
        <v/>
      </c>
      <c r="AL6" s="8">
        <f t="shared" si="0"/>
        <v>1.221411005887358</v>
      </c>
      <c r="AM6" s="8">
        <f t="shared" si="0"/>
        <v>2.3269014678669212E-2</v>
      </c>
      <c r="AN6" s="8">
        <f t="shared" si="0"/>
        <v>4.0723751790690876E-2</v>
      </c>
      <c r="AO6" s="8">
        <f t="shared" si="0"/>
        <v>4.522481943867525E-3</v>
      </c>
      <c r="AP6" s="8">
        <f t="shared" si="0"/>
        <v>9.5611986264054594E-2</v>
      </c>
      <c r="AQ6" s="8">
        <f t="shared" si="0"/>
        <v>3.2587401624025825</v>
      </c>
    </row>
    <row r="7" spans="2:46" x14ac:dyDescent="0.3">
      <c r="B7" s="10" t="s">
        <v>30</v>
      </c>
      <c r="C7" s="11">
        <v>2018</v>
      </c>
      <c r="D7" s="13">
        <v>5.3955329182209202E-2</v>
      </c>
      <c r="E7" s="13">
        <v>0.22748262981015299</v>
      </c>
      <c r="F7" s="13">
        <v>0.51106700747039702</v>
      </c>
      <c r="G7" s="13">
        <v>12.808191283812899</v>
      </c>
      <c r="H7" s="14"/>
      <c r="I7" s="14"/>
      <c r="J7" s="13">
        <v>0.548749948911046</v>
      </c>
      <c r="K7" s="13">
        <v>11.0381049343888</v>
      </c>
      <c r="L7" s="14"/>
      <c r="M7" s="14"/>
      <c r="N7" s="14"/>
      <c r="O7" s="13">
        <v>1.1103736417157799</v>
      </c>
      <c r="P7" s="13">
        <v>2.1913311161479002E-2</v>
      </c>
      <c r="Q7" s="13">
        <v>3.7762024387731602E-2</v>
      </c>
      <c r="R7" s="13">
        <v>8.76366118309258E-3</v>
      </c>
      <c r="S7" s="13">
        <v>9.2462711354171404E-2</v>
      </c>
      <c r="T7" s="13">
        <v>2.9639331260416699</v>
      </c>
      <c r="W7" s="8" t="s">
        <v>47</v>
      </c>
      <c r="X7" s="15" t="str">
        <f t="shared" ref="X7:X70" si="1">B7</f>
        <v>CHPBIO</v>
      </c>
      <c r="Y7" s="8" t="s">
        <v>42</v>
      </c>
      <c r="Z7" s="8">
        <f t="shared" ref="Z7:Z70" si="2">C7</f>
        <v>2018</v>
      </c>
      <c r="AA7" s="8">
        <f t="shared" ref="AA7:AA70" si="3">IF(D7="","", D7*(1+$Y$1))</f>
        <v>5.9350862100430127E-2</v>
      </c>
      <c r="AB7" s="8">
        <f t="shared" ref="AB7:AB70" si="4">IF(E7="","", E7*(1+$Y$1))</f>
        <v>0.25023089279116834</v>
      </c>
      <c r="AC7" s="8">
        <f t="shared" ref="AC7:AC70" si="5">IF(F7="","", F7*(1+$Y$1))</f>
        <v>0.56217370821743673</v>
      </c>
      <c r="AD7" s="8">
        <f t="shared" ref="AD7:AD70" si="6">IF(G7="","", G7*(1+$Y$1))</f>
        <v>14.08901041219419</v>
      </c>
      <c r="AE7" s="8" t="str">
        <f t="shared" ref="AE7:AE70" si="7">IF(H7="","", H7*(1+$Y$1))</f>
        <v/>
      </c>
      <c r="AF7" s="8" t="str">
        <f t="shared" ref="AF7:AF70" si="8">IF(I7="","", I7*(1+$Y$1))</f>
        <v/>
      </c>
      <c r="AG7" s="8">
        <f t="shared" ref="AG7:AG70" si="9">IF(J7="","", J7*(1+$Y$1))</f>
        <v>0.6036249438021507</v>
      </c>
      <c r="AH7" s="8">
        <f t="shared" ref="AH7:AH70" si="10">IF(K7="","", K7*(1+$Y$1))</f>
        <v>12.14191542782768</v>
      </c>
      <c r="AI7" s="8" t="str">
        <f t="shared" ref="AI7:AI70" si="11">IF(L7="","", L7*(1+$Y$1))</f>
        <v/>
      </c>
      <c r="AJ7" s="8" t="str">
        <f t="shared" ref="AJ7:AJ70" si="12">IF(M7="","", M7*(1+$Y$1))</f>
        <v/>
      </c>
      <c r="AK7" s="8" t="str">
        <f t="shared" ref="AK7:AK70" si="13">IF(N7="","", N7*(1+$Y$1))</f>
        <v/>
      </c>
      <c r="AL7" s="8">
        <f t="shared" ref="AL7:AL70" si="14">IF(O7="","", O7*(1+$Y$1))</f>
        <v>1.221411005887358</v>
      </c>
      <c r="AM7" s="8">
        <f t="shared" ref="AM7:AM70" si="15">IF(P7="","", P7*(1+$Y$1))</f>
        <v>2.4104642277626903E-2</v>
      </c>
      <c r="AN7" s="8">
        <f t="shared" ref="AN7:AN70" si="16">IF(Q7="","", Q7*(1+$Y$1))</f>
        <v>4.1538226826504765E-2</v>
      </c>
      <c r="AO7" s="8">
        <f t="shared" ref="AO7:AO70" si="17">IF(R7="","", R7*(1+$Y$1))</f>
        <v>9.6400273014018382E-3</v>
      </c>
      <c r="AP7" s="8">
        <f t="shared" ref="AP7:AP70" si="18">IF(S7="","", S7*(1+$Y$1))</f>
        <v>0.10170898248958855</v>
      </c>
      <c r="AQ7" s="8">
        <f t="shared" ref="AQ7:AQ70" si="19">IF(T7="","", T7*(1+$Y$1))</f>
        <v>3.260326438645837</v>
      </c>
    </row>
    <row r="8" spans="2:46" x14ac:dyDescent="0.3">
      <c r="B8" s="10" t="s">
        <v>30</v>
      </c>
      <c r="C8" s="11">
        <v>2019</v>
      </c>
      <c r="D8" s="13">
        <v>5.3955329182209202E-2</v>
      </c>
      <c r="E8" s="13">
        <v>0.22748262981015299</v>
      </c>
      <c r="F8" s="13">
        <v>0.51106700747039702</v>
      </c>
      <c r="G8" s="13">
        <v>12.808191283812899</v>
      </c>
      <c r="H8" s="14"/>
      <c r="I8" s="14"/>
      <c r="J8" s="13">
        <v>0.548749948911046</v>
      </c>
      <c r="K8" s="13">
        <v>11.0381049343888</v>
      </c>
      <c r="L8" s="14"/>
      <c r="M8" s="14"/>
      <c r="N8" s="14"/>
      <c r="O8" s="13">
        <v>1.1103736417157799</v>
      </c>
      <c r="P8" s="13">
        <v>2.1913311161479002E-2</v>
      </c>
      <c r="Q8" s="13">
        <v>3.7762024387731602E-2</v>
      </c>
      <c r="R8" s="13">
        <v>8.76366118309258E-3</v>
      </c>
      <c r="S8" s="13">
        <v>9.2462711354171404E-2</v>
      </c>
      <c r="T8" s="13">
        <v>2.9639331260416699</v>
      </c>
      <c r="W8" s="8" t="s">
        <v>47</v>
      </c>
      <c r="X8" s="15" t="str">
        <f t="shared" si="1"/>
        <v>CHPBIO</v>
      </c>
      <c r="Y8" s="8" t="s">
        <v>42</v>
      </c>
      <c r="Z8" s="8">
        <f t="shared" si="2"/>
        <v>2019</v>
      </c>
      <c r="AA8" s="8">
        <f t="shared" si="3"/>
        <v>5.9350862100430127E-2</v>
      </c>
      <c r="AB8" s="8">
        <f t="shared" si="4"/>
        <v>0.25023089279116834</v>
      </c>
      <c r="AC8" s="8">
        <f t="shared" si="5"/>
        <v>0.56217370821743673</v>
      </c>
      <c r="AD8" s="8">
        <f t="shared" si="6"/>
        <v>14.08901041219419</v>
      </c>
      <c r="AE8" s="8" t="str">
        <f t="shared" si="7"/>
        <v/>
      </c>
      <c r="AF8" s="8" t="str">
        <f t="shared" si="8"/>
        <v/>
      </c>
      <c r="AG8" s="8">
        <f t="shared" si="9"/>
        <v>0.6036249438021507</v>
      </c>
      <c r="AH8" s="8">
        <f t="shared" si="10"/>
        <v>12.14191542782768</v>
      </c>
      <c r="AI8" s="8" t="str">
        <f t="shared" si="11"/>
        <v/>
      </c>
      <c r="AJ8" s="8" t="str">
        <f t="shared" si="12"/>
        <v/>
      </c>
      <c r="AK8" s="8" t="str">
        <f t="shared" si="13"/>
        <v/>
      </c>
      <c r="AL8" s="8">
        <f t="shared" si="14"/>
        <v>1.221411005887358</v>
      </c>
      <c r="AM8" s="8">
        <f t="shared" si="15"/>
        <v>2.4104642277626903E-2</v>
      </c>
      <c r="AN8" s="8">
        <f t="shared" si="16"/>
        <v>4.1538226826504765E-2</v>
      </c>
      <c r="AO8" s="8">
        <f t="shared" si="17"/>
        <v>9.6400273014018382E-3</v>
      </c>
      <c r="AP8" s="8">
        <f t="shared" si="18"/>
        <v>0.10170898248958855</v>
      </c>
      <c r="AQ8" s="8">
        <f t="shared" si="19"/>
        <v>3.260326438645837</v>
      </c>
    </row>
    <row r="9" spans="2:46" x14ac:dyDescent="0.3">
      <c r="B9" s="10" t="s">
        <v>30</v>
      </c>
      <c r="C9" s="11">
        <v>2020</v>
      </c>
      <c r="D9" s="13">
        <v>5.3955329182209202E-2</v>
      </c>
      <c r="E9" s="13">
        <v>0.22748262981015299</v>
      </c>
      <c r="F9" s="13">
        <v>0.51106700747039702</v>
      </c>
      <c r="G9" s="13">
        <v>12.808191283812899</v>
      </c>
      <c r="H9" s="14"/>
      <c r="I9" s="14"/>
      <c r="J9" s="13">
        <v>0.548749948911046</v>
      </c>
      <c r="K9" s="13">
        <v>11.0381049343888</v>
      </c>
      <c r="L9" s="14"/>
      <c r="M9" s="14"/>
      <c r="N9" s="14"/>
      <c r="O9" s="13">
        <v>1.1103736417157799</v>
      </c>
      <c r="P9" s="13">
        <v>2.1913311161479002E-2</v>
      </c>
      <c r="Q9" s="13">
        <v>3.7762024387731602E-2</v>
      </c>
      <c r="R9" s="13">
        <v>8.76366118309258E-3</v>
      </c>
      <c r="S9" s="13">
        <v>9.2462711354171404E-2</v>
      </c>
      <c r="T9" s="13">
        <v>2.9639331260416699</v>
      </c>
      <c r="W9" s="8" t="s">
        <v>47</v>
      </c>
      <c r="X9" s="15" t="str">
        <f t="shared" si="1"/>
        <v>CHPBIO</v>
      </c>
      <c r="Y9" s="8" t="s">
        <v>42</v>
      </c>
      <c r="Z9" s="8">
        <f t="shared" si="2"/>
        <v>2020</v>
      </c>
      <c r="AA9" s="8">
        <f t="shared" si="3"/>
        <v>5.9350862100430127E-2</v>
      </c>
      <c r="AB9" s="8">
        <f t="shared" si="4"/>
        <v>0.25023089279116834</v>
      </c>
      <c r="AC9" s="8">
        <f t="shared" si="5"/>
        <v>0.56217370821743673</v>
      </c>
      <c r="AD9" s="8">
        <f t="shared" si="6"/>
        <v>14.08901041219419</v>
      </c>
      <c r="AE9" s="8" t="str">
        <f t="shared" si="7"/>
        <v/>
      </c>
      <c r="AF9" s="8" t="str">
        <f t="shared" si="8"/>
        <v/>
      </c>
      <c r="AG9" s="8">
        <f t="shared" si="9"/>
        <v>0.6036249438021507</v>
      </c>
      <c r="AH9" s="8">
        <f t="shared" si="10"/>
        <v>12.14191542782768</v>
      </c>
      <c r="AI9" s="8" t="str">
        <f t="shared" si="11"/>
        <v/>
      </c>
      <c r="AJ9" s="8" t="str">
        <f t="shared" si="12"/>
        <v/>
      </c>
      <c r="AK9" s="8" t="str">
        <f t="shared" si="13"/>
        <v/>
      </c>
      <c r="AL9" s="8">
        <f t="shared" si="14"/>
        <v>1.221411005887358</v>
      </c>
      <c r="AM9" s="8">
        <f t="shared" si="15"/>
        <v>2.4104642277626903E-2</v>
      </c>
      <c r="AN9" s="8">
        <f t="shared" si="16"/>
        <v>4.1538226826504765E-2</v>
      </c>
      <c r="AO9" s="8">
        <f t="shared" si="17"/>
        <v>9.6400273014018382E-3</v>
      </c>
      <c r="AP9" s="8">
        <f t="shared" si="18"/>
        <v>0.10170898248958855</v>
      </c>
      <c r="AQ9" s="8">
        <f t="shared" si="19"/>
        <v>3.260326438645837</v>
      </c>
    </row>
    <row r="10" spans="2:46" x14ac:dyDescent="0.3">
      <c r="B10" s="10" t="s">
        <v>30</v>
      </c>
      <c r="C10" s="11">
        <v>2021</v>
      </c>
      <c r="D10" s="13">
        <v>5.3955329182209202E-2</v>
      </c>
      <c r="E10" s="13">
        <v>0.22748262981015299</v>
      </c>
      <c r="F10" s="13">
        <v>0.51106700747039702</v>
      </c>
      <c r="G10" s="13">
        <v>12.808191283812899</v>
      </c>
      <c r="H10" s="14"/>
      <c r="I10" s="14"/>
      <c r="J10" s="13">
        <v>0.548749948911046</v>
      </c>
      <c r="K10" s="13">
        <v>11.0381049343888</v>
      </c>
      <c r="L10" s="14"/>
      <c r="M10" s="14"/>
      <c r="N10" s="14"/>
      <c r="O10" s="13">
        <v>1.1103736417157799</v>
      </c>
      <c r="P10" s="13">
        <v>2.1913311161479002E-2</v>
      </c>
      <c r="Q10" s="13">
        <v>3.7762024387731602E-2</v>
      </c>
      <c r="R10" s="13">
        <v>8.76366118309258E-3</v>
      </c>
      <c r="S10" s="13">
        <v>9.2462711354171404E-2</v>
      </c>
      <c r="T10" s="13">
        <v>2.9639331260416699</v>
      </c>
      <c r="W10" s="8" t="s">
        <v>47</v>
      </c>
      <c r="X10" s="15" t="str">
        <f t="shared" si="1"/>
        <v>CHPBIO</v>
      </c>
      <c r="Y10" s="8" t="s">
        <v>42</v>
      </c>
      <c r="Z10" s="8">
        <f t="shared" si="2"/>
        <v>2021</v>
      </c>
      <c r="AA10" s="8">
        <f t="shared" si="3"/>
        <v>5.9350862100430127E-2</v>
      </c>
      <c r="AB10" s="8">
        <f t="shared" si="4"/>
        <v>0.25023089279116834</v>
      </c>
      <c r="AC10" s="8">
        <f t="shared" si="5"/>
        <v>0.56217370821743673</v>
      </c>
      <c r="AD10" s="8">
        <f t="shared" si="6"/>
        <v>14.08901041219419</v>
      </c>
      <c r="AE10" s="8" t="str">
        <f t="shared" si="7"/>
        <v/>
      </c>
      <c r="AF10" s="8" t="str">
        <f t="shared" si="8"/>
        <v/>
      </c>
      <c r="AG10" s="8">
        <f t="shared" si="9"/>
        <v>0.6036249438021507</v>
      </c>
      <c r="AH10" s="8">
        <f t="shared" si="10"/>
        <v>12.14191542782768</v>
      </c>
      <c r="AI10" s="8" t="str">
        <f t="shared" si="11"/>
        <v/>
      </c>
      <c r="AJ10" s="8" t="str">
        <f t="shared" si="12"/>
        <v/>
      </c>
      <c r="AK10" s="8" t="str">
        <f t="shared" si="13"/>
        <v/>
      </c>
      <c r="AL10" s="8">
        <f t="shared" si="14"/>
        <v>1.221411005887358</v>
      </c>
      <c r="AM10" s="8">
        <f t="shared" si="15"/>
        <v>2.4104642277626903E-2</v>
      </c>
      <c r="AN10" s="8">
        <f t="shared" si="16"/>
        <v>4.1538226826504765E-2</v>
      </c>
      <c r="AO10" s="8">
        <f t="shared" si="17"/>
        <v>9.6400273014018382E-3</v>
      </c>
      <c r="AP10" s="8">
        <f t="shared" si="18"/>
        <v>0.10170898248958855</v>
      </c>
      <c r="AQ10" s="8">
        <f t="shared" si="19"/>
        <v>3.260326438645837</v>
      </c>
    </row>
    <row r="11" spans="2:46" x14ac:dyDescent="0.3">
      <c r="B11" s="10" t="s">
        <v>30</v>
      </c>
      <c r="C11" s="11">
        <v>2030</v>
      </c>
      <c r="D11" s="13">
        <v>5.3955329182209202E-2</v>
      </c>
      <c r="E11" s="13">
        <v>0.22748262981015299</v>
      </c>
      <c r="F11" s="13">
        <v>0.51106700747039702</v>
      </c>
      <c r="G11" s="13">
        <v>12.808191283812899</v>
      </c>
      <c r="H11" s="14"/>
      <c r="I11" s="14"/>
      <c r="J11" s="13">
        <v>0.548749948911046</v>
      </c>
      <c r="K11" s="13">
        <v>11.0381049343888</v>
      </c>
      <c r="L11" s="14"/>
      <c r="M11" s="14"/>
      <c r="N11" s="14"/>
      <c r="O11" s="13">
        <v>1.1103736417157799</v>
      </c>
      <c r="P11" s="13">
        <v>2.1913311161479002E-2</v>
      </c>
      <c r="Q11" s="13">
        <v>3.7762024387731602E-2</v>
      </c>
      <c r="R11" s="13">
        <v>8.76366118309258E-3</v>
      </c>
      <c r="S11" s="13">
        <v>9.2462711354171404E-2</v>
      </c>
      <c r="T11" s="13">
        <v>2.9639331260416699</v>
      </c>
      <c r="W11" s="8" t="s">
        <v>47</v>
      </c>
      <c r="X11" s="15" t="str">
        <f t="shared" si="1"/>
        <v>CHPBIO</v>
      </c>
      <c r="Y11" s="8" t="s">
        <v>42</v>
      </c>
      <c r="Z11" s="8">
        <f t="shared" si="2"/>
        <v>2030</v>
      </c>
      <c r="AA11" s="8">
        <f t="shared" si="3"/>
        <v>5.9350862100430127E-2</v>
      </c>
      <c r="AB11" s="8">
        <f t="shared" si="4"/>
        <v>0.25023089279116834</v>
      </c>
      <c r="AC11" s="8">
        <f t="shared" si="5"/>
        <v>0.56217370821743673</v>
      </c>
      <c r="AD11" s="8">
        <f t="shared" si="6"/>
        <v>14.08901041219419</v>
      </c>
      <c r="AE11" s="8" t="str">
        <f t="shared" si="7"/>
        <v/>
      </c>
      <c r="AF11" s="8" t="str">
        <f t="shared" si="8"/>
        <v/>
      </c>
      <c r="AG11" s="8">
        <f t="shared" si="9"/>
        <v>0.6036249438021507</v>
      </c>
      <c r="AH11" s="8">
        <f t="shared" si="10"/>
        <v>12.14191542782768</v>
      </c>
      <c r="AI11" s="8" t="str">
        <f t="shared" si="11"/>
        <v/>
      </c>
      <c r="AJ11" s="8" t="str">
        <f t="shared" si="12"/>
        <v/>
      </c>
      <c r="AK11" s="8" t="str">
        <f t="shared" si="13"/>
        <v/>
      </c>
      <c r="AL11" s="8">
        <f t="shared" si="14"/>
        <v>1.221411005887358</v>
      </c>
      <c r="AM11" s="8">
        <f t="shared" si="15"/>
        <v>2.4104642277626903E-2</v>
      </c>
      <c r="AN11" s="8">
        <f t="shared" si="16"/>
        <v>4.1538226826504765E-2</v>
      </c>
      <c r="AO11" s="8">
        <f t="shared" si="17"/>
        <v>9.6400273014018382E-3</v>
      </c>
      <c r="AP11" s="8">
        <f t="shared" si="18"/>
        <v>0.10170898248958855</v>
      </c>
      <c r="AQ11" s="8">
        <f t="shared" si="19"/>
        <v>3.260326438645837</v>
      </c>
    </row>
    <row r="12" spans="2:46" x14ac:dyDescent="0.3">
      <c r="B12" s="10" t="s">
        <v>30</v>
      </c>
      <c r="C12" s="11">
        <v>2040</v>
      </c>
      <c r="D12" s="13">
        <v>5.3955329182209202E-2</v>
      </c>
      <c r="E12" s="13">
        <v>0.22748262981015299</v>
      </c>
      <c r="F12" s="13">
        <v>0.51106700747039702</v>
      </c>
      <c r="G12" s="13">
        <v>12.808191283812899</v>
      </c>
      <c r="H12" s="14"/>
      <c r="I12" s="14"/>
      <c r="J12" s="13">
        <v>0.548749948911046</v>
      </c>
      <c r="K12" s="13">
        <v>11.0381049343888</v>
      </c>
      <c r="L12" s="14"/>
      <c r="M12" s="14"/>
      <c r="N12" s="14"/>
      <c r="O12" s="13">
        <v>1.1103736417157799</v>
      </c>
      <c r="P12" s="13">
        <v>2.1913311161479002E-2</v>
      </c>
      <c r="Q12" s="13">
        <v>3.7762024387731602E-2</v>
      </c>
      <c r="R12" s="13">
        <v>8.76366118309258E-3</v>
      </c>
      <c r="S12" s="13">
        <v>9.2462711354171404E-2</v>
      </c>
      <c r="T12" s="13">
        <v>2.9639331260416699</v>
      </c>
      <c r="W12" s="8" t="s">
        <v>47</v>
      </c>
      <c r="X12" s="15" t="str">
        <f t="shared" si="1"/>
        <v>CHPBIO</v>
      </c>
      <c r="Y12" s="8" t="s">
        <v>42</v>
      </c>
      <c r="Z12" s="8">
        <f t="shared" si="2"/>
        <v>2040</v>
      </c>
      <c r="AA12" s="8">
        <f t="shared" si="3"/>
        <v>5.9350862100430127E-2</v>
      </c>
      <c r="AB12" s="8">
        <f t="shared" si="4"/>
        <v>0.25023089279116834</v>
      </c>
      <c r="AC12" s="8">
        <f t="shared" si="5"/>
        <v>0.56217370821743673</v>
      </c>
      <c r="AD12" s="8">
        <f t="shared" si="6"/>
        <v>14.08901041219419</v>
      </c>
      <c r="AE12" s="8" t="str">
        <f t="shared" si="7"/>
        <v/>
      </c>
      <c r="AF12" s="8" t="str">
        <f t="shared" si="8"/>
        <v/>
      </c>
      <c r="AG12" s="8">
        <f t="shared" si="9"/>
        <v>0.6036249438021507</v>
      </c>
      <c r="AH12" s="8">
        <f t="shared" si="10"/>
        <v>12.14191542782768</v>
      </c>
      <c r="AI12" s="8" t="str">
        <f t="shared" si="11"/>
        <v/>
      </c>
      <c r="AJ12" s="8" t="str">
        <f t="shared" si="12"/>
        <v/>
      </c>
      <c r="AK12" s="8" t="str">
        <f t="shared" si="13"/>
        <v/>
      </c>
      <c r="AL12" s="8">
        <f t="shared" si="14"/>
        <v>1.221411005887358</v>
      </c>
      <c r="AM12" s="8">
        <f t="shared" si="15"/>
        <v>2.4104642277626903E-2</v>
      </c>
      <c r="AN12" s="8">
        <f t="shared" si="16"/>
        <v>4.1538226826504765E-2</v>
      </c>
      <c r="AO12" s="8">
        <f t="shared" si="17"/>
        <v>9.6400273014018382E-3</v>
      </c>
      <c r="AP12" s="8">
        <f t="shared" si="18"/>
        <v>0.10170898248958855</v>
      </c>
      <c r="AQ12" s="8">
        <f t="shared" si="19"/>
        <v>3.260326438645837</v>
      </c>
    </row>
    <row r="13" spans="2:46" x14ac:dyDescent="0.3">
      <c r="B13" s="10" t="s">
        <v>30</v>
      </c>
      <c r="C13" s="11">
        <v>2050</v>
      </c>
      <c r="D13" s="13">
        <v>5.3955329182209202E-2</v>
      </c>
      <c r="E13" s="13">
        <v>0.22748262981015299</v>
      </c>
      <c r="F13" s="13">
        <v>0.51106700747039702</v>
      </c>
      <c r="G13" s="13">
        <v>12.808191283812899</v>
      </c>
      <c r="H13" s="14"/>
      <c r="I13" s="14"/>
      <c r="J13" s="13">
        <v>0.548749948911046</v>
      </c>
      <c r="K13" s="13">
        <v>11.0381049343888</v>
      </c>
      <c r="L13" s="14"/>
      <c r="M13" s="14"/>
      <c r="N13" s="14"/>
      <c r="O13" s="13">
        <v>1.1103736417157799</v>
      </c>
      <c r="P13" s="13">
        <v>2.1913311161479002E-2</v>
      </c>
      <c r="Q13" s="13">
        <v>3.7762024387731602E-2</v>
      </c>
      <c r="R13" s="13">
        <v>8.76366118309258E-3</v>
      </c>
      <c r="S13" s="13">
        <v>9.2462711354171404E-2</v>
      </c>
      <c r="T13" s="13">
        <v>2.9639331260416699</v>
      </c>
      <c r="W13" s="8" t="s">
        <v>47</v>
      </c>
      <c r="X13" s="15" t="str">
        <f t="shared" si="1"/>
        <v>CHPBIO</v>
      </c>
      <c r="Y13" s="8" t="s">
        <v>42</v>
      </c>
      <c r="Z13" s="8">
        <f t="shared" si="2"/>
        <v>2050</v>
      </c>
      <c r="AA13" s="8">
        <f t="shared" si="3"/>
        <v>5.9350862100430127E-2</v>
      </c>
      <c r="AB13" s="8">
        <f t="shared" si="4"/>
        <v>0.25023089279116834</v>
      </c>
      <c r="AC13" s="8">
        <f t="shared" si="5"/>
        <v>0.56217370821743673</v>
      </c>
      <c r="AD13" s="8">
        <f t="shared" si="6"/>
        <v>14.08901041219419</v>
      </c>
      <c r="AE13" s="8" t="str">
        <f t="shared" si="7"/>
        <v/>
      </c>
      <c r="AF13" s="8" t="str">
        <f t="shared" si="8"/>
        <v/>
      </c>
      <c r="AG13" s="8">
        <f t="shared" si="9"/>
        <v>0.6036249438021507</v>
      </c>
      <c r="AH13" s="8">
        <f t="shared" si="10"/>
        <v>12.14191542782768</v>
      </c>
      <c r="AI13" s="8" t="str">
        <f t="shared" si="11"/>
        <v/>
      </c>
      <c r="AJ13" s="8" t="str">
        <f t="shared" si="12"/>
        <v/>
      </c>
      <c r="AK13" s="8" t="str">
        <f t="shared" si="13"/>
        <v/>
      </c>
      <c r="AL13" s="8">
        <f t="shared" si="14"/>
        <v>1.221411005887358</v>
      </c>
      <c r="AM13" s="8">
        <f t="shared" si="15"/>
        <v>2.4104642277626903E-2</v>
      </c>
      <c r="AN13" s="8">
        <f t="shared" si="16"/>
        <v>4.1538226826504765E-2</v>
      </c>
      <c r="AO13" s="8">
        <f t="shared" si="17"/>
        <v>9.6400273014018382E-3</v>
      </c>
      <c r="AP13" s="8">
        <f t="shared" si="18"/>
        <v>0.10170898248958855</v>
      </c>
      <c r="AQ13" s="8">
        <f t="shared" si="19"/>
        <v>3.260326438645837</v>
      </c>
    </row>
    <row r="14" spans="2:46" x14ac:dyDescent="0.3">
      <c r="B14" s="10" t="s">
        <v>30</v>
      </c>
      <c r="C14" s="11">
        <v>2060</v>
      </c>
      <c r="D14" s="13">
        <v>5.3955329182209202E-2</v>
      </c>
      <c r="E14" s="13">
        <v>0.22748262981015299</v>
      </c>
      <c r="F14" s="13">
        <v>0.51106700747039702</v>
      </c>
      <c r="G14" s="13">
        <v>12.808191283812899</v>
      </c>
      <c r="H14" s="14"/>
      <c r="I14" s="14"/>
      <c r="J14" s="13">
        <v>0.548749948911046</v>
      </c>
      <c r="K14" s="13">
        <v>11.0381049343888</v>
      </c>
      <c r="L14" s="14"/>
      <c r="M14" s="14"/>
      <c r="N14" s="14"/>
      <c r="O14" s="13">
        <v>1.1103736417157799</v>
      </c>
      <c r="P14" s="13">
        <v>2.1913311161479002E-2</v>
      </c>
      <c r="Q14" s="13">
        <v>3.7762024387731602E-2</v>
      </c>
      <c r="R14" s="13">
        <v>8.76366118309258E-3</v>
      </c>
      <c r="S14" s="13">
        <v>9.2462711354171404E-2</v>
      </c>
      <c r="T14" s="13">
        <v>2.9639331260416699</v>
      </c>
      <c r="W14" s="8" t="s">
        <v>47</v>
      </c>
      <c r="X14" s="15" t="str">
        <f t="shared" si="1"/>
        <v>CHPBIO</v>
      </c>
      <c r="Y14" s="8" t="s">
        <v>42</v>
      </c>
      <c r="Z14" s="8">
        <f t="shared" si="2"/>
        <v>2060</v>
      </c>
      <c r="AA14" s="8">
        <f t="shared" si="3"/>
        <v>5.9350862100430127E-2</v>
      </c>
      <c r="AB14" s="8">
        <f t="shared" si="4"/>
        <v>0.25023089279116834</v>
      </c>
      <c r="AC14" s="8">
        <f t="shared" si="5"/>
        <v>0.56217370821743673</v>
      </c>
      <c r="AD14" s="8">
        <f t="shared" si="6"/>
        <v>14.08901041219419</v>
      </c>
      <c r="AE14" s="8" t="str">
        <f t="shared" si="7"/>
        <v/>
      </c>
      <c r="AF14" s="8" t="str">
        <f t="shared" si="8"/>
        <v/>
      </c>
      <c r="AG14" s="8">
        <f t="shared" si="9"/>
        <v>0.6036249438021507</v>
      </c>
      <c r="AH14" s="8">
        <f t="shared" si="10"/>
        <v>12.14191542782768</v>
      </c>
      <c r="AI14" s="8" t="str">
        <f t="shared" si="11"/>
        <v/>
      </c>
      <c r="AJ14" s="8" t="str">
        <f t="shared" si="12"/>
        <v/>
      </c>
      <c r="AK14" s="8" t="str">
        <f t="shared" si="13"/>
        <v/>
      </c>
      <c r="AL14" s="8">
        <f t="shared" si="14"/>
        <v>1.221411005887358</v>
      </c>
      <c r="AM14" s="8">
        <f t="shared" si="15"/>
        <v>2.4104642277626903E-2</v>
      </c>
      <c r="AN14" s="8">
        <f t="shared" si="16"/>
        <v>4.1538226826504765E-2</v>
      </c>
      <c r="AO14" s="8">
        <f t="shared" si="17"/>
        <v>9.6400273014018382E-3</v>
      </c>
      <c r="AP14" s="8">
        <f t="shared" si="18"/>
        <v>0.10170898248958855</v>
      </c>
      <c r="AQ14" s="8">
        <f t="shared" si="19"/>
        <v>3.260326438645837</v>
      </c>
    </row>
    <row r="15" spans="2:46" x14ac:dyDescent="0.3">
      <c r="B15" s="10" t="s">
        <v>30</v>
      </c>
      <c r="C15" s="11">
        <v>2070</v>
      </c>
      <c r="D15" s="13">
        <v>5.3955329182209202E-2</v>
      </c>
      <c r="E15" s="13">
        <v>0.22748262981015299</v>
      </c>
      <c r="F15" s="13">
        <v>0.51106700747039702</v>
      </c>
      <c r="G15" s="13">
        <v>12.808191283812899</v>
      </c>
      <c r="H15" s="14"/>
      <c r="I15" s="14"/>
      <c r="J15" s="13">
        <v>0.548749948911046</v>
      </c>
      <c r="K15" s="13">
        <v>11.0381049343888</v>
      </c>
      <c r="L15" s="14"/>
      <c r="M15" s="14"/>
      <c r="N15" s="14"/>
      <c r="O15" s="13">
        <v>1.1103736417157799</v>
      </c>
      <c r="P15" s="13">
        <v>2.1913311161479002E-2</v>
      </c>
      <c r="Q15" s="13">
        <v>3.7762024387731602E-2</v>
      </c>
      <c r="R15" s="13">
        <v>8.76366118309258E-3</v>
      </c>
      <c r="S15" s="13">
        <v>9.2462711354171404E-2</v>
      </c>
      <c r="T15" s="13">
        <v>2.9639331260416699</v>
      </c>
      <c r="W15" s="8" t="s">
        <v>47</v>
      </c>
      <c r="X15" s="15" t="str">
        <f t="shared" si="1"/>
        <v>CHPBIO</v>
      </c>
      <c r="Y15" s="8" t="s">
        <v>42</v>
      </c>
      <c r="Z15" s="8">
        <f t="shared" si="2"/>
        <v>2070</v>
      </c>
      <c r="AA15" s="8">
        <f t="shared" si="3"/>
        <v>5.9350862100430127E-2</v>
      </c>
      <c r="AB15" s="8">
        <f t="shared" si="4"/>
        <v>0.25023089279116834</v>
      </c>
      <c r="AC15" s="8">
        <f t="shared" si="5"/>
        <v>0.56217370821743673</v>
      </c>
      <c r="AD15" s="8">
        <f t="shared" si="6"/>
        <v>14.08901041219419</v>
      </c>
      <c r="AE15" s="8" t="str">
        <f t="shared" si="7"/>
        <v/>
      </c>
      <c r="AF15" s="8" t="str">
        <f t="shared" si="8"/>
        <v/>
      </c>
      <c r="AG15" s="8">
        <f t="shared" si="9"/>
        <v>0.6036249438021507</v>
      </c>
      <c r="AH15" s="8">
        <f t="shared" si="10"/>
        <v>12.14191542782768</v>
      </c>
      <c r="AI15" s="8" t="str">
        <f t="shared" si="11"/>
        <v/>
      </c>
      <c r="AJ15" s="8" t="str">
        <f t="shared" si="12"/>
        <v/>
      </c>
      <c r="AK15" s="8" t="str">
        <f t="shared" si="13"/>
        <v/>
      </c>
      <c r="AL15" s="8">
        <f t="shared" si="14"/>
        <v>1.221411005887358</v>
      </c>
      <c r="AM15" s="8">
        <f t="shared" si="15"/>
        <v>2.4104642277626903E-2</v>
      </c>
      <c r="AN15" s="8">
        <f t="shared" si="16"/>
        <v>4.1538226826504765E-2</v>
      </c>
      <c r="AO15" s="8">
        <f t="shared" si="17"/>
        <v>9.6400273014018382E-3</v>
      </c>
      <c r="AP15" s="8">
        <f t="shared" si="18"/>
        <v>0.10170898248958855</v>
      </c>
      <c r="AQ15" s="8">
        <f t="shared" si="19"/>
        <v>3.260326438645837</v>
      </c>
    </row>
    <row r="16" spans="2:46" x14ac:dyDescent="0.3">
      <c r="B16" s="10" t="s">
        <v>30</v>
      </c>
      <c r="C16" s="11">
        <v>2080</v>
      </c>
      <c r="D16" s="13">
        <v>5.3955329182209202E-2</v>
      </c>
      <c r="E16" s="13">
        <v>0.22748262981015299</v>
      </c>
      <c r="F16" s="13">
        <v>0.51106700747039702</v>
      </c>
      <c r="G16" s="13">
        <v>12.808191283812899</v>
      </c>
      <c r="H16" s="14"/>
      <c r="I16" s="14"/>
      <c r="J16" s="13">
        <v>0.548749948911046</v>
      </c>
      <c r="K16" s="13">
        <v>11.0381049343888</v>
      </c>
      <c r="L16" s="14"/>
      <c r="M16" s="14"/>
      <c r="N16" s="14"/>
      <c r="O16" s="13">
        <v>1.1103736417157799</v>
      </c>
      <c r="P16" s="13">
        <v>2.1913311161479002E-2</v>
      </c>
      <c r="Q16" s="13">
        <v>3.7762024387731602E-2</v>
      </c>
      <c r="R16" s="13">
        <v>8.76366118309258E-3</v>
      </c>
      <c r="S16" s="13">
        <v>9.2462711354171404E-2</v>
      </c>
      <c r="T16" s="13">
        <v>2.9639331260416699</v>
      </c>
      <c r="W16" s="8" t="s">
        <v>47</v>
      </c>
      <c r="X16" s="15" t="str">
        <f t="shared" si="1"/>
        <v>CHPBIO</v>
      </c>
      <c r="Y16" s="8" t="s">
        <v>42</v>
      </c>
      <c r="Z16" s="8">
        <f t="shared" si="2"/>
        <v>2080</v>
      </c>
      <c r="AA16" s="8">
        <f t="shared" si="3"/>
        <v>5.9350862100430127E-2</v>
      </c>
      <c r="AB16" s="8">
        <f t="shared" si="4"/>
        <v>0.25023089279116834</v>
      </c>
      <c r="AC16" s="8">
        <f t="shared" si="5"/>
        <v>0.56217370821743673</v>
      </c>
      <c r="AD16" s="8">
        <f t="shared" si="6"/>
        <v>14.08901041219419</v>
      </c>
      <c r="AE16" s="8" t="str">
        <f t="shared" si="7"/>
        <v/>
      </c>
      <c r="AF16" s="8" t="str">
        <f t="shared" si="8"/>
        <v/>
      </c>
      <c r="AG16" s="8">
        <f t="shared" si="9"/>
        <v>0.6036249438021507</v>
      </c>
      <c r="AH16" s="8">
        <f t="shared" si="10"/>
        <v>12.14191542782768</v>
      </c>
      <c r="AI16" s="8" t="str">
        <f t="shared" si="11"/>
        <v/>
      </c>
      <c r="AJ16" s="8" t="str">
        <f t="shared" si="12"/>
        <v/>
      </c>
      <c r="AK16" s="8" t="str">
        <f t="shared" si="13"/>
        <v/>
      </c>
      <c r="AL16" s="8">
        <f t="shared" si="14"/>
        <v>1.221411005887358</v>
      </c>
      <c r="AM16" s="8">
        <f t="shared" si="15"/>
        <v>2.4104642277626903E-2</v>
      </c>
      <c r="AN16" s="8">
        <f t="shared" si="16"/>
        <v>4.1538226826504765E-2</v>
      </c>
      <c r="AO16" s="8">
        <f t="shared" si="17"/>
        <v>9.6400273014018382E-3</v>
      </c>
      <c r="AP16" s="8">
        <f t="shared" si="18"/>
        <v>0.10170898248958855</v>
      </c>
      <c r="AQ16" s="8">
        <f t="shared" si="19"/>
        <v>3.260326438645837</v>
      </c>
    </row>
    <row r="17" spans="2:43" x14ac:dyDescent="0.3">
      <c r="B17" s="10" t="s">
        <v>31</v>
      </c>
      <c r="C17" s="11">
        <v>2017</v>
      </c>
      <c r="D17" s="14"/>
      <c r="E17" s="14"/>
      <c r="F17" s="13">
        <v>0.40871463125743002</v>
      </c>
      <c r="G17" s="13">
        <v>1.68710701986641</v>
      </c>
      <c r="H17" s="14"/>
      <c r="I17" s="13">
        <v>406.390945648404</v>
      </c>
      <c r="J17" s="14"/>
      <c r="K17" s="13">
        <v>49.846333013054803</v>
      </c>
      <c r="L17" s="14"/>
      <c r="M17" s="14"/>
      <c r="N17" s="14"/>
      <c r="O17" s="14"/>
      <c r="P17" s="13">
        <v>7.65399392993774</v>
      </c>
      <c r="Q17" s="13">
        <v>53.119676892001799</v>
      </c>
      <c r="R17" s="13">
        <v>3.1685027262527798</v>
      </c>
      <c r="S17" s="13">
        <v>27.735229606787801</v>
      </c>
      <c r="T17" s="13">
        <v>5.3934962745153898</v>
      </c>
      <c r="W17" s="8" t="s">
        <v>47</v>
      </c>
      <c r="X17" s="15" t="str">
        <f t="shared" si="1"/>
        <v>CHPCOA</v>
      </c>
      <c r="Y17" s="8" t="s">
        <v>42</v>
      </c>
      <c r="Z17" s="8">
        <f t="shared" si="2"/>
        <v>2017</v>
      </c>
      <c r="AA17" s="8" t="str">
        <f t="shared" si="3"/>
        <v/>
      </c>
      <c r="AB17" s="8" t="str">
        <f t="shared" si="4"/>
        <v/>
      </c>
      <c r="AC17" s="8">
        <f t="shared" si="5"/>
        <v>0.44958609438317304</v>
      </c>
      <c r="AD17" s="8">
        <f t="shared" si="6"/>
        <v>1.8558177218530512</v>
      </c>
      <c r="AE17" s="8" t="str">
        <f t="shared" si="7"/>
        <v/>
      </c>
      <c r="AF17" s="8">
        <f t="shared" si="8"/>
        <v>447.03004021324443</v>
      </c>
      <c r="AG17" s="8" t="str">
        <f t="shared" si="9"/>
        <v/>
      </c>
      <c r="AH17" s="8">
        <f t="shared" si="10"/>
        <v>54.830966314360289</v>
      </c>
      <c r="AI17" s="8" t="str">
        <f t="shared" si="11"/>
        <v/>
      </c>
      <c r="AJ17" s="8" t="str">
        <f t="shared" si="12"/>
        <v/>
      </c>
      <c r="AK17" s="8" t="str">
        <f t="shared" si="13"/>
        <v/>
      </c>
      <c r="AL17" s="8" t="str">
        <f t="shared" si="14"/>
        <v/>
      </c>
      <c r="AM17" s="8">
        <f t="shared" si="15"/>
        <v>8.4193933229315139</v>
      </c>
      <c r="AN17" s="8">
        <f t="shared" si="16"/>
        <v>58.431644581201986</v>
      </c>
      <c r="AO17" s="8">
        <f t="shared" si="17"/>
        <v>3.4853529988780583</v>
      </c>
      <c r="AP17" s="8">
        <f t="shared" si="18"/>
        <v>30.508752567466583</v>
      </c>
      <c r="AQ17" s="8">
        <f t="shared" si="19"/>
        <v>5.9328459019669291</v>
      </c>
    </row>
    <row r="18" spans="2:43" x14ac:dyDescent="0.3">
      <c r="B18" s="10" t="s">
        <v>31</v>
      </c>
      <c r="C18" s="11">
        <v>2018</v>
      </c>
      <c r="D18" s="14"/>
      <c r="E18" s="14"/>
      <c r="F18" s="13">
        <v>0.40871463125743002</v>
      </c>
      <c r="G18" s="13">
        <v>1.68710701986641</v>
      </c>
      <c r="H18" s="14"/>
      <c r="I18" s="13">
        <v>419.51292890209101</v>
      </c>
      <c r="J18" s="14"/>
      <c r="K18" s="13">
        <v>49.911693083214701</v>
      </c>
      <c r="L18" s="14"/>
      <c r="M18" s="14"/>
      <c r="N18" s="14"/>
      <c r="O18" s="14"/>
      <c r="P18" s="13">
        <v>7.65399392993774</v>
      </c>
      <c r="Q18" s="13">
        <v>53.158636646222398</v>
      </c>
      <c r="R18" s="13">
        <v>3.3548844376159099</v>
      </c>
      <c r="S18" s="13">
        <v>27.735229606787801</v>
      </c>
      <c r="T18" s="13">
        <v>5.3934962745153898</v>
      </c>
      <c r="W18" s="8" t="s">
        <v>47</v>
      </c>
      <c r="X18" s="15" t="str">
        <f t="shared" si="1"/>
        <v>CHPCOA</v>
      </c>
      <c r="Y18" s="8" t="s">
        <v>42</v>
      </c>
      <c r="Z18" s="8">
        <f t="shared" si="2"/>
        <v>2018</v>
      </c>
      <c r="AA18" s="8" t="str">
        <f t="shared" si="3"/>
        <v/>
      </c>
      <c r="AB18" s="8" t="str">
        <f t="shared" si="4"/>
        <v/>
      </c>
      <c r="AC18" s="8">
        <f t="shared" si="5"/>
        <v>0.44958609438317304</v>
      </c>
      <c r="AD18" s="8">
        <f t="shared" si="6"/>
        <v>1.8558177218530512</v>
      </c>
      <c r="AE18" s="8" t="str">
        <f t="shared" si="7"/>
        <v/>
      </c>
      <c r="AF18" s="8">
        <f t="shared" si="8"/>
        <v>461.46422179230012</v>
      </c>
      <c r="AG18" s="8" t="str">
        <f t="shared" si="9"/>
        <v/>
      </c>
      <c r="AH18" s="8">
        <f t="shared" si="10"/>
        <v>54.902862391536175</v>
      </c>
      <c r="AI18" s="8" t="str">
        <f t="shared" si="11"/>
        <v/>
      </c>
      <c r="AJ18" s="8" t="str">
        <f t="shared" si="12"/>
        <v/>
      </c>
      <c r="AK18" s="8" t="str">
        <f t="shared" si="13"/>
        <v/>
      </c>
      <c r="AL18" s="8" t="str">
        <f t="shared" si="14"/>
        <v/>
      </c>
      <c r="AM18" s="8">
        <f t="shared" si="15"/>
        <v>8.4193933229315139</v>
      </c>
      <c r="AN18" s="8">
        <f t="shared" si="16"/>
        <v>58.47450031084464</v>
      </c>
      <c r="AO18" s="8">
        <f t="shared" si="17"/>
        <v>3.6903728813775012</v>
      </c>
      <c r="AP18" s="8">
        <f t="shared" si="18"/>
        <v>30.508752567466583</v>
      </c>
      <c r="AQ18" s="8">
        <f t="shared" si="19"/>
        <v>5.9328459019669291</v>
      </c>
    </row>
    <row r="19" spans="2:43" x14ac:dyDescent="0.3">
      <c r="B19" s="10" t="s">
        <v>31</v>
      </c>
      <c r="C19" s="11">
        <v>2019</v>
      </c>
      <c r="D19" s="14"/>
      <c r="E19" s="14"/>
      <c r="F19" s="13">
        <v>0.40871463125743002</v>
      </c>
      <c r="G19" s="13">
        <v>1.68710701986641</v>
      </c>
      <c r="H19" s="14"/>
      <c r="I19" s="13">
        <v>419.51292890209101</v>
      </c>
      <c r="J19" s="14"/>
      <c r="K19" s="13">
        <v>49.911693083214701</v>
      </c>
      <c r="L19" s="14"/>
      <c r="M19" s="14"/>
      <c r="N19" s="14"/>
      <c r="O19" s="14"/>
      <c r="P19" s="13">
        <v>7.65399392993774</v>
      </c>
      <c r="Q19" s="13">
        <v>53.158636646222398</v>
      </c>
      <c r="R19" s="13">
        <v>3.3548844376159099</v>
      </c>
      <c r="S19" s="13">
        <v>27.735229606787801</v>
      </c>
      <c r="T19" s="13">
        <v>5.3934962745153898</v>
      </c>
      <c r="W19" s="8" t="s">
        <v>47</v>
      </c>
      <c r="X19" s="15" t="str">
        <f t="shared" si="1"/>
        <v>CHPCOA</v>
      </c>
      <c r="Y19" s="8" t="s">
        <v>42</v>
      </c>
      <c r="Z19" s="8">
        <f t="shared" si="2"/>
        <v>2019</v>
      </c>
      <c r="AA19" s="8" t="str">
        <f t="shared" si="3"/>
        <v/>
      </c>
      <c r="AB19" s="8" t="str">
        <f t="shared" si="4"/>
        <v/>
      </c>
      <c r="AC19" s="8">
        <f t="shared" si="5"/>
        <v>0.44958609438317304</v>
      </c>
      <c r="AD19" s="8">
        <f t="shared" si="6"/>
        <v>1.8558177218530512</v>
      </c>
      <c r="AE19" s="8" t="str">
        <f t="shared" si="7"/>
        <v/>
      </c>
      <c r="AF19" s="8">
        <f t="shared" si="8"/>
        <v>461.46422179230012</v>
      </c>
      <c r="AG19" s="8" t="str">
        <f t="shared" si="9"/>
        <v/>
      </c>
      <c r="AH19" s="8">
        <f t="shared" si="10"/>
        <v>54.902862391536175</v>
      </c>
      <c r="AI19" s="8" t="str">
        <f t="shared" si="11"/>
        <v/>
      </c>
      <c r="AJ19" s="8" t="str">
        <f t="shared" si="12"/>
        <v/>
      </c>
      <c r="AK19" s="8" t="str">
        <f t="shared" si="13"/>
        <v/>
      </c>
      <c r="AL19" s="8" t="str">
        <f t="shared" si="14"/>
        <v/>
      </c>
      <c r="AM19" s="8">
        <f t="shared" si="15"/>
        <v>8.4193933229315139</v>
      </c>
      <c r="AN19" s="8">
        <f t="shared" si="16"/>
        <v>58.47450031084464</v>
      </c>
      <c r="AO19" s="8">
        <f t="shared" si="17"/>
        <v>3.6903728813775012</v>
      </c>
      <c r="AP19" s="8">
        <f t="shared" si="18"/>
        <v>30.508752567466583</v>
      </c>
      <c r="AQ19" s="8">
        <f t="shared" si="19"/>
        <v>5.9328459019669291</v>
      </c>
    </row>
    <row r="20" spans="2:43" x14ac:dyDescent="0.3">
      <c r="B20" s="10" t="s">
        <v>31</v>
      </c>
      <c r="C20" s="11">
        <v>2020</v>
      </c>
      <c r="D20" s="14"/>
      <c r="E20" s="14"/>
      <c r="F20" s="13">
        <v>0.40871463125743002</v>
      </c>
      <c r="G20" s="13">
        <v>1.68710701986641</v>
      </c>
      <c r="H20" s="14"/>
      <c r="I20" s="13">
        <v>419.51292890209101</v>
      </c>
      <c r="J20" s="14"/>
      <c r="K20" s="13">
        <v>49.911693083214701</v>
      </c>
      <c r="L20" s="14"/>
      <c r="M20" s="14"/>
      <c r="N20" s="14"/>
      <c r="O20" s="14"/>
      <c r="P20" s="13">
        <v>7.65399392993774</v>
      </c>
      <c r="Q20" s="13">
        <v>53.158636646222398</v>
      </c>
      <c r="R20" s="13">
        <v>3.3548844376159099</v>
      </c>
      <c r="S20" s="13">
        <v>27.735229606787801</v>
      </c>
      <c r="T20" s="13">
        <v>5.3934962745153898</v>
      </c>
      <c r="W20" s="8" t="s">
        <v>47</v>
      </c>
      <c r="X20" s="15" t="str">
        <f t="shared" si="1"/>
        <v>CHPCOA</v>
      </c>
      <c r="Y20" s="8" t="s">
        <v>42</v>
      </c>
      <c r="Z20" s="8">
        <f t="shared" si="2"/>
        <v>2020</v>
      </c>
      <c r="AA20" s="8" t="str">
        <f t="shared" si="3"/>
        <v/>
      </c>
      <c r="AB20" s="8" t="str">
        <f t="shared" si="4"/>
        <v/>
      </c>
      <c r="AC20" s="8">
        <f t="shared" si="5"/>
        <v>0.44958609438317304</v>
      </c>
      <c r="AD20" s="8">
        <f t="shared" si="6"/>
        <v>1.8558177218530512</v>
      </c>
      <c r="AE20" s="8" t="str">
        <f t="shared" si="7"/>
        <v/>
      </c>
      <c r="AF20" s="8">
        <f t="shared" si="8"/>
        <v>461.46422179230012</v>
      </c>
      <c r="AG20" s="8" t="str">
        <f t="shared" si="9"/>
        <v/>
      </c>
      <c r="AH20" s="8">
        <f t="shared" si="10"/>
        <v>54.902862391536175</v>
      </c>
      <c r="AI20" s="8" t="str">
        <f t="shared" si="11"/>
        <v/>
      </c>
      <c r="AJ20" s="8" t="str">
        <f t="shared" si="12"/>
        <v/>
      </c>
      <c r="AK20" s="8" t="str">
        <f t="shared" si="13"/>
        <v/>
      </c>
      <c r="AL20" s="8" t="str">
        <f t="shared" si="14"/>
        <v/>
      </c>
      <c r="AM20" s="8">
        <f t="shared" si="15"/>
        <v>8.4193933229315139</v>
      </c>
      <c r="AN20" s="8">
        <f t="shared" si="16"/>
        <v>58.47450031084464</v>
      </c>
      <c r="AO20" s="8">
        <f t="shared" si="17"/>
        <v>3.6903728813775012</v>
      </c>
      <c r="AP20" s="8">
        <f t="shared" si="18"/>
        <v>30.508752567466583</v>
      </c>
      <c r="AQ20" s="8">
        <f t="shared" si="19"/>
        <v>5.9328459019669291</v>
      </c>
    </row>
    <row r="21" spans="2:43" x14ac:dyDescent="0.3">
      <c r="B21" s="10" t="s">
        <v>31</v>
      </c>
      <c r="C21" s="11">
        <v>2021</v>
      </c>
      <c r="D21" s="14"/>
      <c r="E21" s="14"/>
      <c r="F21" s="13">
        <v>0.40871463125743002</v>
      </c>
      <c r="G21" s="13">
        <v>1.68710701986641</v>
      </c>
      <c r="H21" s="14"/>
      <c r="I21" s="13">
        <v>419.51292890209101</v>
      </c>
      <c r="J21" s="14"/>
      <c r="K21" s="13">
        <v>49.911693083214701</v>
      </c>
      <c r="L21" s="14"/>
      <c r="M21" s="14"/>
      <c r="N21" s="14"/>
      <c r="O21" s="14"/>
      <c r="P21" s="13">
        <v>7.65399392993774</v>
      </c>
      <c r="Q21" s="13">
        <v>53.158636646222398</v>
      </c>
      <c r="R21" s="13">
        <v>3.3548844376159099</v>
      </c>
      <c r="S21" s="13">
        <v>27.735229606787801</v>
      </c>
      <c r="T21" s="13">
        <v>5.3934962745153898</v>
      </c>
      <c r="W21" s="8" t="s">
        <v>47</v>
      </c>
      <c r="X21" s="15" t="str">
        <f t="shared" si="1"/>
        <v>CHPCOA</v>
      </c>
      <c r="Y21" s="8" t="s">
        <v>42</v>
      </c>
      <c r="Z21" s="8">
        <f t="shared" si="2"/>
        <v>2021</v>
      </c>
      <c r="AA21" s="8" t="str">
        <f t="shared" si="3"/>
        <v/>
      </c>
      <c r="AB21" s="8" t="str">
        <f t="shared" si="4"/>
        <v/>
      </c>
      <c r="AC21" s="8">
        <f t="shared" si="5"/>
        <v>0.44958609438317304</v>
      </c>
      <c r="AD21" s="8">
        <f t="shared" si="6"/>
        <v>1.8558177218530512</v>
      </c>
      <c r="AE21" s="8" t="str">
        <f t="shared" si="7"/>
        <v/>
      </c>
      <c r="AF21" s="8">
        <f t="shared" si="8"/>
        <v>461.46422179230012</v>
      </c>
      <c r="AG21" s="8" t="str">
        <f t="shared" si="9"/>
        <v/>
      </c>
      <c r="AH21" s="8">
        <f t="shared" si="10"/>
        <v>54.902862391536175</v>
      </c>
      <c r="AI21" s="8" t="str">
        <f t="shared" si="11"/>
        <v/>
      </c>
      <c r="AJ21" s="8" t="str">
        <f t="shared" si="12"/>
        <v/>
      </c>
      <c r="AK21" s="8" t="str">
        <f t="shared" si="13"/>
        <v/>
      </c>
      <c r="AL21" s="8" t="str">
        <f t="shared" si="14"/>
        <v/>
      </c>
      <c r="AM21" s="8">
        <f t="shared" si="15"/>
        <v>8.4193933229315139</v>
      </c>
      <c r="AN21" s="8">
        <f t="shared" si="16"/>
        <v>58.47450031084464</v>
      </c>
      <c r="AO21" s="8">
        <f t="shared" si="17"/>
        <v>3.6903728813775012</v>
      </c>
      <c r="AP21" s="8">
        <f t="shared" si="18"/>
        <v>30.508752567466583</v>
      </c>
      <c r="AQ21" s="8">
        <f t="shared" si="19"/>
        <v>5.9328459019669291</v>
      </c>
    </row>
    <row r="22" spans="2:43" x14ac:dyDescent="0.3">
      <c r="B22" s="10" t="s">
        <v>31</v>
      </c>
      <c r="C22" s="11">
        <v>2030</v>
      </c>
      <c r="D22" s="14"/>
      <c r="E22" s="14"/>
      <c r="F22" s="13">
        <v>0.40871463125743002</v>
      </c>
      <c r="G22" s="13">
        <v>1.68710701986641</v>
      </c>
      <c r="H22" s="13">
        <v>0.116586904100083</v>
      </c>
      <c r="I22" s="13">
        <v>419.51292890209101</v>
      </c>
      <c r="J22" s="14"/>
      <c r="K22" s="13">
        <v>49.911693083214701</v>
      </c>
      <c r="L22" s="14"/>
      <c r="M22" s="14"/>
      <c r="N22" s="14"/>
      <c r="O22" s="14"/>
      <c r="P22" s="13">
        <v>7.65399392993774</v>
      </c>
      <c r="Q22" s="13">
        <v>53.158636646222398</v>
      </c>
      <c r="R22" s="13">
        <v>3.3548844376159099</v>
      </c>
      <c r="S22" s="13">
        <v>29.3469489979108</v>
      </c>
      <c r="T22" s="13">
        <v>5.3934962745153898</v>
      </c>
      <c r="W22" s="8" t="s">
        <v>47</v>
      </c>
      <c r="X22" s="15" t="str">
        <f t="shared" si="1"/>
        <v>CHPCOA</v>
      </c>
      <c r="Y22" s="8" t="s">
        <v>42</v>
      </c>
      <c r="Z22" s="8">
        <f t="shared" si="2"/>
        <v>2030</v>
      </c>
      <c r="AA22" s="8" t="str">
        <f t="shared" si="3"/>
        <v/>
      </c>
      <c r="AB22" s="8" t="str">
        <f t="shared" si="4"/>
        <v/>
      </c>
      <c r="AC22" s="8">
        <f t="shared" si="5"/>
        <v>0.44958609438317304</v>
      </c>
      <c r="AD22" s="8">
        <f t="shared" si="6"/>
        <v>1.8558177218530512</v>
      </c>
      <c r="AE22" s="8">
        <f t="shared" si="7"/>
        <v>0.12824559451009132</v>
      </c>
      <c r="AF22" s="8">
        <f t="shared" si="8"/>
        <v>461.46422179230012</v>
      </c>
      <c r="AG22" s="8" t="str">
        <f t="shared" si="9"/>
        <v/>
      </c>
      <c r="AH22" s="8">
        <f t="shared" si="10"/>
        <v>54.902862391536175</v>
      </c>
      <c r="AI22" s="8" t="str">
        <f t="shared" si="11"/>
        <v/>
      </c>
      <c r="AJ22" s="8" t="str">
        <f t="shared" si="12"/>
        <v/>
      </c>
      <c r="AK22" s="8" t="str">
        <f t="shared" si="13"/>
        <v/>
      </c>
      <c r="AL22" s="8" t="str">
        <f t="shared" si="14"/>
        <v/>
      </c>
      <c r="AM22" s="8">
        <f t="shared" si="15"/>
        <v>8.4193933229315139</v>
      </c>
      <c r="AN22" s="8">
        <f t="shared" si="16"/>
        <v>58.47450031084464</v>
      </c>
      <c r="AO22" s="8">
        <f t="shared" si="17"/>
        <v>3.6903728813775012</v>
      </c>
      <c r="AP22" s="8">
        <f t="shared" si="18"/>
        <v>32.281643897701883</v>
      </c>
      <c r="AQ22" s="8">
        <f t="shared" si="19"/>
        <v>5.9328459019669291</v>
      </c>
    </row>
    <row r="23" spans="2:43" x14ac:dyDescent="0.3">
      <c r="B23" s="10" t="s">
        <v>31</v>
      </c>
      <c r="C23" s="11">
        <v>2040</v>
      </c>
      <c r="D23" s="14"/>
      <c r="E23" s="14"/>
      <c r="F23" s="13">
        <v>0.40871463125743002</v>
      </c>
      <c r="G23" s="13">
        <v>1.68710701986641</v>
      </c>
      <c r="H23" s="13">
        <v>0.28851372452405899</v>
      </c>
      <c r="I23" s="13">
        <v>419.51292890209101</v>
      </c>
      <c r="J23" s="14"/>
      <c r="K23" s="13">
        <v>49.911693083214701</v>
      </c>
      <c r="L23" s="14"/>
      <c r="M23" s="14"/>
      <c r="N23" s="14"/>
      <c r="O23" s="13">
        <v>3.1956290971216E-7</v>
      </c>
      <c r="P23" s="13">
        <v>7.8730974061505998</v>
      </c>
      <c r="Q23" s="13">
        <v>53.158636646222398</v>
      </c>
      <c r="R23" s="13">
        <v>3.3548844376159099</v>
      </c>
      <c r="S23" s="13">
        <v>29.3469489979108</v>
      </c>
      <c r="T23" s="13">
        <v>5.3934962745153898</v>
      </c>
      <c r="W23" s="8" t="s">
        <v>47</v>
      </c>
      <c r="X23" s="15" t="str">
        <f t="shared" si="1"/>
        <v>CHPCOA</v>
      </c>
      <c r="Y23" s="8" t="s">
        <v>42</v>
      </c>
      <c r="Z23" s="8">
        <f t="shared" si="2"/>
        <v>2040</v>
      </c>
      <c r="AA23" s="8" t="str">
        <f t="shared" si="3"/>
        <v/>
      </c>
      <c r="AB23" s="8" t="str">
        <f t="shared" si="4"/>
        <v/>
      </c>
      <c r="AC23" s="8">
        <f t="shared" si="5"/>
        <v>0.44958609438317304</v>
      </c>
      <c r="AD23" s="8">
        <f t="shared" si="6"/>
        <v>1.8558177218530512</v>
      </c>
      <c r="AE23" s="8">
        <f t="shared" si="7"/>
        <v>0.31736509697646492</v>
      </c>
      <c r="AF23" s="8">
        <f t="shared" si="8"/>
        <v>461.46422179230012</v>
      </c>
      <c r="AG23" s="8" t="str">
        <f t="shared" si="9"/>
        <v/>
      </c>
      <c r="AH23" s="8">
        <f t="shared" si="10"/>
        <v>54.902862391536175</v>
      </c>
      <c r="AI23" s="8" t="str">
        <f t="shared" si="11"/>
        <v/>
      </c>
      <c r="AJ23" s="8" t="str">
        <f t="shared" si="12"/>
        <v/>
      </c>
      <c r="AK23" s="8" t="str">
        <f t="shared" si="13"/>
        <v/>
      </c>
      <c r="AL23" s="8">
        <f t="shared" si="14"/>
        <v>3.5151920068337604E-7</v>
      </c>
      <c r="AM23" s="8">
        <f t="shared" si="15"/>
        <v>8.6604071467656603</v>
      </c>
      <c r="AN23" s="8">
        <f t="shared" si="16"/>
        <v>58.47450031084464</v>
      </c>
      <c r="AO23" s="8">
        <f t="shared" si="17"/>
        <v>3.6903728813775012</v>
      </c>
      <c r="AP23" s="8">
        <f t="shared" si="18"/>
        <v>32.281643897701883</v>
      </c>
      <c r="AQ23" s="8">
        <f t="shared" si="19"/>
        <v>5.9328459019669291</v>
      </c>
    </row>
    <row r="24" spans="2:43" x14ac:dyDescent="0.3">
      <c r="B24" s="10" t="s">
        <v>31</v>
      </c>
      <c r="C24" s="11">
        <v>2050</v>
      </c>
      <c r="D24" s="14"/>
      <c r="E24" s="14"/>
      <c r="F24" s="13">
        <v>0.40871463125743002</v>
      </c>
      <c r="G24" s="13">
        <v>1.68710701986641</v>
      </c>
      <c r="H24" s="13">
        <v>0.535297462628195</v>
      </c>
      <c r="I24" s="13">
        <v>419.51292890209101</v>
      </c>
      <c r="J24" s="14"/>
      <c r="K24" s="13">
        <v>49.911693083214701</v>
      </c>
      <c r="L24" s="14"/>
      <c r="M24" s="14"/>
      <c r="N24" s="14"/>
      <c r="O24" s="13">
        <v>5.5391015208534004E-7</v>
      </c>
      <c r="P24" s="13">
        <v>8.3391716073188906</v>
      </c>
      <c r="Q24" s="13">
        <v>53.158636646222398</v>
      </c>
      <c r="R24" s="13">
        <v>3.3548844376159099</v>
      </c>
      <c r="S24" s="13">
        <v>29.3469489979108</v>
      </c>
      <c r="T24" s="13">
        <v>5.3934962745153898</v>
      </c>
      <c r="W24" s="8" t="s">
        <v>47</v>
      </c>
      <c r="X24" s="15" t="str">
        <f t="shared" si="1"/>
        <v>CHPCOA</v>
      </c>
      <c r="Y24" s="8" t="s">
        <v>42</v>
      </c>
      <c r="Z24" s="8">
        <f t="shared" si="2"/>
        <v>2050</v>
      </c>
      <c r="AA24" s="8" t="str">
        <f t="shared" si="3"/>
        <v/>
      </c>
      <c r="AB24" s="8" t="str">
        <f t="shared" si="4"/>
        <v/>
      </c>
      <c r="AC24" s="8">
        <f t="shared" si="5"/>
        <v>0.44958609438317304</v>
      </c>
      <c r="AD24" s="8">
        <f t="shared" si="6"/>
        <v>1.8558177218530512</v>
      </c>
      <c r="AE24" s="8">
        <f t="shared" si="7"/>
        <v>0.58882720889101459</v>
      </c>
      <c r="AF24" s="8">
        <f t="shared" si="8"/>
        <v>461.46422179230012</v>
      </c>
      <c r="AG24" s="8" t="str">
        <f t="shared" si="9"/>
        <v/>
      </c>
      <c r="AH24" s="8">
        <f t="shared" si="10"/>
        <v>54.902862391536175</v>
      </c>
      <c r="AI24" s="8" t="str">
        <f t="shared" si="11"/>
        <v/>
      </c>
      <c r="AJ24" s="8" t="str">
        <f t="shared" si="12"/>
        <v/>
      </c>
      <c r="AK24" s="8" t="str">
        <f t="shared" si="13"/>
        <v/>
      </c>
      <c r="AL24" s="8">
        <f t="shared" si="14"/>
        <v>6.0930116729387409E-7</v>
      </c>
      <c r="AM24" s="8">
        <f t="shared" si="15"/>
        <v>9.1730887680507802</v>
      </c>
      <c r="AN24" s="8">
        <f t="shared" si="16"/>
        <v>58.47450031084464</v>
      </c>
      <c r="AO24" s="8">
        <f t="shared" si="17"/>
        <v>3.6903728813775012</v>
      </c>
      <c r="AP24" s="8">
        <f t="shared" si="18"/>
        <v>32.281643897701883</v>
      </c>
      <c r="AQ24" s="8">
        <f t="shared" si="19"/>
        <v>5.9328459019669291</v>
      </c>
    </row>
    <row r="25" spans="2:43" x14ac:dyDescent="0.3">
      <c r="B25" s="10" t="s">
        <v>31</v>
      </c>
      <c r="C25" s="11">
        <v>2060</v>
      </c>
      <c r="D25" s="14"/>
      <c r="E25" s="14"/>
      <c r="F25" s="13">
        <v>0.40871463125743002</v>
      </c>
      <c r="G25" s="13">
        <v>1.68710701986641</v>
      </c>
      <c r="H25" s="13">
        <v>0.535297462628195</v>
      </c>
      <c r="I25" s="13">
        <v>419.51292890209101</v>
      </c>
      <c r="J25" s="14"/>
      <c r="K25" s="13">
        <v>49.911693083214701</v>
      </c>
      <c r="L25" s="14"/>
      <c r="M25" s="14"/>
      <c r="N25" s="14"/>
      <c r="O25" s="13">
        <v>7.3854686944711998E-7</v>
      </c>
      <c r="P25" s="13">
        <v>8.3391716073188906</v>
      </c>
      <c r="Q25" s="13">
        <v>53.158636646222398</v>
      </c>
      <c r="R25" s="13">
        <v>3.3548844376159099</v>
      </c>
      <c r="S25" s="13">
        <v>29.3469489979108</v>
      </c>
      <c r="T25" s="13">
        <v>5.3934962745153898</v>
      </c>
      <c r="W25" s="8" t="s">
        <v>47</v>
      </c>
      <c r="X25" s="15" t="str">
        <f t="shared" si="1"/>
        <v>CHPCOA</v>
      </c>
      <c r="Y25" s="8" t="s">
        <v>42</v>
      </c>
      <c r="Z25" s="8">
        <f t="shared" si="2"/>
        <v>2060</v>
      </c>
      <c r="AA25" s="8" t="str">
        <f t="shared" si="3"/>
        <v/>
      </c>
      <c r="AB25" s="8" t="str">
        <f t="shared" si="4"/>
        <v/>
      </c>
      <c r="AC25" s="8">
        <f t="shared" si="5"/>
        <v>0.44958609438317304</v>
      </c>
      <c r="AD25" s="8">
        <f t="shared" si="6"/>
        <v>1.8558177218530512</v>
      </c>
      <c r="AE25" s="8">
        <f t="shared" si="7"/>
        <v>0.58882720889101459</v>
      </c>
      <c r="AF25" s="8">
        <f t="shared" si="8"/>
        <v>461.46422179230012</v>
      </c>
      <c r="AG25" s="8" t="str">
        <f t="shared" si="9"/>
        <v/>
      </c>
      <c r="AH25" s="8">
        <f t="shared" si="10"/>
        <v>54.902862391536175</v>
      </c>
      <c r="AI25" s="8" t="str">
        <f t="shared" si="11"/>
        <v/>
      </c>
      <c r="AJ25" s="8" t="str">
        <f t="shared" si="12"/>
        <v/>
      </c>
      <c r="AK25" s="8" t="str">
        <f t="shared" si="13"/>
        <v/>
      </c>
      <c r="AL25" s="8">
        <f t="shared" si="14"/>
        <v>8.1240155639183202E-7</v>
      </c>
      <c r="AM25" s="8">
        <f t="shared" si="15"/>
        <v>9.1730887680507802</v>
      </c>
      <c r="AN25" s="8">
        <f t="shared" si="16"/>
        <v>58.47450031084464</v>
      </c>
      <c r="AO25" s="8">
        <f t="shared" si="17"/>
        <v>3.6903728813775012</v>
      </c>
      <c r="AP25" s="8">
        <f t="shared" si="18"/>
        <v>32.281643897701883</v>
      </c>
      <c r="AQ25" s="8">
        <f t="shared" si="19"/>
        <v>5.9328459019669291</v>
      </c>
    </row>
    <row r="26" spans="2:43" x14ac:dyDescent="0.3">
      <c r="B26" s="10" t="s">
        <v>31</v>
      </c>
      <c r="C26" s="11">
        <v>2070</v>
      </c>
      <c r="D26" s="14"/>
      <c r="E26" s="14"/>
      <c r="F26" s="13">
        <v>0.40871463125743002</v>
      </c>
      <c r="G26" s="13">
        <v>1.68710701986641</v>
      </c>
      <c r="H26" s="13">
        <v>0.535297462628195</v>
      </c>
      <c r="I26" s="13">
        <v>419.51292890209101</v>
      </c>
      <c r="J26" s="14"/>
      <c r="K26" s="13">
        <v>49.911693083214701</v>
      </c>
      <c r="L26" s="14"/>
      <c r="M26" s="14"/>
      <c r="N26" s="14"/>
      <c r="O26" s="13">
        <v>9.2318358680889897E-7</v>
      </c>
      <c r="P26" s="13">
        <v>8.3391716073188906</v>
      </c>
      <c r="Q26" s="13">
        <v>53.158636646222398</v>
      </c>
      <c r="R26" s="13">
        <v>3.3548844376159099</v>
      </c>
      <c r="S26" s="13">
        <v>29.3469489979108</v>
      </c>
      <c r="T26" s="13">
        <v>5.3934962745153898</v>
      </c>
      <c r="W26" s="8" t="s">
        <v>47</v>
      </c>
      <c r="X26" s="15" t="str">
        <f t="shared" si="1"/>
        <v>CHPCOA</v>
      </c>
      <c r="Y26" s="8" t="s">
        <v>42</v>
      </c>
      <c r="Z26" s="8">
        <f t="shared" si="2"/>
        <v>2070</v>
      </c>
      <c r="AA26" s="8" t="str">
        <f t="shared" si="3"/>
        <v/>
      </c>
      <c r="AB26" s="8" t="str">
        <f t="shared" si="4"/>
        <v/>
      </c>
      <c r="AC26" s="8">
        <f t="shared" si="5"/>
        <v>0.44958609438317304</v>
      </c>
      <c r="AD26" s="8">
        <f t="shared" si="6"/>
        <v>1.8558177218530512</v>
      </c>
      <c r="AE26" s="8">
        <f t="shared" si="7"/>
        <v>0.58882720889101459</v>
      </c>
      <c r="AF26" s="8">
        <f t="shared" si="8"/>
        <v>461.46422179230012</v>
      </c>
      <c r="AG26" s="8" t="str">
        <f t="shared" si="9"/>
        <v/>
      </c>
      <c r="AH26" s="8">
        <f t="shared" si="10"/>
        <v>54.902862391536175</v>
      </c>
      <c r="AI26" s="8" t="str">
        <f t="shared" si="11"/>
        <v/>
      </c>
      <c r="AJ26" s="8" t="str">
        <f t="shared" si="12"/>
        <v/>
      </c>
      <c r="AK26" s="8" t="str">
        <f t="shared" si="13"/>
        <v/>
      </c>
      <c r="AL26" s="8">
        <f t="shared" si="14"/>
        <v>1.015501945489789E-6</v>
      </c>
      <c r="AM26" s="8">
        <f t="shared" si="15"/>
        <v>9.1730887680507802</v>
      </c>
      <c r="AN26" s="8">
        <f t="shared" si="16"/>
        <v>58.47450031084464</v>
      </c>
      <c r="AO26" s="8">
        <f t="shared" si="17"/>
        <v>3.6903728813775012</v>
      </c>
      <c r="AP26" s="8">
        <f t="shared" si="18"/>
        <v>32.281643897701883</v>
      </c>
      <c r="AQ26" s="8">
        <f t="shared" si="19"/>
        <v>5.9328459019669291</v>
      </c>
    </row>
    <row r="27" spans="2:43" x14ac:dyDescent="0.3">
      <c r="B27" s="10" t="s">
        <v>31</v>
      </c>
      <c r="C27" s="11">
        <v>2080</v>
      </c>
      <c r="D27" s="14"/>
      <c r="E27" s="14"/>
      <c r="F27" s="13">
        <v>0.40871463125743002</v>
      </c>
      <c r="G27" s="13">
        <v>1.68710701986641</v>
      </c>
      <c r="H27" s="13">
        <v>0.535297462628195</v>
      </c>
      <c r="I27" s="13">
        <v>419.51292890209101</v>
      </c>
      <c r="J27" s="14"/>
      <c r="K27" s="13">
        <v>49.911693083214701</v>
      </c>
      <c r="L27" s="14"/>
      <c r="M27" s="14"/>
      <c r="N27" s="14"/>
      <c r="O27" s="13">
        <v>1.1078203041706801E-6</v>
      </c>
      <c r="P27" s="13">
        <v>8.3391716073188906</v>
      </c>
      <c r="Q27" s="13">
        <v>53.158636646222398</v>
      </c>
      <c r="R27" s="13">
        <v>3.3548844376159099</v>
      </c>
      <c r="S27" s="13">
        <v>29.3469489979108</v>
      </c>
      <c r="T27" s="13">
        <v>5.3934962745153898</v>
      </c>
      <c r="W27" s="8" t="s">
        <v>47</v>
      </c>
      <c r="X27" s="15" t="str">
        <f t="shared" si="1"/>
        <v>CHPCOA</v>
      </c>
      <c r="Y27" s="8" t="s">
        <v>42</v>
      </c>
      <c r="Z27" s="8">
        <f t="shared" si="2"/>
        <v>2080</v>
      </c>
      <c r="AA27" s="8" t="str">
        <f t="shared" si="3"/>
        <v/>
      </c>
      <c r="AB27" s="8" t="str">
        <f t="shared" si="4"/>
        <v/>
      </c>
      <c r="AC27" s="8">
        <f t="shared" si="5"/>
        <v>0.44958609438317304</v>
      </c>
      <c r="AD27" s="8">
        <f t="shared" si="6"/>
        <v>1.8558177218530512</v>
      </c>
      <c r="AE27" s="8">
        <f t="shared" si="7"/>
        <v>0.58882720889101459</v>
      </c>
      <c r="AF27" s="8">
        <f t="shared" si="8"/>
        <v>461.46422179230012</v>
      </c>
      <c r="AG27" s="8" t="str">
        <f t="shared" si="9"/>
        <v/>
      </c>
      <c r="AH27" s="8">
        <f t="shared" si="10"/>
        <v>54.902862391536175</v>
      </c>
      <c r="AI27" s="8" t="str">
        <f t="shared" si="11"/>
        <v/>
      </c>
      <c r="AJ27" s="8" t="str">
        <f t="shared" si="12"/>
        <v/>
      </c>
      <c r="AK27" s="8" t="str">
        <f t="shared" si="13"/>
        <v/>
      </c>
      <c r="AL27" s="8">
        <f t="shared" si="14"/>
        <v>1.2186023345877482E-6</v>
      </c>
      <c r="AM27" s="8">
        <f t="shared" si="15"/>
        <v>9.1730887680507802</v>
      </c>
      <c r="AN27" s="8">
        <f t="shared" si="16"/>
        <v>58.47450031084464</v>
      </c>
      <c r="AO27" s="8">
        <f t="shared" si="17"/>
        <v>3.6903728813775012</v>
      </c>
      <c r="AP27" s="8">
        <f t="shared" si="18"/>
        <v>32.281643897701883</v>
      </c>
      <c r="AQ27" s="8">
        <f t="shared" si="19"/>
        <v>5.9328459019669291</v>
      </c>
    </row>
    <row r="28" spans="2:43" x14ac:dyDescent="0.3">
      <c r="B28" s="10" t="s">
        <v>32</v>
      </c>
      <c r="C28" s="11">
        <v>2017</v>
      </c>
      <c r="D28" s="14"/>
      <c r="E28" s="14"/>
      <c r="F28" s="14"/>
      <c r="G28" s="14"/>
      <c r="H28" s="14"/>
      <c r="I28" s="14"/>
      <c r="J28" s="14"/>
      <c r="K28" s="13">
        <v>0.15937511944576899</v>
      </c>
      <c r="L28" s="14"/>
      <c r="M28" s="14"/>
      <c r="N28" s="14"/>
      <c r="O28" s="14"/>
      <c r="P28" s="14"/>
      <c r="Q28" s="14"/>
      <c r="R28" s="14"/>
      <c r="S28" s="14"/>
      <c r="T28" s="14"/>
      <c r="W28" s="8" t="s">
        <v>47</v>
      </c>
      <c r="X28" s="15" t="str">
        <f t="shared" si="1"/>
        <v>CHPCRD</v>
      </c>
      <c r="Y28" s="8" t="s">
        <v>42</v>
      </c>
      <c r="Z28" s="8">
        <f t="shared" si="2"/>
        <v>2017</v>
      </c>
      <c r="AA28" s="8" t="str">
        <f t="shared" si="3"/>
        <v/>
      </c>
      <c r="AB28" s="8" t="str">
        <f t="shared" si="4"/>
        <v/>
      </c>
      <c r="AC28" s="8" t="str">
        <f t="shared" si="5"/>
        <v/>
      </c>
      <c r="AD28" s="8" t="str">
        <f t="shared" si="6"/>
        <v/>
      </c>
      <c r="AE28" s="8" t="str">
        <f t="shared" si="7"/>
        <v/>
      </c>
      <c r="AF28" s="8" t="str">
        <f t="shared" si="8"/>
        <v/>
      </c>
      <c r="AG28" s="8" t="str">
        <f t="shared" si="9"/>
        <v/>
      </c>
      <c r="AH28" s="8">
        <f t="shared" si="10"/>
        <v>0.17531263139034589</v>
      </c>
      <c r="AI28" s="8" t="str">
        <f t="shared" si="11"/>
        <v/>
      </c>
      <c r="AJ28" s="8" t="str">
        <f t="shared" si="12"/>
        <v/>
      </c>
      <c r="AK28" s="8" t="str">
        <f t="shared" si="13"/>
        <v/>
      </c>
      <c r="AL28" s="8" t="str">
        <f t="shared" si="14"/>
        <v/>
      </c>
      <c r="AM28" s="8" t="str">
        <f t="shared" si="15"/>
        <v/>
      </c>
      <c r="AN28" s="8" t="str">
        <f t="shared" si="16"/>
        <v/>
      </c>
      <c r="AO28" s="8" t="str">
        <f t="shared" si="17"/>
        <v/>
      </c>
      <c r="AP28" s="8" t="str">
        <f t="shared" si="18"/>
        <v/>
      </c>
      <c r="AQ28" s="8" t="str">
        <f t="shared" si="19"/>
        <v/>
      </c>
    </row>
    <row r="29" spans="2:43" x14ac:dyDescent="0.3">
      <c r="B29" s="10" t="s">
        <v>32</v>
      </c>
      <c r="C29" s="11">
        <v>2018</v>
      </c>
      <c r="D29" s="14"/>
      <c r="E29" s="14"/>
      <c r="F29" s="14"/>
      <c r="G29" s="14"/>
      <c r="H29" s="14"/>
      <c r="I29" s="14"/>
      <c r="J29" s="14"/>
      <c r="K29" s="13">
        <v>0.15937511944576899</v>
      </c>
      <c r="L29" s="14"/>
      <c r="M29" s="14"/>
      <c r="N29" s="14"/>
      <c r="O29" s="14"/>
      <c r="P29" s="14"/>
      <c r="Q29" s="14"/>
      <c r="R29" s="14"/>
      <c r="S29" s="14"/>
      <c r="T29" s="14"/>
      <c r="W29" s="8" t="s">
        <v>47</v>
      </c>
      <c r="X29" s="15" t="str">
        <f t="shared" si="1"/>
        <v>CHPCRD</v>
      </c>
      <c r="Y29" s="8" t="s">
        <v>42</v>
      </c>
      <c r="Z29" s="8">
        <f t="shared" si="2"/>
        <v>2018</v>
      </c>
      <c r="AA29" s="8" t="str">
        <f t="shared" si="3"/>
        <v/>
      </c>
      <c r="AB29" s="8" t="str">
        <f t="shared" si="4"/>
        <v/>
      </c>
      <c r="AC29" s="8" t="str">
        <f t="shared" si="5"/>
        <v/>
      </c>
      <c r="AD29" s="8" t="str">
        <f t="shared" si="6"/>
        <v/>
      </c>
      <c r="AE29" s="8" t="str">
        <f t="shared" si="7"/>
        <v/>
      </c>
      <c r="AF29" s="8" t="str">
        <f t="shared" si="8"/>
        <v/>
      </c>
      <c r="AG29" s="8" t="str">
        <f t="shared" si="9"/>
        <v/>
      </c>
      <c r="AH29" s="8">
        <f t="shared" si="10"/>
        <v>0.17531263139034589</v>
      </c>
      <c r="AI29" s="8" t="str">
        <f t="shared" si="11"/>
        <v/>
      </c>
      <c r="AJ29" s="8" t="str">
        <f t="shared" si="12"/>
        <v/>
      </c>
      <c r="AK29" s="8" t="str">
        <f t="shared" si="13"/>
        <v/>
      </c>
      <c r="AL29" s="8" t="str">
        <f t="shared" si="14"/>
        <v/>
      </c>
      <c r="AM29" s="8" t="str">
        <f t="shared" si="15"/>
        <v/>
      </c>
      <c r="AN29" s="8" t="str">
        <f t="shared" si="16"/>
        <v/>
      </c>
      <c r="AO29" s="8" t="str">
        <f t="shared" si="17"/>
        <v/>
      </c>
      <c r="AP29" s="8" t="str">
        <f t="shared" si="18"/>
        <v/>
      </c>
      <c r="AQ29" s="8" t="str">
        <f t="shared" si="19"/>
        <v/>
      </c>
    </row>
    <row r="30" spans="2:43" x14ac:dyDescent="0.3">
      <c r="B30" s="10" t="s">
        <v>32</v>
      </c>
      <c r="C30" s="11">
        <v>2019</v>
      </c>
      <c r="D30" s="14"/>
      <c r="E30" s="14"/>
      <c r="F30" s="14"/>
      <c r="G30" s="14"/>
      <c r="H30" s="14"/>
      <c r="I30" s="14"/>
      <c r="J30" s="14"/>
      <c r="K30" s="13">
        <v>0.15937511944576899</v>
      </c>
      <c r="L30" s="14"/>
      <c r="M30" s="14"/>
      <c r="N30" s="14"/>
      <c r="O30" s="14"/>
      <c r="P30" s="14"/>
      <c r="Q30" s="14"/>
      <c r="R30" s="14"/>
      <c r="S30" s="14"/>
      <c r="T30" s="14"/>
      <c r="W30" s="8" t="s">
        <v>47</v>
      </c>
      <c r="X30" s="15" t="str">
        <f t="shared" si="1"/>
        <v>CHPCRD</v>
      </c>
      <c r="Y30" s="8" t="s">
        <v>42</v>
      </c>
      <c r="Z30" s="8">
        <f t="shared" si="2"/>
        <v>2019</v>
      </c>
      <c r="AA30" s="8" t="str">
        <f t="shared" si="3"/>
        <v/>
      </c>
      <c r="AB30" s="8" t="str">
        <f t="shared" si="4"/>
        <v/>
      </c>
      <c r="AC30" s="8" t="str">
        <f t="shared" si="5"/>
        <v/>
      </c>
      <c r="AD30" s="8" t="str">
        <f t="shared" si="6"/>
        <v/>
      </c>
      <c r="AE30" s="8" t="str">
        <f t="shared" si="7"/>
        <v/>
      </c>
      <c r="AF30" s="8" t="str">
        <f t="shared" si="8"/>
        <v/>
      </c>
      <c r="AG30" s="8" t="str">
        <f t="shared" si="9"/>
        <v/>
      </c>
      <c r="AH30" s="8">
        <f t="shared" si="10"/>
        <v>0.17531263139034589</v>
      </c>
      <c r="AI30" s="8" t="str">
        <f t="shared" si="11"/>
        <v/>
      </c>
      <c r="AJ30" s="8" t="str">
        <f t="shared" si="12"/>
        <v/>
      </c>
      <c r="AK30" s="8" t="str">
        <f t="shared" si="13"/>
        <v/>
      </c>
      <c r="AL30" s="8" t="str">
        <f t="shared" si="14"/>
        <v/>
      </c>
      <c r="AM30" s="8" t="str">
        <f t="shared" si="15"/>
        <v/>
      </c>
      <c r="AN30" s="8" t="str">
        <f t="shared" si="16"/>
        <v/>
      </c>
      <c r="AO30" s="8" t="str">
        <f t="shared" si="17"/>
        <v/>
      </c>
      <c r="AP30" s="8" t="str">
        <f t="shared" si="18"/>
        <v/>
      </c>
      <c r="AQ30" s="8" t="str">
        <f t="shared" si="19"/>
        <v/>
      </c>
    </row>
    <row r="31" spans="2:43" x14ac:dyDescent="0.3">
      <c r="B31" s="10" t="s">
        <v>32</v>
      </c>
      <c r="C31" s="11">
        <v>2020</v>
      </c>
      <c r="D31" s="14"/>
      <c r="E31" s="14"/>
      <c r="F31" s="14"/>
      <c r="G31" s="14"/>
      <c r="H31" s="14"/>
      <c r="I31" s="14"/>
      <c r="J31" s="14"/>
      <c r="K31" s="13">
        <v>0.15937511944576899</v>
      </c>
      <c r="L31" s="14"/>
      <c r="M31" s="14"/>
      <c r="N31" s="14"/>
      <c r="O31" s="14"/>
      <c r="P31" s="14"/>
      <c r="Q31" s="14"/>
      <c r="R31" s="14"/>
      <c r="S31" s="14"/>
      <c r="T31" s="14"/>
      <c r="W31" s="8" t="s">
        <v>47</v>
      </c>
      <c r="X31" s="15" t="str">
        <f t="shared" si="1"/>
        <v>CHPCRD</v>
      </c>
      <c r="Y31" s="8" t="s">
        <v>42</v>
      </c>
      <c r="Z31" s="8">
        <f t="shared" si="2"/>
        <v>2020</v>
      </c>
      <c r="AA31" s="8" t="str">
        <f t="shared" si="3"/>
        <v/>
      </c>
      <c r="AB31" s="8" t="str">
        <f t="shared" si="4"/>
        <v/>
      </c>
      <c r="AC31" s="8" t="str">
        <f t="shared" si="5"/>
        <v/>
      </c>
      <c r="AD31" s="8" t="str">
        <f t="shared" si="6"/>
        <v/>
      </c>
      <c r="AE31" s="8" t="str">
        <f t="shared" si="7"/>
        <v/>
      </c>
      <c r="AF31" s="8" t="str">
        <f t="shared" si="8"/>
        <v/>
      </c>
      <c r="AG31" s="8" t="str">
        <f t="shared" si="9"/>
        <v/>
      </c>
      <c r="AH31" s="8">
        <f t="shared" si="10"/>
        <v>0.17531263139034589</v>
      </c>
      <c r="AI31" s="8" t="str">
        <f t="shared" si="11"/>
        <v/>
      </c>
      <c r="AJ31" s="8" t="str">
        <f t="shared" si="12"/>
        <v/>
      </c>
      <c r="AK31" s="8" t="str">
        <f t="shared" si="13"/>
        <v/>
      </c>
      <c r="AL31" s="8" t="str">
        <f t="shared" si="14"/>
        <v/>
      </c>
      <c r="AM31" s="8" t="str">
        <f t="shared" si="15"/>
        <v/>
      </c>
      <c r="AN31" s="8" t="str">
        <f t="shared" si="16"/>
        <v/>
      </c>
      <c r="AO31" s="8" t="str">
        <f t="shared" si="17"/>
        <v/>
      </c>
      <c r="AP31" s="8" t="str">
        <f t="shared" si="18"/>
        <v/>
      </c>
      <c r="AQ31" s="8" t="str">
        <f t="shared" si="19"/>
        <v/>
      </c>
    </row>
    <row r="32" spans="2:43" x14ac:dyDescent="0.3">
      <c r="B32" s="10" t="s">
        <v>32</v>
      </c>
      <c r="C32" s="11">
        <v>2021</v>
      </c>
      <c r="D32" s="14"/>
      <c r="E32" s="14"/>
      <c r="F32" s="14"/>
      <c r="G32" s="14"/>
      <c r="H32" s="14"/>
      <c r="I32" s="14"/>
      <c r="J32" s="14"/>
      <c r="K32" s="13">
        <v>0.15937511944576899</v>
      </c>
      <c r="L32" s="14"/>
      <c r="M32" s="14"/>
      <c r="N32" s="14"/>
      <c r="O32" s="14"/>
      <c r="P32" s="14"/>
      <c r="Q32" s="14"/>
      <c r="R32" s="14"/>
      <c r="S32" s="14"/>
      <c r="T32" s="14"/>
      <c r="W32" s="8" t="s">
        <v>47</v>
      </c>
      <c r="X32" s="15" t="str">
        <f t="shared" si="1"/>
        <v>CHPCRD</v>
      </c>
      <c r="Y32" s="8" t="s">
        <v>42</v>
      </c>
      <c r="Z32" s="8">
        <f t="shared" si="2"/>
        <v>2021</v>
      </c>
      <c r="AA32" s="8" t="str">
        <f t="shared" si="3"/>
        <v/>
      </c>
      <c r="AB32" s="8" t="str">
        <f t="shared" si="4"/>
        <v/>
      </c>
      <c r="AC32" s="8" t="str">
        <f t="shared" si="5"/>
        <v/>
      </c>
      <c r="AD32" s="8" t="str">
        <f t="shared" si="6"/>
        <v/>
      </c>
      <c r="AE32" s="8" t="str">
        <f t="shared" si="7"/>
        <v/>
      </c>
      <c r="AF32" s="8" t="str">
        <f t="shared" si="8"/>
        <v/>
      </c>
      <c r="AG32" s="8" t="str">
        <f t="shared" si="9"/>
        <v/>
      </c>
      <c r="AH32" s="8">
        <f t="shared" si="10"/>
        <v>0.17531263139034589</v>
      </c>
      <c r="AI32" s="8" t="str">
        <f t="shared" si="11"/>
        <v/>
      </c>
      <c r="AJ32" s="8" t="str">
        <f t="shared" si="12"/>
        <v/>
      </c>
      <c r="AK32" s="8" t="str">
        <f t="shared" si="13"/>
        <v/>
      </c>
      <c r="AL32" s="8" t="str">
        <f t="shared" si="14"/>
        <v/>
      </c>
      <c r="AM32" s="8" t="str">
        <f t="shared" si="15"/>
        <v/>
      </c>
      <c r="AN32" s="8" t="str">
        <f t="shared" si="16"/>
        <v/>
      </c>
      <c r="AO32" s="8" t="str">
        <f t="shared" si="17"/>
        <v/>
      </c>
      <c r="AP32" s="8" t="str">
        <f t="shared" si="18"/>
        <v/>
      </c>
      <c r="AQ32" s="8" t="str">
        <f t="shared" si="19"/>
        <v/>
      </c>
    </row>
    <row r="33" spans="2:43" x14ac:dyDescent="0.3">
      <c r="B33" s="10" t="s">
        <v>32</v>
      </c>
      <c r="C33" s="11">
        <v>2030</v>
      </c>
      <c r="D33" s="14"/>
      <c r="E33" s="14"/>
      <c r="F33" s="14"/>
      <c r="G33" s="14"/>
      <c r="H33" s="14"/>
      <c r="I33" s="14"/>
      <c r="J33" s="14"/>
      <c r="K33" s="13">
        <v>0.15937511944576899</v>
      </c>
      <c r="L33" s="14"/>
      <c r="M33" s="14"/>
      <c r="N33" s="14"/>
      <c r="O33" s="14"/>
      <c r="P33" s="14"/>
      <c r="Q33" s="14"/>
      <c r="R33" s="14"/>
      <c r="S33" s="14"/>
      <c r="T33" s="14"/>
      <c r="W33" s="8" t="s">
        <v>47</v>
      </c>
      <c r="X33" s="15" t="str">
        <f t="shared" si="1"/>
        <v>CHPCRD</v>
      </c>
      <c r="Y33" s="8" t="s">
        <v>42</v>
      </c>
      <c r="Z33" s="8">
        <f t="shared" si="2"/>
        <v>2030</v>
      </c>
      <c r="AA33" s="8" t="str">
        <f t="shared" si="3"/>
        <v/>
      </c>
      <c r="AB33" s="8" t="str">
        <f t="shared" si="4"/>
        <v/>
      </c>
      <c r="AC33" s="8" t="str">
        <f t="shared" si="5"/>
        <v/>
      </c>
      <c r="AD33" s="8" t="str">
        <f t="shared" si="6"/>
        <v/>
      </c>
      <c r="AE33" s="8" t="str">
        <f t="shared" si="7"/>
        <v/>
      </c>
      <c r="AF33" s="8" t="str">
        <f t="shared" si="8"/>
        <v/>
      </c>
      <c r="AG33" s="8" t="str">
        <f t="shared" si="9"/>
        <v/>
      </c>
      <c r="AH33" s="8">
        <f t="shared" si="10"/>
        <v>0.17531263139034589</v>
      </c>
      <c r="AI33" s="8" t="str">
        <f t="shared" si="11"/>
        <v/>
      </c>
      <c r="AJ33" s="8" t="str">
        <f t="shared" si="12"/>
        <v/>
      </c>
      <c r="AK33" s="8" t="str">
        <f t="shared" si="13"/>
        <v/>
      </c>
      <c r="AL33" s="8" t="str">
        <f t="shared" si="14"/>
        <v/>
      </c>
      <c r="AM33" s="8" t="str">
        <f t="shared" si="15"/>
        <v/>
      </c>
      <c r="AN33" s="8" t="str">
        <f t="shared" si="16"/>
        <v/>
      </c>
      <c r="AO33" s="8" t="str">
        <f t="shared" si="17"/>
        <v/>
      </c>
      <c r="AP33" s="8" t="str">
        <f t="shared" si="18"/>
        <v/>
      </c>
      <c r="AQ33" s="8" t="str">
        <f t="shared" si="19"/>
        <v/>
      </c>
    </row>
    <row r="34" spans="2:43" x14ac:dyDescent="0.3">
      <c r="B34" s="10" t="s">
        <v>32</v>
      </c>
      <c r="C34" s="11">
        <v>2040</v>
      </c>
      <c r="D34" s="14"/>
      <c r="E34" s="14"/>
      <c r="F34" s="14"/>
      <c r="G34" s="14"/>
      <c r="H34" s="14"/>
      <c r="I34" s="14"/>
      <c r="J34" s="14"/>
      <c r="K34" s="13">
        <v>0.15937511944576899</v>
      </c>
      <c r="L34" s="14"/>
      <c r="M34" s="14"/>
      <c r="N34" s="14"/>
      <c r="O34" s="14"/>
      <c r="P34" s="14"/>
      <c r="Q34" s="14"/>
      <c r="R34" s="14"/>
      <c r="S34" s="14"/>
      <c r="T34" s="14"/>
      <c r="W34" s="8" t="s">
        <v>47</v>
      </c>
      <c r="X34" s="15" t="str">
        <f t="shared" si="1"/>
        <v>CHPCRD</v>
      </c>
      <c r="Y34" s="8" t="s">
        <v>42</v>
      </c>
      <c r="Z34" s="8">
        <f t="shared" si="2"/>
        <v>2040</v>
      </c>
      <c r="AA34" s="8" t="str">
        <f t="shared" si="3"/>
        <v/>
      </c>
      <c r="AB34" s="8" t="str">
        <f t="shared" si="4"/>
        <v/>
      </c>
      <c r="AC34" s="8" t="str">
        <f t="shared" si="5"/>
        <v/>
      </c>
      <c r="AD34" s="8" t="str">
        <f t="shared" si="6"/>
        <v/>
      </c>
      <c r="AE34" s="8" t="str">
        <f t="shared" si="7"/>
        <v/>
      </c>
      <c r="AF34" s="8" t="str">
        <f t="shared" si="8"/>
        <v/>
      </c>
      <c r="AG34" s="8" t="str">
        <f t="shared" si="9"/>
        <v/>
      </c>
      <c r="AH34" s="8">
        <f t="shared" si="10"/>
        <v>0.17531263139034589</v>
      </c>
      <c r="AI34" s="8" t="str">
        <f t="shared" si="11"/>
        <v/>
      </c>
      <c r="AJ34" s="8" t="str">
        <f t="shared" si="12"/>
        <v/>
      </c>
      <c r="AK34" s="8" t="str">
        <f t="shared" si="13"/>
        <v/>
      </c>
      <c r="AL34" s="8" t="str">
        <f t="shared" si="14"/>
        <v/>
      </c>
      <c r="AM34" s="8" t="str">
        <f t="shared" si="15"/>
        <v/>
      </c>
      <c r="AN34" s="8" t="str">
        <f t="shared" si="16"/>
        <v/>
      </c>
      <c r="AO34" s="8" t="str">
        <f t="shared" si="17"/>
        <v/>
      </c>
      <c r="AP34" s="8" t="str">
        <f t="shared" si="18"/>
        <v/>
      </c>
      <c r="AQ34" s="8" t="str">
        <f t="shared" si="19"/>
        <v/>
      </c>
    </row>
    <row r="35" spans="2:43" x14ac:dyDescent="0.3">
      <c r="B35" s="10" t="s">
        <v>32</v>
      </c>
      <c r="C35" s="11">
        <v>2050</v>
      </c>
      <c r="D35" s="14"/>
      <c r="E35" s="14"/>
      <c r="F35" s="14"/>
      <c r="G35" s="14"/>
      <c r="H35" s="14"/>
      <c r="I35" s="14"/>
      <c r="J35" s="14"/>
      <c r="K35" s="13">
        <v>0.15937511944576899</v>
      </c>
      <c r="L35" s="14"/>
      <c r="M35" s="14"/>
      <c r="N35" s="14"/>
      <c r="O35" s="14"/>
      <c r="P35" s="14"/>
      <c r="Q35" s="14"/>
      <c r="R35" s="14"/>
      <c r="S35" s="14"/>
      <c r="T35" s="14"/>
      <c r="W35" s="8" t="s">
        <v>47</v>
      </c>
      <c r="X35" s="15" t="str">
        <f t="shared" si="1"/>
        <v>CHPCRD</v>
      </c>
      <c r="Y35" s="8" t="s">
        <v>42</v>
      </c>
      <c r="Z35" s="8">
        <f t="shared" si="2"/>
        <v>2050</v>
      </c>
      <c r="AA35" s="8" t="str">
        <f t="shared" si="3"/>
        <v/>
      </c>
      <c r="AB35" s="8" t="str">
        <f t="shared" si="4"/>
        <v/>
      </c>
      <c r="AC35" s="8" t="str">
        <f t="shared" si="5"/>
        <v/>
      </c>
      <c r="AD35" s="8" t="str">
        <f t="shared" si="6"/>
        <v/>
      </c>
      <c r="AE35" s="8" t="str">
        <f t="shared" si="7"/>
        <v/>
      </c>
      <c r="AF35" s="8" t="str">
        <f t="shared" si="8"/>
        <v/>
      </c>
      <c r="AG35" s="8" t="str">
        <f t="shared" si="9"/>
        <v/>
      </c>
      <c r="AH35" s="8">
        <f t="shared" si="10"/>
        <v>0.17531263139034589</v>
      </c>
      <c r="AI35" s="8" t="str">
        <f t="shared" si="11"/>
        <v/>
      </c>
      <c r="AJ35" s="8" t="str">
        <f t="shared" si="12"/>
        <v/>
      </c>
      <c r="AK35" s="8" t="str">
        <f t="shared" si="13"/>
        <v/>
      </c>
      <c r="AL35" s="8" t="str">
        <f t="shared" si="14"/>
        <v/>
      </c>
      <c r="AM35" s="8" t="str">
        <f t="shared" si="15"/>
        <v/>
      </c>
      <c r="AN35" s="8" t="str">
        <f t="shared" si="16"/>
        <v/>
      </c>
      <c r="AO35" s="8" t="str">
        <f t="shared" si="17"/>
        <v/>
      </c>
      <c r="AP35" s="8" t="str">
        <f t="shared" si="18"/>
        <v/>
      </c>
      <c r="AQ35" s="8" t="str">
        <f t="shared" si="19"/>
        <v/>
      </c>
    </row>
    <row r="36" spans="2:43" x14ac:dyDescent="0.3">
      <c r="B36" s="10" t="s">
        <v>32</v>
      </c>
      <c r="C36" s="11">
        <v>2060</v>
      </c>
      <c r="D36" s="14"/>
      <c r="E36" s="14"/>
      <c r="F36" s="14"/>
      <c r="G36" s="14"/>
      <c r="H36" s="14"/>
      <c r="I36" s="14"/>
      <c r="J36" s="14"/>
      <c r="K36" s="13">
        <v>0.15937511944576899</v>
      </c>
      <c r="L36" s="14"/>
      <c r="M36" s="14"/>
      <c r="N36" s="14"/>
      <c r="O36" s="14"/>
      <c r="P36" s="14"/>
      <c r="Q36" s="14"/>
      <c r="R36" s="14"/>
      <c r="S36" s="14"/>
      <c r="T36" s="14"/>
      <c r="W36" s="8" t="s">
        <v>47</v>
      </c>
      <c r="X36" s="15" t="str">
        <f t="shared" si="1"/>
        <v>CHPCRD</v>
      </c>
      <c r="Y36" s="8" t="s">
        <v>42</v>
      </c>
      <c r="Z36" s="8">
        <f t="shared" si="2"/>
        <v>2060</v>
      </c>
      <c r="AA36" s="8" t="str">
        <f t="shared" si="3"/>
        <v/>
      </c>
      <c r="AB36" s="8" t="str">
        <f t="shared" si="4"/>
        <v/>
      </c>
      <c r="AC36" s="8" t="str">
        <f t="shared" si="5"/>
        <v/>
      </c>
      <c r="AD36" s="8" t="str">
        <f t="shared" si="6"/>
        <v/>
      </c>
      <c r="AE36" s="8" t="str">
        <f t="shared" si="7"/>
        <v/>
      </c>
      <c r="AF36" s="8" t="str">
        <f t="shared" si="8"/>
        <v/>
      </c>
      <c r="AG36" s="8" t="str">
        <f t="shared" si="9"/>
        <v/>
      </c>
      <c r="AH36" s="8">
        <f t="shared" si="10"/>
        <v>0.17531263139034589</v>
      </c>
      <c r="AI36" s="8" t="str">
        <f t="shared" si="11"/>
        <v/>
      </c>
      <c r="AJ36" s="8" t="str">
        <f t="shared" si="12"/>
        <v/>
      </c>
      <c r="AK36" s="8" t="str">
        <f t="shared" si="13"/>
        <v/>
      </c>
      <c r="AL36" s="8" t="str">
        <f t="shared" si="14"/>
        <v/>
      </c>
      <c r="AM36" s="8" t="str">
        <f t="shared" si="15"/>
        <v/>
      </c>
      <c r="AN36" s="8" t="str">
        <f t="shared" si="16"/>
        <v/>
      </c>
      <c r="AO36" s="8" t="str">
        <f t="shared" si="17"/>
        <v/>
      </c>
      <c r="AP36" s="8" t="str">
        <f t="shared" si="18"/>
        <v/>
      </c>
      <c r="AQ36" s="8" t="str">
        <f t="shared" si="19"/>
        <v/>
      </c>
    </row>
    <row r="37" spans="2:43" x14ac:dyDescent="0.3">
      <c r="B37" s="10" t="s">
        <v>32</v>
      </c>
      <c r="C37" s="11">
        <v>2070</v>
      </c>
      <c r="D37" s="14"/>
      <c r="E37" s="14"/>
      <c r="F37" s="14"/>
      <c r="G37" s="14"/>
      <c r="H37" s="14"/>
      <c r="I37" s="14"/>
      <c r="J37" s="14"/>
      <c r="K37" s="13">
        <v>0.15937511944576899</v>
      </c>
      <c r="L37" s="14"/>
      <c r="M37" s="14"/>
      <c r="N37" s="14"/>
      <c r="O37" s="14"/>
      <c r="P37" s="14"/>
      <c r="Q37" s="14"/>
      <c r="R37" s="14"/>
      <c r="S37" s="14"/>
      <c r="T37" s="14"/>
      <c r="W37" s="8" t="s">
        <v>47</v>
      </c>
      <c r="X37" s="15" t="str">
        <f t="shared" si="1"/>
        <v>CHPCRD</v>
      </c>
      <c r="Y37" s="8" t="s">
        <v>42</v>
      </c>
      <c r="Z37" s="8">
        <f t="shared" si="2"/>
        <v>2070</v>
      </c>
      <c r="AA37" s="8" t="str">
        <f t="shared" si="3"/>
        <v/>
      </c>
      <c r="AB37" s="8" t="str">
        <f t="shared" si="4"/>
        <v/>
      </c>
      <c r="AC37" s="8" t="str">
        <f t="shared" si="5"/>
        <v/>
      </c>
      <c r="AD37" s="8" t="str">
        <f t="shared" si="6"/>
        <v/>
      </c>
      <c r="AE37" s="8" t="str">
        <f t="shared" si="7"/>
        <v/>
      </c>
      <c r="AF37" s="8" t="str">
        <f t="shared" si="8"/>
        <v/>
      </c>
      <c r="AG37" s="8" t="str">
        <f t="shared" si="9"/>
        <v/>
      </c>
      <c r="AH37" s="8">
        <f t="shared" si="10"/>
        <v>0.17531263139034589</v>
      </c>
      <c r="AI37" s="8" t="str">
        <f t="shared" si="11"/>
        <v/>
      </c>
      <c r="AJ37" s="8" t="str">
        <f t="shared" si="12"/>
        <v/>
      </c>
      <c r="AK37" s="8" t="str">
        <f t="shared" si="13"/>
        <v/>
      </c>
      <c r="AL37" s="8" t="str">
        <f t="shared" si="14"/>
        <v/>
      </c>
      <c r="AM37" s="8" t="str">
        <f t="shared" si="15"/>
        <v/>
      </c>
      <c r="AN37" s="8" t="str">
        <f t="shared" si="16"/>
        <v/>
      </c>
      <c r="AO37" s="8" t="str">
        <f t="shared" si="17"/>
        <v/>
      </c>
      <c r="AP37" s="8" t="str">
        <f t="shared" si="18"/>
        <v/>
      </c>
      <c r="AQ37" s="8" t="str">
        <f t="shared" si="19"/>
        <v/>
      </c>
    </row>
    <row r="38" spans="2:43" x14ac:dyDescent="0.3">
      <c r="B38" s="10" t="s">
        <v>32</v>
      </c>
      <c r="C38" s="11">
        <v>2080</v>
      </c>
      <c r="D38" s="14"/>
      <c r="E38" s="14"/>
      <c r="F38" s="14"/>
      <c r="G38" s="14"/>
      <c r="H38" s="14"/>
      <c r="I38" s="14"/>
      <c r="J38" s="14"/>
      <c r="K38" s="13">
        <v>0.15937511944576899</v>
      </c>
      <c r="L38" s="14"/>
      <c r="M38" s="14"/>
      <c r="N38" s="14"/>
      <c r="O38" s="14"/>
      <c r="P38" s="14"/>
      <c r="Q38" s="14"/>
      <c r="R38" s="14"/>
      <c r="S38" s="14"/>
      <c r="T38" s="14"/>
      <c r="W38" s="8" t="s">
        <v>47</v>
      </c>
      <c r="X38" s="15" t="str">
        <f t="shared" si="1"/>
        <v>CHPCRD</v>
      </c>
      <c r="Y38" s="8" t="s">
        <v>42</v>
      </c>
      <c r="Z38" s="8">
        <f t="shared" si="2"/>
        <v>2080</v>
      </c>
      <c r="AA38" s="8" t="str">
        <f t="shared" si="3"/>
        <v/>
      </c>
      <c r="AB38" s="8" t="str">
        <f t="shared" si="4"/>
        <v/>
      </c>
      <c r="AC38" s="8" t="str">
        <f t="shared" si="5"/>
        <v/>
      </c>
      <c r="AD38" s="8" t="str">
        <f t="shared" si="6"/>
        <v/>
      </c>
      <c r="AE38" s="8" t="str">
        <f t="shared" si="7"/>
        <v/>
      </c>
      <c r="AF38" s="8" t="str">
        <f t="shared" si="8"/>
        <v/>
      </c>
      <c r="AG38" s="8" t="str">
        <f t="shared" si="9"/>
        <v/>
      </c>
      <c r="AH38" s="8">
        <f t="shared" si="10"/>
        <v>0.17531263139034589</v>
      </c>
      <c r="AI38" s="8" t="str">
        <f t="shared" si="11"/>
        <v/>
      </c>
      <c r="AJ38" s="8" t="str">
        <f t="shared" si="12"/>
        <v/>
      </c>
      <c r="AK38" s="8" t="str">
        <f t="shared" si="13"/>
        <v/>
      </c>
      <c r="AL38" s="8" t="str">
        <f t="shared" si="14"/>
        <v/>
      </c>
      <c r="AM38" s="8" t="str">
        <f t="shared" si="15"/>
        <v/>
      </c>
      <c r="AN38" s="8" t="str">
        <f t="shared" si="16"/>
        <v/>
      </c>
      <c r="AO38" s="8" t="str">
        <f t="shared" si="17"/>
        <v/>
      </c>
      <c r="AP38" s="8" t="str">
        <f t="shared" si="18"/>
        <v/>
      </c>
      <c r="AQ38" s="8" t="str">
        <f t="shared" si="19"/>
        <v/>
      </c>
    </row>
    <row r="39" spans="2:43" x14ac:dyDescent="0.3">
      <c r="B39" s="10" t="s">
        <v>33</v>
      </c>
      <c r="C39" s="11">
        <v>2017</v>
      </c>
      <c r="D39" s="14"/>
      <c r="E39" s="14"/>
      <c r="F39" s="14"/>
      <c r="G39" s="14"/>
      <c r="H39" s="14"/>
      <c r="I39" s="13">
        <v>3.1138909573659399</v>
      </c>
      <c r="J39" s="14"/>
      <c r="K39" s="13">
        <v>0.51215433463896798</v>
      </c>
      <c r="L39" s="14"/>
      <c r="M39" s="14"/>
      <c r="N39" s="14"/>
      <c r="O39" s="13">
        <v>5.1686249670762401E-2</v>
      </c>
      <c r="P39" s="13">
        <v>2.2281418003107199E-3</v>
      </c>
      <c r="Q39" s="13">
        <v>0.47049177523142499</v>
      </c>
      <c r="R39" s="14"/>
      <c r="S39" s="13">
        <v>3.4712852590995501E-3</v>
      </c>
      <c r="T39" s="13">
        <v>0.42441459578315599</v>
      </c>
      <c r="W39" s="8" t="s">
        <v>47</v>
      </c>
      <c r="X39" s="15" t="str">
        <f t="shared" si="1"/>
        <v>CHPDST</v>
      </c>
      <c r="Y39" s="8" t="s">
        <v>42</v>
      </c>
      <c r="Z39" s="8">
        <f t="shared" si="2"/>
        <v>2017</v>
      </c>
      <c r="AA39" s="8" t="str">
        <f t="shared" si="3"/>
        <v/>
      </c>
      <c r="AB39" s="8" t="str">
        <f t="shared" si="4"/>
        <v/>
      </c>
      <c r="AC39" s="8" t="str">
        <f t="shared" si="5"/>
        <v/>
      </c>
      <c r="AD39" s="8" t="str">
        <f t="shared" si="6"/>
        <v/>
      </c>
      <c r="AE39" s="8" t="str">
        <f t="shared" si="7"/>
        <v/>
      </c>
      <c r="AF39" s="8">
        <f t="shared" si="8"/>
        <v>3.4252800531025343</v>
      </c>
      <c r="AG39" s="8" t="str">
        <f t="shared" si="9"/>
        <v/>
      </c>
      <c r="AH39" s="8">
        <f t="shared" si="10"/>
        <v>0.56336976810286488</v>
      </c>
      <c r="AI39" s="8" t="str">
        <f t="shared" si="11"/>
        <v/>
      </c>
      <c r="AJ39" s="8" t="str">
        <f t="shared" si="12"/>
        <v/>
      </c>
      <c r="AK39" s="8" t="str">
        <f t="shared" si="13"/>
        <v/>
      </c>
      <c r="AL39" s="8">
        <f t="shared" si="14"/>
        <v>5.6854874637838643E-2</v>
      </c>
      <c r="AM39" s="8">
        <f t="shared" si="15"/>
        <v>2.450955980341792E-3</v>
      </c>
      <c r="AN39" s="8">
        <f t="shared" si="16"/>
        <v>0.51754095275456757</v>
      </c>
      <c r="AO39" s="8" t="str">
        <f t="shared" si="17"/>
        <v/>
      </c>
      <c r="AP39" s="8">
        <f t="shared" si="18"/>
        <v>3.8184137850095054E-3</v>
      </c>
      <c r="AQ39" s="8">
        <f t="shared" si="19"/>
        <v>0.46685605536147162</v>
      </c>
    </row>
    <row r="40" spans="2:43" x14ac:dyDescent="0.3">
      <c r="B40" s="10" t="s">
        <v>33</v>
      </c>
      <c r="C40" s="11">
        <v>2018</v>
      </c>
      <c r="D40" s="14"/>
      <c r="E40" s="14"/>
      <c r="F40" s="14"/>
      <c r="G40" s="14"/>
      <c r="H40" s="14"/>
      <c r="I40" s="13">
        <v>3.1138909573659399</v>
      </c>
      <c r="J40" s="14"/>
      <c r="K40" s="13">
        <v>0.51339789859159302</v>
      </c>
      <c r="L40" s="14"/>
      <c r="M40" s="14"/>
      <c r="N40" s="14"/>
      <c r="O40" s="13">
        <v>5.1686249670762401E-2</v>
      </c>
      <c r="P40" s="13">
        <v>2.2281418003107199E-3</v>
      </c>
      <c r="Q40" s="13">
        <v>0.47049177523142499</v>
      </c>
      <c r="R40" s="14"/>
      <c r="S40" s="13">
        <v>4.30873090104967E-3</v>
      </c>
      <c r="T40" s="13">
        <v>0.42441459578315599</v>
      </c>
      <c r="W40" s="8" t="s">
        <v>47</v>
      </c>
      <c r="X40" s="15" t="str">
        <f t="shared" si="1"/>
        <v>CHPDST</v>
      </c>
      <c r="Y40" s="8" t="s">
        <v>42</v>
      </c>
      <c r="Z40" s="8">
        <f t="shared" si="2"/>
        <v>2018</v>
      </c>
      <c r="AA40" s="8" t="str">
        <f t="shared" si="3"/>
        <v/>
      </c>
      <c r="AB40" s="8" t="str">
        <f t="shared" si="4"/>
        <v/>
      </c>
      <c r="AC40" s="8" t="str">
        <f t="shared" si="5"/>
        <v/>
      </c>
      <c r="AD40" s="8" t="str">
        <f t="shared" si="6"/>
        <v/>
      </c>
      <c r="AE40" s="8" t="str">
        <f t="shared" si="7"/>
        <v/>
      </c>
      <c r="AF40" s="8">
        <f t="shared" si="8"/>
        <v>3.4252800531025343</v>
      </c>
      <c r="AG40" s="8" t="str">
        <f t="shared" si="9"/>
        <v/>
      </c>
      <c r="AH40" s="8">
        <f t="shared" si="10"/>
        <v>0.56473768845075234</v>
      </c>
      <c r="AI40" s="8" t="str">
        <f t="shared" si="11"/>
        <v/>
      </c>
      <c r="AJ40" s="8" t="str">
        <f t="shared" si="12"/>
        <v/>
      </c>
      <c r="AK40" s="8" t="str">
        <f t="shared" si="13"/>
        <v/>
      </c>
      <c r="AL40" s="8">
        <f t="shared" si="14"/>
        <v>5.6854874637838643E-2</v>
      </c>
      <c r="AM40" s="8">
        <f t="shared" si="15"/>
        <v>2.450955980341792E-3</v>
      </c>
      <c r="AN40" s="8">
        <f t="shared" si="16"/>
        <v>0.51754095275456757</v>
      </c>
      <c r="AO40" s="8" t="str">
        <f t="shared" si="17"/>
        <v/>
      </c>
      <c r="AP40" s="8">
        <f t="shared" si="18"/>
        <v>4.7396039911546377E-3</v>
      </c>
      <c r="AQ40" s="8">
        <f t="shared" si="19"/>
        <v>0.46685605536147162</v>
      </c>
    </row>
    <row r="41" spans="2:43" x14ac:dyDescent="0.3">
      <c r="B41" s="10" t="s">
        <v>33</v>
      </c>
      <c r="C41" s="11">
        <v>2019</v>
      </c>
      <c r="D41" s="14"/>
      <c r="E41" s="14"/>
      <c r="F41" s="14"/>
      <c r="G41" s="14"/>
      <c r="H41" s="14"/>
      <c r="I41" s="13">
        <v>3.1138909573659399</v>
      </c>
      <c r="J41" s="14"/>
      <c r="K41" s="13">
        <v>0.51339789859159302</v>
      </c>
      <c r="L41" s="14"/>
      <c r="M41" s="14"/>
      <c r="N41" s="14"/>
      <c r="O41" s="13">
        <v>5.1686249670762401E-2</v>
      </c>
      <c r="P41" s="13">
        <v>2.2281418003107199E-3</v>
      </c>
      <c r="Q41" s="13">
        <v>0.47049177523142499</v>
      </c>
      <c r="R41" s="14"/>
      <c r="S41" s="13">
        <v>4.30873090104967E-3</v>
      </c>
      <c r="T41" s="13">
        <v>0.42441459578315599</v>
      </c>
      <c r="W41" s="8" t="s">
        <v>47</v>
      </c>
      <c r="X41" s="15" t="str">
        <f t="shared" si="1"/>
        <v>CHPDST</v>
      </c>
      <c r="Y41" s="8" t="s">
        <v>42</v>
      </c>
      <c r="Z41" s="8">
        <f t="shared" si="2"/>
        <v>2019</v>
      </c>
      <c r="AA41" s="8" t="str">
        <f t="shared" si="3"/>
        <v/>
      </c>
      <c r="AB41" s="8" t="str">
        <f t="shared" si="4"/>
        <v/>
      </c>
      <c r="AC41" s="8" t="str">
        <f t="shared" si="5"/>
        <v/>
      </c>
      <c r="AD41" s="8" t="str">
        <f t="shared" si="6"/>
        <v/>
      </c>
      <c r="AE41" s="8" t="str">
        <f t="shared" si="7"/>
        <v/>
      </c>
      <c r="AF41" s="8">
        <f t="shared" si="8"/>
        <v>3.4252800531025343</v>
      </c>
      <c r="AG41" s="8" t="str">
        <f t="shared" si="9"/>
        <v/>
      </c>
      <c r="AH41" s="8">
        <f t="shared" si="10"/>
        <v>0.56473768845075234</v>
      </c>
      <c r="AI41" s="8" t="str">
        <f t="shared" si="11"/>
        <v/>
      </c>
      <c r="AJ41" s="8" t="str">
        <f t="shared" si="12"/>
        <v/>
      </c>
      <c r="AK41" s="8" t="str">
        <f t="shared" si="13"/>
        <v/>
      </c>
      <c r="AL41" s="8">
        <f t="shared" si="14"/>
        <v>5.6854874637838643E-2</v>
      </c>
      <c r="AM41" s="8">
        <f t="shared" si="15"/>
        <v>2.450955980341792E-3</v>
      </c>
      <c r="AN41" s="8">
        <f t="shared" si="16"/>
        <v>0.51754095275456757</v>
      </c>
      <c r="AO41" s="8" t="str">
        <f t="shared" si="17"/>
        <v/>
      </c>
      <c r="AP41" s="8">
        <f t="shared" si="18"/>
        <v>4.7396039911546377E-3</v>
      </c>
      <c r="AQ41" s="8">
        <f t="shared" si="19"/>
        <v>0.46685605536147162</v>
      </c>
    </row>
    <row r="42" spans="2:43" x14ac:dyDescent="0.3">
      <c r="B42" s="10" t="s">
        <v>33</v>
      </c>
      <c r="C42" s="11">
        <v>2020</v>
      </c>
      <c r="D42" s="14"/>
      <c r="E42" s="14"/>
      <c r="F42" s="14"/>
      <c r="G42" s="14"/>
      <c r="H42" s="14"/>
      <c r="I42" s="13">
        <v>3.1138909573659399</v>
      </c>
      <c r="J42" s="14"/>
      <c r="K42" s="13">
        <v>0.51339789859159302</v>
      </c>
      <c r="L42" s="14"/>
      <c r="M42" s="14"/>
      <c r="N42" s="14"/>
      <c r="O42" s="13">
        <v>5.1686249670762401E-2</v>
      </c>
      <c r="P42" s="13">
        <v>2.2281418003107199E-3</v>
      </c>
      <c r="Q42" s="13">
        <v>0.47049177523142499</v>
      </c>
      <c r="R42" s="14"/>
      <c r="S42" s="13">
        <v>4.30873090104967E-3</v>
      </c>
      <c r="T42" s="13">
        <v>0.42441459578315599</v>
      </c>
      <c r="W42" s="8" t="s">
        <v>47</v>
      </c>
      <c r="X42" s="15" t="str">
        <f t="shared" si="1"/>
        <v>CHPDST</v>
      </c>
      <c r="Y42" s="8" t="s">
        <v>42</v>
      </c>
      <c r="Z42" s="8">
        <f t="shared" si="2"/>
        <v>2020</v>
      </c>
      <c r="AA42" s="8" t="str">
        <f t="shared" si="3"/>
        <v/>
      </c>
      <c r="AB42" s="8" t="str">
        <f t="shared" si="4"/>
        <v/>
      </c>
      <c r="AC42" s="8" t="str">
        <f t="shared" si="5"/>
        <v/>
      </c>
      <c r="AD42" s="8" t="str">
        <f t="shared" si="6"/>
        <v/>
      </c>
      <c r="AE42" s="8" t="str">
        <f t="shared" si="7"/>
        <v/>
      </c>
      <c r="AF42" s="8">
        <f t="shared" si="8"/>
        <v>3.4252800531025343</v>
      </c>
      <c r="AG42" s="8" t="str">
        <f t="shared" si="9"/>
        <v/>
      </c>
      <c r="AH42" s="8">
        <f t="shared" si="10"/>
        <v>0.56473768845075234</v>
      </c>
      <c r="AI42" s="8" t="str">
        <f t="shared" si="11"/>
        <v/>
      </c>
      <c r="AJ42" s="8" t="str">
        <f t="shared" si="12"/>
        <v/>
      </c>
      <c r="AK42" s="8" t="str">
        <f t="shared" si="13"/>
        <v/>
      </c>
      <c r="AL42" s="8">
        <f t="shared" si="14"/>
        <v>5.6854874637838643E-2</v>
      </c>
      <c r="AM42" s="8">
        <f t="shared" si="15"/>
        <v>2.450955980341792E-3</v>
      </c>
      <c r="AN42" s="8">
        <f t="shared" si="16"/>
        <v>0.51754095275456757</v>
      </c>
      <c r="AO42" s="8" t="str">
        <f t="shared" si="17"/>
        <v/>
      </c>
      <c r="AP42" s="8">
        <f t="shared" si="18"/>
        <v>4.7396039911546377E-3</v>
      </c>
      <c r="AQ42" s="8">
        <f t="shared" si="19"/>
        <v>0.46685605536147162</v>
      </c>
    </row>
    <row r="43" spans="2:43" x14ac:dyDescent="0.3">
      <c r="B43" s="10" t="s">
        <v>33</v>
      </c>
      <c r="C43" s="11">
        <v>2021</v>
      </c>
      <c r="D43" s="14"/>
      <c r="E43" s="14"/>
      <c r="F43" s="14"/>
      <c r="G43" s="14"/>
      <c r="H43" s="14"/>
      <c r="I43" s="13">
        <v>3.1138909573659399</v>
      </c>
      <c r="J43" s="14"/>
      <c r="K43" s="13">
        <v>0.51339789859159302</v>
      </c>
      <c r="L43" s="14"/>
      <c r="M43" s="14"/>
      <c r="N43" s="14"/>
      <c r="O43" s="13">
        <v>5.1686249670762401E-2</v>
      </c>
      <c r="P43" s="13">
        <v>2.2281418003107199E-3</v>
      </c>
      <c r="Q43" s="13">
        <v>0.47049177523142499</v>
      </c>
      <c r="R43" s="14"/>
      <c r="S43" s="13">
        <v>4.30873090104967E-3</v>
      </c>
      <c r="T43" s="13">
        <v>0.42441459578315599</v>
      </c>
      <c r="W43" s="8" t="s">
        <v>47</v>
      </c>
      <c r="X43" s="15" t="str">
        <f t="shared" si="1"/>
        <v>CHPDST</v>
      </c>
      <c r="Y43" s="8" t="s">
        <v>42</v>
      </c>
      <c r="Z43" s="8">
        <f t="shared" si="2"/>
        <v>2021</v>
      </c>
      <c r="AA43" s="8" t="str">
        <f t="shared" si="3"/>
        <v/>
      </c>
      <c r="AB43" s="8" t="str">
        <f t="shared" si="4"/>
        <v/>
      </c>
      <c r="AC43" s="8" t="str">
        <f t="shared" si="5"/>
        <v/>
      </c>
      <c r="AD43" s="8" t="str">
        <f t="shared" si="6"/>
        <v/>
      </c>
      <c r="AE43" s="8" t="str">
        <f t="shared" si="7"/>
        <v/>
      </c>
      <c r="AF43" s="8">
        <f t="shared" si="8"/>
        <v>3.4252800531025343</v>
      </c>
      <c r="AG43" s="8" t="str">
        <f t="shared" si="9"/>
        <v/>
      </c>
      <c r="AH43" s="8">
        <f t="shared" si="10"/>
        <v>0.56473768845075234</v>
      </c>
      <c r="AI43" s="8" t="str">
        <f t="shared" si="11"/>
        <v/>
      </c>
      <c r="AJ43" s="8" t="str">
        <f t="shared" si="12"/>
        <v/>
      </c>
      <c r="AK43" s="8" t="str">
        <f t="shared" si="13"/>
        <v/>
      </c>
      <c r="AL43" s="8">
        <f t="shared" si="14"/>
        <v>5.6854874637838643E-2</v>
      </c>
      <c r="AM43" s="8">
        <f t="shared" si="15"/>
        <v>2.450955980341792E-3</v>
      </c>
      <c r="AN43" s="8">
        <f t="shared" si="16"/>
        <v>0.51754095275456757</v>
      </c>
      <c r="AO43" s="8" t="str">
        <f t="shared" si="17"/>
        <v/>
      </c>
      <c r="AP43" s="8">
        <f t="shared" si="18"/>
        <v>4.7396039911546377E-3</v>
      </c>
      <c r="AQ43" s="8">
        <f t="shared" si="19"/>
        <v>0.46685605536147162</v>
      </c>
    </row>
    <row r="44" spans="2:43" x14ac:dyDescent="0.3">
      <c r="B44" s="10" t="s">
        <v>33</v>
      </c>
      <c r="C44" s="11">
        <v>2030</v>
      </c>
      <c r="D44" s="14"/>
      <c r="E44" s="14"/>
      <c r="F44" s="14"/>
      <c r="G44" s="14"/>
      <c r="H44" s="13">
        <v>8.3873532289628107E-3</v>
      </c>
      <c r="I44" s="13">
        <v>3.1138909573659399</v>
      </c>
      <c r="J44" s="14"/>
      <c r="K44" s="13">
        <v>0.51339789859159302</v>
      </c>
      <c r="L44" s="14"/>
      <c r="M44" s="14"/>
      <c r="N44" s="14"/>
      <c r="O44" s="13">
        <v>5.1686249670762401E-2</v>
      </c>
      <c r="P44" s="13">
        <v>2.2281418003107199E-3</v>
      </c>
      <c r="Q44" s="13">
        <v>0.47049177523142499</v>
      </c>
      <c r="R44" s="14"/>
      <c r="S44" s="13">
        <v>4.30873090104967E-3</v>
      </c>
      <c r="T44" s="13">
        <v>0.42441459578315599</v>
      </c>
      <c r="W44" s="8" t="s">
        <v>47</v>
      </c>
      <c r="X44" s="15" t="str">
        <f t="shared" si="1"/>
        <v>CHPDST</v>
      </c>
      <c r="Y44" s="8" t="s">
        <v>42</v>
      </c>
      <c r="Z44" s="8">
        <f t="shared" si="2"/>
        <v>2030</v>
      </c>
      <c r="AA44" s="8" t="str">
        <f t="shared" si="3"/>
        <v/>
      </c>
      <c r="AB44" s="8" t="str">
        <f t="shared" si="4"/>
        <v/>
      </c>
      <c r="AC44" s="8" t="str">
        <f t="shared" si="5"/>
        <v/>
      </c>
      <c r="AD44" s="8" t="str">
        <f t="shared" si="6"/>
        <v/>
      </c>
      <c r="AE44" s="8">
        <f t="shared" si="7"/>
        <v>9.2260885518590918E-3</v>
      </c>
      <c r="AF44" s="8">
        <f t="shared" si="8"/>
        <v>3.4252800531025343</v>
      </c>
      <c r="AG44" s="8" t="str">
        <f t="shared" si="9"/>
        <v/>
      </c>
      <c r="AH44" s="8">
        <f t="shared" si="10"/>
        <v>0.56473768845075234</v>
      </c>
      <c r="AI44" s="8" t="str">
        <f t="shared" si="11"/>
        <v/>
      </c>
      <c r="AJ44" s="8" t="str">
        <f t="shared" si="12"/>
        <v/>
      </c>
      <c r="AK44" s="8" t="str">
        <f t="shared" si="13"/>
        <v/>
      </c>
      <c r="AL44" s="8">
        <f t="shared" si="14"/>
        <v>5.6854874637838643E-2</v>
      </c>
      <c r="AM44" s="8">
        <f t="shared" si="15"/>
        <v>2.450955980341792E-3</v>
      </c>
      <c r="AN44" s="8">
        <f t="shared" si="16"/>
        <v>0.51754095275456757</v>
      </c>
      <c r="AO44" s="8" t="str">
        <f t="shared" si="17"/>
        <v/>
      </c>
      <c r="AP44" s="8">
        <f t="shared" si="18"/>
        <v>4.7396039911546377E-3</v>
      </c>
      <c r="AQ44" s="8">
        <f t="shared" si="19"/>
        <v>0.46685605536147162</v>
      </c>
    </row>
    <row r="45" spans="2:43" x14ac:dyDescent="0.3">
      <c r="B45" s="10" t="s">
        <v>33</v>
      </c>
      <c r="C45" s="11">
        <v>2040</v>
      </c>
      <c r="D45" s="14"/>
      <c r="E45" s="13">
        <v>3.7585935925306198E-3</v>
      </c>
      <c r="F45" s="13">
        <v>1.6393301104972401E-2</v>
      </c>
      <c r="G45" s="13">
        <v>9.0325342465753401E-3</v>
      </c>
      <c r="H45" s="13">
        <v>8.3873532289628107E-3</v>
      </c>
      <c r="I45" s="13">
        <v>3.1138909573659399</v>
      </c>
      <c r="J45" s="14"/>
      <c r="K45" s="13">
        <v>0.51339789859159302</v>
      </c>
      <c r="L45" s="14"/>
      <c r="M45" s="14"/>
      <c r="N45" s="14"/>
      <c r="O45" s="13">
        <v>5.1686249670762401E-2</v>
      </c>
      <c r="P45" s="13">
        <v>2.2281418003107199E-3</v>
      </c>
      <c r="Q45" s="13">
        <v>0.47049177523142499</v>
      </c>
      <c r="R45" s="14"/>
      <c r="S45" s="13">
        <v>4.3293192467245599E-3</v>
      </c>
      <c r="T45" s="13">
        <v>0.42441459578315599</v>
      </c>
      <c r="W45" s="8" t="s">
        <v>47</v>
      </c>
      <c r="X45" s="15" t="str">
        <f t="shared" si="1"/>
        <v>CHPDST</v>
      </c>
      <c r="Y45" s="8" t="s">
        <v>42</v>
      </c>
      <c r="Z45" s="8">
        <f t="shared" si="2"/>
        <v>2040</v>
      </c>
      <c r="AA45" s="8" t="str">
        <f t="shared" si="3"/>
        <v/>
      </c>
      <c r="AB45" s="8">
        <f t="shared" si="4"/>
        <v>4.1344529517836825E-3</v>
      </c>
      <c r="AC45" s="8">
        <f t="shared" si="5"/>
        <v>1.8032631215469642E-2</v>
      </c>
      <c r="AD45" s="8">
        <f t="shared" si="6"/>
        <v>9.9357876712328746E-3</v>
      </c>
      <c r="AE45" s="8">
        <f t="shared" si="7"/>
        <v>9.2260885518590918E-3</v>
      </c>
      <c r="AF45" s="8">
        <f t="shared" si="8"/>
        <v>3.4252800531025343</v>
      </c>
      <c r="AG45" s="8" t="str">
        <f t="shared" si="9"/>
        <v/>
      </c>
      <c r="AH45" s="8">
        <f t="shared" si="10"/>
        <v>0.56473768845075234</v>
      </c>
      <c r="AI45" s="8" t="str">
        <f t="shared" si="11"/>
        <v/>
      </c>
      <c r="AJ45" s="8" t="str">
        <f t="shared" si="12"/>
        <v/>
      </c>
      <c r="AK45" s="8" t="str">
        <f t="shared" si="13"/>
        <v/>
      </c>
      <c r="AL45" s="8">
        <f t="shared" si="14"/>
        <v>5.6854874637838643E-2</v>
      </c>
      <c r="AM45" s="8">
        <f t="shared" si="15"/>
        <v>2.450955980341792E-3</v>
      </c>
      <c r="AN45" s="8">
        <f t="shared" si="16"/>
        <v>0.51754095275456757</v>
      </c>
      <c r="AO45" s="8" t="str">
        <f t="shared" si="17"/>
        <v/>
      </c>
      <c r="AP45" s="8">
        <f t="shared" si="18"/>
        <v>4.7622511713970167E-3</v>
      </c>
      <c r="AQ45" s="8">
        <f t="shared" si="19"/>
        <v>0.46685605536147162</v>
      </c>
    </row>
    <row r="46" spans="2:43" x14ac:dyDescent="0.3">
      <c r="B46" s="10" t="s">
        <v>33</v>
      </c>
      <c r="C46" s="11">
        <v>2050</v>
      </c>
      <c r="D46" s="14"/>
      <c r="E46" s="13">
        <v>3.7585935925306198E-3</v>
      </c>
      <c r="F46" s="13">
        <v>1.6393301104972401E-2</v>
      </c>
      <c r="G46" s="13">
        <v>9.6777152641878694E-3</v>
      </c>
      <c r="H46" s="13">
        <v>8.3873532289628107E-3</v>
      </c>
      <c r="I46" s="13">
        <v>3.1138909573659399</v>
      </c>
      <c r="J46" s="13">
        <v>2.6632969281423199E-7</v>
      </c>
      <c r="K46" s="13">
        <v>0.51339789859159302</v>
      </c>
      <c r="L46" s="13">
        <v>1.6858084244623001E-7</v>
      </c>
      <c r="M46" s="14"/>
      <c r="N46" s="14"/>
      <c r="O46" s="13">
        <v>5.1686249670762401E-2</v>
      </c>
      <c r="P46" s="13">
        <v>2.2281418003107199E-3</v>
      </c>
      <c r="Q46" s="13">
        <v>0.47049177523142499</v>
      </c>
      <c r="R46" s="14"/>
      <c r="S46" s="13">
        <v>8.0713028842475699E-3</v>
      </c>
      <c r="T46" s="13">
        <v>0.42441459578315599</v>
      </c>
      <c r="W46" s="8" t="s">
        <v>47</v>
      </c>
      <c r="X46" s="15" t="str">
        <f t="shared" si="1"/>
        <v>CHPDST</v>
      </c>
      <c r="Y46" s="8" t="s">
        <v>42</v>
      </c>
      <c r="Z46" s="8">
        <f t="shared" si="2"/>
        <v>2050</v>
      </c>
      <c r="AA46" s="8" t="str">
        <f t="shared" si="3"/>
        <v/>
      </c>
      <c r="AB46" s="8">
        <f t="shared" si="4"/>
        <v>4.1344529517836825E-3</v>
      </c>
      <c r="AC46" s="8">
        <f t="shared" si="5"/>
        <v>1.8032631215469642E-2</v>
      </c>
      <c r="AD46" s="8">
        <f t="shared" si="6"/>
        <v>1.0645486790606657E-2</v>
      </c>
      <c r="AE46" s="8">
        <f t="shared" si="7"/>
        <v>9.2260885518590918E-3</v>
      </c>
      <c r="AF46" s="8">
        <f t="shared" si="8"/>
        <v>3.4252800531025343</v>
      </c>
      <c r="AG46" s="8">
        <f t="shared" si="9"/>
        <v>2.9296266209565524E-7</v>
      </c>
      <c r="AH46" s="8">
        <f t="shared" si="10"/>
        <v>0.56473768845075234</v>
      </c>
      <c r="AI46" s="8">
        <f t="shared" si="11"/>
        <v>1.8543892669085304E-7</v>
      </c>
      <c r="AJ46" s="8" t="str">
        <f t="shared" si="12"/>
        <v/>
      </c>
      <c r="AK46" s="8" t="str">
        <f t="shared" si="13"/>
        <v/>
      </c>
      <c r="AL46" s="8">
        <f t="shared" si="14"/>
        <v>5.6854874637838643E-2</v>
      </c>
      <c r="AM46" s="8">
        <f t="shared" si="15"/>
        <v>2.450955980341792E-3</v>
      </c>
      <c r="AN46" s="8">
        <f t="shared" si="16"/>
        <v>0.51754095275456757</v>
      </c>
      <c r="AO46" s="8" t="str">
        <f t="shared" si="17"/>
        <v/>
      </c>
      <c r="AP46" s="8">
        <f t="shared" si="18"/>
        <v>8.8784331726723276E-3</v>
      </c>
      <c r="AQ46" s="8">
        <f t="shared" si="19"/>
        <v>0.46685605536147162</v>
      </c>
    </row>
    <row r="47" spans="2:43" x14ac:dyDescent="0.3">
      <c r="B47" s="10" t="s">
        <v>33</v>
      </c>
      <c r="C47" s="11">
        <v>2060</v>
      </c>
      <c r="D47" s="14"/>
      <c r="E47" s="13">
        <v>3.7585935925306198E-3</v>
      </c>
      <c r="F47" s="13">
        <v>1.6393301104972401E-2</v>
      </c>
      <c r="G47" s="13">
        <v>9.6777152641878694E-3</v>
      </c>
      <c r="H47" s="13">
        <v>8.3873532289628107E-3</v>
      </c>
      <c r="I47" s="13">
        <v>3.1138909573659399</v>
      </c>
      <c r="J47" s="13">
        <v>7.3854686944711902E-7</v>
      </c>
      <c r="K47" s="13">
        <v>0.51339789859159302</v>
      </c>
      <c r="L47" s="13">
        <v>4.8624791670722599E-7</v>
      </c>
      <c r="M47" s="14"/>
      <c r="N47" s="14"/>
      <c r="O47" s="13">
        <v>5.1686249670762401E-2</v>
      </c>
      <c r="P47" s="13">
        <v>2.2281418003107199E-3</v>
      </c>
      <c r="Q47" s="13">
        <v>0.47049177523142499</v>
      </c>
      <c r="R47" s="14"/>
      <c r="S47" s="13">
        <v>8.0713028842475699E-3</v>
      </c>
      <c r="T47" s="13">
        <v>0.42441459578315599</v>
      </c>
      <c r="W47" s="8" t="s">
        <v>47</v>
      </c>
      <c r="X47" s="15" t="str">
        <f t="shared" si="1"/>
        <v>CHPDST</v>
      </c>
      <c r="Y47" s="8" t="s">
        <v>42</v>
      </c>
      <c r="Z47" s="8">
        <f t="shared" si="2"/>
        <v>2060</v>
      </c>
      <c r="AA47" s="8" t="str">
        <f t="shared" si="3"/>
        <v/>
      </c>
      <c r="AB47" s="8">
        <f t="shared" si="4"/>
        <v>4.1344529517836825E-3</v>
      </c>
      <c r="AC47" s="8">
        <f t="shared" si="5"/>
        <v>1.8032631215469642E-2</v>
      </c>
      <c r="AD47" s="8">
        <f t="shared" si="6"/>
        <v>1.0645486790606657E-2</v>
      </c>
      <c r="AE47" s="8">
        <f t="shared" si="7"/>
        <v>9.2260885518590918E-3</v>
      </c>
      <c r="AF47" s="8">
        <f t="shared" si="8"/>
        <v>3.4252800531025343</v>
      </c>
      <c r="AG47" s="8">
        <f t="shared" si="9"/>
        <v>8.1240155639183096E-7</v>
      </c>
      <c r="AH47" s="8">
        <f t="shared" si="10"/>
        <v>0.56473768845075234</v>
      </c>
      <c r="AI47" s="8">
        <f t="shared" si="11"/>
        <v>5.3487270837794859E-7</v>
      </c>
      <c r="AJ47" s="8" t="str">
        <f t="shared" si="12"/>
        <v/>
      </c>
      <c r="AK47" s="8" t="str">
        <f t="shared" si="13"/>
        <v/>
      </c>
      <c r="AL47" s="8">
        <f t="shared" si="14"/>
        <v>5.6854874637838643E-2</v>
      </c>
      <c r="AM47" s="8">
        <f t="shared" si="15"/>
        <v>2.450955980341792E-3</v>
      </c>
      <c r="AN47" s="8">
        <f t="shared" si="16"/>
        <v>0.51754095275456757</v>
      </c>
      <c r="AO47" s="8" t="str">
        <f t="shared" si="17"/>
        <v/>
      </c>
      <c r="AP47" s="8">
        <f t="shared" si="18"/>
        <v>8.8784331726723276E-3</v>
      </c>
      <c r="AQ47" s="8">
        <f t="shared" si="19"/>
        <v>0.46685605536147162</v>
      </c>
    </row>
    <row r="48" spans="2:43" x14ac:dyDescent="0.3">
      <c r="B48" s="10" t="s">
        <v>33</v>
      </c>
      <c r="C48" s="11">
        <v>2070</v>
      </c>
      <c r="D48" s="14"/>
      <c r="E48" s="13">
        <v>3.7585935925306198E-3</v>
      </c>
      <c r="F48" s="13">
        <v>1.6393301104972401E-2</v>
      </c>
      <c r="G48" s="13">
        <v>9.6777152641878694E-3</v>
      </c>
      <c r="H48" s="13">
        <v>1.72385620915032E-2</v>
      </c>
      <c r="I48" s="13">
        <v>3.1138909573659399</v>
      </c>
      <c r="J48" s="13">
        <v>7.3854686944711902E-7</v>
      </c>
      <c r="K48" s="13">
        <v>0.51339789859159302</v>
      </c>
      <c r="L48" s="13">
        <v>6.32769737846812E-7</v>
      </c>
      <c r="M48" s="14"/>
      <c r="N48" s="14"/>
      <c r="O48" s="13">
        <v>5.1686249670762401E-2</v>
      </c>
      <c r="P48" s="13">
        <v>2.2281418003107199E-3</v>
      </c>
      <c r="Q48" s="13">
        <v>0.47049177523142499</v>
      </c>
      <c r="R48" s="14"/>
      <c r="S48" s="13">
        <v>8.0713028842475699E-3</v>
      </c>
      <c r="T48" s="13">
        <v>0.42441459578315599</v>
      </c>
      <c r="W48" s="8" t="s">
        <v>47</v>
      </c>
      <c r="X48" s="15" t="str">
        <f t="shared" si="1"/>
        <v>CHPDST</v>
      </c>
      <c r="Y48" s="8" t="s">
        <v>42</v>
      </c>
      <c r="Z48" s="8">
        <f t="shared" si="2"/>
        <v>2070</v>
      </c>
      <c r="AA48" s="8" t="str">
        <f t="shared" si="3"/>
        <v/>
      </c>
      <c r="AB48" s="8">
        <f t="shared" si="4"/>
        <v>4.1344529517836825E-3</v>
      </c>
      <c r="AC48" s="8">
        <f t="shared" si="5"/>
        <v>1.8032631215469642E-2</v>
      </c>
      <c r="AD48" s="8">
        <f t="shared" si="6"/>
        <v>1.0645486790606657E-2</v>
      </c>
      <c r="AE48" s="8">
        <f t="shared" si="7"/>
        <v>1.8962418300653521E-2</v>
      </c>
      <c r="AF48" s="8">
        <f t="shared" si="8"/>
        <v>3.4252800531025343</v>
      </c>
      <c r="AG48" s="8">
        <f t="shared" si="9"/>
        <v>8.1240155639183096E-7</v>
      </c>
      <c r="AH48" s="8">
        <f t="shared" si="10"/>
        <v>0.56473768845075234</v>
      </c>
      <c r="AI48" s="8">
        <f t="shared" si="11"/>
        <v>6.9604671163149326E-7</v>
      </c>
      <c r="AJ48" s="8" t="str">
        <f t="shared" si="12"/>
        <v/>
      </c>
      <c r="AK48" s="8" t="str">
        <f t="shared" si="13"/>
        <v/>
      </c>
      <c r="AL48" s="8">
        <f t="shared" si="14"/>
        <v>5.6854874637838643E-2</v>
      </c>
      <c r="AM48" s="8">
        <f t="shared" si="15"/>
        <v>2.450955980341792E-3</v>
      </c>
      <c r="AN48" s="8">
        <f t="shared" si="16"/>
        <v>0.51754095275456757</v>
      </c>
      <c r="AO48" s="8" t="str">
        <f t="shared" si="17"/>
        <v/>
      </c>
      <c r="AP48" s="8">
        <f t="shared" si="18"/>
        <v>8.8784331726723276E-3</v>
      </c>
      <c r="AQ48" s="8">
        <f t="shared" si="19"/>
        <v>0.46685605536147162</v>
      </c>
    </row>
    <row r="49" spans="2:43" x14ac:dyDescent="0.3">
      <c r="B49" s="10" t="s">
        <v>33</v>
      </c>
      <c r="C49" s="11">
        <v>2080</v>
      </c>
      <c r="D49" s="14"/>
      <c r="E49" s="13">
        <v>3.7585935925306198E-3</v>
      </c>
      <c r="F49" s="13">
        <v>1.6393301104972401E-2</v>
      </c>
      <c r="G49" s="13">
        <v>9.6777152641878694E-3</v>
      </c>
      <c r="H49" s="13">
        <v>1.72385620915032E-2</v>
      </c>
      <c r="I49" s="13">
        <v>3.1138909573659399</v>
      </c>
      <c r="J49" s="13">
        <v>7.3854686944711902E-7</v>
      </c>
      <c r="K49" s="13">
        <v>0.51339789859159302</v>
      </c>
      <c r="L49" s="13">
        <v>6.32769737846812E-7</v>
      </c>
      <c r="M49" s="14"/>
      <c r="N49" s="14"/>
      <c r="O49" s="13">
        <v>5.1686249670762401E-2</v>
      </c>
      <c r="P49" s="13">
        <v>2.2281418003107199E-3</v>
      </c>
      <c r="Q49" s="13">
        <v>0.47049177523142499</v>
      </c>
      <c r="R49" s="14"/>
      <c r="S49" s="13">
        <v>8.0713028842475699E-3</v>
      </c>
      <c r="T49" s="13">
        <v>0.42441459578315599</v>
      </c>
      <c r="W49" s="8" t="s">
        <v>47</v>
      </c>
      <c r="X49" s="15" t="str">
        <f t="shared" si="1"/>
        <v>CHPDST</v>
      </c>
      <c r="Y49" s="8" t="s">
        <v>42</v>
      </c>
      <c r="Z49" s="8">
        <f t="shared" si="2"/>
        <v>2080</v>
      </c>
      <c r="AA49" s="8" t="str">
        <f t="shared" si="3"/>
        <v/>
      </c>
      <c r="AB49" s="8">
        <f t="shared" si="4"/>
        <v>4.1344529517836825E-3</v>
      </c>
      <c r="AC49" s="8">
        <f t="shared" si="5"/>
        <v>1.8032631215469642E-2</v>
      </c>
      <c r="AD49" s="8">
        <f t="shared" si="6"/>
        <v>1.0645486790606657E-2</v>
      </c>
      <c r="AE49" s="8">
        <f t="shared" si="7"/>
        <v>1.8962418300653521E-2</v>
      </c>
      <c r="AF49" s="8">
        <f t="shared" si="8"/>
        <v>3.4252800531025343</v>
      </c>
      <c r="AG49" s="8">
        <f t="shared" si="9"/>
        <v>8.1240155639183096E-7</v>
      </c>
      <c r="AH49" s="8">
        <f t="shared" si="10"/>
        <v>0.56473768845075234</v>
      </c>
      <c r="AI49" s="8">
        <f t="shared" si="11"/>
        <v>6.9604671163149326E-7</v>
      </c>
      <c r="AJ49" s="8" t="str">
        <f t="shared" si="12"/>
        <v/>
      </c>
      <c r="AK49" s="8" t="str">
        <f t="shared" si="13"/>
        <v/>
      </c>
      <c r="AL49" s="8">
        <f t="shared" si="14"/>
        <v>5.6854874637838643E-2</v>
      </c>
      <c r="AM49" s="8">
        <f t="shared" si="15"/>
        <v>2.450955980341792E-3</v>
      </c>
      <c r="AN49" s="8">
        <f t="shared" si="16"/>
        <v>0.51754095275456757</v>
      </c>
      <c r="AO49" s="8" t="str">
        <f t="shared" si="17"/>
        <v/>
      </c>
      <c r="AP49" s="8">
        <f t="shared" si="18"/>
        <v>8.8784331726723276E-3</v>
      </c>
      <c r="AQ49" s="8">
        <f t="shared" si="19"/>
        <v>0.46685605536147162</v>
      </c>
    </row>
    <row r="50" spans="2:43" x14ac:dyDescent="0.3">
      <c r="B50" s="10" t="s">
        <v>34</v>
      </c>
      <c r="C50" s="11">
        <v>2017</v>
      </c>
      <c r="D50" s="13">
        <v>0</v>
      </c>
      <c r="E50" s="13">
        <v>1.46976272919E-4</v>
      </c>
      <c r="F50" s="13">
        <v>0</v>
      </c>
      <c r="G50" s="13">
        <v>3.7315213242701301E-3</v>
      </c>
      <c r="H50" s="13">
        <v>2.95207942986915</v>
      </c>
      <c r="I50" s="13">
        <v>24.681091045654998</v>
      </c>
      <c r="J50" s="14"/>
      <c r="K50" s="13">
        <v>97.173368949343597</v>
      </c>
      <c r="L50" s="14"/>
      <c r="M50" s="13">
        <v>3.5247848322950297E-2</v>
      </c>
      <c r="N50" s="14"/>
      <c r="O50" s="13">
        <v>0.86180849416230998</v>
      </c>
      <c r="P50" s="13">
        <v>0.74701470312128704</v>
      </c>
      <c r="Q50" s="13">
        <v>127.473762667513</v>
      </c>
      <c r="R50" s="13">
        <v>12.6816196941386</v>
      </c>
      <c r="S50" s="13">
        <v>26.6190649651613</v>
      </c>
      <c r="T50" s="13">
        <v>0.38862170770829602</v>
      </c>
      <c r="W50" s="8" t="s">
        <v>47</v>
      </c>
      <c r="X50" s="15" t="str">
        <f t="shared" si="1"/>
        <v>CHPGAS</v>
      </c>
      <c r="Y50" s="8" t="s">
        <v>42</v>
      </c>
      <c r="Z50" s="8">
        <f t="shared" si="2"/>
        <v>2017</v>
      </c>
      <c r="AA50" s="8">
        <f t="shared" si="3"/>
        <v>0</v>
      </c>
      <c r="AB50" s="8">
        <f t="shared" si="4"/>
        <v>1.6167390021090003E-4</v>
      </c>
      <c r="AC50" s="8">
        <f t="shared" si="5"/>
        <v>0</v>
      </c>
      <c r="AD50" s="8">
        <f t="shared" si="6"/>
        <v>4.1046734566971433E-3</v>
      </c>
      <c r="AE50" s="8">
        <f t="shared" si="7"/>
        <v>3.2472873728560652</v>
      </c>
      <c r="AF50" s="8">
        <f t="shared" si="8"/>
        <v>27.149200150220501</v>
      </c>
      <c r="AG50" s="8" t="str">
        <f t="shared" si="9"/>
        <v/>
      </c>
      <c r="AH50" s="8">
        <f t="shared" si="10"/>
        <v>106.89070584427796</v>
      </c>
      <c r="AI50" s="8" t="str">
        <f t="shared" si="11"/>
        <v/>
      </c>
      <c r="AJ50" s="8">
        <f t="shared" si="12"/>
        <v>3.8772633155245331E-2</v>
      </c>
      <c r="AK50" s="8" t="str">
        <f t="shared" si="13"/>
        <v/>
      </c>
      <c r="AL50" s="8">
        <f t="shared" si="14"/>
        <v>0.94798934357854103</v>
      </c>
      <c r="AM50" s="8">
        <f t="shared" si="15"/>
        <v>0.82171617343341585</v>
      </c>
      <c r="AN50" s="8">
        <f t="shared" si="16"/>
        <v>140.2211389342643</v>
      </c>
      <c r="AO50" s="8">
        <f t="shared" si="17"/>
        <v>13.949781663552461</v>
      </c>
      <c r="AP50" s="8">
        <f t="shared" si="18"/>
        <v>29.280971461677431</v>
      </c>
      <c r="AQ50" s="8">
        <f t="shared" si="19"/>
        <v>0.42748387847912567</v>
      </c>
    </row>
    <row r="51" spans="2:43" x14ac:dyDescent="0.3">
      <c r="B51" s="10" t="s">
        <v>34</v>
      </c>
      <c r="C51" s="11">
        <v>2018</v>
      </c>
      <c r="D51" s="13">
        <v>1.4697627291929E-3</v>
      </c>
      <c r="E51" s="13">
        <v>0</v>
      </c>
      <c r="F51" s="13">
        <v>0</v>
      </c>
      <c r="G51" s="13">
        <v>0</v>
      </c>
      <c r="H51" s="13">
        <v>2.5361989144100798</v>
      </c>
      <c r="I51" s="13">
        <v>27.1633295975785</v>
      </c>
      <c r="J51" s="14"/>
      <c r="K51" s="13">
        <v>98.876284920516596</v>
      </c>
      <c r="L51" s="14"/>
      <c r="M51" s="13">
        <v>3.5247848322950297E-2</v>
      </c>
      <c r="N51" s="14"/>
      <c r="O51" s="13">
        <v>0.118698160654301</v>
      </c>
      <c r="P51" s="13">
        <v>0.19655712234552999</v>
      </c>
      <c r="Q51" s="13">
        <v>130.29155153375899</v>
      </c>
      <c r="R51" s="13">
        <v>11.6086284483622</v>
      </c>
      <c r="S51" s="13">
        <v>26.663372637564901</v>
      </c>
      <c r="T51" s="13">
        <v>0.109652598025505</v>
      </c>
      <c r="W51" s="8" t="s">
        <v>47</v>
      </c>
      <c r="X51" s="15" t="str">
        <f t="shared" si="1"/>
        <v>CHPGAS</v>
      </c>
      <c r="Y51" s="8" t="s">
        <v>42</v>
      </c>
      <c r="Z51" s="8">
        <f t="shared" si="2"/>
        <v>2018</v>
      </c>
      <c r="AA51" s="8">
        <f t="shared" si="3"/>
        <v>1.61673900211219E-3</v>
      </c>
      <c r="AB51" s="8">
        <f t="shared" si="4"/>
        <v>0</v>
      </c>
      <c r="AC51" s="8">
        <f t="shared" si="5"/>
        <v>0</v>
      </c>
      <c r="AD51" s="8">
        <f t="shared" si="6"/>
        <v>0</v>
      </c>
      <c r="AE51" s="8">
        <f t="shared" si="7"/>
        <v>2.789818805851088</v>
      </c>
      <c r="AF51" s="8">
        <f t="shared" si="8"/>
        <v>29.879662557336353</v>
      </c>
      <c r="AG51" s="8" t="str">
        <f t="shared" si="9"/>
        <v/>
      </c>
      <c r="AH51" s="8">
        <f t="shared" si="10"/>
        <v>108.76391341256827</v>
      </c>
      <c r="AI51" s="8" t="str">
        <f t="shared" si="11"/>
        <v/>
      </c>
      <c r="AJ51" s="8">
        <f t="shared" si="12"/>
        <v>3.8772633155245331E-2</v>
      </c>
      <c r="AK51" s="8" t="str">
        <f t="shared" si="13"/>
        <v/>
      </c>
      <c r="AL51" s="8">
        <f t="shared" si="14"/>
        <v>0.13056797671973111</v>
      </c>
      <c r="AM51" s="8">
        <f t="shared" si="15"/>
        <v>0.216212834580083</v>
      </c>
      <c r="AN51" s="8">
        <f t="shared" si="16"/>
        <v>143.3207066871349</v>
      </c>
      <c r="AO51" s="8">
        <f t="shared" si="17"/>
        <v>12.769491293198421</v>
      </c>
      <c r="AP51" s="8">
        <f t="shared" si="18"/>
        <v>29.329709901321394</v>
      </c>
      <c r="AQ51" s="8">
        <f t="shared" si="19"/>
        <v>0.12061785782805552</v>
      </c>
    </row>
    <row r="52" spans="2:43" x14ac:dyDescent="0.3">
      <c r="B52" s="10" t="s">
        <v>34</v>
      </c>
      <c r="C52" s="11">
        <v>2019</v>
      </c>
      <c r="D52" s="13">
        <v>0</v>
      </c>
      <c r="E52" s="13">
        <v>0</v>
      </c>
      <c r="F52" s="13">
        <v>0</v>
      </c>
      <c r="G52" s="13">
        <v>0</v>
      </c>
      <c r="H52" s="13">
        <v>2.5361989144100798</v>
      </c>
      <c r="I52" s="13">
        <v>27.1633295975785</v>
      </c>
      <c r="J52" s="14"/>
      <c r="K52" s="13">
        <v>98.876284920516596</v>
      </c>
      <c r="L52" s="14"/>
      <c r="M52" s="13">
        <v>3.5247848322950297E-2</v>
      </c>
      <c r="N52" s="14"/>
      <c r="O52" s="13">
        <v>0</v>
      </c>
      <c r="P52" s="13">
        <v>0.19655712234552999</v>
      </c>
      <c r="Q52" s="13">
        <v>130.29155153375899</v>
      </c>
      <c r="R52" s="13">
        <v>11.6086284483622</v>
      </c>
      <c r="S52" s="13">
        <v>26.663372637564901</v>
      </c>
      <c r="T52" s="13">
        <v>0.109652598025505</v>
      </c>
      <c r="W52" s="8" t="s">
        <v>47</v>
      </c>
      <c r="X52" s="15" t="str">
        <f t="shared" si="1"/>
        <v>CHPGAS</v>
      </c>
      <c r="Y52" s="8" t="s">
        <v>42</v>
      </c>
      <c r="Z52" s="8">
        <f t="shared" si="2"/>
        <v>2019</v>
      </c>
      <c r="AA52" s="8">
        <f t="shared" si="3"/>
        <v>0</v>
      </c>
      <c r="AB52" s="8">
        <f t="shared" si="4"/>
        <v>0</v>
      </c>
      <c r="AC52" s="8">
        <f t="shared" si="5"/>
        <v>0</v>
      </c>
      <c r="AD52" s="8">
        <f t="shared" si="6"/>
        <v>0</v>
      </c>
      <c r="AE52" s="8">
        <f t="shared" si="7"/>
        <v>2.789818805851088</v>
      </c>
      <c r="AF52" s="8">
        <f t="shared" si="8"/>
        <v>29.879662557336353</v>
      </c>
      <c r="AG52" s="8" t="str">
        <f t="shared" si="9"/>
        <v/>
      </c>
      <c r="AH52" s="8">
        <f t="shared" si="10"/>
        <v>108.76391341256827</v>
      </c>
      <c r="AI52" s="8" t="str">
        <f t="shared" si="11"/>
        <v/>
      </c>
      <c r="AJ52" s="8">
        <f t="shared" si="12"/>
        <v>3.8772633155245331E-2</v>
      </c>
      <c r="AK52" s="8" t="str">
        <f t="shared" si="13"/>
        <v/>
      </c>
      <c r="AL52" s="8">
        <f t="shared" si="14"/>
        <v>0</v>
      </c>
      <c r="AM52" s="8">
        <f t="shared" si="15"/>
        <v>0.216212834580083</v>
      </c>
      <c r="AN52" s="8">
        <f t="shared" si="16"/>
        <v>143.3207066871349</v>
      </c>
      <c r="AO52" s="8">
        <f t="shared" si="17"/>
        <v>12.769491293198421</v>
      </c>
      <c r="AP52" s="8">
        <f t="shared" si="18"/>
        <v>29.329709901321394</v>
      </c>
      <c r="AQ52" s="8">
        <f t="shared" si="19"/>
        <v>0.12061785782805552</v>
      </c>
    </row>
    <row r="53" spans="2:43" x14ac:dyDescent="0.3">
      <c r="B53" s="10" t="s">
        <v>34</v>
      </c>
      <c r="C53" s="11">
        <v>2020</v>
      </c>
      <c r="D53" s="13">
        <v>0</v>
      </c>
      <c r="E53" s="13">
        <v>0</v>
      </c>
      <c r="F53" s="13">
        <v>0</v>
      </c>
      <c r="G53" s="13">
        <v>0</v>
      </c>
      <c r="H53" s="13">
        <v>2.39096220249044</v>
      </c>
      <c r="I53" s="13">
        <v>27.1633295975785</v>
      </c>
      <c r="J53" s="14"/>
      <c r="K53" s="13">
        <v>98.876284920516596</v>
      </c>
      <c r="L53" s="14"/>
      <c r="M53" s="13">
        <v>3.5247848322950297E-2</v>
      </c>
      <c r="N53" s="14"/>
      <c r="O53" s="13">
        <v>0</v>
      </c>
      <c r="P53" s="13">
        <v>0.19655712234552999</v>
      </c>
      <c r="Q53" s="13">
        <v>130.29155153375899</v>
      </c>
      <c r="R53" s="13">
        <v>11.6086284483622</v>
      </c>
      <c r="S53" s="13">
        <v>26.663372637564901</v>
      </c>
      <c r="T53" s="13">
        <v>0.109652598025505</v>
      </c>
      <c r="W53" s="8" t="s">
        <v>47</v>
      </c>
      <c r="X53" s="15" t="str">
        <f t="shared" si="1"/>
        <v>CHPGAS</v>
      </c>
      <c r="Y53" s="8" t="s">
        <v>42</v>
      </c>
      <c r="Z53" s="8">
        <f t="shared" si="2"/>
        <v>2020</v>
      </c>
      <c r="AA53" s="8">
        <f t="shared" si="3"/>
        <v>0</v>
      </c>
      <c r="AB53" s="8">
        <f t="shared" si="4"/>
        <v>0</v>
      </c>
      <c r="AC53" s="8">
        <f t="shared" si="5"/>
        <v>0</v>
      </c>
      <c r="AD53" s="8">
        <f t="shared" si="6"/>
        <v>0</v>
      </c>
      <c r="AE53" s="8">
        <f t="shared" si="7"/>
        <v>2.6300584227394843</v>
      </c>
      <c r="AF53" s="8">
        <f t="shared" si="8"/>
        <v>29.879662557336353</v>
      </c>
      <c r="AG53" s="8" t="str">
        <f t="shared" si="9"/>
        <v/>
      </c>
      <c r="AH53" s="8">
        <f t="shared" si="10"/>
        <v>108.76391341256827</v>
      </c>
      <c r="AI53" s="8" t="str">
        <f t="shared" si="11"/>
        <v/>
      </c>
      <c r="AJ53" s="8">
        <f t="shared" si="12"/>
        <v>3.8772633155245331E-2</v>
      </c>
      <c r="AK53" s="8" t="str">
        <f t="shared" si="13"/>
        <v/>
      </c>
      <c r="AL53" s="8">
        <f t="shared" si="14"/>
        <v>0</v>
      </c>
      <c r="AM53" s="8">
        <f t="shared" si="15"/>
        <v>0.216212834580083</v>
      </c>
      <c r="AN53" s="8">
        <f t="shared" si="16"/>
        <v>143.3207066871349</v>
      </c>
      <c r="AO53" s="8">
        <f t="shared" si="17"/>
        <v>12.769491293198421</v>
      </c>
      <c r="AP53" s="8">
        <f t="shared" si="18"/>
        <v>29.329709901321394</v>
      </c>
      <c r="AQ53" s="8">
        <f t="shared" si="19"/>
        <v>0.12061785782805552</v>
      </c>
    </row>
    <row r="54" spans="2:43" x14ac:dyDescent="0.3">
      <c r="B54" s="10" t="s">
        <v>34</v>
      </c>
      <c r="C54" s="11">
        <v>2021</v>
      </c>
      <c r="D54" s="13">
        <v>0</v>
      </c>
      <c r="E54" s="13">
        <v>0</v>
      </c>
      <c r="F54" s="13">
        <v>0</v>
      </c>
      <c r="G54" s="13">
        <v>0</v>
      </c>
      <c r="H54" s="13">
        <v>2.39096220249044</v>
      </c>
      <c r="I54" s="13">
        <v>44.111490067774596</v>
      </c>
      <c r="J54" s="14"/>
      <c r="K54" s="13">
        <v>98.876284920516596</v>
      </c>
      <c r="L54" s="14"/>
      <c r="M54" s="13">
        <v>3.5247848322950297E-2</v>
      </c>
      <c r="N54" s="14"/>
      <c r="O54" s="13">
        <v>0</v>
      </c>
      <c r="P54" s="13">
        <v>0.19655712234552999</v>
      </c>
      <c r="Q54" s="13">
        <v>130.29155153375899</v>
      </c>
      <c r="R54" s="13">
        <v>11.6086284483622</v>
      </c>
      <c r="S54" s="13">
        <v>26.663372637564901</v>
      </c>
      <c r="T54" s="13">
        <v>12.1161002613464</v>
      </c>
      <c r="W54" s="8" t="s">
        <v>47</v>
      </c>
      <c r="X54" s="15" t="str">
        <f t="shared" si="1"/>
        <v>CHPGAS</v>
      </c>
      <c r="Y54" s="8" t="s">
        <v>42</v>
      </c>
      <c r="Z54" s="8">
        <f t="shared" si="2"/>
        <v>2021</v>
      </c>
      <c r="AA54" s="8">
        <f t="shared" si="3"/>
        <v>0</v>
      </c>
      <c r="AB54" s="8">
        <f t="shared" si="4"/>
        <v>0</v>
      </c>
      <c r="AC54" s="8">
        <f t="shared" si="5"/>
        <v>0</v>
      </c>
      <c r="AD54" s="8">
        <f t="shared" si="6"/>
        <v>0</v>
      </c>
      <c r="AE54" s="8">
        <f t="shared" si="7"/>
        <v>2.6300584227394843</v>
      </c>
      <c r="AF54" s="8">
        <f t="shared" si="8"/>
        <v>48.52263907455206</v>
      </c>
      <c r="AG54" s="8" t="str">
        <f t="shared" si="9"/>
        <v/>
      </c>
      <c r="AH54" s="8">
        <f t="shared" si="10"/>
        <v>108.76391341256827</v>
      </c>
      <c r="AI54" s="8" t="str">
        <f t="shared" si="11"/>
        <v/>
      </c>
      <c r="AJ54" s="8">
        <f t="shared" si="12"/>
        <v>3.8772633155245331E-2</v>
      </c>
      <c r="AK54" s="8" t="str">
        <f t="shared" si="13"/>
        <v/>
      </c>
      <c r="AL54" s="8">
        <f t="shared" si="14"/>
        <v>0</v>
      </c>
      <c r="AM54" s="8">
        <f t="shared" si="15"/>
        <v>0.216212834580083</v>
      </c>
      <c r="AN54" s="8">
        <f t="shared" si="16"/>
        <v>143.3207066871349</v>
      </c>
      <c r="AO54" s="8">
        <f t="shared" si="17"/>
        <v>12.769491293198421</v>
      </c>
      <c r="AP54" s="8">
        <f t="shared" si="18"/>
        <v>29.329709901321394</v>
      </c>
      <c r="AQ54" s="8">
        <f t="shared" si="19"/>
        <v>13.327710287481041</v>
      </c>
    </row>
    <row r="55" spans="2:43" x14ac:dyDescent="0.3">
      <c r="B55" s="10" t="s">
        <v>34</v>
      </c>
      <c r="C55" s="11">
        <v>2030</v>
      </c>
      <c r="D55" s="13">
        <v>0</v>
      </c>
      <c r="E55" s="13">
        <v>0</v>
      </c>
      <c r="F55" s="13">
        <v>0</v>
      </c>
      <c r="G55" s="13">
        <v>0</v>
      </c>
      <c r="H55" s="13">
        <v>2.39096220249044</v>
      </c>
      <c r="I55" s="13">
        <v>74.776150822281707</v>
      </c>
      <c r="J55" s="13">
        <v>1.2261422296764901E-7</v>
      </c>
      <c r="K55" s="13">
        <v>98.876284920516596</v>
      </c>
      <c r="L55" s="14"/>
      <c r="M55" s="13">
        <v>3.5247848322950297E-2</v>
      </c>
      <c r="N55" s="13">
        <v>1.4610417600900499E-7</v>
      </c>
      <c r="O55" s="13">
        <v>0</v>
      </c>
      <c r="P55" s="13">
        <v>0.19655712234552999</v>
      </c>
      <c r="Q55" s="13">
        <v>132.831794350092</v>
      </c>
      <c r="R55" s="13">
        <v>11.6086284483622</v>
      </c>
      <c r="S55" s="13">
        <v>26.663372637564901</v>
      </c>
      <c r="T55" s="13">
        <v>12.1161002613464</v>
      </c>
      <c r="W55" s="8" t="s">
        <v>47</v>
      </c>
      <c r="X55" s="15" t="str">
        <f t="shared" si="1"/>
        <v>CHPGAS</v>
      </c>
      <c r="Y55" s="8" t="s">
        <v>42</v>
      </c>
      <c r="Z55" s="8">
        <f t="shared" si="2"/>
        <v>2030</v>
      </c>
      <c r="AA55" s="8">
        <f t="shared" si="3"/>
        <v>0</v>
      </c>
      <c r="AB55" s="8">
        <f t="shared" si="4"/>
        <v>0</v>
      </c>
      <c r="AC55" s="8">
        <f t="shared" si="5"/>
        <v>0</v>
      </c>
      <c r="AD55" s="8">
        <f t="shared" si="6"/>
        <v>0</v>
      </c>
      <c r="AE55" s="8">
        <f t="shared" si="7"/>
        <v>2.6300584227394843</v>
      </c>
      <c r="AF55" s="8">
        <f t="shared" si="8"/>
        <v>82.253765904509891</v>
      </c>
      <c r="AG55" s="8">
        <f t="shared" si="9"/>
        <v>1.3487564526441391E-7</v>
      </c>
      <c r="AH55" s="8">
        <f t="shared" si="10"/>
        <v>108.76391341256827</v>
      </c>
      <c r="AI55" s="8" t="str">
        <f t="shared" si="11"/>
        <v/>
      </c>
      <c r="AJ55" s="8">
        <f t="shared" si="12"/>
        <v>3.8772633155245331E-2</v>
      </c>
      <c r="AK55" s="8">
        <f t="shared" si="13"/>
        <v>1.6071459360990549E-7</v>
      </c>
      <c r="AL55" s="8">
        <f t="shared" si="14"/>
        <v>0</v>
      </c>
      <c r="AM55" s="8">
        <f t="shared" si="15"/>
        <v>0.216212834580083</v>
      </c>
      <c r="AN55" s="8">
        <f t="shared" si="16"/>
        <v>146.1149737851012</v>
      </c>
      <c r="AO55" s="8">
        <f t="shared" si="17"/>
        <v>12.769491293198421</v>
      </c>
      <c r="AP55" s="8">
        <f t="shared" si="18"/>
        <v>29.329709901321394</v>
      </c>
      <c r="AQ55" s="8">
        <f t="shared" si="19"/>
        <v>13.327710287481041</v>
      </c>
    </row>
    <row r="56" spans="2:43" x14ac:dyDescent="0.3">
      <c r="B56" s="10" t="s">
        <v>34</v>
      </c>
      <c r="C56" s="11">
        <v>2040</v>
      </c>
      <c r="D56" s="13">
        <v>0</v>
      </c>
      <c r="E56" s="13">
        <v>0</v>
      </c>
      <c r="F56" s="13">
        <v>0</v>
      </c>
      <c r="G56" s="13">
        <v>0</v>
      </c>
      <c r="H56" s="13">
        <v>2.39096220249044</v>
      </c>
      <c r="I56" s="13">
        <v>151.415245762957</v>
      </c>
      <c r="J56" s="13">
        <v>3.8532930963910902E-7</v>
      </c>
      <c r="K56" s="13">
        <v>98.876284920516596</v>
      </c>
      <c r="L56" s="14"/>
      <c r="M56" s="13">
        <v>3.5247848322950297E-2</v>
      </c>
      <c r="N56" s="13">
        <v>8.4071849375805702E-7</v>
      </c>
      <c r="O56" s="13">
        <v>0</v>
      </c>
      <c r="P56" s="13">
        <v>0.19655712234552999</v>
      </c>
      <c r="Q56" s="13">
        <v>132.831794350092</v>
      </c>
      <c r="R56" s="13">
        <v>11.6086284483622</v>
      </c>
      <c r="S56" s="13">
        <v>26.663372637564901</v>
      </c>
      <c r="T56" s="13">
        <v>3.9570471006555897E-6</v>
      </c>
      <c r="W56" s="8" t="s">
        <v>47</v>
      </c>
      <c r="X56" s="15" t="str">
        <f t="shared" si="1"/>
        <v>CHPGAS</v>
      </c>
      <c r="Y56" s="8" t="s">
        <v>42</v>
      </c>
      <c r="Z56" s="8">
        <f t="shared" si="2"/>
        <v>2040</v>
      </c>
      <c r="AA56" s="8">
        <f t="shared" si="3"/>
        <v>0</v>
      </c>
      <c r="AB56" s="8">
        <f t="shared" si="4"/>
        <v>0</v>
      </c>
      <c r="AC56" s="8">
        <f t="shared" si="5"/>
        <v>0</v>
      </c>
      <c r="AD56" s="8">
        <f t="shared" si="6"/>
        <v>0</v>
      </c>
      <c r="AE56" s="8">
        <f t="shared" si="7"/>
        <v>2.6300584227394843</v>
      </c>
      <c r="AF56" s="8">
        <f t="shared" si="8"/>
        <v>166.55677033925272</v>
      </c>
      <c r="AG56" s="8">
        <f t="shared" si="9"/>
        <v>4.2386224060301997E-7</v>
      </c>
      <c r="AH56" s="8">
        <f t="shared" si="10"/>
        <v>108.76391341256827</v>
      </c>
      <c r="AI56" s="8" t="str">
        <f t="shared" si="11"/>
        <v/>
      </c>
      <c r="AJ56" s="8">
        <f t="shared" si="12"/>
        <v>3.8772633155245331E-2</v>
      </c>
      <c r="AK56" s="8">
        <f t="shared" si="13"/>
        <v>9.247903431338628E-7</v>
      </c>
      <c r="AL56" s="8">
        <f t="shared" si="14"/>
        <v>0</v>
      </c>
      <c r="AM56" s="8">
        <f t="shared" si="15"/>
        <v>0.216212834580083</v>
      </c>
      <c r="AN56" s="8">
        <f t="shared" si="16"/>
        <v>146.1149737851012</v>
      </c>
      <c r="AO56" s="8">
        <f t="shared" si="17"/>
        <v>12.769491293198421</v>
      </c>
      <c r="AP56" s="8">
        <f t="shared" si="18"/>
        <v>29.329709901321394</v>
      </c>
      <c r="AQ56" s="8">
        <f t="shared" si="19"/>
        <v>4.352751810721149E-6</v>
      </c>
    </row>
    <row r="57" spans="2:43" x14ac:dyDescent="0.3">
      <c r="B57" s="10" t="s">
        <v>34</v>
      </c>
      <c r="C57" s="11">
        <v>2050</v>
      </c>
      <c r="D57" s="13">
        <v>0</v>
      </c>
      <c r="E57" s="13">
        <v>0</v>
      </c>
      <c r="F57" s="13">
        <v>0</v>
      </c>
      <c r="G57" s="13">
        <v>0</v>
      </c>
      <c r="H57" s="13">
        <v>2.39096220249044</v>
      </c>
      <c r="I57" s="13">
        <v>201.67981527669599</v>
      </c>
      <c r="J57" s="13">
        <v>3.8532930963910902E-7</v>
      </c>
      <c r="K57" s="13">
        <v>98.876284920516596</v>
      </c>
      <c r="L57" s="14"/>
      <c r="M57" s="13">
        <v>3.5247848322950297E-2</v>
      </c>
      <c r="N57" s="13">
        <v>1.20853124091347E-6</v>
      </c>
      <c r="O57" s="13">
        <v>0</v>
      </c>
      <c r="P57" s="13">
        <v>0.19655712234552999</v>
      </c>
      <c r="Q57" s="13">
        <v>132.831794350092</v>
      </c>
      <c r="R57" s="13">
        <v>11.6086284483622</v>
      </c>
      <c r="S57" s="13">
        <v>26.663372637564901</v>
      </c>
      <c r="T57" s="13">
        <v>1.0982346054788599E-6</v>
      </c>
      <c r="W57" s="8" t="s">
        <v>47</v>
      </c>
      <c r="X57" s="15" t="str">
        <f t="shared" si="1"/>
        <v>CHPGAS</v>
      </c>
      <c r="Y57" s="8" t="s">
        <v>42</v>
      </c>
      <c r="Z57" s="8">
        <f t="shared" si="2"/>
        <v>2050</v>
      </c>
      <c r="AA57" s="8">
        <f t="shared" si="3"/>
        <v>0</v>
      </c>
      <c r="AB57" s="8">
        <f t="shared" si="4"/>
        <v>0</v>
      </c>
      <c r="AC57" s="8">
        <f t="shared" si="5"/>
        <v>0</v>
      </c>
      <c r="AD57" s="8">
        <f t="shared" si="6"/>
        <v>0</v>
      </c>
      <c r="AE57" s="8">
        <f t="shared" si="7"/>
        <v>2.6300584227394843</v>
      </c>
      <c r="AF57" s="8">
        <f t="shared" si="8"/>
        <v>221.8477968043656</v>
      </c>
      <c r="AG57" s="8">
        <f t="shared" si="9"/>
        <v>4.2386224060301997E-7</v>
      </c>
      <c r="AH57" s="8">
        <f t="shared" si="10"/>
        <v>108.76391341256827</v>
      </c>
      <c r="AI57" s="8" t="str">
        <f t="shared" si="11"/>
        <v/>
      </c>
      <c r="AJ57" s="8">
        <f t="shared" si="12"/>
        <v>3.8772633155245331E-2</v>
      </c>
      <c r="AK57" s="8">
        <f t="shared" si="13"/>
        <v>1.3293843650048171E-6</v>
      </c>
      <c r="AL57" s="8">
        <f t="shared" si="14"/>
        <v>0</v>
      </c>
      <c r="AM57" s="8">
        <f t="shared" si="15"/>
        <v>0.216212834580083</v>
      </c>
      <c r="AN57" s="8">
        <f t="shared" si="16"/>
        <v>146.1149737851012</v>
      </c>
      <c r="AO57" s="8">
        <f t="shared" si="17"/>
        <v>12.769491293198421</v>
      </c>
      <c r="AP57" s="8">
        <f t="shared" si="18"/>
        <v>29.329709901321394</v>
      </c>
      <c r="AQ57" s="8">
        <f t="shared" si="19"/>
        <v>1.208058066026746E-6</v>
      </c>
    </row>
    <row r="58" spans="2:43" x14ac:dyDescent="0.3">
      <c r="B58" s="10" t="s">
        <v>34</v>
      </c>
      <c r="C58" s="11">
        <v>2060</v>
      </c>
      <c r="D58" s="13">
        <v>0</v>
      </c>
      <c r="E58" s="13">
        <v>0</v>
      </c>
      <c r="F58" s="13">
        <v>0</v>
      </c>
      <c r="G58" s="13">
        <v>0</v>
      </c>
      <c r="H58" s="13">
        <v>2.39096220249044</v>
      </c>
      <c r="I58" s="13">
        <v>201.67981527669599</v>
      </c>
      <c r="J58" s="13">
        <v>0</v>
      </c>
      <c r="K58" s="13">
        <v>98.876284920516596</v>
      </c>
      <c r="L58" s="14"/>
      <c r="M58" s="13">
        <v>3.5247848322950297E-2</v>
      </c>
      <c r="N58" s="13">
        <v>1.6113749878846299E-6</v>
      </c>
      <c r="O58" s="13">
        <v>0</v>
      </c>
      <c r="P58" s="13">
        <v>0.19655712234552999</v>
      </c>
      <c r="Q58" s="13">
        <v>132.831794350092</v>
      </c>
      <c r="R58" s="13">
        <v>11.6086284483622</v>
      </c>
      <c r="S58" s="13">
        <v>26.663372637564901</v>
      </c>
      <c r="T58" s="13">
        <v>1.0982346072552199E-6</v>
      </c>
      <c r="W58" s="8" t="s">
        <v>47</v>
      </c>
      <c r="X58" s="15" t="str">
        <f t="shared" si="1"/>
        <v>CHPGAS</v>
      </c>
      <c r="Y58" s="8" t="s">
        <v>42</v>
      </c>
      <c r="Z58" s="8">
        <f t="shared" si="2"/>
        <v>2060</v>
      </c>
      <c r="AA58" s="8">
        <f t="shared" si="3"/>
        <v>0</v>
      </c>
      <c r="AB58" s="8">
        <f t="shared" si="4"/>
        <v>0</v>
      </c>
      <c r="AC58" s="8">
        <f t="shared" si="5"/>
        <v>0</v>
      </c>
      <c r="AD58" s="8">
        <f t="shared" si="6"/>
        <v>0</v>
      </c>
      <c r="AE58" s="8">
        <f t="shared" si="7"/>
        <v>2.6300584227394843</v>
      </c>
      <c r="AF58" s="8">
        <f t="shared" si="8"/>
        <v>221.8477968043656</v>
      </c>
      <c r="AG58" s="8">
        <f t="shared" si="9"/>
        <v>0</v>
      </c>
      <c r="AH58" s="8">
        <f t="shared" si="10"/>
        <v>108.76391341256827</v>
      </c>
      <c r="AI58" s="8" t="str">
        <f t="shared" si="11"/>
        <v/>
      </c>
      <c r="AJ58" s="8">
        <f t="shared" si="12"/>
        <v>3.8772633155245331E-2</v>
      </c>
      <c r="AK58" s="8">
        <f t="shared" si="13"/>
        <v>1.772512486673093E-6</v>
      </c>
      <c r="AL58" s="8">
        <f t="shared" si="14"/>
        <v>0</v>
      </c>
      <c r="AM58" s="8">
        <f t="shared" si="15"/>
        <v>0.216212834580083</v>
      </c>
      <c r="AN58" s="8">
        <f t="shared" si="16"/>
        <v>146.1149737851012</v>
      </c>
      <c r="AO58" s="8">
        <f t="shared" si="17"/>
        <v>12.769491293198421</v>
      </c>
      <c r="AP58" s="8">
        <f t="shared" si="18"/>
        <v>29.329709901321394</v>
      </c>
      <c r="AQ58" s="8">
        <f t="shared" si="19"/>
        <v>1.2080580679807419E-6</v>
      </c>
    </row>
    <row r="59" spans="2:43" x14ac:dyDescent="0.3">
      <c r="B59" s="10" t="s">
        <v>34</v>
      </c>
      <c r="C59" s="11">
        <v>2070</v>
      </c>
      <c r="D59" s="13">
        <v>0</v>
      </c>
      <c r="E59" s="13">
        <v>0</v>
      </c>
      <c r="F59" s="13">
        <v>0</v>
      </c>
      <c r="G59" s="13">
        <v>0</v>
      </c>
      <c r="H59" s="13">
        <v>2.39096220249044</v>
      </c>
      <c r="I59" s="13">
        <v>201.67981527669599</v>
      </c>
      <c r="J59" s="13">
        <v>3.8532930963910902E-7</v>
      </c>
      <c r="K59" s="13">
        <v>98.876284920516596</v>
      </c>
      <c r="L59" s="14"/>
      <c r="M59" s="13">
        <v>3.5247848322950297E-2</v>
      </c>
      <c r="N59" s="13">
        <v>2.0142187348557799E-6</v>
      </c>
      <c r="O59" s="13">
        <v>0</v>
      </c>
      <c r="P59" s="13">
        <v>0.19655712234552999</v>
      </c>
      <c r="Q59" s="13">
        <v>132.831794350092</v>
      </c>
      <c r="R59" s="13">
        <v>11.6086284483622</v>
      </c>
      <c r="S59" s="13">
        <v>26.663372637564901</v>
      </c>
      <c r="T59" s="13">
        <v>1.0982346072552199E-6</v>
      </c>
      <c r="W59" s="8" t="s">
        <v>47</v>
      </c>
      <c r="X59" s="15" t="str">
        <f t="shared" si="1"/>
        <v>CHPGAS</v>
      </c>
      <c r="Y59" s="8" t="s">
        <v>42</v>
      </c>
      <c r="Z59" s="8">
        <f t="shared" si="2"/>
        <v>2070</v>
      </c>
      <c r="AA59" s="8">
        <f t="shared" si="3"/>
        <v>0</v>
      </c>
      <c r="AB59" s="8">
        <f t="shared" si="4"/>
        <v>0</v>
      </c>
      <c r="AC59" s="8">
        <f t="shared" si="5"/>
        <v>0</v>
      </c>
      <c r="AD59" s="8">
        <f t="shared" si="6"/>
        <v>0</v>
      </c>
      <c r="AE59" s="8">
        <f t="shared" si="7"/>
        <v>2.6300584227394843</v>
      </c>
      <c r="AF59" s="8">
        <f t="shared" si="8"/>
        <v>221.8477968043656</v>
      </c>
      <c r="AG59" s="8">
        <f t="shared" si="9"/>
        <v>4.2386224060301997E-7</v>
      </c>
      <c r="AH59" s="8">
        <f t="shared" si="10"/>
        <v>108.76391341256827</v>
      </c>
      <c r="AI59" s="8" t="str">
        <f t="shared" si="11"/>
        <v/>
      </c>
      <c r="AJ59" s="8">
        <f t="shared" si="12"/>
        <v>3.8772633155245331E-2</v>
      </c>
      <c r="AK59" s="8">
        <f t="shared" si="13"/>
        <v>2.215640608341358E-6</v>
      </c>
      <c r="AL59" s="8">
        <f t="shared" si="14"/>
        <v>0</v>
      </c>
      <c r="AM59" s="8">
        <f t="shared" si="15"/>
        <v>0.216212834580083</v>
      </c>
      <c r="AN59" s="8">
        <f t="shared" si="16"/>
        <v>146.1149737851012</v>
      </c>
      <c r="AO59" s="8">
        <f t="shared" si="17"/>
        <v>12.769491293198421</v>
      </c>
      <c r="AP59" s="8">
        <f t="shared" si="18"/>
        <v>29.329709901321394</v>
      </c>
      <c r="AQ59" s="8">
        <f t="shared" si="19"/>
        <v>1.2080580679807419E-6</v>
      </c>
    </row>
    <row r="60" spans="2:43" x14ac:dyDescent="0.3">
      <c r="B60" s="10" t="s">
        <v>34</v>
      </c>
      <c r="C60" s="11">
        <v>2080</v>
      </c>
      <c r="D60" s="13">
        <v>0</v>
      </c>
      <c r="E60" s="13">
        <v>0</v>
      </c>
      <c r="F60" s="13">
        <v>0</v>
      </c>
      <c r="G60" s="13">
        <v>0</v>
      </c>
      <c r="H60" s="13">
        <v>2.39096220249044</v>
      </c>
      <c r="I60" s="13">
        <v>201.67981527669599</v>
      </c>
      <c r="J60" s="13">
        <v>3.8532930963910902E-7</v>
      </c>
      <c r="K60" s="13">
        <v>98.876284920516596</v>
      </c>
      <c r="L60" s="14"/>
      <c r="M60" s="13">
        <v>3.5247848322950297E-2</v>
      </c>
      <c r="N60" s="13">
        <v>2.0142187348557799E-6</v>
      </c>
      <c r="O60" s="13">
        <v>0</v>
      </c>
      <c r="P60" s="13">
        <v>0.19655712234552999</v>
      </c>
      <c r="Q60" s="13">
        <v>132.831794350092</v>
      </c>
      <c r="R60" s="13">
        <v>11.6086284483622</v>
      </c>
      <c r="S60" s="13">
        <v>26.663372637564901</v>
      </c>
      <c r="T60" s="13">
        <v>1.0982346054788599E-6</v>
      </c>
      <c r="W60" s="8" t="s">
        <v>47</v>
      </c>
      <c r="X60" s="15" t="str">
        <f t="shared" si="1"/>
        <v>CHPGAS</v>
      </c>
      <c r="Y60" s="8" t="s">
        <v>42</v>
      </c>
      <c r="Z60" s="8">
        <f t="shared" si="2"/>
        <v>2080</v>
      </c>
      <c r="AA60" s="8">
        <f t="shared" si="3"/>
        <v>0</v>
      </c>
      <c r="AB60" s="8">
        <f t="shared" si="4"/>
        <v>0</v>
      </c>
      <c r="AC60" s="8">
        <f t="shared" si="5"/>
        <v>0</v>
      </c>
      <c r="AD60" s="8">
        <f t="shared" si="6"/>
        <v>0</v>
      </c>
      <c r="AE60" s="8">
        <f t="shared" si="7"/>
        <v>2.6300584227394843</v>
      </c>
      <c r="AF60" s="8">
        <f t="shared" si="8"/>
        <v>221.8477968043656</v>
      </c>
      <c r="AG60" s="8">
        <f t="shared" si="9"/>
        <v>4.2386224060301997E-7</v>
      </c>
      <c r="AH60" s="8">
        <f t="shared" si="10"/>
        <v>108.76391341256827</v>
      </c>
      <c r="AI60" s="8" t="str">
        <f t="shared" si="11"/>
        <v/>
      </c>
      <c r="AJ60" s="8">
        <f t="shared" si="12"/>
        <v>3.8772633155245331E-2</v>
      </c>
      <c r="AK60" s="8">
        <f t="shared" si="13"/>
        <v>2.215640608341358E-6</v>
      </c>
      <c r="AL60" s="8">
        <f t="shared" si="14"/>
        <v>0</v>
      </c>
      <c r="AM60" s="8">
        <f t="shared" si="15"/>
        <v>0.216212834580083</v>
      </c>
      <c r="AN60" s="8">
        <f t="shared" si="16"/>
        <v>146.1149737851012</v>
      </c>
      <c r="AO60" s="8">
        <f t="shared" si="17"/>
        <v>12.769491293198421</v>
      </c>
      <c r="AP60" s="8">
        <f t="shared" si="18"/>
        <v>29.329709901321394</v>
      </c>
      <c r="AQ60" s="8">
        <f t="shared" si="19"/>
        <v>1.208058066026746E-6</v>
      </c>
    </row>
    <row r="61" spans="2:43" x14ac:dyDescent="0.3">
      <c r="B61" s="10" t="s">
        <v>35</v>
      </c>
      <c r="C61" s="11">
        <v>2017</v>
      </c>
      <c r="D61" s="14"/>
      <c r="E61" s="14"/>
      <c r="F61" s="14"/>
      <c r="G61" s="14"/>
      <c r="H61" s="14"/>
      <c r="I61" s="14"/>
      <c r="J61" s="14"/>
      <c r="K61" s="13">
        <v>1.5412560467699601</v>
      </c>
      <c r="L61" s="14"/>
      <c r="M61" s="14"/>
      <c r="N61" s="14"/>
      <c r="O61" s="14"/>
      <c r="P61" s="14"/>
      <c r="Q61" s="14"/>
      <c r="R61" s="14"/>
      <c r="S61" s="14"/>
      <c r="T61" s="14"/>
      <c r="W61" s="8" t="s">
        <v>47</v>
      </c>
      <c r="X61" s="15" t="str">
        <f t="shared" si="1"/>
        <v>CHPNUC</v>
      </c>
      <c r="Y61" s="8" t="s">
        <v>42</v>
      </c>
      <c r="Z61" s="8">
        <f t="shared" si="2"/>
        <v>2017</v>
      </c>
      <c r="AA61" s="8" t="str">
        <f t="shared" si="3"/>
        <v/>
      </c>
      <c r="AB61" s="8" t="str">
        <f t="shared" si="4"/>
        <v/>
      </c>
      <c r="AC61" s="8" t="str">
        <f t="shared" si="5"/>
        <v/>
      </c>
      <c r="AD61" s="8" t="str">
        <f t="shared" si="6"/>
        <v/>
      </c>
      <c r="AE61" s="8" t="str">
        <f t="shared" si="7"/>
        <v/>
      </c>
      <c r="AF61" s="8" t="str">
        <f t="shared" si="8"/>
        <v/>
      </c>
      <c r="AG61" s="8" t="str">
        <f t="shared" si="9"/>
        <v/>
      </c>
      <c r="AH61" s="8">
        <f t="shared" si="10"/>
        <v>1.6953816514469562</v>
      </c>
      <c r="AI61" s="8" t="str">
        <f t="shared" si="11"/>
        <v/>
      </c>
      <c r="AJ61" s="8" t="str">
        <f t="shared" si="12"/>
        <v/>
      </c>
      <c r="AK61" s="8" t="str">
        <f t="shared" si="13"/>
        <v/>
      </c>
      <c r="AL61" s="8" t="str">
        <f t="shared" si="14"/>
        <v/>
      </c>
      <c r="AM61" s="8" t="str">
        <f t="shared" si="15"/>
        <v/>
      </c>
      <c r="AN61" s="8" t="str">
        <f t="shared" si="16"/>
        <v/>
      </c>
      <c r="AO61" s="8" t="str">
        <f t="shared" si="17"/>
        <v/>
      </c>
      <c r="AP61" s="8" t="str">
        <f t="shared" si="18"/>
        <v/>
      </c>
      <c r="AQ61" s="8" t="str">
        <f t="shared" si="19"/>
        <v/>
      </c>
    </row>
    <row r="62" spans="2:43" x14ac:dyDescent="0.3">
      <c r="B62" s="10" t="s">
        <v>35</v>
      </c>
      <c r="C62" s="11">
        <v>2018</v>
      </c>
      <c r="D62" s="14"/>
      <c r="E62" s="14"/>
      <c r="F62" s="14"/>
      <c r="G62" s="14"/>
      <c r="H62" s="14"/>
      <c r="I62" s="14"/>
      <c r="J62" s="14"/>
      <c r="K62" s="13">
        <v>1.5412560467699601</v>
      </c>
      <c r="L62" s="14"/>
      <c r="M62" s="14"/>
      <c r="N62" s="14"/>
      <c r="O62" s="14"/>
      <c r="P62" s="14"/>
      <c r="Q62" s="14"/>
      <c r="R62" s="14"/>
      <c r="S62" s="14"/>
      <c r="T62" s="14"/>
      <c r="W62" s="8" t="s">
        <v>47</v>
      </c>
      <c r="X62" s="15" t="str">
        <f t="shared" si="1"/>
        <v>CHPNUC</v>
      </c>
      <c r="Y62" s="8" t="s">
        <v>42</v>
      </c>
      <c r="Z62" s="8">
        <f t="shared" si="2"/>
        <v>2018</v>
      </c>
      <c r="AA62" s="8" t="str">
        <f t="shared" si="3"/>
        <v/>
      </c>
      <c r="AB62" s="8" t="str">
        <f t="shared" si="4"/>
        <v/>
      </c>
      <c r="AC62" s="8" t="str">
        <f t="shared" si="5"/>
        <v/>
      </c>
      <c r="AD62" s="8" t="str">
        <f t="shared" si="6"/>
        <v/>
      </c>
      <c r="AE62" s="8" t="str">
        <f t="shared" si="7"/>
        <v/>
      </c>
      <c r="AF62" s="8" t="str">
        <f t="shared" si="8"/>
        <v/>
      </c>
      <c r="AG62" s="8" t="str">
        <f t="shared" si="9"/>
        <v/>
      </c>
      <c r="AH62" s="8">
        <f t="shared" si="10"/>
        <v>1.6953816514469562</v>
      </c>
      <c r="AI62" s="8" t="str">
        <f t="shared" si="11"/>
        <v/>
      </c>
      <c r="AJ62" s="8" t="str">
        <f t="shared" si="12"/>
        <v/>
      </c>
      <c r="AK62" s="8" t="str">
        <f t="shared" si="13"/>
        <v/>
      </c>
      <c r="AL62" s="8" t="str">
        <f t="shared" si="14"/>
        <v/>
      </c>
      <c r="AM62" s="8" t="str">
        <f t="shared" si="15"/>
        <v/>
      </c>
      <c r="AN62" s="8" t="str">
        <f t="shared" si="16"/>
        <v/>
      </c>
      <c r="AO62" s="8" t="str">
        <f t="shared" si="17"/>
        <v/>
      </c>
      <c r="AP62" s="8" t="str">
        <f t="shared" si="18"/>
        <v/>
      </c>
      <c r="AQ62" s="8" t="str">
        <f t="shared" si="19"/>
        <v/>
      </c>
    </row>
    <row r="63" spans="2:43" x14ac:dyDescent="0.3">
      <c r="B63" s="10" t="s">
        <v>35</v>
      </c>
      <c r="C63" s="11">
        <v>2019</v>
      </c>
      <c r="D63" s="14"/>
      <c r="E63" s="14"/>
      <c r="F63" s="14"/>
      <c r="G63" s="14"/>
      <c r="H63" s="14"/>
      <c r="I63" s="14"/>
      <c r="J63" s="14"/>
      <c r="K63" s="13">
        <v>1.5412560467699601</v>
      </c>
      <c r="L63" s="14"/>
      <c r="M63" s="14"/>
      <c r="N63" s="14"/>
      <c r="O63" s="14"/>
      <c r="P63" s="14"/>
      <c r="Q63" s="14"/>
      <c r="R63" s="14"/>
      <c r="S63" s="14"/>
      <c r="T63" s="14"/>
      <c r="W63" s="8" t="s">
        <v>47</v>
      </c>
      <c r="X63" s="15" t="str">
        <f t="shared" si="1"/>
        <v>CHPNUC</v>
      </c>
      <c r="Y63" s="8" t="s">
        <v>42</v>
      </c>
      <c r="Z63" s="8">
        <f t="shared" si="2"/>
        <v>2019</v>
      </c>
      <c r="AA63" s="8" t="str">
        <f t="shared" si="3"/>
        <v/>
      </c>
      <c r="AB63" s="8" t="str">
        <f t="shared" si="4"/>
        <v/>
      </c>
      <c r="AC63" s="8" t="str">
        <f t="shared" si="5"/>
        <v/>
      </c>
      <c r="AD63" s="8" t="str">
        <f t="shared" si="6"/>
        <v/>
      </c>
      <c r="AE63" s="8" t="str">
        <f t="shared" si="7"/>
        <v/>
      </c>
      <c r="AF63" s="8" t="str">
        <f t="shared" si="8"/>
        <v/>
      </c>
      <c r="AG63" s="8" t="str">
        <f t="shared" si="9"/>
        <v/>
      </c>
      <c r="AH63" s="8">
        <f t="shared" si="10"/>
        <v>1.6953816514469562</v>
      </c>
      <c r="AI63" s="8" t="str">
        <f t="shared" si="11"/>
        <v/>
      </c>
      <c r="AJ63" s="8" t="str">
        <f t="shared" si="12"/>
        <v/>
      </c>
      <c r="AK63" s="8" t="str">
        <f t="shared" si="13"/>
        <v/>
      </c>
      <c r="AL63" s="8" t="str">
        <f t="shared" si="14"/>
        <v/>
      </c>
      <c r="AM63" s="8" t="str">
        <f t="shared" si="15"/>
        <v/>
      </c>
      <c r="AN63" s="8" t="str">
        <f t="shared" si="16"/>
        <v/>
      </c>
      <c r="AO63" s="8" t="str">
        <f t="shared" si="17"/>
        <v/>
      </c>
      <c r="AP63" s="8" t="str">
        <f t="shared" si="18"/>
        <v/>
      </c>
      <c r="AQ63" s="8" t="str">
        <f t="shared" si="19"/>
        <v/>
      </c>
    </row>
    <row r="64" spans="2:43" x14ac:dyDescent="0.3">
      <c r="B64" s="10" t="s">
        <v>35</v>
      </c>
      <c r="C64" s="11">
        <v>2020</v>
      </c>
      <c r="D64" s="14"/>
      <c r="E64" s="14"/>
      <c r="F64" s="14"/>
      <c r="G64" s="14"/>
      <c r="H64" s="14"/>
      <c r="I64" s="14"/>
      <c r="J64" s="14"/>
      <c r="K64" s="13">
        <v>1.5412560467699601</v>
      </c>
      <c r="L64" s="14"/>
      <c r="M64" s="14"/>
      <c r="N64" s="14"/>
      <c r="O64" s="14"/>
      <c r="P64" s="14"/>
      <c r="Q64" s="14"/>
      <c r="R64" s="14"/>
      <c r="S64" s="14"/>
      <c r="T64" s="14"/>
      <c r="W64" s="8" t="s">
        <v>47</v>
      </c>
      <c r="X64" s="15" t="str">
        <f t="shared" si="1"/>
        <v>CHPNUC</v>
      </c>
      <c r="Y64" s="8" t="s">
        <v>42</v>
      </c>
      <c r="Z64" s="8">
        <f t="shared" si="2"/>
        <v>2020</v>
      </c>
      <c r="AA64" s="8" t="str">
        <f t="shared" si="3"/>
        <v/>
      </c>
      <c r="AB64" s="8" t="str">
        <f t="shared" si="4"/>
        <v/>
      </c>
      <c r="AC64" s="8" t="str">
        <f t="shared" si="5"/>
        <v/>
      </c>
      <c r="AD64" s="8" t="str">
        <f t="shared" si="6"/>
        <v/>
      </c>
      <c r="AE64" s="8" t="str">
        <f t="shared" si="7"/>
        <v/>
      </c>
      <c r="AF64" s="8" t="str">
        <f t="shared" si="8"/>
        <v/>
      </c>
      <c r="AG64" s="8" t="str">
        <f t="shared" si="9"/>
        <v/>
      </c>
      <c r="AH64" s="8">
        <f t="shared" si="10"/>
        <v>1.6953816514469562</v>
      </c>
      <c r="AI64" s="8" t="str">
        <f t="shared" si="11"/>
        <v/>
      </c>
      <c r="AJ64" s="8" t="str">
        <f t="shared" si="12"/>
        <v/>
      </c>
      <c r="AK64" s="8" t="str">
        <f t="shared" si="13"/>
        <v/>
      </c>
      <c r="AL64" s="8" t="str">
        <f t="shared" si="14"/>
        <v/>
      </c>
      <c r="AM64" s="8" t="str">
        <f t="shared" si="15"/>
        <v/>
      </c>
      <c r="AN64" s="8" t="str">
        <f t="shared" si="16"/>
        <v/>
      </c>
      <c r="AO64" s="8" t="str">
        <f t="shared" si="17"/>
        <v/>
      </c>
      <c r="AP64" s="8" t="str">
        <f t="shared" si="18"/>
        <v/>
      </c>
      <c r="AQ64" s="8" t="str">
        <f t="shared" si="19"/>
        <v/>
      </c>
    </row>
    <row r="65" spans="2:43" x14ac:dyDescent="0.3">
      <c r="B65" s="10" t="s">
        <v>35</v>
      </c>
      <c r="C65" s="11">
        <v>2021</v>
      </c>
      <c r="D65" s="14"/>
      <c r="E65" s="14"/>
      <c r="F65" s="14"/>
      <c r="G65" s="14"/>
      <c r="H65" s="14"/>
      <c r="I65" s="14"/>
      <c r="J65" s="14"/>
      <c r="K65" s="13">
        <v>1.5412560467699601</v>
      </c>
      <c r="L65" s="14"/>
      <c r="M65" s="14"/>
      <c r="N65" s="14"/>
      <c r="O65" s="14"/>
      <c r="P65" s="14"/>
      <c r="Q65" s="14"/>
      <c r="R65" s="14"/>
      <c r="S65" s="14"/>
      <c r="T65" s="14"/>
      <c r="W65" s="8" t="s">
        <v>47</v>
      </c>
      <c r="X65" s="15" t="str">
        <f t="shared" si="1"/>
        <v>CHPNUC</v>
      </c>
      <c r="Y65" s="8" t="s">
        <v>42</v>
      </c>
      <c r="Z65" s="8">
        <f t="shared" si="2"/>
        <v>2021</v>
      </c>
      <c r="AA65" s="8" t="str">
        <f t="shared" si="3"/>
        <v/>
      </c>
      <c r="AB65" s="8" t="str">
        <f t="shared" si="4"/>
        <v/>
      </c>
      <c r="AC65" s="8" t="str">
        <f t="shared" si="5"/>
        <v/>
      </c>
      <c r="AD65" s="8" t="str">
        <f t="shared" si="6"/>
        <v/>
      </c>
      <c r="AE65" s="8" t="str">
        <f t="shared" si="7"/>
        <v/>
      </c>
      <c r="AF65" s="8" t="str">
        <f t="shared" si="8"/>
        <v/>
      </c>
      <c r="AG65" s="8" t="str">
        <f t="shared" si="9"/>
        <v/>
      </c>
      <c r="AH65" s="8">
        <f t="shared" si="10"/>
        <v>1.6953816514469562</v>
      </c>
      <c r="AI65" s="8" t="str">
        <f t="shared" si="11"/>
        <v/>
      </c>
      <c r="AJ65" s="8" t="str">
        <f t="shared" si="12"/>
        <v/>
      </c>
      <c r="AK65" s="8" t="str">
        <f t="shared" si="13"/>
        <v/>
      </c>
      <c r="AL65" s="8" t="str">
        <f t="shared" si="14"/>
        <v/>
      </c>
      <c r="AM65" s="8" t="str">
        <f t="shared" si="15"/>
        <v/>
      </c>
      <c r="AN65" s="8" t="str">
        <f t="shared" si="16"/>
        <v/>
      </c>
      <c r="AO65" s="8" t="str">
        <f t="shared" si="17"/>
        <v/>
      </c>
      <c r="AP65" s="8" t="str">
        <f t="shared" si="18"/>
        <v/>
      </c>
      <c r="AQ65" s="8" t="str">
        <f t="shared" si="19"/>
        <v/>
      </c>
    </row>
    <row r="66" spans="2:43" x14ac:dyDescent="0.3">
      <c r="B66" s="10" t="s">
        <v>35</v>
      </c>
      <c r="C66" s="11">
        <v>2030</v>
      </c>
      <c r="D66" s="14"/>
      <c r="E66" s="14"/>
      <c r="F66" s="14"/>
      <c r="G66" s="14"/>
      <c r="H66" s="14"/>
      <c r="I66" s="14"/>
      <c r="J66" s="14"/>
      <c r="K66" s="13">
        <v>1.5412560467699601</v>
      </c>
      <c r="L66" s="14"/>
      <c r="M66" s="14"/>
      <c r="N66" s="14"/>
      <c r="O66" s="14"/>
      <c r="P66" s="14"/>
      <c r="Q66" s="14"/>
      <c r="R66" s="14"/>
      <c r="S66" s="14"/>
      <c r="T66" s="14"/>
      <c r="W66" s="8" t="s">
        <v>47</v>
      </c>
      <c r="X66" s="15" t="str">
        <f t="shared" si="1"/>
        <v>CHPNUC</v>
      </c>
      <c r="Y66" s="8" t="s">
        <v>42</v>
      </c>
      <c r="Z66" s="8">
        <f t="shared" si="2"/>
        <v>2030</v>
      </c>
      <c r="AA66" s="8" t="str">
        <f t="shared" si="3"/>
        <v/>
      </c>
      <c r="AB66" s="8" t="str">
        <f t="shared" si="4"/>
        <v/>
      </c>
      <c r="AC66" s="8" t="str">
        <f t="shared" si="5"/>
        <v/>
      </c>
      <c r="AD66" s="8" t="str">
        <f t="shared" si="6"/>
        <v/>
      </c>
      <c r="AE66" s="8" t="str">
        <f t="shared" si="7"/>
        <v/>
      </c>
      <c r="AF66" s="8" t="str">
        <f t="shared" si="8"/>
        <v/>
      </c>
      <c r="AG66" s="8" t="str">
        <f t="shared" si="9"/>
        <v/>
      </c>
      <c r="AH66" s="8">
        <f t="shared" si="10"/>
        <v>1.6953816514469562</v>
      </c>
      <c r="AI66" s="8" t="str">
        <f t="shared" si="11"/>
        <v/>
      </c>
      <c r="AJ66" s="8" t="str">
        <f t="shared" si="12"/>
        <v/>
      </c>
      <c r="AK66" s="8" t="str">
        <f t="shared" si="13"/>
        <v/>
      </c>
      <c r="AL66" s="8" t="str">
        <f t="shared" si="14"/>
        <v/>
      </c>
      <c r="AM66" s="8" t="str">
        <f t="shared" si="15"/>
        <v/>
      </c>
      <c r="AN66" s="8" t="str">
        <f t="shared" si="16"/>
        <v/>
      </c>
      <c r="AO66" s="8" t="str">
        <f t="shared" si="17"/>
        <v/>
      </c>
      <c r="AP66" s="8" t="str">
        <f t="shared" si="18"/>
        <v/>
      </c>
      <c r="AQ66" s="8" t="str">
        <f t="shared" si="19"/>
        <v/>
      </c>
    </row>
    <row r="67" spans="2:43" x14ac:dyDescent="0.3">
      <c r="B67" s="10" t="s">
        <v>35</v>
      </c>
      <c r="C67" s="11">
        <v>2040</v>
      </c>
      <c r="D67" s="14"/>
      <c r="E67" s="14"/>
      <c r="F67" s="14"/>
      <c r="G67" s="14"/>
      <c r="H67" s="14"/>
      <c r="I67" s="14"/>
      <c r="J67" s="14"/>
      <c r="K67" s="13">
        <v>1.5412560467699601</v>
      </c>
      <c r="L67" s="14"/>
      <c r="M67" s="14"/>
      <c r="N67" s="14"/>
      <c r="O67" s="14"/>
      <c r="P67" s="14"/>
      <c r="Q67" s="14"/>
      <c r="R67" s="14"/>
      <c r="S67" s="14"/>
      <c r="T67" s="14"/>
      <c r="W67" s="8" t="s">
        <v>47</v>
      </c>
      <c r="X67" s="15" t="str">
        <f t="shared" si="1"/>
        <v>CHPNUC</v>
      </c>
      <c r="Y67" s="8" t="s">
        <v>42</v>
      </c>
      <c r="Z67" s="8">
        <f t="shared" si="2"/>
        <v>2040</v>
      </c>
      <c r="AA67" s="8" t="str">
        <f t="shared" si="3"/>
        <v/>
      </c>
      <c r="AB67" s="8" t="str">
        <f t="shared" si="4"/>
        <v/>
      </c>
      <c r="AC67" s="8" t="str">
        <f t="shared" si="5"/>
        <v/>
      </c>
      <c r="AD67" s="8" t="str">
        <f t="shared" si="6"/>
        <v/>
      </c>
      <c r="AE67" s="8" t="str">
        <f t="shared" si="7"/>
        <v/>
      </c>
      <c r="AF67" s="8" t="str">
        <f t="shared" si="8"/>
        <v/>
      </c>
      <c r="AG67" s="8" t="str">
        <f t="shared" si="9"/>
        <v/>
      </c>
      <c r="AH67" s="8">
        <f t="shared" si="10"/>
        <v>1.6953816514469562</v>
      </c>
      <c r="AI67" s="8" t="str">
        <f t="shared" si="11"/>
        <v/>
      </c>
      <c r="AJ67" s="8" t="str">
        <f t="shared" si="12"/>
        <v/>
      </c>
      <c r="AK67" s="8" t="str">
        <f t="shared" si="13"/>
        <v/>
      </c>
      <c r="AL67" s="8" t="str">
        <f t="shared" si="14"/>
        <v/>
      </c>
      <c r="AM67" s="8" t="str">
        <f t="shared" si="15"/>
        <v/>
      </c>
      <c r="AN67" s="8" t="str">
        <f t="shared" si="16"/>
        <v/>
      </c>
      <c r="AO67" s="8" t="str">
        <f t="shared" si="17"/>
        <v/>
      </c>
      <c r="AP67" s="8" t="str">
        <f t="shared" si="18"/>
        <v/>
      </c>
      <c r="AQ67" s="8" t="str">
        <f t="shared" si="19"/>
        <v/>
      </c>
    </row>
    <row r="68" spans="2:43" x14ac:dyDescent="0.3">
      <c r="B68" s="10" t="s">
        <v>35</v>
      </c>
      <c r="C68" s="11">
        <v>2050</v>
      </c>
      <c r="D68" s="14"/>
      <c r="E68" s="14"/>
      <c r="F68" s="14"/>
      <c r="G68" s="14"/>
      <c r="H68" s="14"/>
      <c r="I68" s="14"/>
      <c r="J68" s="14"/>
      <c r="K68" s="13">
        <v>1.5412560467699601</v>
      </c>
      <c r="L68" s="14"/>
      <c r="M68" s="14"/>
      <c r="N68" s="14"/>
      <c r="O68" s="14"/>
      <c r="P68" s="14"/>
      <c r="Q68" s="14"/>
      <c r="R68" s="14"/>
      <c r="S68" s="14"/>
      <c r="T68" s="14"/>
      <c r="W68" s="8" t="s">
        <v>47</v>
      </c>
      <c r="X68" s="15" t="str">
        <f t="shared" si="1"/>
        <v>CHPNUC</v>
      </c>
      <c r="Y68" s="8" t="s">
        <v>42</v>
      </c>
      <c r="Z68" s="8">
        <f t="shared" si="2"/>
        <v>2050</v>
      </c>
      <c r="AA68" s="8" t="str">
        <f t="shared" si="3"/>
        <v/>
      </c>
      <c r="AB68" s="8" t="str">
        <f t="shared" si="4"/>
        <v/>
      </c>
      <c r="AC68" s="8" t="str">
        <f t="shared" si="5"/>
        <v/>
      </c>
      <c r="AD68" s="8" t="str">
        <f t="shared" si="6"/>
        <v/>
      </c>
      <c r="AE68" s="8" t="str">
        <f t="shared" si="7"/>
        <v/>
      </c>
      <c r="AF68" s="8" t="str">
        <f t="shared" si="8"/>
        <v/>
      </c>
      <c r="AG68" s="8" t="str">
        <f t="shared" si="9"/>
        <v/>
      </c>
      <c r="AH68" s="8">
        <f t="shared" si="10"/>
        <v>1.6953816514469562</v>
      </c>
      <c r="AI68" s="8" t="str">
        <f t="shared" si="11"/>
        <v/>
      </c>
      <c r="AJ68" s="8" t="str">
        <f t="shared" si="12"/>
        <v/>
      </c>
      <c r="AK68" s="8" t="str">
        <f t="shared" si="13"/>
        <v/>
      </c>
      <c r="AL68" s="8" t="str">
        <f t="shared" si="14"/>
        <v/>
      </c>
      <c r="AM68" s="8" t="str">
        <f t="shared" si="15"/>
        <v/>
      </c>
      <c r="AN68" s="8" t="str">
        <f t="shared" si="16"/>
        <v/>
      </c>
      <c r="AO68" s="8" t="str">
        <f t="shared" si="17"/>
        <v/>
      </c>
      <c r="AP68" s="8" t="str">
        <f t="shared" si="18"/>
        <v/>
      </c>
      <c r="AQ68" s="8" t="str">
        <f t="shared" si="19"/>
        <v/>
      </c>
    </row>
    <row r="69" spans="2:43" x14ac:dyDescent="0.3">
      <c r="B69" s="10" t="s">
        <v>35</v>
      </c>
      <c r="C69" s="11">
        <v>2060</v>
      </c>
      <c r="D69" s="14"/>
      <c r="E69" s="14"/>
      <c r="F69" s="14"/>
      <c r="G69" s="14"/>
      <c r="H69" s="14"/>
      <c r="I69" s="14"/>
      <c r="J69" s="14"/>
      <c r="K69" s="13">
        <v>1.5412560467699601</v>
      </c>
      <c r="L69" s="14"/>
      <c r="M69" s="14"/>
      <c r="N69" s="14"/>
      <c r="O69" s="14"/>
      <c r="P69" s="14"/>
      <c r="Q69" s="14"/>
      <c r="R69" s="14"/>
      <c r="S69" s="14"/>
      <c r="T69" s="14"/>
      <c r="W69" s="8" t="s">
        <v>47</v>
      </c>
      <c r="X69" s="15" t="str">
        <f t="shared" si="1"/>
        <v>CHPNUC</v>
      </c>
      <c r="Y69" s="8" t="s">
        <v>42</v>
      </c>
      <c r="Z69" s="8">
        <f t="shared" si="2"/>
        <v>2060</v>
      </c>
      <c r="AA69" s="8" t="str">
        <f t="shared" si="3"/>
        <v/>
      </c>
      <c r="AB69" s="8" t="str">
        <f t="shared" si="4"/>
        <v/>
      </c>
      <c r="AC69" s="8" t="str">
        <f t="shared" si="5"/>
        <v/>
      </c>
      <c r="AD69" s="8" t="str">
        <f t="shared" si="6"/>
        <v/>
      </c>
      <c r="AE69" s="8" t="str">
        <f t="shared" si="7"/>
        <v/>
      </c>
      <c r="AF69" s="8" t="str">
        <f t="shared" si="8"/>
        <v/>
      </c>
      <c r="AG69" s="8" t="str">
        <f t="shared" si="9"/>
        <v/>
      </c>
      <c r="AH69" s="8">
        <f t="shared" si="10"/>
        <v>1.6953816514469562</v>
      </c>
      <c r="AI69" s="8" t="str">
        <f t="shared" si="11"/>
        <v/>
      </c>
      <c r="AJ69" s="8" t="str">
        <f t="shared" si="12"/>
        <v/>
      </c>
      <c r="AK69" s="8" t="str">
        <f t="shared" si="13"/>
        <v/>
      </c>
      <c r="AL69" s="8" t="str">
        <f t="shared" si="14"/>
        <v/>
      </c>
      <c r="AM69" s="8" t="str">
        <f t="shared" si="15"/>
        <v/>
      </c>
      <c r="AN69" s="8" t="str">
        <f t="shared" si="16"/>
        <v/>
      </c>
      <c r="AO69" s="8" t="str">
        <f t="shared" si="17"/>
        <v/>
      </c>
      <c r="AP69" s="8" t="str">
        <f t="shared" si="18"/>
        <v/>
      </c>
      <c r="AQ69" s="8" t="str">
        <f t="shared" si="19"/>
        <v/>
      </c>
    </row>
    <row r="70" spans="2:43" x14ac:dyDescent="0.3">
      <c r="B70" s="10" t="s">
        <v>35</v>
      </c>
      <c r="C70" s="11">
        <v>2070</v>
      </c>
      <c r="D70" s="14"/>
      <c r="E70" s="14"/>
      <c r="F70" s="14"/>
      <c r="G70" s="14"/>
      <c r="H70" s="14"/>
      <c r="I70" s="14"/>
      <c r="J70" s="14"/>
      <c r="K70" s="13">
        <v>1.5412560467699601</v>
      </c>
      <c r="L70" s="14"/>
      <c r="M70" s="14"/>
      <c r="N70" s="14"/>
      <c r="O70" s="14"/>
      <c r="P70" s="14"/>
      <c r="Q70" s="14"/>
      <c r="R70" s="14"/>
      <c r="S70" s="14"/>
      <c r="T70" s="14"/>
      <c r="W70" s="8" t="s">
        <v>47</v>
      </c>
      <c r="X70" s="15" t="str">
        <f t="shared" si="1"/>
        <v>CHPNUC</v>
      </c>
      <c r="Y70" s="8" t="s">
        <v>42</v>
      </c>
      <c r="Z70" s="8">
        <f t="shared" si="2"/>
        <v>2070</v>
      </c>
      <c r="AA70" s="8" t="str">
        <f t="shared" si="3"/>
        <v/>
      </c>
      <c r="AB70" s="8" t="str">
        <f t="shared" si="4"/>
        <v/>
      </c>
      <c r="AC70" s="8" t="str">
        <f t="shared" si="5"/>
        <v/>
      </c>
      <c r="AD70" s="8" t="str">
        <f t="shared" si="6"/>
        <v/>
      </c>
      <c r="AE70" s="8" t="str">
        <f t="shared" si="7"/>
        <v/>
      </c>
      <c r="AF70" s="8" t="str">
        <f t="shared" si="8"/>
        <v/>
      </c>
      <c r="AG70" s="8" t="str">
        <f t="shared" si="9"/>
        <v/>
      </c>
      <c r="AH70" s="8">
        <f t="shared" si="10"/>
        <v>1.6953816514469562</v>
      </c>
      <c r="AI70" s="8" t="str">
        <f t="shared" si="11"/>
        <v/>
      </c>
      <c r="AJ70" s="8" t="str">
        <f t="shared" si="12"/>
        <v/>
      </c>
      <c r="AK70" s="8" t="str">
        <f t="shared" si="13"/>
        <v/>
      </c>
      <c r="AL70" s="8" t="str">
        <f t="shared" si="14"/>
        <v/>
      </c>
      <c r="AM70" s="8" t="str">
        <f t="shared" si="15"/>
        <v/>
      </c>
      <c r="AN70" s="8" t="str">
        <f t="shared" si="16"/>
        <v/>
      </c>
      <c r="AO70" s="8" t="str">
        <f t="shared" si="17"/>
        <v/>
      </c>
      <c r="AP70" s="8" t="str">
        <f t="shared" si="18"/>
        <v/>
      </c>
      <c r="AQ70" s="8" t="str">
        <f t="shared" si="19"/>
        <v/>
      </c>
    </row>
    <row r="71" spans="2:43" x14ac:dyDescent="0.3">
      <c r="B71" s="10" t="s">
        <v>35</v>
      </c>
      <c r="C71" s="11">
        <v>2080</v>
      </c>
      <c r="D71" s="14"/>
      <c r="E71" s="14"/>
      <c r="F71" s="14"/>
      <c r="G71" s="14"/>
      <c r="H71" s="14"/>
      <c r="I71" s="14"/>
      <c r="J71" s="14"/>
      <c r="K71" s="13">
        <v>1.5412560467699601</v>
      </c>
      <c r="L71" s="14"/>
      <c r="M71" s="14"/>
      <c r="N71" s="14"/>
      <c r="O71" s="14"/>
      <c r="P71" s="14"/>
      <c r="Q71" s="14"/>
      <c r="R71" s="14"/>
      <c r="S71" s="14"/>
      <c r="T71" s="14"/>
      <c r="W71" s="8" t="s">
        <v>47</v>
      </c>
      <c r="X71" s="15" t="str">
        <f t="shared" ref="X71:X93" si="20">B71</f>
        <v>CHPNUC</v>
      </c>
      <c r="Y71" s="8" t="s">
        <v>42</v>
      </c>
      <c r="Z71" s="8">
        <f t="shared" ref="Z71:Z93" si="21">C71</f>
        <v>2080</v>
      </c>
      <c r="AA71" s="8" t="str">
        <f t="shared" ref="AA71:AA93" si="22">IF(D71="","", D71*(1+$Y$1))</f>
        <v/>
      </c>
      <c r="AB71" s="8" t="str">
        <f t="shared" ref="AB71:AB93" si="23">IF(E71="","", E71*(1+$Y$1))</f>
        <v/>
      </c>
      <c r="AC71" s="8" t="str">
        <f t="shared" ref="AC71:AC93" si="24">IF(F71="","", F71*(1+$Y$1))</f>
        <v/>
      </c>
      <c r="AD71" s="8" t="str">
        <f t="shared" ref="AD71:AD93" si="25">IF(G71="","", G71*(1+$Y$1))</f>
        <v/>
      </c>
      <c r="AE71" s="8" t="str">
        <f t="shared" ref="AE71:AE93" si="26">IF(H71="","", H71*(1+$Y$1))</f>
        <v/>
      </c>
      <c r="AF71" s="8" t="str">
        <f t="shared" ref="AF71:AF93" si="27">IF(I71="","", I71*(1+$Y$1))</f>
        <v/>
      </c>
      <c r="AG71" s="8" t="str">
        <f t="shared" ref="AG71:AG93" si="28">IF(J71="","", J71*(1+$Y$1))</f>
        <v/>
      </c>
      <c r="AH71" s="8">
        <f t="shared" ref="AH71:AH93" si="29">IF(K71="","", K71*(1+$Y$1))</f>
        <v>1.6953816514469562</v>
      </c>
      <c r="AI71" s="8" t="str">
        <f t="shared" ref="AI71:AI93" si="30">IF(L71="","", L71*(1+$Y$1))</f>
        <v/>
      </c>
      <c r="AJ71" s="8" t="str">
        <f t="shared" ref="AJ71:AJ93" si="31">IF(M71="","", M71*(1+$Y$1))</f>
        <v/>
      </c>
      <c r="AK71" s="8" t="str">
        <f t="shared" ref="AK71:AK93" si="32">IF(N71="","", N71*(1+$Y$1))</f>
        <v/>
      </c>
      <c r="AL71" s="8" t="str">
        <f t="shared" ref="AL71:AL93" si="33">IF(O71="","", O71*(1+$Y$1))</f>
        <v/>
      </c>
      <c r="AM71" s="8" t="str">
        <f t="shared" ref="AM71:AM93" si="34">IF(P71="","", P71*(1+$Y$1))</f>
        <v/>
      </c>
      <c r="AN71" s="8" t="str">
        <f t="shared" ref="AN71:AN93" si="35">IF(Q71="","", Q71*(1+$Y$1))</f>
        <v/>
      </c>
      <c r="AO71" s="8" t="str">
        <f t="shared" ref="AO71:AO93" si="36">IF(R71="","", R71*(1+$Y$1))</f>
        <v/>
      </c>
      <c r="AP71" s="8" t="str">
        <f t="shared" ref="AP71:AP93" si="37">IF(S71="","", S71*(1+$Y$1))</f>
        <v/>
      </c>
      <c r="AQ71" s="8" t="str">
        <f t="shared" ref="AQ71:AQ93" si="38">IF(T71="","", T71*(1+$Y$1))</f>
        <v/>
      </c>
    </row>
    <row r="72" spans="2:43" x14ac:dyDescent="0.3">
      <c r="B72" s="10" t="s">
        <v>36</v>
      </c>
      <c r="C72" s="11">
        <v>2017</v>
      </c>
      <c r="D72" s="14"/>
      <c r="E72" s="14"/>
      <c r="F72" s="13">
        <v>3.0229281645666101E-2</v>
      </c>
      <c r="G72" s="13">
        <v>2.9054522624372101</v>
      </c>
      <c r="H72" s="13">
        <v>6.6739200488334302E-3</v>
      </c>
      <c r="I72" s="13">
        <v>2.4132530968468499E-2</v>
      </c>
      <c r="J72" s="14"/>
      <c r="K72" s="13">
        <v>12.4587522394127</v>
      </c>
      <c r="L72" s="14"/>
      <c r="M72" s="14"/>
      <c r="N72" s="14"/>
      <c r="O72" s="13">
        <v>0.36990841721470102</v>
      </c>
      <c r="P72" s="13">
        <v>0.58049482951759601</v>
      </c>
      <c r="Q72" s="13">
        <v>1.0358832039915</v>
      </c>
      <c r="R72" s="13">
        <v>2.4100979779182499</v>
      </c>
      <c r="S72" s="13">
        <v>3.9233636839643098</v>
      </c>
      <c r="T72" s="13">
        <v>9.70587808455819</v>
      </c>
      <c r="W72" s="8" t="s">
        <v>47</v>
      </c>
      <c r="X72" s="15" t="str">
        <f t="shared" si="20"/>
        <v>CHPOIL</v>
      </c>
      <c r="Y72" s="8" t="s">
        <v>42</v>
      </c>
      <c r="Z72" s="8">
        <f t="shared" si="21"/>
        <v>2017</v>
      </c>
      <c r="AA72" s="8" t="str">
        <f t="shared" si="22"/>
        <v/>
      </c>
      <c r="AB72" s="8" t="str">
        <f t="shared" si="23"/>
        <v/>
      </c>
      <c r="AC72" s="8">
        <f t="shared" si="24"/>
        <v>3.3252209810232712E-2</v>
      </c>
      <c r="AD72" s="8">
        <f t="shared" si="25"/>
        <v>3.1959974886809315</v>
      </c>
      <c r="AE72" s="8">
        <f t="shared" si="26"/>
        <v>7.3413120537167741E-3</v>
      </c>
      <c r="AF72" s="8">
        <f t="shared" si="27"/>
        <v>2.654578406531535E-2</v>
      </c>
      <c r="AG72" s="8" t="str">
        <f t="shared" si="28"/>
        <v/>
      </c>
      <c r="AH72" s="8">
        <f t="shared" si="29"/>
        <v>13.704627463353971</v>
      </c>
      <c r="AI72" s="8" t="str">
        <f t="shared" si="30"/>
        <v/>
      </c>
      <c r="AJ72" s="8" t="str">
        <f t="shared" si="31"/>
        <v/>
      </c>
      <c r="AK72" s="8" t="str">
        <f t="shared" si="32"/>
        <v/>
      </c>
      <c r="AL72" s="8">
        <f t="shared" si="33"/>
        <v>0.40689925893617118</v>
      </c>
      <c r="AM72" s="8">
        <f t="shared" si="34"/>
        <v>0.63854431246935561</v>
      </c>
      <c r="AN72" s="8">
        <f t="shared" si="35"/>
        <v>1.1394715243906501</v>
      </c>
      <c r="AO72" s="8">
        <f t="shared" si="36"/>
        <v>2.6511077757100749</v>
      </c>
      <c r="AP72" s="8">
        <f t="shared" si="37"/>
        <v>4.3157000523607412</v>
      </c>
      <c r="AQ72" s="8">
        <f t="shared" si="38"/>
        <v>10.67646589301401</v>
      </c>
    </row>
    <row r="73" spans="2:43" x14ac:dyDescent="0.3">
      <c r="B73" s="10" t="s">
        <v>36</v>
      </c>
      <c r="C73" s="11">
        <v>2018</v>
      </c>
      <c r="D73" s="14"/>
      <c r="E73" s="14"/>
      <c r="F73" s="13">
        <v>3.0229281645666101E-2</v>
      </c>
      <c r="G73" s="13">
        <v>2.9054522624372101</v>
      </c>
      <c r="H73" s="13">
        <v>6.6739200488334302E-3</v>
      </c>
      <c r="I73" s="13">
        <v>2.4132530968468499E-2</v>
      </c>
      <c r="J73" s="14"/>
      <c r="K73" s="13">
        <v>12.4587522394127</v>
      </c>
      <c r="L73" s="14"/>
      <c r="M73" s="14"/>
      <c r="N73" s="14"/>
      <c r="O73" s="13">
        <v>0.36990841721470102</v>
      </c>
      <c r="P73" s="13">
        <v>0.62533992364341895</v>
      </c>
      <c r="Q73" s="13">
        <v>1.0358832039915</v>
      </c>
      <c r="R73" s="13">
        <v>2.4100979779182499</v>
      </c>
      <c r="S73" s="13">
        <v>4.8698729949777402</v>
      </c>
      <c r="T73" s="13">
        <v>9.70587808455819</v>
      </c>
      <c r="W73" s="8" t="s">
        <v>47</v>
      </c>
      <c r="X73" s="15" t="str">
        <f t="shared" si="20"/>
        <v>CHPOIL</v>
      </c>
      <c r="Y73" s="8" t="s">
        <v>42</v>
      </c>
      <c r="Z73" s="8">
        <f t="shared" si="21"/>
        <v>2018</v>
      </c>
      <c r="AA73" s="8" t="str">
        <f t="shared" si="22"/>
        <v/>
      </c>
      <c r="AB73" s="8" t="str">
        <f t="shared" si="23"/>
        <v/>
      </c>
      <c r="AC73" s="8">
        <f t="shared" si="24"/>
        <v>3.3252209810232712E-2</v>
      </c>
      <c r="AD73" s="8">
        <f t="shared" si="25"/>
        <v>3.1959974886809315</v>
      </c>
      <c r="AE73" s="8">
        <f t="shared" si="26"/>
        <v>7.3413120537167741E-3</v>
      </c>
      <c r="AF73" s="8">
        <f t="shared" si="27"/>
        <v>2.654578406531535E-2</v>
      </c>
      <c r="AG73" s="8" t="str">
        <f t="shared" si="28"/>
        <v/>
      </c>
      <c r="AH73" s="8">
        <f t="shared" si="29"/>
        <v>13.704627463353971</v>
      </c>
      <c r="AI73" s="8" t="str">
        <f t="shared" si="30"/>
        <v/>
      </c>
      <c r="AJ73" s="8" t="str">
        <f t="shared" si="31"/>
        <v/>
      </c>
      <c r="AK73" s="8" t="str">
        <f t="shared" si="32"/>
        <v/>
      </c>
      <c r="AL73" s="8">
        <f t="shared" si="33"/>
        <v>0.40689925893617118</v>
      </c>
      <c r="AM73" s="8">
        <f t="shared" si="34"/>
        <v>0.68787391600776093</v>
      </c>
      <c r="AN73" s="8">
        <f t="shared" si="35"/>
        <v>1.1394715243906501</v>
      </c>
      <c r="AO73" s="8">
        <f t="shared" si="36"/>
        <v>2.6511077757100749</v>
      </c>
      <c r="AP73" s="8">
        <f t="shared" si="37"/>
        <v>5.3568602944755144</v>
      </c>
      <c r="AQ73" s="8">
        <f t="shared" si="38"/>
        <v>10.67646589301401</v>
      </c>
    </row>
    <row r="74" spans="2:43" x14ac:dyDescent="0.3">
      <c r="B74" s="10" t="s">
        <v>36</v>
      </c>
      <c r="C74" s="11">
        <v>2019</v>
      </c>
      <c r="D74" s="14"/>
      <c r="E74" s="14"/>
      <c r="F74" s="13">
        <v>3.0229281645666101E-2</v>
      </c>
      <c r="G74" s="13">
        <v>2.9054522624372101</v>
      </c>
      <c r="H74" s="13">
        <v>6.6739200488334302E-3</v>
      </c>
      <c r="I74" s="13">
        <v>2.4132530968468499E-2</v>
      </c>
      <c r="J74" s="14"/>
      <c r="K74" s="13">
        <v>12.4587522394127</v>
      </c>
      <c r="L74" s="14"/>
      <c r="M74" s="14"/>
      <c r="N74" s="14"/>
      <c r="O74" s="13">
        <v>0.36990841721470102</v>
      </c>
      <c r="P74" s="13">
        <v>0.62533992364341895</v>
      </c>
      <c r="Q74" s="13">
        <v>4.53635913309411</v>
      </c>
      <c r="R74" s="13">
        <v>2.4100979779182499</v>
      </c>
      <c r="S74" s="13">
        <v>4.8698729949777402</v>
      </c>
      <c r="T74" s="13">
        <v>9.70587808455819</v>
      </c>
      <c r="W74" s="8" t="s">
        <v>47</v>
      </c>
      <c r="X74" s="15" t="str">
        <f t="shared" si="20"/>
        <v>CHPOIL</v>
      </c>
      <c r="Y74" s="8" t="s">
        <v>42</v>
      </c>
      <c r="Z74" s="8">
        <f t="shared" si="21"/>
        <v>2019</v>
      </c>
      <c r="AA74" s="8" t="str">
        <f t="shared" si="22"/>
        <v/>
      </c>
      <c r="AB74" s="8" t="str">
        <f t="shared" si="23"/>
        <v/>
      </c>
      <c r="AC74" s="8">
        <f t="shared" si="24"/>
        <v>3.3252209810232712E-2</v>
      </c>
      <c r="AD74" s="8">
        <f t="shared" si="25"/>
        <v>3.1959974886809315</v>
      </c>
      <c r="AE74" s="8">
        <f t="shared" si="26"/>
        <v>7.3413120537167741E-3</v>
      </c>
      <c r="AF74" s="8">
        <f t="shared" si="27"/>
        <v>2.654578406531535E-2</v>
      </c>
      <c r="AG74" s="8" t="str">
        <f t="shared" si="28"/>
        <v/>
      </c>
      <c r="AH74" s="8">
        <f t="shared" si="29"/>
        <v>13.704627463353971</v>
      </c>
      <c r="AI74" s="8" t="str">
        <f t="shared" si="30"/>
        <v/>
      </c>
      <c r="AJ74" s="8" t="str">
        <f t="shared" si="31"/>
        <v/>
      </c>
      <c r="AK74" s="8" t="str">
        <f t="shared" si="32"/>
        <v/>
      </c>
      <c r="AL74" s="8">
        <f t="shared" si="33"/>
        <v>0.40689925893617118</v>
      </c>
      <c r="AM74" s="8">
        <f t="shared" si="34"/>
        <v>0.68787391600776093</v>
      </c>
      <c r="AN74" s="8">
        <f t="shared" si="35"/>
        <v>4.9899950464035214</v>
      </c>
      <c r="AO74" s="8">
        <f t="shared" si="36"/>
        <v>2.6511077757100749</v>
      </c>
      <c r="AP74" s="8">
        <f t="shared" si="37"/>
        <v>5.3568602944755144</v>
      </c>
      <c r="AQ74" s="8">
        <f t="shared" si="38"/>
        <v>10.67646589301401</v>
      </c>
    </row>
    <row r="75" spans="2:43" x14ac:dyDescent="0.3">
      <c r="B75" s="10" t="s">
        <v>36</v>
      </c>
      <c r="C75" s="11">
        <v>2020</v>
      </c>
      <c r="D75" s="14"/>
      <c r="E75" s="14"/>
      <c r="F75" s="13">
        <v>3.0229281645666101E-2</v>
      </c>
      <c r="G75" s="13">
        <v>2.9054522624372101</v>
      </c>
      <c r="H75" s="13">
        <v>6.6739200488334302E-3</v>
      </c>
      <c r="I75" s="13">
        <v>2.4132530968468499E-2</v>
      </c>
      <c r="J75" s="14"/>
      <c r="K75" s="13">
        <v>12.4587522394127</v>
      </c>
      <c r="L75" s="14"/>
      <c r="M75" s="14"/>
      <c r="N75" s="14"/>
      <c r="O75" s="13">
        <v>0.36990841721470102</v>
      </c>
      <c r="P75" s="13">
        <v>0.62533992364341895</v>
      </c>
      <c r="Q75" s="13">
        <v>6.5451986339736896</v>
      </c>
      <c r="R75" s="13">
        <v>2.4100979779182499</v>
      </c>
      <c r="S75" s="13">
        <v>4.8698729949777402</v>
      </c>
      <c r="T75" s="13">
        <v>9.70587808455819</v>
      </c>
      <c r="W75" s="8" t="s">
        <v>47</v>
      </c>
      <c r="X75" s="15" t="str">
        <f t="shared" si="20"/>
        <v>CHPOIL</v>
      </c>
      <c r="Y75" s="8" t="s">
        <v>42</v>
      </c>
      <c r="Z75" s="8">
        <f t="shared" si="21"/>
        <v>2020</v>
      </c>
      <c r="AA75" s="8" t="str">
        <f t="shared" si="22"/>
        <v/>
      </c>
      <c r="AB75" s="8" t="str">
        <f t="shared" si="23"/>
        <v/>
      </c>
      <c r="AC75" s="8">
        <f t="shared" si="24"/>
        <v>3.3252209810232712E-2</v>
      </c>
      <c r="AD75" s="8">
        <f t="shared" si="25"/>
        <v>3.1959974886809315</v>
      </c>
      <c r="AE75" s="8">
        <f t="shared" si="26"/>
        <v>7.3413120537167741E-3</v>
      </c>
      <c r="AF75" s="8">
        <f t="shared" si="27"/>
        <v>2.654578406531535E-2</v>
      </c>
      <c r="AG75" s="8" t="str">
        <f t="shared" si="28"/>
        <v/>
      </c>
      <c r="AH75" s="8">
        <f t="shared" si="29"/>
        <v>13.704627463353971</v>
      </c>
      <c r="AI75" s="8" t="str">
        <f t="shared" si="30"/>
        <v/>
      </c>
      <c r="AJ75" s="8" t="str">
        <f t="shared" si="31"/>
        <v/>
      </c>
      <c r="AK75" s="8" t="str">
        <f t="shared" si="32"/>
        <v/>
      </c>
      <c r="AL75" s="8">
        <f t="shared" si="33"/>
        <v>0.40689925893617118</v>
      </c>
      <c r="AM75" s="8">
        <f t="shared" si="34"/>
        <v>0.68787391600776093</v>
      </c>
      <c r="AN75" s="8">
        <f t="shared" si="35"/>
        <v>7.1997184973710588</v>
      </c>
      <c r="AO75" s="8">
        <f t="shared" si="36"/>
        <v>2.6511077757100749</v>
      </c>
      <c r="AP75" s="8">
        <f t="shared" si="37"/>
        <v>5.3568602944755144</v>
      </c>
      <c r="AQ75" s="8">
        <f t="shared" si="38"/>
        <v>10.67646589301401</v>
      </c>
    </row>
    <row r="76" spans="2:43" x14ac:dyDescent="0.3">
      <c r="B76" s="10" t="s">
        <v>36</v>
      </c>
      <c r="C76" s="11">
        <v>2021</v>
      </c>
      <c r="D76" s="14"/>
      <c r="E76" s="14"/>
      <c r="F76" s="13">
        <v>3.0229281645666101E-2</v>
      </c>
      <c r="G76" s="13">
        <v>2.9054522624372101</v>
      </c>
      <c r="H76" s="13">
        <v>6.6739200488334302E-3</v>
      </c>
      <c r="I76" s="13">
        <v>2.4132530968468499E-2</v>
      </c>
      <c r="J76" s="14"/>
      <c r="K76" s="13">
        <v>12.4587522394127</v>
      </c>
      <c r="L76" s="14"/>
      <c r="M76" s="14"/>
      <c r="N76" s="14"/>
      <c r="O76" s="13">
        <v>0.36990841721470102</v>
      </c>
      <c r="P76" s="13">
        <v>0.62533992364341895</v>
      </c>
      <c r="Q76" s="13">
        <v>7.9026600691529598</v>
      </c>
      <c r="R76" s="13">
        <v>2.4100979779182499</v>
      </c>
      <c r="S76" s="13">
        <v>4.8698729949777402</v>
      </c>
      <c r="T76" s="13">
        <v>9.70587808455819</v>
      </c>
      <c r="W76" s="8" t="s">
        <v>47</v>
      </c>
      <c r="X76" s="15" t="str">
        <f t="shared" si="20"/>
        <v>CHPOIL</v>
      </c>
      <c r="Y76" s="8" t="s">
        <v>42</v>
      </c>
      <c r="Z76" s="8">
        <f t="shared" si="21"/>
        <v>2021</v>
      </c>
      <c r="AA76" s="8" t="str">
        <f t="shared" si="22"/>
        <v/>
      </c>
      <c r="AB76" s="8" t="str">
        <f t="shared" si="23"/>
        <v/>
      </c>
      <c r="AC76" s="8">
        <f t="shared" si="24"/>
        <v>3.3252209810232712E-2</v>
      </c>
      <c r="AD76" s="8">
        <f t="shared" si="25"/>
        <v>3.1959974886809315</v>
      </c>
      <c r="AE76" s="8">
        <f t="shared" si="26"/>
        <v>7.3413120537167741E-3</v>
      </c>
      <c r="AF76" s="8">
        <f t="shared" si="27"/>
        <v>2.654578406531535E-2</v>
      </c>
      <c r="AG76" s="8" t="str">
        <f t="shared" si="28"/>
        <v/>
      </c>
      <c r="AH76" s="8">
        <f t="shared" si="29"/>
        <v>13.704627463353971</v>
      </c>
      <c r="AI76" s="8" t="str">
        <f t="shared" si="30"/>
        <v/>
      </c>
      <c r="AJ76" s="8" t="str">
        <f t="shared" si="31"/>
        <v/>
      </c>
      <c r="AK76" s="8" t="str">
        <f t="shared" si="32"/>
        <v/>
      </c>
      <c r="AL76" s="8">
        <f t="shared" si="33"/>
        <v>0.40689925893617118</v>
      </c>
      <c r="AM76" s="8">
        <f t="shared" si="34"/>
        <v>0.68787391600776093</v>
      </c>
      <c r="AN76" s="8">
        <f t="shared" si="35"/>
        <v>8.6929260760682556</v>
      </c>
      <c r="AO76" s="8">
        <f t="shared" si="36"/>
        <v>2.6511077757100749</v>
      </c>
      <c r="AP76" s="8">
        <f t="shared" si="37"/>
        <v>5.3568602944755144</v>
      </c>
      <c r="AQ76" s="8">
        <f t="shared" si="38"/>
        <v>10.67646589301401</v>
      </c>
    </row>
    <row r="77" spans="2:43" x14ac:dyDescent="0.3">
      <c r="B77" s="10" t="s">
        <v>36</v>
      </c>
      <c r="C77" s="11">
        <v>2030</v>
      </c>
      <c r="D77" s="14"/>
      <c r="E77" s="14"/>
      <c r="F77" s="13">
        <v>3.0229281645666101E-2</v>
      </c>
      <c r="G77" s="13">
        <v>2.9054522624372101</v>
      </c>
      <c r="H77" s="13">
        <v>6.6739200488334302E-3</v>
      </c>
      <c r="I77" s="13">
        <v>2.4132530968468499E-2</v>
      </c>
      <c r="J77" s="14"/>
      <c r="K77" s="13">
        <v>12.4587522394127</v>
      </c>
      <c r="L77" s="14"/>
      <c r="M77" s="14"/>
      <c r="N77" s="14"/>
      <c r="O77" s="13">
        <v>0.36990841721470102</v>
      </c>
      <c r="P77" s="13">
        <v>0.62533992364341895</v>
      </c>
      <c r="Q77" s="13">
        <v>9.4258199958231295</v>
      </c>
      <c r="R77" s="13">
        <v>2.4100979779182499</v>
      </c>
      <c r="S77" s="13">
        <v>4.8698729949777402</v>
      </c>
      <c r="T77" s="13">
        <v>9.70587808455819</v>
      </c>
      <c r="W77" s="8" t="s">
        <v>47</v>
      </c>
      <c r="X77" s="15" t="str">
        <f t="shared" si="20"/>
        <v>CHPOIL</v>
      </c>
      <c r="Y77" s="8" t="s">
        <v>42</v>
      </c>
      <c r="Z77" s="8">
        <f t="shared" si="21"/>
        <v>2030</v>
      </c>
      <c r="AA77" s="8" t="str">
        <f t="shared" si="22"/>
        <v/>
      </c>
      <c r="AB77" s="8" t="str">
        <f t="shared" si="23"/>
        <v/>
      </c>
      <c r="AC77" s="8">
        <f t="shared" si="24"/>
        <v>3.3252209810232712E-2</v>
      </c>
      <c r="AD77" s="8">
        <f t="shared" si="25"/>
        <v>3.1959974886809315</v>
      </c>
      <c r="AE77" s="8">
        <f t="shared" si="26"/>
        <v>7.3413120537167741E-3</v>
      </c>
      <c r="AF77" s="8">
        <f t="shared" si="27"/>
        <v>2.654578406531535E-2</v>
      </c>
      <c r="AG77" s="8" t="str">
        <f t="shared" si="28"/>
        <v/>
      </c>
      <c r="AH77" s="8">
        <f t="shared" si="29"/>
        <v>13.704627463353971</v>
      </c>
      <c r="AI77" s="8" t="str">
        <f t="shared" si="30"/>
        <v/>
      </c>
      <c r="AJ77" s="8" t="str">
        <f t="shared" si="31"/>
        <v/>
      </c>
      <c r="AK77" s="8" t="str">
        <f t="shared" si="32"/>
        <v/>
      </c>
      <c r="AL77" s="8">
        <f t="shared" si="33"/>
        <v>0.40689925893617118</v>
      </c>
      <c r="AM77" s="8">
        <f t="shared" si="34"/>
        <v>0.68787391600776093</v>
      </c>
      <c r="AN77" s="8">
        <f t="shared" si="35"/>
        <v>10.368401995405444</v>
      </c>
      <c r="AO77" s="8">
        <f t="shared" si="36"/>
        <v>2.6511077757100749</v>
      </c>
      <c r="AP77" s="8">
        <f t="shared" si="37"/>
        <v>5.3568602944755144</v>
      </c>
      <c r="AQ77" s="8">
        <f t="shared" si="38"/>
        <v>10.67646589301401</v>
      </c>
    </row>
    <row r="78" spans="2:43" x14ac:dyDescent="0.3">
      <c r="B78" s="10" t="s">
        <v>36</v>
      </c>
      <c r="C78" s="11">
        <v>2040</v>
      </c>
      <c r="D78" s="14"/>
      <c r="E78" s="13">
        <v>6.9072320709105501E-3</v>
      </c>
      <c r="F78" s="13">
        <v>3.0229281645666101E-2</v>
      </c>
      <c r="G78" s="13">
        <v>2.9054522624372101</v>
      </c>
      <c r="H78" s="13">
        <v>1.1126626830957999E-2</v>
      </c>
      <c r="I78" s="13">
        <v>2.4132530968468499E-2</v>
      </c>
      <c r="J78" s="14"/>
      <c r="K78" s="13">
        <v>12.4587522394127</v>
      </c>
      <c r="L78" s="14"/>
      <c r="M78" s="14"/>
      <c r="N78" s="14"/>
      <c r="O78" s="13">
        <v>0.36990841721470102</v>
      </c>
      <c r="P78" s="13">
        <v>0.62533992364341895</v>
      </c>
      <c r="Q78" s="13">
        <v>9.4258199958231295</v>
      </c>
      <c r="R78" s="13">
        <v>2.4100979779182499</v>
      </c>
      <c r="S78" s="13">
        <v>4.8698729949777402</v>
      </c>
      <c r="T78" s="13">
        <v>9.70587808455819</v>
      </c>
      <c r="W78" s="8" t="s">
        <v>47</v>
      </c>
      <c r="X78" s="15" t="str">
        <f t="shared" si="20"/>
        <v>CHPOIL</v>
      </c>
      <c r="Y78" s="8" t="s">
        <v>42</v>
      </c>
      <c r="Z78" s="8">
        <f t="shared" si="21"/>
        <v>2040</v>
      </c>
      <c r="AA78" s="8" t="str">
        <f t="shared" si="22"/>
        <v/>
      </c>
      <c r="AB78" s="8">
        <f t="shared" si="23"/>
        <v>7.5979552780016061E-3</v>
      </c>
      <c r="AC78" s="8">
        <f t="shared" si="24"/>
        <v>3.3252209810232712E-2</v>
      </c>
      <c r="AD78" s="8">
        <f t="shared" si="25"/>
        <v>3.1959974886809315</v>
      </c>
      <c r="AE78" s="8">
        <f t="shared" si="26"/>
        <v>1.22392895140538E-2</v>
      </c>
      <c r="AF78" s="8">
        <f t="shared" si="27"/>
        <v>2.654578406531535E-2</v>
      </c>
      <c r="AG78" s="8" t="str">
        <f t="shared" si="28"/>
        <v/>
      </c>
      <c r="AH78" s="8">
        <f t="shared" si="29"/>
        <v>13.704627463353971</v>
      </c>
      <c r="AI78" s="8" t="str">
        <f t="shared" si="30"/>
        <v/>
      </c>
      <c r="AJ78" s="8" t="str">
        <f t="shared" si="31"/>
        <v/>
      </c>
      <c r="AK78" s="8" t="str">
        <f t="shared" si="32"/>
        <v/>
      </c>
      <c r="AL78" s="8">
        <f t="shared" si="33"/>
        <v>0.40689925893617118</v>
      </c>
      <c r="AM78" s="8">
        <f t="shared" si="34"/>
        <v>0.68787391600776093</v>
      </c>
      <c r="AN78" s="8">
        <f t="shared" si="35"/>
        <v>10.368401995405444</v>
      </c>
      <c r="AO78" s="8">
        <f t="shared" si="36"/>
        <v>2.6511077757100749</v>
      </c>
      <c r="AP78" s="8">
        <f t="shared" si="37"/>
        <v>5.3568602944755144</v>
      </c>
      <c r="AQ78" s="8">
        <f t="shared" si="38"/>
        <v>10.67646589301401</v>
      </c>
    </row>
    <row r="79" spans="2:43" x14ac:dyDescent="0.3">
      <c r="B79" s="10" t="s">
        <v>36</v>
      </c>
      <c r="C79" s="11">
        <v>2050</v>
      </c>
      <c r="D79" s="14"/>
      <c r="E79" s="13">
        <v>7.4385576148267504E-3</v>
      </c>
      <c r="F79" s="13">
        <v>3.0229281645666101E-2</v>
      </c>
      <c r="G79" s="13">
        <v>2.9054522624372101</v>
      </c>
      <c r="H79" s="13">
        <v>1.1126626830957999E-2</v>
      </c>
      <c r="I79" s="13">
        <v>2.4132530968468499E-2</v>
      </c>
      <c r="J79" s="14"/>
      <c r="K79" s="13">
        <v>12.4587522394127</v>
      </c>
      <c r="L79" s="14"/>
      <c r="M79" s="14"/>
      <c r="N79" s="14"/>
      <c r="O79" s="13">
        <v>0.36990841721470102</v>
      </c>
      <c r="P79" s="13">
        <v>0.62533992364341895</v>
      </c>
      <c r="Q79" s="13">
        <v>9.4258199958231295</v>
      </c>
      <c r="R79" s="13">
        <v>2.4100979779182499</v>
      </c>
      <c r="S79" s="13">
        <v>4.8861039528551302</v>
      </c>
      <c r="T79" s="13">
        <v>9.70587808455819</v>
      </c>
      <c r="W79" s="8" t="s">
        <v>47</v>
      </c>
      <c r="X79" s="15" t="str">
        <f t="shared" si="20"/>
        <v>CHPOIL</v>
      </c>
      <c r="Y79" s="8" t="s">
        <v>42</v>
      </c>
      <c r="Z79" s="8">
        <f t="shared" si="21"/>
        <v>2050</v>
      </c>
      <c r="AA79" s="8" t="str">
        <f t="shared" si="22"/>
        <v/>
      </c>
      <c r="AB79" s="8">
        <f t="shared" si="23"/>
        <v>8.1824133763094258E-3</v>
      </c>
      <c r="AC79" s="8">
        <f t="shared" si="24"/>
        <v>3.3252209810232712E-2</v>
      </c>
      <c r="AD79" s="8">
        <f t="shared" si="25"/>
        <v>3.1959974886809315</v>
      </c>
      <c r="AE79" s="8">
        <f t="shared" si="26"/>
        <v>1.22392895140538E-2</v>
      </c>
      <c r="AF79" s="8">
        <f t="shared" si="27"/>
        <v>2.654578406531535E-2</v>
      </c>
      <c r="AG79" s="8" t="str">
        <f t="shared" si="28"/>
        <v/>
      </c>
      <c r="AH79" s="8">
        <f t="shared" si="29"/>
        <v>13.704627463353971</v>
      </c>
      <c r="AI79" s="8" t="str">
        <f t="shared" si="30"/>
        <v/>
      </c>
      <c r="AJ79" s="8" t="str">
        <f t="shared" si="31"/>
        <v/>
      </c>
      <c r="AK79" s="8" t="str">
        <f t="shared" si="32"/>
        <v/>
      </c>
      <c r="AL79" s="8">
        <f t="shared" si="33"/>
        <v>0.40689925893617118</v>
      </c>
      <c r="AM79" s="8">
        <f t="shared" si="34"/>
        <v>0.68787391600776093</v>
      </c>
      <c r="AN79" s="8">
        <f t="shared" si="35"/>
        <v>10.368401995405444</v>
      </c>
      <c r="AO79" s="8">
        <f t="shared" si="36"/>
        <v>2.6511077757100749</v>
      </c>
      <c r="AP79" s="8">
        <f t="shared" si="37"/>
        <v>5.3747143481406434</v>
      </c>
      <c r="AQ79" s="8">
        <f t="shared" si="38"/>
        <v>10.67646589301401</v>
      </c>
    </row>
    <row r="80" spans="2:43" x14ac:dyDescent="0.3">
      <c r="B80" s="10" t="s">
        <v>36</v>
      </c>
      <c r="C80" s="11">
        <v>2060</v>
      </c>
      <c r="D80" s="13">
        <v>1.84636717360985E-7</v>
      </c>
      <c r="E80" s="13">
        <v>7.4385576148267504E-3</v>
      </c>
      <c r="F80" s="13">
        <v>3.0229281645666101E-2</v>
      </c>
      <c r="G80" s="13">
        <v>2.9054522624372101</v>
      </c>
      <c r="H80" s="13">
        <v>1.1126626830957999E-2</v>
      </c>
      <c r="I80" s="13">
        <v>2.4132530968468499E-2</v>
      </c>
      <c r="J80" s="14"/>
      <c r="K80" s="13">
        <v>12.4587522394127</v>
      </c>
      <c r="L80" s="14"/>
      <c r="M80" s="14"/>
      <c r="N80" s="14"/>
      <c r="O80" s="13">
        <v>0.36990841721470102</v>
      </c>
      <c r="P80" s="13">
        <v>0.62533992364341895</v>
      </c>
      <c r="Q80" s="13">
        <v>9.4258199958231295</v>
      </c>
      <c r="R80" s="13">
        <v>2.4100979779182499</v>
      </c>
      <c r="S80" s="13">
        <v>4.8861039528551302</v>
      </c>
      <c r="T80" s="13">
        <v>9.70587808455819</v>
      </c>
      <c r="W80" s="8" t="s">
        <v>47</v>
      </c>
      <c r="X80" s="15" t="str">
        <f t="shared" si="20"/>
        <v>CHPOIL</v>
      </c>
      <c r="Y80" s="8" t="s">
        <v>42</v>
      </c>
      <c r="Z80" s="8">
        <f t="shared" si="21"/>
        <v>2060</v>
      </c>
      <c r="AA80" s="8">
        <f t="shared" si="22"/>
        <v>2.0310038909708352E-7</v>
      </c>
      <c r="AB80" s="8">
        <f t="shared" si="23"/>
        <v>8.1824133763094258E-3</v>
      </c>
      <c r="AC80" s="8">
        <f t="shared" si="24"/>
        <v>3.3252209810232712E-2</v>
      </c>
      <c r="AD80" s="8">
        <f t="shared" si="25"/>
        <v>3.1959974886809315</v>
      </c>
      <c r="AE80" s="8">
        <f t="shared" si="26"/>
        <v>1.22392895140538E-2</v>
      </c>
      <c r="AF80" s="8">
        <f t="shared" si="27"/>
        <v>2.654578406531535E-2</v>
      </c>
      <c r="AG80" s="8" t="str">
        <f t="shared" si="28"/>
        <v/>
      </c>
      <c r="AH80" s="8">
        <f t="shared" si="29"/>
        <v>13.704627463353971</v>
      </c>
      <c r="AI80" s="8" t="str">
        <f t="shared" si="30"/>
        <v/>
      </c>
      <c r="AJ80" s="8" t="str">
        <f t="shared" si="31"/>
        <v/>
      </c>
      <c r="AK80" s="8" t="str">
        <f t="shared" si="32"/>
        <v/>
      </c>
      <c r="AL80" s="8">
        <f t="shared" si="33"/>
        <v>0.40689925893617118</v>
      </c>
      <c r="AM80" s="8">
        <f t="shared" si="34"/>
        <v>0.68787391600776093</v>
      </c>
      <c r="AN80" s="8">
        <f t="shared" si="35"/>
        <v>10.368401995405444</v>
      </c>
      <c r="AO80" s="8">
        <f t="shared" si="36"/>
        <v>2.6511077757100749</v>
      </c>
      <c r="AP80" s="8">
        <f t="shared" si="37"/>
        <v>5.3747143481406434</v>
      </c>
      <c r="AQ80" s="8">
        <f t="shared" si="38"/>
        <v>10.67646589301401</v>
      </c>
    </row>
    <row r="81" spans="1:43" x14ac:dyDescent="0.3">
      <c r="B81" s="10" t="s">
        <v>36</v>
      </c>
      <c r="C81" s="11">
        <v>2070</v>
      </c>
      <c r="D81" s="13">
        <v>3.0879934032595899E-4</v>
      </c>
      <c r="E81" s="13">
        <v>7.4385576148267504E-3</v>
      </c>
      <c r="F81" s="13">
        <v>3.0229281645666101E-2</v>
      </c>
      <c r="G81" s="13">
        <v>2.9054522624372101</v>
      </c>
      <c r="H81" s="13">
        <v>1.46405109064694E-2</v>
      </c>
      <c r="I81" s="13">
        <v>2.4132530968468499E-2</v>
      </c>
      <c r="J81" s="14"/>
      <c r="K81" s="13">
        <v>12.4587522394127</v>
      </c>
      <c r="L81" s="14"/>
      <c r="M81" s="14"/>
      <c r="N81" s="14"/>
      <c r="O81" s="13">
        <v>0.36990841721470102</v>
      </c>
      <c r="P81" s="13">
        <v>0.62533992364341895</v>
      </c>
      <c r="Q81" s="13">
        <v>9.4258199958231295</v>
      </c>
      <c r="R81" s="13">
        <v>2.4100979779182499</v>
      </c>
      <c r="S81" s="13">
        <v>4.8861039528551302</v>
      </c>
      <c r="T81" s="13">
        <v>9.70587808455819</v>
      </c>
      <c r="W81" s="8" t="s">
        <v>47</v>
      </c>
      <c r="X81" s="15" t="str">
        <f t="shared" si="20"/>
        <v>CHPOIL</v>
      </c>
      <c r="Y81" s="8" t="s">
        <v>42</v>
      </c>
      <c r="Z81" s="8">
        <f t="shared" si="21"/>
        <v>2070</v>
      </c>
      <c r="AA81" s="8">
        <f t="shared" si="22"/>
        <v>3.3967927435855493E-4</v>
      </c>
      <c r="AB81" s="8">
        <f t="shared" si="23"/>
        <v>8.1824133763094258E-3</v>
      </c>
      <c r="AC81" s="8">
        <f t="shared" si="24"/>
        <v>3.3252209810232712E-2</v>
      </c>
      <c r="AD81" s="8">
        <f t="shared" si="25"/>
        <v>3.1959974886809315</v>
      </c>
      <c r="AE81" s="8">
        <f t="shared" si="26"/>
        <v>1.6104561997116341E-2</v>
      </c>
      <c r="AF81" s="8">
        <f t="shared" si="27"/>
        <v>2.654578406531535E-2</v>
      </c>
      <c r="AG81" s="8" t="str">
        <f t="shared" si="28"/>
        <v/>
      </c>
      <c r="AH81" s="8">
        <f t="shared" si="29"/>
        <v>13.704627463353971</v>
      </c>
      <c r="AI81" s="8" t="str">
        <f t="shared" si="30"/>
        <v/>
      </c>
      <c r="AJ81" s="8" t="str">
        <f t="shared" si="31"/>
        <v/>
      </c>
      <c r="AK81" s="8" t="str">
        <f t="shared" si="32"/>
        <v/>
      </c>
      <c r="AL81" s="8">
        <f t="shared" si="33"/>
        <v>0.40689925893617118</v>
      </c>
      <c r="AM81" s="8">
        <f t="shared" si="34"/>
        <v>0.68787391600776093</v>
      </c>
      <c r="AN81" s="8">
        <f t="shared" si="35"/>
        <v>10.368401995405444</v>
      </c>
      <c r="AO81" s="8">
        <f t="shared" si="36"/>
        <v>2.6511077757100749</v>
      </c>
      <c r="AP81" s="8">
        <f t="shared" si="37"/>
        <v>5.3747143481406434</v>
      </c>
      <c r="AQ81" s="8">
        <f t="shared" si="38"/>
        <v>10.67646589301401</v>
      </c>
    </row>
    <row r="82" spans="1:43" x14ac:dyDescent="0.3">
      <c r="B82" s="10" t="s">
        <v>36</v>
      </c>
      <c r="C82" s="11">
        <v>2080</v>
      </c>
      <c r="D82" s="13">
        <v>1.29960011905762E-3</v>
      </c>
      <c r="E82" s="13">
        <v>7.4385576148267504E-3</v>
      </c>
      <c r="F82" s="13">
        <v>3.0229281645666101E-2</v>
      </c>
      <c r="G82" s="13">
        <v>2.9054522624372101</v>
      </c>
      <c r="H82" s="13">
        <v>1.95288556982443E-2</v>
      </c>
      <c r="I82" s="13">
        <v>2.4132530968468499E-2</v>
      </c>
      <c r="J82" s="14"/>
      <c r="K82" s="13">
        <v>12.4587522394127</v>
      </c>
      <c r="L82" s="14"/>
      <c r="M82" s="14"/>
      <c r="N82" s="14"/>
      <c r="O82" s="13">
        <v>0.36990841721470102</v>
      </c>
      <c r="P82" s="13">
        <v>0.62533992364341895</v>
      </c>
      <c r="Q82" s="13">
        <v>9.4258199958231295</v>
      </c>
      <c r="R82" s="13">
        <v>2.4100979779182499</v>
      </c>
      <c r="S82" s="13">
        <v>4.8861039528551302</v>
      </c>
      <c r="T82" s="13">
        <v>9.70587808455819</v>
      </c>
      <c r="W82" s="8" t="s">
        <v>47</v>
      </c>
      <c r="X82" s="15" t="str">
        <f t="shared" si="20"/>
        <v>CHPOIL</v>
      </c>
      <c r="Y82" s="8" t="s">
        <v>42</v>
      </c>
      <c r="Z82" s="8">
        <f t="shared" si="21"/>
        <v>2080</v>
      </c>
      <c r="AA82" s="8">
        <f t="shared" si="22"/>
        <v>1.4295601309633821E-3</v>
      </c>
      <c r="AB82" s="8">
        <f t="shared" si="23"/>
        <v>8.1824133763094258E-3</v>
      </c>
      <c r="AC82" s="8">
        <f t="shared" si="24"/>
        <v>3.3252209810232712E-2</v>
      </c>
      <c r="AD82" s="8">
        <f t="shared" si="25"/>
        <v>3.1959974886809315</v>
      </c>
      <c r="AE82" s="8">
        <f t="shared" si="26"/>
        <v>2.1481741268068733E-2</v>
      </c>
      <c r="AF82" s="8">
        <f t="shared" si="27"/>
        <v>2.654578406531535E-2</v>
      </c>
      <c r="AG82" s="8" t="str">
        <f t="shared" si="28"/>
        <v/>
      </c>
      <c r="AH82" s="8">
        <f t="shared" si="29"/>
        <v>13.704627463353971</v>
      </c>
      <c r="AI82" s="8" t="str">
        <f t="shared" si="30"/>
        <v/>
      </c>
      <c r="AJ82" s="8" t="str">
        <f t="shared" si="31"/>
        <v/>
      </c>
      <c r="AK82" s="8" t="str">
        <f t="shared" si="32"/>
        <v/>
      </c>
      <c r="AL82" s="8">
        <f t="shared" si="33"/>
        <v>0.40689925893617118</v>
      </c>
      <c r="AM82" s="8">
        <f t="shared" si="34"/>
        <v>0.68787391600776093</v>
      </c>
      <c r="AN82" s="8">
        <f t="shared" si="35"/>
        <v>10.368401995405444</v>
      </c>
      <c r="AO82" s="8">
        <f t="shared" si="36"/>
        <v>2.6511077757100749</v>
      </c>
      <c r="AP82" s="8">
        <f t="shared" si="37"/>
        <v>5.3747143481406434</v>
      </c>
      <c r="AQ82" s="8">
        <f t="shared" si="38"/>
        <v>10.67646589301401</v>
      </c>
    </row>
    <row r="83" spans="1:43" x14ac:dyDescent="0.3">
      <c r="B83" s="10" t="s">
        <v>37</v>
      </c>
      <c r="C83" s="11">
        <v>2017</v>
      </c>
      <c r="D83" s="14"/>
      <c r="E83" s="14"/>
      <c r="F83" s="13">
        <v>8.2481728141123201E-2</v>
      </c>
      <c r="G83" s="13">
        <v>0.398465762563666</v>
      </c>
      <c r="H83" s="13">
        <v>0.23819138980496299</v>
      </c>
      <c r="I83" s="13">
        <v>2.95744958993938</v>
      </c>
      <c r="J83" s="14"/>
      <c r="K83" s="13">
        <v>15.015560323835301</v>
      </c>
      <c r="L83" s="14"/>
      <c r="M83" s="14"/>
      <c r="N83" s="14"/>
      <c r="O83" s="13">
        <v>0.31795429400928299</v>
      </c>
      <c r="P83" s="13">
        <v>1.67704583758459</v>
      </c>
      <c r="Q83" s="13">
        <v>1.3492425725030599</v>
      </c>
      <c r="R83" s="13">
        <v>1.15872565528844</v>
      </c>
      <c r="S83" s="13">
        <v>0.42529580925280902</v>
      </c>
      <c r="T83" s="13">
        <v>1.5681812265378201</v>
      </c>
      <c r="W83" s="8" t="s">
        <v>47</v>
      </c>
      <c r="X83" s="15" t="str">
        <f t="shared" si="20"/>
        <v>CHPWAS</v>
      </c>
      <c r="Y83" s="8" t="s">
        <v>42</v>
      </c>
      <c r="Z83" s="8">
        <f t="shared" si="21"/>
        <v>2017</v>
      </c>
      <c r="AA83" s="8" t="str">
        <f t="shared" si="22"/>
        <v/>
      </c>
      <c r="AB83" s="8" t="str">
        <f t="shared" si="23"/>
        <v/>
      </c>
      <c r="AC83" s="8">
        <f t="shared" si="24"/>
        <v>9.0729900955235532E-2</v>
      </c>
      <c r="AD83" s="8">
        <f t="shared" si="25"/>
        <v>0.43831233882003262</v>
      </c>
      <c r="AE83" s="8">
        <f t="shared" si="26"/>
        <v>0.26201052878545933</v>
      </c>
      <c r="AF83" s="8">
        <f t="shared" si="27"/>
        <v>3.2531945489333181</v>
      </c>
      <c r="AG83" s="8" t="str">
        <f t="shared" si="28"/>
        <v/>
      </c>
      <c r="AH83" s="8">
        <f t="shared" si="29"/>
        <v>16.517116356218832</v>
      </c>
      <c r="AI83" s="8" t="str">
        <f t="shared" si="30"/>
        <v/>
      </c>
      <c r="AJ83" s="8" t="str">
        <f t="shared" si="31"/>
        <v/>
      </c>
      <c r="AK83" s="8" t="str">
        <f t="shared" si="32"/>
        <v/>
      </c>
      <c r="AL83" s="8">
        <f t="shared" si="33"/>
        <v>0.34974972341021132</v>
      </c>
      <c r="AM83" s="8">
        <f t="shared" si="34"/>
        <v>1.8447504213430492</v>
      </c>
      <c r="AN83" s="8">
        <f t="shared" si="35"/>
        <v>1.4841668297533661</v>
      </c>
      <c r="AO83" s="8">
        <f t="shared" si="36"/>
        <v>1.2745982208172841</v>
      </c>
      <c r="AP83" s="8">
        <f t="shared" si="37"/>
        <v>0.46782539017808994</v>
      </c>
      <c r="AQ83" s="8">
        <f t="shared" si="38"/>
        <v>1.7249993491916022</v>
      </c>
    </row>
    <row r="84" spans="1:43" x14ac:dyDescent="0.3">
      <c r="B84" s="10" t="s">
        <v>37</v>
      </c>
      <c r="C84" s="11">
        <v>2018</v>
      </c>
      <c r="D84" s="14"/>
      <c r="E84" s="14"/>
      <c r="F84" s="13">
        <v>8.2481728141123201E-2</v>
      </c>
      <c r="G84" s="13">
        <v>0.398465762563666</v>
      </c>
      <c r="H84" s="13">
        <v>0.23819138980496299</v>
      </c>
      <c r="I84" s="13">
        <v>2.95744958993938</v>
      </c>
      <c r="J84" s="14"/>
      <c r="K84" s="13">
        <v>15.276723442609001</v>
      </c>
      <c r="L84" s="14"/>
      <c r="M84" s="14"/>
      <c r="N84" s="14"/>
      <c r="O84" s="13">
        <v>0.31795429400928299</v>
      </c>
      <c r="P84" s="13">
        <v>1.9273511864778201</v>
      </c>
      <c r="Q84" s="13">
        <v>1.3492425725030599</v>
      </c>
      <c r="R84" s="13">
        <v>1.15872565528844</v>
      </c>
      <c r="S84" s="13">
        <v>0.42529580925280902</v>
      </c>
      <c r="T84" s="13">
        <v>1.5681812265378201</v>
      </c>
      <c r="W84" s="8" t="s">
        <v>47</v>
      </c>
      <c r="X84" s="15" t="str">
        <f t="shared" si="20"/>
        <v>CHPWAS</v>
      </c>
      <c r="Y84" s="8" t="s">
        <v>42</v>
      </c>
      <c r="Z84" s="8">
        <f t="shared" si="21"/>
        <v>2018</v>
      </c>
      <c r="AA84" s="8" t="str">
        <f t="shared" si="22"/>
        <v/>
      </c>
      <c r="AB84" s="8" t="str">
        <f t="shared" si="23"/>
        <v/>
      </c>
      <c r="AC84" s="8">
        <f t="shared" si="24"/>
        <v>9.0729900955235532E-2</v>
      </c>
      <c r="AD84" s="8">
        <f t="shared" si="25"/>
        <v>0.43831233882003262</v>
      </c>
      <c r="AE84" s="8">
        <f t="shared" si="26"/>
        <v>0.26201052878545933</v>
      </c>
      <c r="AF84" s="8">
        <f t="shared" si="27"/>
        <v>3.2531945489333181</v>
      </c>
      <c r="AG84" s="8" t="str">
        <f t="shared" si="28"/>
        <v/>
      </c>
      <c r="AH84" s="8">
        <f t="shared" si="29"/>
        <v>16.8043957868699</v>
      </c>
      <c r="AI84" s="8" t="str">
        <f t="shared" si="30"/>
        <v/>
      </c>
      <c r="AJ84" s="8" t="str">
        <f t="shared" si="31"/>
        <v/>
      </c>
      <c r="AK84" s="8" t="str">
        <f t="shared" si="32"/>
        <v/>
      </c>
      <c r="AL84" s="8">
        <f t="shared" si="33"/>
        <v>0.34974972341021132</v>
      </c>
      <c r="AM84" s="8">
        <f t="shared" si="34"/>
        <v>2.1200863051256023</v>
      </c>
      <c r="AN84" s="8">
        <f t="shared" si="35"/>
        <v>1.4841668297533661</v>
      </c>
      <c r="AO84" s="8">
        <f t="shared" si="36"/>
        <v>1.2745982208172841</v>
      </c>
      <c r="AP84" s="8">
        <f t="shared" si="37"/>
        <v>0.46782539017808994</v>
      </c>
      <c r="AQ84" s="8">
        <f t="shared" si="38"/>
        <v>1.7249993491916022</v>
      </c>
    </row>
    <row r="85" spans="1:43" x14ac:dyDescent="0.3">
      <c r="B85" s="10" t="s">
        <v>37</v>
      </c>
      <c r="C85" s="11">
        <v>2019</v>
      </c>
      <c r="D85" s="14"/>
      <c r="E85" s="14"/>
      <c r="F85" s="13">
        <v>8.2481728141123201E-2</v>
      </c>
      <c r="G85" s="13">
        <v>0.398465762563666</v>
      </c>
      <c r="H85" s="13">
        <v>0.23819138980496299</v>
      </c>
      <c r="I85" s="13">
        <v>2.95744958993938</v>
      </c>
      <c r="J85" s="14"/>
      <c r="K85" s="13">
        <v>15.276723442609001</v>
      </c>
      <c r="L85" s="14"/>
      <c r="M85" s="14"/>
      <c r="N85" s="14"/>
      <c r="O85" s="13">
        <v>0.31795429400928299</v>
      </c>
      <c r="P85" s="13">
        <v>1.9273511864778201</v>
      </c>
      <c r="Q85" s="13">
        <v>1.3492425725030599</v>
      </c>
      <c r="R85" s="13">
        <v>1.15872565528844</v>
      </c>
      <c r="S85" s="13">
        <v>0.42529580925280902</v>
      </c>
      <c r="T85" s="13">
        <v>1.5681812265378201</v>
      </c>
      <c r="W85" s="8" t="s">
        <v>47</v>
      </c>
      <c r="X85" s="15" t="str">
        <f t="shared" si="20"/>
        <v>CHPWAS</v>
      </c>
      <c r="Y85" s="8" t="s">
        <v>42</v>
      </c>
      <c r="Z85" s="8">
        <f t="shared" si="21"/>
        <v>2019</v>
      </c>
      <c r="AA85" s="8" t="str">
        <f t="shared" si="22"/>
        <v/>
      </c>
      <c r="AB85" s="8" t="str">
        <f t="shared" si="23"/>
        <v/>
      </c>
      <c r="AC85" s="8">
        <f t="shared" si="24"/>
        <v>9.0729900955235532E-2</v>
      </c>
      <c r="AD85" s="8">
        <f t="shared" si="25"/>
        <v>0.43831233882003262</v>
      </c>
      <c r="AE85" s="8">
        <f t="shared" si="26"/>
        <v>0.26201052878545933</v>
      </c>
      <c r="AF85" s="8">
        <f t="shared" si="27"/>
        <v>3.2531945489333181</v>
      </c>
      <c r="AG85" s="8" t="str">
        <f t="shared" si="28"/>
        <v/>
      </c>
      <c r="AH85" s="8">
        <f t="shared" si="29"/>
        <v>16.8043957868699</v>
      </c>
      <c r="AI85" s="8" t="str">
        <f t="shared" si="30"/>
        <v/>
      </c>
      <c r="AJ85" s="8" t="str">
        <f t="shared" si="31"/>
        <v/>
      </c>
      <c r="AK85" s="8" t="str">
        <f t="shared" si="32"/>
        <v/>
      </c>
      <c r="AL85" s="8">
        <f t="shared" si="33"/>
        <v>0.34974972341021132</v>
      </c>
      <c r="AM85" s="8">
        <f t="shared" si="34"/>
        <v>2.1200863051256023</v>
      </c>
      <c r="AN85" s="8">
        <f t="shared" si="35"/>
        <v>1.4841668297533661</v>
      </c>
      <c r="AO85" s="8">
        <f t="shared" si="36"/>
        <v>1.2745982208172841</v>
      </c>
      <c r="AP85" s="8">
        <f t="shared" si="37"/>
        <v>0.46782539017808994</v>
      </c>
      <c r="AQ85" s="8">
        <f t="shared" si="38"/>
        <v>1.7249993491916022</v>
      </c>
    </row>
    <row r="86" spans="1:43" x14ac:dyDescent="0.3">
      <c r="B86" s="10" t="s">
        <v>37</v>
      </c>
      <c r="C86" s="11">
        <v>2020</v>
      </c>
      <c r="D86" s="14"/>
      <c r="E86" s="14"/>
      <c r="F86" s="13">
        <v>8.2481728141123201E-2</v>
      </c>
      <c r="G86" s="13">
        <v>0.398465762563666</v>
      </c>
      <c r="H86" s="13">
        <v>0.23819138980496299</v>
      </c>
      <c r="I86" s="13">
        <v>2.95744958993938</v>
      </c>
      <c r="J86" s="14"/>
      <c r="K86" s="13">
        <v>15.276723442609001</v>
      </c>
      <c r="L86" s="14"/>
      <c r="M86" s="13">
        <v>1.6214190386228001E-3</v>
      </c>
      <c r="N86" s="14"/>
      <c r="O86" s="13">
        <v>0.31795429400928299</v>
      </c>
      <c r="P86" s="13">
        <v>1.9273511864778201</v>
      </c>
      <c r="Q86" s="13">
        <v>1.3492425725030599</v>
      </c>
      <c r="R86" s="13">
        <v>1.15872565528844</v>
      </c>
      <c r="S86" s="13">
        <v>0.42529580925280902</v>
      </c>
      <c r="T86" s="13">
        <v>1.5681812265378201</v>
      </c>
      <c r="W86" s="8" t="s">
        <v>47</v>
      </c>
      <c r="X86" s="15" t="str">
        <f t="shared" si="20"/>
        <v>CHPWAS</v>
      </c>
      <c r="Y86" s="8" t="s">
        <v>42</v>
      </c>
      <c r="Z86" s="8">
        <f t="shared" si="21"/>
        <v>2020</v>
      </c>
      <c r="AA86" s="8" t="str">
        <f t="shared" si="22"/>
        <v/>
      </c>
      <c r="AB86" s="8" t="str">
        <f t="shared" si="23"/>
        <v/>
      </c>
      <c r="AC86" s="8">
        <f t="shared" si="24"/>
        <v>9.0729900955235532E-2</v>
      </c>
      <c r="AD86" s="8">
        <f t="shared" si="25"/>
        <v>0.43831233882003262</v>
      </c>
      <c r="AE86" s="8">
        <f t="shared" si="26"/>
        <v>0.26201052878545933</v>
      </c>
      <c r="AF86" s="8">
        <f t="shared" si="27"/>
        <v>3.2531945489333181</v>
      </c>
      <c r="AG86" s="8" t="str">
        <f t="shared" si="28"/>
        <v/>
      </c>
      <c r="AH86" s="8">
        <f t="shared" si="29"/>
        <v>16.8043957868699</v>
      </c>
      <c r="AI86" s="8" t="str">
        <f t="shared" si="30"/>
        <v/>
      </c>
      <c r="AJ86" s="8">
        <f t="shared" si="31"/>
        <v>1.7835609424850802E-3</v>
      </c>
      <c r="AK86" s="8" t="str">
        <f t="shared" si="32"/>
        <v/>
      </c>
      <c r="AL86" s="8">
        <f t="shared" si="33"/>
        <v>0.34974972341021132</v>
      </c>
      <c r="AM86" s="8">
        <f t="shared" si="34"/>
        <v>2.1200863051256023</v>
      </c>
      <c r="AN86" s="8">
        <f t="shared" si="35"/>
        <v>1.4841668297533661</v>
      </c>
      <c r="AO86" s="8">
        <f t="shared" si="36"/>
        <v>1.2745982208172841</v>
      </c>
      <c r="AP86" s="8">
        <f t="shared" si="37"/>
        <v>0.46782539017808994</v>
      </c>
      <c r="AQ86" s="8">
        <f t="shared" si="38"/>
        <v>1.7249993491916022</v>
      </c>
    </row>
    <row r="87" spans="1:43" x14ac:dyDescent="0.3">
      <c r="B87" s="10" t="s">
        <v>37</v>
      </c>
      <c r="C87" s="11">
        <v>2021</v>
      </c>
      <c r="D87" s="14"/>
      <c r="E87" s="14"/>
      <c r="F87" s="13">
        <v>8.2481728141123201E-2</v>
      </c>
      <c r="G87" s="13">
        <v>0.398465762563666</v>
      </c>
      <c r="H87" s="13">
        <v>0.23819138980496299</v>
      </c>
      <c r="I87" s="13">
        <v>2.95744958993938</v>
      </c>
      <c r="J87" s="14"/>
      <c r="K87" s="13">
        <v>15.276723442609001</v>
      </c>
      <c r="L87" s="14"/>
      <c r="M87" s="13">
        <v>1.6214190386228001E-3</v>
      </c>
      <c r="N87" s="14"/>
      <c r="O87" s="13">
        <v>0.31795429400928299</v>
      </c>
      <c r="P87" s="13">
        <v>1.9273511864778201</v>
      </c>
      <c r="Q87" s="13">
        <v>1.3492425725030599</v>
      </c>
      <c r="R87" s="13">
        <v>1.15872565528844</v>
      </c>
      <c r="S87" s="13">
        <v>0.42529580925280902</v>
      </c>
      <c r="T87" s="13">
        <v>1.5681812265378201</v>
      </c>
      <c r="W87" s="8" t="s">
        <v>47</v>
      </c>
      <c r="X87" s="15" t="str">
        <f t="shared" si="20"/>
        <v>CHPWAS</v>
      </c>
      <c r="Y87" s="8" t="s">
        <v>42</v>
      </c>
      <c r="Z87" s="8">
        <f t="shared" si="21"/>
        <v>2021</v>
      </c>
      <c r="AA87" s="8" t="str">
        <f t="shared" si="22"/>
        <v/>
      </c>
      <c r="AB87" s="8" t="str">
        <f t="shared" si="23"/>
        <v/>
      </c>
      <c r="AC87" s="8">
        <f t="shared" si="24"/>
        <v>9.0729900955235532E-2</v>
      </c>
      <c r="AD87" s="8">
        <f t="shared" si="25"/>
        <v>0.43831233882003262</v>
      </c>
      <c r="AE87" s="8">
        <f t="shared" si="26"/>
        <v>0.26201052878545933</v>
      </c>
      <c r="AF87" s="8">
        <f t="shared" si="27"/>
        <v>3.2531945489333181</v>
      </c>
      <c r="AG87" s="8" t="str">
        <f t="shared" si="28"/>
        <v/>
      </c>
      <c r="AH87" s="8">
        <f t="shared" si="29"/>
        <v>16.8043957868699</v>
      </c>
      <c r="AI87" s="8" t="str">
        <f t="shared" si="30"/>
        <v/>
      </c>
      <c r="AJ87" s="8">
        <f t="shared" si="31"/>
        <v>1.7835609424850802E-3</v>
      </c>
      <c r="AK87" s="8" t="str">
        <f t="shared" si="32"/>
        <v/>
      </c>
      <c r="AL87" s="8">
        <f t="shared" si="33"/>
        <v>0.34974972341021132</v>
      </c>
      <c r="AM87" s="8">
        <f t="shared" si="34"/>
        <v>2.1200863051256023</v>
      </c>
      <c r="AN87" s="8">
        <f t="shared" si="35"/>
        <v>1.4841668297533661</v>
      </c>
      <c r="AO87" s="8">
        <f t="shared" si="36"/>
        <v>1.2745982208172841</v>
      </c>
      <c r="AP87" s="8">
        <f t="shared" si="37"/>
        <v>0.46782539017808994</v>
      </c>
      <c r="AQ87" s="8">
        <f t="shared" si="38"/>
        <v>1.7249993491916022</v>
      </c>
    </row>
    <row r="88" spans="1:43" x14ac:dyDescent="0.3">
      <c r="B88" s="10" t="s">
        <v>37</v>
      </c>
      <c r="C88" s="11">
        <v>2030</v>
      </c>
      <c r="D88" s="13">
        <v>6.8129665269120403E-5</v>
      </c>
      <c r="E88" s="13">
        <v>9.7157879957566196E-3</v>
      </c>
      <c r="F88" s="13">
        <v>8.2481728141123201E-2</v>
      </c>
      <c r="G88" s="13">
        <v>0.398465762563666</v>
      </c>
      <c r="H88" s="13">
        <v>0.23819138980496299</v>
      </c>
      <c r="I88" s="13">
        <v>2.95744958993938</v>
      </c>
      <c r="J88" s="14"/>
      <c r="K88" s="13">
        <v>15.276723442609001</v>
      </c>
      <c r="L88" s="13">
        <v>2.08720251441436E-7</v>
      </c>
      <c r="M88" s="13">
        <v>3.8965392854064698E-3</v>
      </c>
      <c r="N88" s="14"/>
      <c r="O88" s="13">
        <v>0.31795429400928299</v>
      </c>
      <c r="P88" s="13">
        <v>2.6402092318434298</v>
      </c>
      <c r="Q88" s="13">
        <v>1.3492425725030599</v>
      </c>
      <c r="R88" s="13">
        <v>1.3579829504794501</v>
      </c>
      <c r="S88" s="13">
        <v>0.42529580925280902</v>
      </c>
      <c r="T88" s="13">
        <v>1.5681812265378201</v>
      </c>
      <c r="W88" s="8" t="s">
        <v>47</v>
      </c>
      <c r="X88" s="15" t="str">
        <f t="shared" si="20"/>
        <v>CHPWAS</v>
      </c>
      <c r="Y88" s="8" t="s">
        <v>42</v>
      </c>
      <c r="Z88" s="8">
        <f t="shared" si="21"/>
        <v>2030</v>
      </c>
      <c r="AA88" s="8">
        <f t="shared" si="22"/>
        <v>7.4942631796032444E-5</v>
      </c>
      <c r="AB88" s="8">
        <f t="shared" si="23"/>
        <v>1.0687366795332283E-2</v>
      </c>
      <c r="AC88" s="8">
        <f t="shared" si="24"/>
        <v>9.0729900955235532E-2</v>
      </c>
      <c r="AD88" s="8">
        <f t="shared" si="25"/>
        <v>0.43831233882003262</v>
      </c>
      <c r="AE88" s="8">
        <f t="shared" si="26"/>
        <v>0.26201052878545933</v>
      </c>
      <c r="AF88" s="8">
        <f t="shared" si="27"/>
        <v>3.2531945489333181</v>
      </c>
      <c r="AG88" s="8" t="str">
        <f t="shared" si="28"/>
        <v/>
      </c>
      <c r="AH88" s="8">
        <f t="shared" si="29"/>
        <v>16.8043957868699</v>
      </c>
      <c r="AI88" s="8">
        <f t="shared" si="30"/>
        <v>2.2959227658557961E-7</v>
      </c>
      <c r="AJ88" s="8">
        <f t="shared" si="31"/>
        <v>4.2861932139471167E-3</v>
      </c>
      <c r="AK88" s="8" t="str">
        <f t="shared" si="32"/>
        <v/>
      </c>
      <c r="AL88" s="8">
        <f t="shared" si="33"/>
        <v>0.34974972341021132</v>
      </c>
      <c r="AM88" s="8">
        <f t="shared" si="34"/>
        <v>2.9042301550277729</v>
      </c>
      <c r="AN88" s="8">
        <f t="shared" si="35"/>
        <v>1.4841668297533661</v>
      </c>
      <c r="AO88" s="8">
        <f t="shared" si="36"/>
        <v>1.4937812455273951</v>
      </c>
      <c r="AP88" s="8">
        <f t="shared" si="37"/>
        <v>0.46782539017808994</v>
      </c>
      <c r="AQ88" s="8">
        <f t="shared" si="38"/>
        <v>1.7249993491916022</v>
      </c>
    </row>
    <row r="89" spans="1:43" x14ac:dyDescent="0.3">
      <c r="B89" s="10" t="s">
        <v>37</v>
      </c>
      <c r="C89" s="11">
        <v>2040</v>
      </c>
      <c r="D89" s="13">
        <v>4.1234205441842697E-3</v>
      </c>
      <c r="E89" s="13">
        <v>1.41514284990232E-2</v>
      </c>
      <c r="F89" s="13">
        <v>8.2481728141123201E-2</v>
      </c>
      <c r="G89" s="13">
        <v>0.398465762563666</v>
      </c>
      <c r="H89" s="13">
        <v>0.23819138980496299</v>
      </c>
      <c r="I89" s="13">
        <v>2.95744958993938</v>
      </c>
      <c r="J89" s="14"/>
      <c r="K89" s="13">
        <v>15.276723442609001</v>
      </c>
      <c r="L89" s="13">
        <v>5.5047044234158498E-7</v>
      </c>
      <c r="M89" s="13">
        <v>1.7547011577795899E-2</v>
      </c>
      <c r="N89" s="14"/>
      <c r="O89" s="13">
        <v>0.31795429400928299</v>
      </c>
      <c r="P89" s="13">
        <v>3.6302720992966799</v>
      </c>
      <c r="Q89" s="13">
        <v>1.3492425725030599</v>
      </c>
      <c r="R89" s="13">
        <v>2.9848315979798601</v>
      </c>
      <c r="S89" s="13">
        <v>0.42529580925280902</v>
      </c>
      <c r="T89" s="13">
        <v>1.5681812265378201</v>
      </c>
      <c r="W89" s="8" t="s">
        <v>47</v>
      </c>
      <c r="X89" s="15" t="str">
        <f t="shared" si="20"/>
        <v>CHPWAS</v>
      </c>
      <c r="Y89" s="8" t="s">
        <v>42</v>
      </c>
      <c r="Z89" s="8">
        <f t="shared" si="21"/>
        <v>2040</v>
      </c>
      <c r="AA89" s="8">
        <f t="shared" si="22"/>
        <v>4.5357625986026974E-3</v>
      </c>
      <c r="AB89" s="8">
        <f t="shared" si="23"/>
        <v>1.5566571348925522E-2</v>
      </c>
      <c r="AC89" s="8">
        <f t="shared" si="24"/>
        <v>9.0729900955235532E-2</v>
      </c>
      <c r="AD89" s="8">
        <f t="shared" si="25"/>
        <v>0.43831233882003262</v>
      </c>
      <c r="AE89" s="8">
        <f t="shared" si="26"/>
        <v>0.26201052878545933</v>
      </c>
      <c r="AF89" s="8">
        <f t="shared" si="27"/>
        <v>3.2531945489333181</v>
      </c>
      <c r="AG89" s="8" t="str">
        <f t="shared" si="28"/>
        <v/>
      </c>
      <c r="AH89" s="8">
        <f t="shared" si="29"/>
        <v>16.8043957868699</v>
      </c>
      <c r="AI89" s="8">
        <f t="shared" si="30"/>
        <v>6.0551748657574351E-7</v>
      </c>
      <c r="AJ89" s="8">
        <f t="shared" si="31"/>
        <v>1.9301712735575492E-2</v>
      </c>
      <c r="AK89" s="8" t="str">
        <f t="shared" si="32"/>
        <v/>
      </c>
      <c r="AL89" s="8">
        <f t="shared" si="33"/>
        <v>0.34974972341021132</v>
      </c>
      <c r="AM89" s="8">
        <f t="shared" si="34"/>
        <v>3.9932993092263485</v>
      </c>
      <c r="AN89" s="8">
        <f t="shared" si="35"/>
        <v>1.4841668297533661</v>
      </c>
      <c r="AO89" s="8">
        <f t="shared" si="36"/>
        <v>3.2833147577778465</v>
      </c>
      <c r="AP89" s="8">
        <f t="shared" si="37"/>
        <v>0.46782539017808994</v>
      </c>
      <c r="AQ89" s="8">
        <f t="shared" si="38"/>
        <v>1.7249993491916022</v>
      </c>
    </row>
    <row r="90" spans="1:43" x14ac:dyDescent="0.3">
      <c r="B90" s="10" t="s">
        <v>37</v>
      </c>
      <c r="C90" s="11">
        <v>2050</v>
      </c>
      <c r="D90" s="13">
        <v>7.51946720802797E-3</v>
      </c>
      <c r="E90" s="13">
        <v>2.6357804719681601E-2</v>
      </c>
      <c r="F90" s="13">
        <v>8.2481728141123201E-2</v>
      </c>
      <c r="G90" s="13">
        <v>0.398465762563666</v>
      </c>
      <c r="H90" s="13">
        <v>0.23819138980496299</v>
      </c>
      <c r="I90" s="13">
        <v>14.795781064131299</v>
      </c>
      <c r="J90" s="14"/>
      <c r="K90" s="13">
        <v>15.276723442609001</v>
      </c>
      <c r="L90" s="13">
        <v>5.5047044234158498E-7</v>
      </c>
      <c r="M90" s="13">
        <v>3.5480295972069198E-2</v>
      </c>
      <c r="N90" s="14"/>
      <c r="O90" s="13">
        <v>0.31795429400928299</v>
      </c>
      <c r="P90" s="13">
        <v>5.5561149816052096</v>
      </c>
      <c r="Q90" s="13">
        <v>1.3492425725030599</v>
      </c>
      <c r="R90" s="13">
        <v>3.9434231401142301</v>
      </c>
      <c r="S90" s="13">
        <v>0.60057467898617101</v>
      </c>
      <c r="T90" s="13">
        <v>1.5681812265378201</v>
      </c>
      <c r="W90" s="8" t="s">
        <v>47</v>
      </c>
      <c r="X90" s="15" t="str">
        <f t="shared" si="20"/>
        <v>CHPWAS</v>
      </c>
      <c r="Y90" s="8" t="s">
        <v>42</v>
      </c>
      <c r="Z90" s="8">
        <f t="shared" si="21"/>
        <v>2050</v>
      </c>
      <c r="AA90" s="8">
        <f t="shared" si="22"/>
        <v>8.2714139288307675E-3</v>
      </c>
      <c r="AB90" s="8">
        <f t="shared" si="23"/>
        <v>2.8993585191649764E-2</v>
      </c>
      <c r="AC90" s="8">
        <f t="shared" si="24"/>
        <v>9.0729900955235532E-2</v>
      </c>
      <c r="AD90" s="8">
        <f t="shared" si="25"/>
        <v>0.43831233882003262</v>
      </c>
      <c r="AE90" s="8">
        <f t="shared" si="26"/>
        <v>0.26201052878545933</v>
      </c>
      <c r="AF90" s="8">
        <f t="shared" si="27"/>
        <v>16.27535917054443</v>
      </c>
      <c r="AG90" s="8" t="str">
        <f t="shared" si="28"/>
        <v/>
      </c>
      <c r="AH90" s="8">
        <f t="shared" si="29"/>
        <v>16.8043957868699</v>
      </c>
      <c r="AI90" s="8">
        <f t="shared" si="30"/>
        <v>6.0551748657574351E-7</v>
      </c>
      <c r="AJ90" s="8">
        <f t="shared" si="31"/>
        <v>3.9028325569276122E-2</v>
      </c>
      <c r="AK90" s="8" t="str">
        <f t="shared" si="32"/>
        <v/>
      </c>
      <c r="AL90" s="8">
        <f t="shared" si="33"/>
        <v>0.34974972341021132</v>
      </c>
      <c r="AM90" s="8">
        <f t="shared" si="34"/>
        <v>6.1117264797657311</v>
      </c>
      <c r="AN90" s="8">
        <f t="shared" si="35"/>
        <v>1.4841668297533661</v>
      </c>
      <c r="AO90" s="8">
        <f t="shared" si="36"/>
        <v>4.3377654541256536</v>
      </c>
      <c r="AP90" s="8">
        <f t="shared" si="37"/>
        <v>0.66063214688478811</v>
      </c>
      <c r="AQ90" s="8">
        <f t="shared" si="38"/>
        <v>1.7249993491916022</v>
      </c>
    </row>
    <row r="91" spans="1:43" x14ac:dyDescent="0.3">
      <c r="B91" s="10" t="s">
        <v>37</v>
      </c>
      <c r="C91" s="11">
        <v>2060</v>
      </c>
      <c r="D91" s="13">
        <v>7.51946720802797E-3</v>
      </c>
      <c r="E91" s="13">
        <v>3.5783253661882002E-2</v>
      </c>
      <c r="F91" s="13">
        <v>8.2481728141123201E-2</v>
      </c>
      <c r="G91" s="13">
        <v>0.398465762563666</v>
      </c>
      <c r="H91" s="13">
        <v>0.23819138980496299</v>
      </c>
      <c r="I91" s="13">
        <v>14.795781064131299</v>
      </c>
      <c r="J91" s="14"/>
      <c r="K91" s="13">
        <v>15.276723442609001</v>
      </c>
      <c r="L91" s="13">
        <v>5.5047044234158498E-7</v>
      </c>
      <c r="M91" s="13">
        <v>3.5480480608786502E-2</v>
      </c>
      <c r="N91" s="14"/>
      <c r="O91" s="13">
        <v>0.31795429400928299</v>
      </c>
      <c r="P91" s="13">
        <v>5.6532193364602303</v>
      </c>
      <c r="Q91" s="13">
        <v>1.3492425725030599</v>
      </c>
      <c r="R91" s="13">
        <v>3.9434231401142301</v>
      </c>
      <c r="S91" s="13">
        <v>0.60057506210366596</v>
      </c>
      <c r="T91" s="13">
        <v>1.5681812265378201</v>
      </c>
      <c r="W91" s="8" t="s">
        <v>47</v>
      </c>
      <c r="X91" s="15" t="str">
        <f t="shared" si="20"/>
        <v>CHPWAS</v>
      </c>
      <c r="Y91" s="8" t="s">
        <v>42</v>
      </c>
      <c r="Z91" s="8">
        <f t="shared" si="21"/>
        <v>2060</v>
      </c>
      <c r="AA91" s="8">
        <f t="shared" si="22"/>
        <v>8.2714139288307675E-3</v>
      </c>
      <c r="AB91" s="8">
        <f t="shared" si="23"/>
        <v>3.9361579028070207E-2</v>
      </c>
      <c r="AC91" s="8">
        <f t="shared" si="24"/>
        <v>9.0729900955235532E-2</v>
      </c>
      <c r="AD91" s="8">
        <f t="shared" si="25"/>
        <v>0.43831233882003262</v>
      </c>
      <c r="AE91" s="8">
        <f t="shared" si="26"/>
        <v>0.26201052878545933</v>
      </c>
      <c r="AF91" s="8">
        <f t="shared" si="27"/>
        <v>16.27535917054443</v>
      </c>
      <c r="AG91" s="8" t="str">
        <f t="shared" si="28"/>
        <v/>
      </c>
      <c r="AH91" s="8">
        <f t="shared" si="29"/>
        <v>16.8043957868699</v>
      </c>
      <c r="AI91" s="8">
        <f t="shared" si="30"/>
        <v>6.0551748657574351E-7</v>
      </c>
      <c r="AJ91" s="8">
        <f t="shared" si="31"/>
        <v>3.9028528669665156E-2</v>
      </c>
      <c r="AK91" s="8" t="str">
        <f t="shared" si="32"/>
        <v/>
      </c>
      <c r="AL91" s="8">
        <f t="shared" si="33"/>
        <v>0.34974972341021132</v>
      </c>
      <c r="AM91" s="8">
        <f t="shared" si="34"/>
        <v>6.2185412701062539</v>
      </c>
      <c r="AN91" s="8">
        <f t="shared" si="35"/>
        <v>1.4841668297533661</v>
      </c>
      <c r="AO91" s="8">
        <f t="shared" si="36"/>
        <v>4.3377654541256536</v>
      </c>
      <c r="AP91" s="8">
        <f t="shared" si="37"/>
        <v>0.66063256831403261</v>
      </c>
      <c r="AQ91" s="8">
        <f t="shared" si="38"/>
        <v>1.7249993491916022</v>
      </c>
    </row>
    <row r="92" spans="1:43" x14ac:dyDescent="0.3">
      <c r="A92" s="8"/>
      <c r="B92" s="10" t="s">
        <v>37</v>
      </c>
      <c r="C92" s="11">
        <v>2070</v>
      </c>
      <c r="D92" s="13">
        <v>7.51946720802797E-3</v>
      </c>
      <c r="E92" s="13">
        <v>3.5783253661882002E-2</v>
      </c>
      <c r="F92" s="13">
        <v>8.2481728141123201E-2</v>
      </c>
      <c r="G92" s="13">
        <v>0.398465762563666</v>
      </c>
      <c r="H92" s="13">
        <v>0.23819138980496299</v>
      </c>
      <c r="I92" s="13">
        <v>14.795781064131299</v>
      </c>
      <c r="J92" s="14"/>
      <c r="K92" s="13">
        <v>15.276723442609001</v>
      </c>
      <c r="L92" s="13">
        <v>5.5047044234158498E-7</v>
      </c>
      <c r="M92" s="13">
        <v>3.5480665245503903E-2</v>
      </c>
      <c r="N92" s="14"/>
      <c r="O92" s="13">
        <v>0.31795429400928299</v>
      </c>
      <c r="P92" s="13">
        <v>5.6631516804134998</v>
      </c>
      <c r="Q92" s="13">
        <v>1.3492425725030599</v>
      </c>
      <c r="R92" s="13">
        <v>3.9434231401142301</v>
      </c>
      <c r="S92" s="13">
        <v>0.60057544522113204</v>
      </c>
      <c r="T92" s="13">
        <v>1.5681812265378201</v>
      </c>
      <c r="W92" s="8" t="s">
        <v>47</v>
      </c>
      <c r="X92" s="15" t="str">
        <f t="shared" si="20"/>
        <v>CHPWAS</v>
      </c>
      <c r="Y92" s="8" t="s">
        <v>42</v>
      </c>
      <c r="Z92" s="8">
        <f t="shared" si="21"/>
        <v>2070</v>
      </c>
      <c r="AA92" s="8">
        <f t="shared" si="22"/>
        <v>8.2714139288307675E-3</v>
      </c>
      <c r="AB92" s="8">
        <f t="shared" si="23"/>
        <v>3.9361579028070207E-2</v>
      </c>
      <c r="AC92" s="8">
        <f t="shared" si="24"/>
        <v>9.0729900955235532E-2</v>
      </c>
      <c r="AD92" s="8">
        <f t="shared" si="25"/>
        <v>0.43831233882003262</v>
      </c>
      <c r="AE92" s="8">
        <f t="shared" si="26"/>
        <v>0.26201052878545933</v>
      </c>
      <c r="AF92" s="8">
        <f t="shared" si="27"/>
        <v>16.27535917054443</v>
      </c>
      <c r="AG92" s="8" t="str">
        <f t="shared" si="28"/>
        <v/>
      </c>
      <c r="AH92" s="8">
        <f t="shared" si="29"/>
        <v>16.8043957868699</v>
      </c>
      <c r="AI92" s="8">
        <f t="shared" si="30"/>
        <v>6.0551748657574351E-7</v>
      </c>
      <c r="AJ92" s="8">
        <f t="shared" si="31"/>
        <v>3.9028731770054295E-2</v>
      </c>
      <c r="AK92" s="8" t="str">
        <f t="shared" si="32"/>
        <v/>
      </c>
      <c r="AL92" s="8">
        <f t="shared" si="33"/>
        <v>0.34974972341021132</v>
      </c>
      <c r="AM92" s="8">
        <f t="shared" si="34"/>
        <v>6.2294668484548499</v>
      </c>
      <c r="AN92" s="8">
        <f t="shared" si="35"/>
        <v>1.4841668297533661</v>
      </c>
      <c r="AO92" s="8">
        <f t="shared" si="36"/>
        <v>4.3377654541256536</v>
      </c>
      <c r="AP92" s="8">
        <f t="shared" si="37"/>
        <v>0.66063298974324525</v>
      </c>
      <c r="AQ92" s="8">
        <f t="shared" si="38"/>
        <v>1.7249993491916022</v>
      </c>
    </row>
    <row r="93" spans="1:43" x14ac:dyDescent="0.3">
      <c r="A93" s="8"/>
      <c r="B93" s="10" t="s">
        <v>37</v>
      </c>
      <c r="C93" s="11">
        <v>2080</v>
      </c>
      <c r="D93" s="13">
        <v>7.51946720802797E-3</v>
      </c>
      <c r="E93" s="13">
        <v>3.5783253661882002E-2</v>
      </c>
      <c r="F93" s="13">
        <v>8.2481728141123201E-2</v>
      </c>
      <c r="G93" s="13">
        <v>0.398465762563666</v>
      </c>
      <c r="H93" s="13">
        <v>0.23819138980496299</v>
      </c>
      <c r="I93" s="13">
        <v>15.130905031943399</v>
      </c>
      <c r="J93" s="14"/>
      <c r="K93" s="13">
        <v>15.276723442609001</v>
      </c>
      <c r="L93" s="13">
        <v>5.5047044234158498E-7</v>
      </c>
      <c r="M93" s="13">
        <v>3.5480849882221298E-2</v>
      </c>
      <c r="N93" s="14"/>
      <c r="O93" s="13">
        <v>0.31795429400928299</v>
      </c>
      <c r="P93" s="13">
        <v>5.7550406208259499</v>
      </c>
      <c r="Q93" s="13">
        <v>1.3492425725030599</v>
      </c>
      <c r="R93" s="13">
        <v>3.9434231401142301</v>
      </c>
      <c r="S93" s="13">
        <v>0.60057582833860801</v>
      </c>
      <c r="T93" s="13">
        <v>1.5681812265378201</v>
      </c>
      <c r="W93" s="8" t="s">
        <v>47</v>
      </c>
      <c r="X93" s="15" t="str">
        <f t="shared" si="20"/>
        <v>CHPWAS</v>
      </c>
      <c r="Y93" s="8" t="s">
        <v>42</v>
      </c>
      <c r="Z93" s="8">
        <f t="shared" si="21"/>
        <v>2080</v>
      </c>
      <c r="AA93" s="8">
        <f t="shared" si="22"/>
        <v>8.2714139288307675E-3</v>
      </c>
      <c r="AB93" s="8">
        <f t="shared" si="23"/>
        <v>3.9361579028070207E-2</v>
      </c>
      <c r="AC93" s="8">
        <f t="shared" si="24"/>
        <v>9.0729900955235532E-2</v>
      </c>
      <c r="AD93" s="8">
        <f t="shared" si="25"/>
        <v>0.43831233882003262</v>
      </c>
      <c r="AE93" s="8">
        <f t="shared" si="26"/>
        <v>0.26201052878545933</v>
      </c>
      <c r="AF93" s="8">
        <f t="shared" si="27"/>
        <v>16.643995535137741</v>
      </c>
      <c r="AG93" s="8" t="str">
        <f t="shared" si="28"/>
        <v/>
      </c>
      <c r="AH93" s="8">
        <f t="shared" si="29"/>
        <v>16.8043957868699</v>
      </c>
      <c r="AI93" s="8">
        <f t="shared" si="30"/>
        <v>6.0551748657574351E-7</v>
      </c>
      <c r="AJ93" s="8">
        <f t="shared" si="31"/>
        <v>3.9028934870443434E-2</v>
      </c>
      <c r="AK93" s="8" t="str">
        <f t="shared" si="32"/>
        <v/>
      </c>
      <c r="AL93" s="8">
        <f t="shared" si="33"/>
        <v>0.34974972341021132</v>
      </c>
      <c r="AM93" s="8">
        <f t="shared" si="34"/>
        <v>6.3305446829085454</v>
      </c>
      <c r="AN93" s="8">
        <f t="shared" si="35"/>
        <v>1.4841668297533661</v>
      </c>
      <c r="AO93" s="8">
        <f t="shared" si="36"/>
        <v>4.3377654541256536</v>
      </c>
      <c r="AP93" s="8">
        <f t="shared" si="37"/>
        <v>0.66063341117246888</v>
      </c>
      <c r="AQ93" s="8">
        <f t="shared" si="38"/>
        <v>1.7249993491916022</v>
      </c>
    </row>
    <row r="94" spans="1:43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43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43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 CAP</vt:lpstr>
      <vt:lpstr>CHP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2021-12-28T16:59:22Z</dcterms:created>
  <dcterms:modified xsi:type="dcterms:W3CDTF">2021-12-28T18:20:56Z</dcterms:modified>
</cp:coreProperties>
</file>