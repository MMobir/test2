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EDA\Veda_models\IEMM_v60_10-1-master\SuppXLS\"/>
    </mc:Choice>
  </mc:AlternateContent>
  <xr:revisionPtr revIDLastSave="0" documentId="13_ncr:1_{51E71A3B-EB1F-4C93-BD2D-592CA262CAD5}" xr6:coauthVersionLast="46" xr6:coauthVersionMax="46" xr10:uidLastSave="{00000000-0000-0000-0000-000000000000}"/>
  <bookViews>
    <workbookView xWindow="-120" yWindow="-120" windowWidth="20730" windowHeight="9825" xr2:uid="{8276F2D4-CE68-4B53-A009-FF31BFFF5582}"/>
  </bookViews>
  <sheets>
    <sheet name="ReadMe" sheetId="2" r:id="rId1"/>
    <sheet name="Calculation" sheetId="1" r:id="rId2"/>
    <sheet name="NEMS learning" sheetId="3" r:id="rId3"/>
    <sheet name="IN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8" i="4" l="1"/>
  <c r="E88" i="4"/>
  <c r="D89" i="4"/>
  <c r="E89" i="4"/>
  <c r="C56" i="4"/>
  <c r="D56" i="4"/>
  <c r="E56" i="4"/>
  <c r="C57" i="4"/>
  <c r="D57" i="4"/>
  <c r="E57" i="4"/>
  <c r="E24" i="4"/>
  <c r="E25" i="4"/>
  <c r="D24" i="4"/>
  <c r="D25" i="4"/>
  <c r="C24" i="4"/>
  <c r="C25" i="4"/>
  <c r="M8" i="1"/>
  <c r="M9" i="1"/>
  <c r="H8" i="1"/>
  <c r="H9" i="1"/>
  <c r="C8" i="1"/>
  <c r="C9" i="1"/>
  <c r="H10" i="1"/>
  <c r="E58" i="4" s="1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90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58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26" i="4"/>
  <c r="C27" i="4"/>
  <c r="C28" i="4"/>
  <c r="C29" i="4" s="1"/>
  <c r="C30" i="4" s="1"/>
  <c r="C31" i="4" s="1"/>
  <c r="C32" i="4" s="1"/>
  <c r="C33" i="4" s="1"/>
  <c r="C34" i="4" s="1"/>
  <c r="C35" i="4" s="1"/>
  <c r="C36" i="4" s="1"/>
  <c r="C37" i="4" s="1"/>
  <c r="C38" i="4" s="1"/>
  <c r="C39" i="4" s="1"/>
  <c r="C40" i="4" s="1"/>
  <c r="C41" i="4" s="1"/>
  <c r="C42" i="4" s="1"/>
  <c r="C43" i="4" s="1"/>
  <c r="C44" i="4" s="1"/>
  <c r="C45" i="4" s="1"/>
  <c r="C46" i="4" s="1"/>
  <c r="C47" i="4" s="1"/>
  <c r="C48" i="4" s="1"/>
  <c r="C49" i="4" s="1"/>
  <c r="C50" i="4" s="1"/>
  <c r="C51" i="4" s="1"/>
  <c r="C52" i="4" s="1"/>
  <c r="C53" i="4" s="1"/>
  <c r="C54" i="4" s="1"/>
  <c r="C55" i="4" s="1"/>
  <c r="C58" i="4" s="1"/>
  <c r="C59" i="4" s="1"/>
  <c r="C60" i="4" s="1"/>
  <c r="C61" i="4" s="1"/>
  <c r="C62" i="4" s="1"/>
  <c r="C63" i="4" s="1"/>
  <c r="C64" i="4" s="1"/>
  <c r="C65" i="4" s="1"/>
  <c r="C66" i="4" s="1"/>
  <c r="C67" i="4" s="1"/>
  <c r="C68" i="4" s="1"/>
  <c r="C69" i="4" s="1"/>
  <c r="C70" i="4" s="1"/>
  <c r="C71" i="4" s="1"/>
  <c r="C72" i="4" s="1"/>
  <c r="C73" i="4" s="1"/>
  <c r="C74" i="4" s="1"/>
  <c r="C75" i="4" s="1"/>
  <c r="C76" i="4" s="1"/>
  <c r="C77" i="4" s="1"/>
  <c r="C78" i="4" s="1"/>
  <c r="C79" i="4" s="1"/>
  <c r="C80" i="4" s="1"/>
  <c r="C81" i="4" s="1"/>
  <c r="C82" i="4" s="1"/>
  <c r="C83" i="4" s="1"/>
  <c r="C84" i="4" s="1"/>
  <c r="C85" i="4" s="1"/>
  <c r="C86" i="4" s="1"/>
  <c r="C87" i="4" s="1"/>
  <c r="D55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26" i="4"/>
  <c r="C26" i="4"/>
  <c r="L16" i="4"/>
  <c r="L15" i="4"/>
  <c r="M11" i="1" l="1"/>
  <c r="E91" i="4" s="1"/>
  <c r="M12" i="1"/>
  <c r="E92" i="4" s="1"/>
  <c r="M13" i="1"/>
  <c r="E93" i="4" s="1"/>
  <c r="M14" i="1"/>
  <c r="E94" i="4" s="1"/>
  <c r="M15" i="1"/>
  <c r="E95" i="4" s="1"/>
  <c r="M16" i="1"/>
  <c r="E96" i="4" s="1"/>
  <c r="M17" i="1"/>
  <c r="E97" i="4" s="1"/>
  <c r="M18" i="1"/>
  <c r="E98" i="4" s="1"/>
  <c r="M19" i="1"/>
  <c r="E99" i="4" s="1"/>
  <c r="M20" i="1"/>
  <c r="E100" i="4" s="1"/>
  <c r="M21" i="1"/>
  <c r="E101" i="4" s="1"/>
  <c r="M22" i="1"/>
  <c r="E102" i="4" s="1"/>
  <c r="M23" i="1"/>
  <c r="E103" i="4" s="1"/>
  <c r="M24" i="1"/>
  <c r="E104" i="4" s="1"/>
  <c r="M25" i="1"/>
  <c r="E105" i="4" s="1"/>
  <c r="M26" i="1"/>
  <c r="E106" i="4" s="1"/>
  <c r="M27" i="1"/>
  <c r="E107" i="4" s="1"/>
  <c r="M28" i="1"/>
  <c r="E108" i="4" s="1"/>
  <c r="M29" i="1"/>
  <c r="E109" i="4" s="1"/>
  <c r="M30" i="1"/>
  <c r="E110" i="4" s="1"/>
  <c r="M31" i="1"/>
  <c r="E111" i="4" s="1"/>
  <c r="M32" i="1"/>
  <c r="E112" i="4" s="1"/>
  <c r="M33" i="1"/>
  <c r="E113" i="4" s="1"/>
  <c r="M34" i="1"/>
  <c r="E114" i="4" s="1"/>
  <c r="M35" i="1"/>
  <c r="E115" i="4" s="1"/>
  <c r="M36" i="1"/>
  <c r="E116" i="4" s="1"/>
  <c r="M37" i="1"/>
  <c r="E117" i="4" s="1"/>
  <c r="M38" i="1"/>
  <c r="E118" i="4" s="1"/>
  <c r="M39" i="1"/>
  <c r="E119" i="4" s="1"/>
  <c r="M10" i="1"/>
  <c r="E90" i="4" s="1"/>
  <c r="H11" i="1" l="1"/>
  <c r="E59" i="4" s="1"/>
  <c r="H12" i="1"/>
  <c r="E60" i="4" s="1"/>
  <c r="H13" i="1"/>
  <c r="E61" i="4" s="1"/>
  <c r="H14" i="1"/>
  <c r="E62" i="4" s="1"/>
  <c r="H15" i="1"/>
  <c r="E63" i="4" s="1"/>
  <c r="H16" i="1"/>
  <c r="E64" i="4" s="1"/>
  <c r="H17" i="1"/>
  <c r="E65" i="4" s="1"/>
  <c r="H18" i="1"/>
  <c r="E66" i="4" s="1"/>
  <c r="H19" i="1"/>
  <c r="E67" i="4" s="1"/>
  <c r="H20" i="1"/>
  <c r="E68" i="4" s="1"/>
  <c r="H21" i="1"/>
  <c r="E69" i="4" s="1"/>
  <c r="H22" i="1"/>
  <c r="E70" i="4" s="1"/>
  <c r="H23" i="1"/>
  <c r="E71" i="4" s="1"/>
  <c r="H24" i="1"/>
  <c r="E72" i="4" s="1"/>
  <c r="H25" i="1"/>
  <c r="E73" i="4" s="1"/>
  <c r="H26" i="1"/>
  <c r="E74" i="4" s="1"/>
  <c r="H27" i="1"/>
  <c r="E75" i="4" s="1"/>
  <c r="H28" i="1"/>
  <c r="E76" i="4" s="1"/>
  <c r="H29" i="1"/>
  <c r="E77" i="4" s="1"/>
  <c r="H30" i="1"/>
  <c r="E78" i="4" s="1"/>
  <c r="H31" i="1"/>
  <c r="E79" i="4" s="1"/>
  <c r="H32" i="1"/>
  <c r="E80" i="4" s="1"/>
  <c r="H33" i="1"/>
  <c r="E81" i="4" s="1"/>
  <c r="H34" i="1"/>
  <c r="E82" i="4" s="1"/>
  <c r="H35" i="1"/>
  <c r="E83" i="4" s="1"/>
  <c r="H36" i="1"/>
  <c r="E84" i="4" s="1"/>
  <c r="H37" i="1"/>
  <c r="E85" i="4" s="1"/>
  <c r="H38" i="1"/>
  <c r="E86" i="4" s="1"/>
  <c r="H39" i="1"/>
  <c r="E87" i="4" s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10" i="1"/>
</calcChain>
</file>

<file path=xl/sharedStrings.xml><?xml version="1.0" encoding="utf-8"?>
<sst xmlns="http://schemas.openxmlformats.org/spreadsheetml/2006/main" count="439" uniqueCount="93">
  <si>
    <t xml:space="preserve">ts_mid.3.0617a      </t>
  </si>
  <si>
    <t>Central</t>
  </si>
  <si>
    <t>year</t>
  </si>
  <si>
    <t>learnig rate</t>
  </si>
  <si>
    <t xml:space="preserve">ts_mid.1.0618a      </t>
  </si>
  <si>
    <t xml:space="preserve">learning rate </t>
  </si>
  <si>
    <t>Workbook purpose:</t>
  </si>
  <si>
    <t>Creates time series for capital cost decline over time</t>
  </si>
  <si>
    <t>Data source:</t>
  </si>
  <si>
    <r>
      <t>AEO Reference case costs (</t>
    </r>
    <r>
      <rPr>
        <i/>
        <sz val="11"/>
        <color indexed="8"/>
        <rFont val="Calibri"/>
        <family val="2"/>
      </rPr>
      <t>NEMS learning sheet</t>
    </r>
    <r>
      <rPr>
        <sz val="11"/>
        <color theme="1"/>
        <rFont val="Calibri"/>
        <family val="2"/>
        <scheme val="minor"/>
      </rPr>
      <t>)</t>
    </r>
  </si>
  <si>
    <t>User-modifiable?</t>
  </si>
  <si>
    <r>
      <t xml:space="preserve">Learning rates on </t>
    </r>
    <r>
      <rPr>
        <i/>
        <sz val="11"/>
        <color indexed="8"/>
        <rFont val="Calibri"/>
        <family val="2"/>
      </rPr>
      <t>NEMS learning</t>
    </r>
    <r>
      <rPr>
        <sz val="11"/>
        <color theme="1"/>
        <rFont val="Calibri"/>
        <family val="2"/>
        <scheme val="minor"/>
      </rPr>
      <t xml:space="preserve"> can be modified, replaced with a new AEO or with trajectories derived from ETL runs. Note VLOOKUP structure driven by columns J-L on </t>
    </r>
    <r>
      <rPr>
        <i/>
        <sz val="11"/>
        <color indexed="8"/>
        <rFont val="Calibri"/>
        <family val="2"/>
      </rPr>
      <t>INS</t>
    </r>
    <r>
      <rPr>
        <sz val="11"/>
        <color theme="1"/>
        <rFont val="Calibri"/>
        <family val="2"/>
        <scheme val="minor"/>
      </rPr>
      <t xml:space="preserve"> sheet.</t>
    </r>
  </si>
  <si>
    <t>Online Year</t>
  </si>
  <si>
    <t>Coal with 30% CCS</t>
  </si>
  <si>
    <t>Coal with 90% CCS</t>
  </si>
  <si>
    <t>Comb. Turb</t>
  </si>
  <si>
    <t>Adv. CT</t>
  </si>
  <si>
    <t>Comb. Cyc</t>
  </si>
  <si>
    <t>Adv CC</t>
  </si>
  <si>
    <t>Adv CC w/seq</t>
  </si>
  <si>
    <t>Fuel Cell</t>
  </si>
  <si>
    <t>Nuclear</t>
  </si>
  <si>
    <t>Biomass</t>
  </si>
  <si>
    <t>Geothermal</t>
  </si>
  <si>
    <t>Landfill Gas</t>
  </si>
  <si>
    <t>Hydro</t>
  </si>
  <si>
    <t>Battery Storage</t>
  </si>
  <si>
    <t>Wind</t>
  </si>
  <si>
    <t>Offshore Wind</t>
  </si>
  <si>
    <t>Solar Thermal</t>
  </si>
  <si>
    <t>Solar PV - tracking</t>
  </si>
  <si>
    <t>Solar PV - fixed tilt</t>
  </si>
  <si>
    <t>Dist. Gen Base</t>
  </si>
  <si>
    <t>Dist Gen Peak</t>
  </si>
  <si>
    <t>~TFM_MIG</t>
  </si>
  <si>
    <t>SourceScen</t>
  </si>
  <si>
    <t>Attribute</t>
  </si>
  <si>
    <t>Year2</t>
  </si>
  <si>
    <t>AllRegions</t>
  </si>
  <si>
    <t>PSET_PN</t>
  </si>
  <si>
    <t>E_SPV*</t>
  </si>
  <si>
    <t>Solar-EIA-c,Solar-StateLev</t>
  </si>
  <si>
    <t>INVCOST</t>
  </si>
  <si>
    <t>E_WON*</t>
  </si>
  <si>
    <t>BehaviourControl</t>
  </si>
  <si>
    <t>E_WOF*</t>
  </si>
  <si>
    <t>EN_COAPUL</t>
  </si>
  <si>
    <t>EBldRateStep*SOL*</t>
  </si>
  <si>
    <t>EN_COAIGCC</t>
  </si>
  <si>
    <t>EN_ZCOAIGCC</t>
  </si>
  <si>
    <t>EN_ZGasCCAdv</t>
  </si>
  <si>
    <t>EN_GasCCAdv</t>
  </si>
  <si>
    <t>EN_GasCC</t>
  </si>
  <si>
    <t>EN_GasCTAdv</t>
  </si>
  <si>
    <t>EN_GasCT</t>
  </si>
  <si>
    <t>EN_Biomass</t>
  </si>
  <si>
    <t>EN_ZBiomass</t>
  </si>
  <si>
    <t>EN_OilCCAdv</t>
  </si>
  <si>
    <t>EBldRateStep*WIN*</t>
  </si>
  <si>
    <t>EN_Hydro*</t>
  </si>
  <si>
    <t>*0.938</t>
  </si>
  <si>
    <t>*0.801734</t>
  </si>
  <si>
    <t>*0.726158</t>
  </si>
  <si>
    <t>*0.717941</t>
  </si>
  <si>
    <t>*0.704942</t>
  </si>
  <si>
    <t>*0.7</t>
  </si>
  <si>
    <t>*0.998</t>
  </si>
  <si>
    <t>*0.99</t>
  </si>
  <si>
    <t>*0.9775</t>
  </si>
  <si>
    <t>*0.965</t>
  </si>
  <si>
    <t>*0.9525</t>
  </si>
  <si>
    <t>*0.94</t>
  </si>
  <si>
    <t>*0.9275</t>
  </si>
  <si>
    <t>*0.915</t>
  </si>
  <si>
    <t>*0.996</t>
  </si>
  <si>
    <t>*0.9825</t>
  </si>
  <si>
    <t>*0.960625</t>
  </si>
  <si>
    <t>*0.93875</t>
  </si>
  <si>
    <t>*0.916875</t>
  </si>
  <si>
    <t>*0.895</t>
  </si>
  <si>
    <t>*0.873125</t>
  </si>
  <si>
    <t>*0.85125</t>
  </si>
  <si>
    <t>E*SPV*</t>
  </si>
  <si>
    <t>BaseExtra</t>
  </si>
  <si>
    <t>E*WON*</t>
  </si>
  <si>
    <t>E*WOF*</t>
  </si>
  <si>
    <t>utility PV</t>
  </si>
  <si>
    <t>Wind Onshore</t>
  </si>
  <si>
    <t>Wind Offshore</t>
  </si>
  <si>
    <t>constant backward extrapolation</t>
  </si>
  <si>
    <t xml:space="preserve">Original cost from the IEMM </t>
  </si>
  <si>
    <t>original data from AEO 2021 (table 123)</t>
  </si>
  <si>
    <t>Calculation (annual learning rates)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</si>
</sst>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_(&quot;$&quot;* #,##0_);_(&quot;$&quot;* \(#,##0\);_(&quot;$&quot;* &quot;-&quot;??_);_(@_)"/>
    <numFmt numFmtId="165" formatCode="0.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indexed="8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5" fillId="0" borderId="0"/>
  </cellStyleXfs>
  <cellXfs count="21">
    <xf numFmtId="0" fontId="0" fillId="0" borderId="0" xfId="0"/>
    <xf numFmtId="0" fontId="3" fillId="0" borderId="0" xfId="0" applyFont="1"/>
    <xf numFmtId="0" fontId="0" fillId="0" borderId="0" xfId="0" applyAlignment="1">
      <alignment wrapText="1"/>
    </xf>
    <xf numFmtId="0" fontId="6" fillId="0" borderId="1" xfId="3" applyFont="1" applyBorder="1" applyAlignment="1">
      <alignment horizontal="right" wrapText="1"/>
    </xf>
    <xf numFmtId="165" fontId="6" fillId="0" borderId="1" xfId="3" applyNumberFormat="1" applyFont="1" applyBorder="1" applyAlignment="1">
      <alignment horizontal="right" wrapText="1"/>
    </xf>
    <xf numFmtId="0" fontId="7" fillId="0" borderId="0" xfId="0" applyFont="1" applyAlignment="1">
      <alignment horizontal="center"/>
    </xf>
    <xf numFmtId="0" fontId="7" fillId="3" borderId="2" xfId="0" applyFont="1" applyFill="1" applyBorder="1"/>
    <xf numFmtId="0" fontId="7" fillId="4" borderId="2" xfId="0" applyFont="1" applyFill="1" applyBorder="1"/>
    <xf numFmtId="0" fontId="8" fillId="3" borderId="2" xfId="0" applyFont="1" applyFill="1" applyBorder="1"/>
    <xf numFmtId="0" fontId="2" fillId="2" borderId="0" xfId="2"/>
    <xf numFmtId="0" fontId="0" fillId="5" borderId="0" xfId="0" applyFill="1"/>
    <xf numFmtId="164" fontId="0" fillId="5" borderId="0" xfId="1" applyNumberFormat="1" applyFont="1" applyFill="1"/>
    <xf numFmtId="0" fontId="0" fillId="5" borderId="0" xfId="0" applyFill="1" applyAlignment="1">
      <alignment horizontal="center"/>
    </xf>
    <xf numFmtId="0" fontId="0" fillId="5" borderId="0" xfId="0" applyNumberFormat="1" applyFill="1"/>
    <xf numFmtId="0" fontId="0" fillId="0" borderId="0" xfId="0" applyFill="1"/>
    <xf numFmtId="164" fontId="0" fillId="6" borderId="0" xfId="1" applyNumberFormat="1" applyFont="1" applyFill="1"/>
    <xf numFmtId="164" fontId="0" fillId="7" borderId="0" xfId="1" applyNumberFormat="1" applyFont="1" applyFill="1"/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8" borderId="0" xfId="0" applyNumberFormat="1" applyFill="1"/>
  </cellXfs>
  <cellStyles count="4">
    <cellStyle name="Currency" xfId="1" builtinId="4"/>
    <cellStyle name="Neutral" xfId="2" builtinId="28"/>
    <cellStyle name="Normal" xfId="0" builtinId="0"/>
    <cellStyle name="Normal_Sheet1" xfId="3" xr:uid="{DE87D6F3-B3D7-4251-955A-FEEF5579F1A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AE5AA-A4B2-4EDD-B7B2-FFE3932B1D97}">
  <dimension ref="A1:A8"/>
  <sheetViews>
    <sheetView tabSelected="1" workbookViewId="0">
      <selection sqref="A1:XFD1048576"/>
    </sheetView>
  </sheetViews>
  <sheetFormatPr defaultColWidth="9.140625" defaultRowHeight="15" x14ac:dyDescent="0.25"/>
  <cols>
    <col min="1" max="256" width="11.42578125" customWidth="1"/>
  </cols>
  <sheetData>
    <row r="1" spans="1:1" x14ac:dyDescent="0.25">
      <c r="A1" s="1" t="s">
        <v>6</v>
      </c>
    </row>
    <row r="2" spans="1:1" x14ac:dyDescent="0.25">
      <c r="A2" t="s">
        <v>7</v>
      </c>
    </row>
    <row r="4" spans="1:1" x14ac:dyDescent="0.25">
      <c r="A4" s="1" t="s">
        <v>8</v>
      </c>
    </row>
    <row r="5" spans="1:1" x14ac:dyDescent="0.25">
      <c r="A5" t="s">
        <v>9</v>
      </c>
    </row>
    <row r="7" spans="1:1" x14ac:dyDescent="0.25">
      <c r="A7" s="1" t="s">
        <v>10</v>
      </c>
    </row>
    <row r="8" spans="1:1" x14ac:dyDescent="0.25">
      <c r="A8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9781C-59E2-4345-8977-326280BA52BF}">
  <dimension ref="A1:M39"/>
  <sheetViews>
    <sheetView workbookViewId="0">
      <selection activeCell="M10" sqref="M10:M39"/>
    </sheetView>
  </sheetViews>
  <sheetFormatPr defaultColWidth="11.42578125" defaultRowHeight="15" x14ac:dyDescent="0.25"/>
  <cols>
    <col min="2" max="2" width="16.85546875" bestFit="1" customWidth="1"/>
    <col min="7" max="7" width="16.85546875" bestFit="1" customWidth="1"/>
    <col min="12" max="12" width="16.85546875" bestFit="1" customWidth="1"/>
  </cols>
  <sheetData>
    <row r="1" spans="1:13" x14ac:dyDescent="0.25">
      <c r="A1" s="17" t="s">
        <v>90</v>
      </c>
      <c r="B1" s="17"/>
      <c r="C1" s="17"/>
      <c r="D1" s="12" t="s">
        <v>89</v>
      </c>
      <c r="E1" s="12"/>
      <c r="F1" s="12"/>
      <c r="G1" s="18" t="s">
        <v>91</v>
      </c>
      <c r="H1" s="18"/>
      <c r="I1" s="18"/>
      <c r="J1" s="19" t="s">
        <v>92</v>
      </c>
      <c r="K1" s="19"/>
      <c r="L1" s="19"/>
    </row>
    <row r="3" spans="1:13" x14ac:dyDescent="0.25">
      <c r="B3" t="s">
        <v>86</v>
      </c>
      <c r="G3" t="s">
        <v>87</v>
      </c>
      <c r="L3" t="s">
        <v>88</v>
      </c>
    </row>
    <row r="5" spans="1:13" x14ac:dyDescent="0.25">
      <c r="B5" t="s">
        <v>0</v>
      </c>
      <c r="G5" t="s">
        <v>4</v>
      </c>
      <c r="L5" t="s">
        <v>0</v>
      </c>
    </row>
    <row r="6" spans="1:13" x14ac:dyDescent="0.25">
      <c r="A6" t="s">
        <v>2</v>
      </c>
      <c r="B6" t="s">
        <v>1</v>
      </c>
      <c r="C6" t="s">
        <v>3</v>
      </c>
      <c r="F6" t="s">
        <v>2</v>
      </c>
      <c r="G6" t="s">
        <v>1</v>
      </c>
      <c r="H6" t="s">
        <v>5</v>
      </c>
      <c r="K6" t="s">
        <v>2</v>
      </c>
      <c r="L6" t="s">
        <v>1</v>
      </c>
      <c r="M6" t="s">
        <v>5</v>
      </c>
    </row>
    <row r="7" spans="1:13" x14ac:dyDescent="0.25">
      <c r="A7">
        <v>2010</v>
      </c>
      <c r="B7" s="15">
        <v>1417</v>
      </c>
      <c r="F7">
        <v>2010</v>
      </c>
      <c r="G7" s="15">
        <v>1460</v>
      </c>
      <c r="K7">
        <v>2010</v>
      </c>
      <c r="L7" s="15">
        <v>9667</v>
      </c>
    </row>
    <row r="8" spans="1:13" x14ac:dyDescent="0.25">
      <c r="A8" s="14">
        <v>2017</v>
      </c>
      <c r="B8" s="11">
        <v>1231.9000000000001</v>
      </c>
      <c r="C8" s="13">
        <f t="shared" ref="C8:C9" si="0">B8/$B$7</f>
        <v>0.86937191249117862</v>
      </c>
      <c r="F8" s="14">
        <v>2017</v>
      </c>
      <c r="G8" s="11">
        <v>1267.7</v>
      </c>
      <c r="H8" s="10">
        <f t="shared" ref="H8:H9" si="1">G8/$G$7</f>
        <v>0.86828767123287676</v>
      </c>
      <c r="K8" s="14">
        <v>2017</v>
      </c>
      <c r="L8" s="11">
        <v>2563.1999999999998</v>
      </c>
      <c r="M8" s="10">
        <f t="shared" ref="M8:M9" si="2">L8/$L$7</f>
        <v>0.26514947760422053</v>
      </c>
    </row>
    <row r="9" spans="1:13" x14ac:dyDescent="0.25">
      <c r="A9" s="14">
        <v>2020</v>
      </c>
      <c r="B9" s="11">
        <v>1231.9000000000001</v>
      </c>
      <c r="C9" s="13">
        <f t="shared" si="0"/>
        <v>0.86937191249117862</v>
      </c>
      <c r="F9" s="14">
        <v>2020</v>
      </c>
      <c r="G9" s="11">
        <v>1267.7</v>
      </c>
      <c r="H9" s="10">
        <f t="shared" si="1"/>
        <v>0.86828767123287676</v>
      </c>
      <c r="K9" s="14">
        <v>2020</v>
      </c>
      <c r="L9" s="11">
        <v>2563.1999999999998</v>
      </c>
      <c r="M9" s="10">
        <f t="shared" si="2"/>
        <v>0.26514947760422053</v>
      </c>
    </row>
    <row r="10" spans="1:13" x14ac:dyDescent="0.25">
      <c r="A10">
        <v>2021</v>
      </c>
      <c r="B10" s="16">
        <v>1231.9000000000001</v>
      </c>
      <c r="C10" s="20">
        <f>B10/$B$7</f>
        <v>0.86937191249117862</v>
      </c>
      <c r="F10">
        <v>2021</v>
      </c>
      <c r="G10" s="16">
        <v>1267.7</v>
      </c>
      <c r="H10" s="20">
        <f>G10/$G$7</f>
        <v>0.86828767123287676</v>
      </c>
      <c r="K10">
        <v>2021</v>
      </c>
      <c r="L10" s="16">
        <v>2563.1999999999998</v>
      </c>
      <c r="M10" s="20">
        <f>L10/$L$7</f>
        <v>0.26514947760422053</v>
      </c>
    </row>
    <row r="11" spans="1:13" x14ac:dyDescent="0.25">
      <c r="A11">
        <v>2022</v>
      </c>
      <c r="B11" s="16">
        <v>1178.3</v>
      </c>
      <c r="C11" s="20">
        <f t="shared" ref="C11:C39" si="3">B11/$B$7</f>
        <v>0.83154551870148197</v>
      </c>
      <c r="F11">
        <v>2022</v>
      </c>
      <c r="G11" s="16">
        <v>1275.5999999999999</v>
      </c>
      <c r="H11" s="20">
        <f t="shared" ref="H11:H39" si="4">G11/$G$7</f>
        <v>0.87369863013698623</v>
      </c>
      <c r="K11">
        <v>2022</v>
      </c>
      <c r="L11" s="16">
        <v>2436</v>
      </c>
      <c r="M11" s="20">
        <f t="shared" ref="M11:M39" si="5">L11/$L$7</f>
        <v>0.25199131064446051</v>
      </c>
    </row>
    <row r="12" spans="1:13" x14ac:dyDescent="0.25">
      <c r="A12">
        <v>2023</v>
      </c>
      <c r="B12" s="16">
        <v>1132.5999999999999</v>
      </c>
      <c r="C12" s="20">
        <f t="shared" si="3"/>
        <v>0.79929428369795341</v>
      </c>
      <c r="F12">
        <v>2023</v>
      </c>
      <c r="G12" s="16">
        <v>1279.5999999999999</v>
      </c>
      <c r="H12" s="20">
        <f t="shared" si="4"/>
        <v>0.87643835616438348</v>
      </c>
      <c r="K12">
        <v>2023</v>
      </c>
      <c r="L12" s="16">
        <v>2320.8000000000002</v>
      </c>
      <c r="M12" s="20">
        <f t="shared" si="5"/>
        <v>0.24007448019033828</v>
      </c>
    </row>
    <row r="13" spans="1:13" x14ac:dyDescent="0.25">
      <c r="A13">
        <v>2024</v>
      </c>
      <c r="B13" s="16">
        <v>1092.8</v>
      </c>
      <c r="C13" s="20">
        <f t="shared" si="3"/>
        <v>0.77120677487649958</v>
      </c>
      <c r="F13">
        <v>2024</v>
      </c>
      <c r="G13" s="16">
        <v>1281.5999999999999</v>
      </c>
      <c r="H13" s="20">
        <f t="shared" si="4"/>
        <v>0.87780821917808216</v>
      </c>
      <c r="K13">
        <v>2024</v>
      </c>
      <c r="L13" s="16">
        <v>2213.5</v>
      </c>
      <c r="M13" s="20">
        <f t="shared" si="5"/>
        <v>0.22897486293576083</v>
      </c>
    </row>
    <row r="14" spans="1:13" x14ac:dyDescent="0.25">
      <c r="A14">
        <v>2025</v>
      </c>
      <c r="B14" s="16">
        <v>1069</v>
      </c>
      <c r="C14" s="20">
        <f t="shared" si="3"/>
        <v>0.75441072688779109</v>
      </c>
      <c r="F14">
        <v>2025</v>
      </c>
      <c r="G14" s="16">
        <v>1277.5999999999999</v>
      </c>
      <c r="H14" s="20">
        <f t="shared" si="4"/>
        <v>0.87506849315068491</v>
      </c>
      <c r="K14">
        <v>2025</v>
      </c>
      <c r="L14" s="16">
        <v>2116.1</v>
      </c>
      <c r="M14" s="20">
        <f t="shared" si="5"/>
        <v>0.21889934829833452</v>
      </c>
    </row>
    <row r="15" spans="1:13" x14ac:dyDescent="0.25">
      <c r="A15">
        <v>2026</v>
      </c>
      <c r="B15" s="16">
        <v>1049.0999999999999</v>
      </c>
      <c r="C15" s="20">
        <f t="shared" si="3"/>
        <v>0.74036697247706418</v>
      </c>
      <c r="F15">
        <v>2026</v>
      </c>
      <c r="G15" s="16">
        <v>1265.7</v>
      </c>
      <c r="H15" s="20">
        <f t="shared" si="4"/>
        <v>0.86691780821917808</v>
      </c>
      <c r="K15">
        <v>2026</v>
      </c>
      <c r="L15" s="16">
        <v>2026.7</v>
      </c>
      <c r="M15" s="20">
        <f t="shared" si="5"/>
        <v>0.2096513913313334</v>
      </c>
    </row>
    <row r="16" spans="1:13" x14ac:dyDescent="0.25">
      <c r="A16">
        <v>2027</v>
      </c>
      <c r="B16" s="16">
        <v>997.46799999999996</v>
      </c>
      <c r="C16" s="20">
        <f t="shared" si="3"/>
        <v>0.70392942836979533</v>
      </c>
      <c r="F16">
        <v>2027</v>
      </c>
      <c r="G16" s="16">
        <v>1251.8</v>
      </c>
      <c r="H16" s="20">
        <f t="shared" si="4"/>
        <v>0.85739726027397256</v>
      </c>
      <c r="K16">
        <v>2027</v>
      </c>
      <c r="L16" s="16">
        <v>1947.2</v>
      </c>
      <c r="M16" s="20">
        <f t="shared" si="5"/>
        <v>0.20142753698148341</v>
      </c>
    </row>
    <row r="17" spans="1:13" x14ac:dyDescent="0.25">
      <c r="A17">
        <v>2028</v>
      </c>
      <c r="B17" s="16">
        <v>945.80600000000004</v>
      </c>
      <c r="C17" s="20">
        <f t="shared" si="3"/>
        <v>0.66747071277346515</v>
      </c>
      <c r="F17">
        <v>2028</v>
      </c>
      <c r="G17" s="16">
        <v>1235.9000000000001</v>
      </c>
      <c r="H17" s="20">
        <f t="shared" si="4"/>
        <v>0.84650684931506859</v>
      </c>
      <c r="K17">
        <v>2028</v>
      </c>
      <c r="L17" s="16">
        <v>1873.7</v>
      </c>
      <c r="M17" s="20">
        <f t="shared" si="5"/>
        <v>0.19382435088445227</v>
      </c>
    </row>
    <row r="18" spans="1:13" x14ac:dyDescent="0.25">
      <c r="A18">
        <v>2029</v>
      </c>
      <c r="B18" s="16">
        <v>892.15800000000002</v>
      </c>
      <c r="C18" s="20">
        <f t="shared" si="3"/>
        <v>0.62961044460127025</v>
      </c>
      <c r="F18">
        <v>2029</v>
      </c>
      <c r="G18" s="16">
        <v>1220</v>
      </c>
      <c r="H18" s="20">
        <f t="shared" si="4"/>
        <v>0.83561643835616439</v>
      </c>
      <c r="K18">
        <v>2029</v>
      </c>
      <c r="L18" s="16">
        <v>1808.2</v>
      </c>
      <c r="M18" s="20">
        <f t="shared" si="5"/>
        <v>0.18704872245784629</v>
      </c>
    </row>
    <row r="19" spans="1:13" x14ac:dyDescent="0.25">
      <c r="A19">
        <v>2030</v>
      </c>
      <c r="B19" s="16">
        <v>840.49599999999998</v>
      </c>
      <c r="C19" s="20">
        <f t="shared" si="3"/>
        <v>0.59315172900493995</v>
      </c>
      <c r="F19">
        <v>2030</v>
      </c>
      <c r="G19" s="16">
        <v>1202.0999999999999</v>
      </c>
      <c r="H19" s="20">
        <f t="shared" si="4"/>
        <v>0.82335616438356163</v>
      </c>
      <c r="K19">
        <v>2030</v>
      </c>
      <c r="L19" s="16">
        <v>1748.5</v>
      </c>
      <c r="M19" s="20">
        <f t="shared" si="5"/>
        <v>0.18087307334229855</v>
      </c>
    </row>
    <row r="20" spans="1:13" x14ac:dyDescent="0.25">
      <c r="A20">
        <v>2031</v>
      </c>
      <c r="B20" s="16">
        <v>832.548</v>
      </c>
      <c r="C20" s="20">
        <f t="shared" si="3"/>
        <v>0.58754269583627383</v>
      </c>
      <c r="F20">
        <v>2031</v>
      </c>
      <c r="G20" s="16">
        <v>1196.2</v>
      </c>
      <c r="H20" s="20">
        <f t="shared" si="4"/>
        <v>0.81931506849315072</v>
      </c>
      <c r="K20">
        <v>2031</v>
      </c>
      <c r="L20" s="16">
        <v>1696.9</v>
      </c>
      <c r="M20" s="20">
        <f t="shared" si="5"/>
        <v>0.17553532636805627</v>
      </c>
    </row>
    <row r="21" spans="1:13" x14ac:dyDescent="0.25">
      <c r="A21">
        <v>2032</v>
      </c>
      <c r="B21" s="16">
        <v>826.58699999999999</v>
      </c>
      <c r="C21" s="20">
        <f t="shared" si="3"/>
        <v>0.58333592095977416</v>
      </c>
      <c r="F21">
        <v>2032</v>
      </c>
      <c r="G21" s="16">
        <v>1184.2</v>
      </c>
      <c r="H21" s="20">
        <f t="shared" si="4"/>
        <v>0.81109589041095898</v>
      </c>
      <c r="K21">
        <v>2032</v>
      </c>
      <c r="L21" s="16">
        <v>1649.2</v>
      </c>
      <c r="M21" s="20">
        <f t="shared" si="5"/>
        <v>0.17060101375814626</v>
      </c>
    </row>
    <row r="22" spans="1:13" x14ac:dyDescent="0.25">
      <c r="A22">
        <v>2033</v>
      </c>
      <c r="B22" s="16">
        <v>818.63900000000001</v>
      </c>
      <c r="C22" s="20">
        <f t="shared" si="3"/>
        <v>0.57772688779110803</v>
      </c>
      <c r="F22">
        <v>2033</v>
      </c>
      <c r="G22" s="16">
        <v>1172.3</v>
      </c>
      <c r="H22" s="20">
        <f t="shared" si="4"/>
        <v>0.80294520547945203</v>
      </c>
      <c r="K22">
        <v>2033</v>
      </c>
      <c r="L22" s="16">
        <v>1607.5</v>
      </c>
      <c r="M22" s="20">
        <f t="shared" si="5"/>
        <v>0.16628736940105512</v>
      </c>
    </row>
    <row r="23" spans="1:13" x14ac:dyDescent="0.25">
      <c r="A23">
        <v>2034</v>
      </c>
      <c r="B23" s="16">
        <v>810.69100000000003</v>
      </c>
      <c r="C23" s="20">
        <f t="shared" si="3"/>
        <v>0.5721178546224418</v>
      </c>
      <c r="F23">
        <v>2034</v>
      </c>
      <c r="G23" s="16">
        <v>1160.4000000000001</v>
      </c>
      <c r="H23" s="20">
        <f t="shared" si="4"/>
        <v>0.7947945205479453</v>
      </c>
      <c r="K23">
        <v>2034</v>
      </c>
      <c r="L23" s="16">
        <v>1569.7</v>
      </c>
      <c r="M23" s="20">
        <f t="shared" si="5"/>
        <v>0.16237715940829628</v>
      </c>
    </row>
    <row r="24" spans="1:13" x14ac:dyDescent="0.25">
      <c r="A24">
        <v>2035</v>
      </c>
      <c r="B24" s="16">
        <v>802.74300000000005</v>
      </c>
      <c r="C24" s="20">
        <f t="shared" si="3"/>
        <v>0.56650882145377557</v>
      </c>
      <c r="F24">
        <v>2035</v>
      </c>
      <c r="G24" s="16">
        <v>1148.5</v>
      </c>
      <c r="H24" s="20">
        <f t="shared" si="4"/>
        <v>0.78664383561643836</v>
      </c>
      <c r="K24">
        <v>2035</v>
      </c>
      <c r="L24" s="16">
        <v>1537.9</v>
      </c>
      <c r="M24" s="20">
        <f t="shared" si="5"/>
        <v>0.15908761766835627</v>
      </c>
    </row>
    <row r="25" spans="1:13" x14ac:dyDescent="0.25">
      <c r="A25">
        <v>2036</v>
      </c>
      <c r="B25" s="16">
        <v>796.78200000000004</v>
      </c>
      <c r="C25" s="20">
        <f t="shared" si="3"/>
        <v>0.562302046577276</v>
      </c>
      <c r="F25">
        <v>2036</v>
      </c>
      <c r="G25" s="16">
        <v>1136.5999999999999</v>
      </c>
      <c r="H25" s="20">
        <f t="shared" si="4"/>
        <v>0.77849315068493141</v>
      </c>
      <c r="K25">
        <v>2036</v>
      </c>
      <c r="L25" s="16">
        <v>1508.1</v>
      </c>
      <c r="M25" s="20">
        <f t="shared" si="5"/>
        <v>0.15600496534602254</v>
      </c>
    </row>
    <row r="26" spans="1:13" x14ac:dyDescent="0.25">
      <c r="A26">
        <v>2037</v>
      </c>
      <c r="B26" s="16">
        <v>788.83399999999995</v>
      </c>
      <c r="C26" s="20">
        <f t="shared" si="3"/>
        <v>0.55669301340860966</v>
      </c>
      <c r="F26">
        <v>2037</v>
      </c>
      <c r="G26" s="16">
        <v>1124.5999999999999</v>
      </c>
      <c r="H26" s="20">
        <f t="shared" si="4"/>
        <v>0.77027397260273966</v>
      </c>
      <c r="K26">
        <v>2037</v>
      </c>
      <c r="L26" s="16">
        <v>1482.3</v>
      </c>
      <c r="M26" s="20">
        <f t="shared" si="5"/>
        <v>0.1533360918589014</v>
      </c>
    </row>
    <row r="27" spans="1:13" x14ac:dyDescent="0.25">
      <c r="A27">
        <v>2038</v>
      </c>
      <c r="B27" s="16">
        <v>780.88599999999997</v>
      </c>
      <c r="C27" s="20">
        <f t="shared" si="3"/>
        <v>0.55108398023994354</v>
      </c>
      <c r="F27">
        <v>2038</v>
      </c>
      <c r="G27" s="16">
        <v>1112.7</v>
      </c>
      <c r="H27" s="20">
        <f t="shared" si="4"/>
        <v>0.76212328767123294</v>
      </c>
      <c r="K27">
        <v>2038</v>
      </c>
      <c r="L27" s="16">
        <v>1458.4</v>
      </c>
      <c r="M27" s="20">
        <f t="shared" si="5"/>
        <v>0.15086376331850626</v>
      </c>
    </row>
    <row r="28" spans="1:13" x14ac:dyDescent="0.25">
      <c r="A28">
        <v>2039</v>
      </c>
      <c r="B28" s="16">
        <v>772.93799999999999</v>
      </c>
      <c r="C28" s="20">
        <f t="shared" si="3"/>
        <v>0.54547494707127731</v>
      </c>
      <c r="F28">
        <v>2039</v>
      </c>
      <c r="G28" s="16">
        <v>1100.8</v>
      </c>
      <c r="H28" s="20">
        <f t="shared" si="4"/>
        <v>0.75397260273972599</v>
      </c>
      <c r="K28">
        <v>2039</v>
      </c>
      <c r="L28" s="16">
        <v>1438.6</v>
      </c>
      <c r="M28" s="20">
        <f t="shared" si="5"/>
        <v>0.14881555808420399</v>
      </c>
    </row>
    <row r="29" spans="1:13" x14ac:dyDescent="0.25">
      <c r="A29">
        <v>2040</v>
      </c>
      <c r="B29" s="16">
        <v>766.97699999999998</v>
      </c>
      <c r="C29" s="20">
        <f t="shared" si="3"/>
        <v>0.54126817219477763</v>
      </c>
      <c r="F29">
        <v>2040</v>
      </c>
      <c r="G29" s="16">
        <v>1088.9000000000001</v>
      </c>
      <c r="H29" s="20">
        <f t="shared" si="4"/>
        <v>0.74582191780821927</v>
      </c>
      <c r="K29">
        <v>2040</v>
      </c>
      <c r="L29" s="16">
        <v>1420.7</v>
      </c>
      <c r="M29" s="20">
        <f t="shared" si="5"/>
        <v>0.14696389779662772</v>
      </c>
    </row>
    <row r="30" spans="1:13" x14ac:dyDescent="0.25">
      <c r="A30">
        <v>2041</v>
      </c>
      <c r="B30" s="16">
        <v>759.029</v>
      </c>
      <c r="C30" s="20">
        <f t="shared" si="3"/>
        <v>0.53565913902611151</v>
      </c>
      <c r="F30">
        <v>2041</v>
      </c>
      <c r="G30" s="16">
        <v>1076.9000000000001</v>
      </c>
      <c r="H30" s="20">
        <f t="shared" si="4"/>
        <v>0.73760273972602741</v>
      </c>
      <c r="K30">
        <v>2041</v>
      </c>
      <c r="L30" s="16">
        <v>1402.8</v>
      </c>
      <c r="M30" s="20">
        <f t="shared" si="5"/>
        <v>0.14511223750905142</v>
      </c>
    </row>
    <row r="31" spans="1:13" x14ac:dyDescent="0.25">
      <c r="A31">
        <v>2042</v>
      </c>
      <c r="B31" s="16">
        <v>751.08100000000002</v>
      </c>
      <c r="C31" s="20">
        <f t="shared" si="3"/>
        <v>0.53005010585744528</v>
      </c>
      <c r="F31">
        <v>2042</v>
      </c>
      <c r="G31" s="16">
        <v>1063</v>
      </c>
      <c r="H31" s="20">
        <f t="shared" si="4"/>
        <v>0.7280821917808219</v>
      </c>
      <c r="K31">
        <v>2042</v>
      </c>
      <c r="L31" s="16">
        <v>1386.9</v>
      </c>
      <c r="M31" s="20">
        <f t="shared" si="5"/>
        <v>0.14346746663908141</v>
      </c>
    </row>
    <row r="32" spans="1:13" x14ac:dyDescent="0.25">
      <c r="A32">
        <v>2043</v>
      </c>
      <c r="B32" s="16">
        <v>743.13300000000004</v>
      </c>
      <c r="C32" s="20">
        <f t="shared" si="3"/>
        <v>0.52444107268877915</v>
      </c>
      <c r="F32">
        <v>2043</v>
      </c>
      <c r="G32" s="16">
        <v>1051.0999999999999</v>
      </c>
      <c r="H32" s="20">
        <f t="shared" si="4"/>
        <v>0.71993150684931506</v>
      </c>
      <c r="K32">
        <v>2043</v>
      </c>
      <c r="L32" s="16">
        <v>1371</v>
      </c>
      <c r="M32" s="20">
        <f t="shared" si="5"/>
        <v>0.14182269576911141</v>
      </c>
    </row>
    <row r="33" spans="1:13" x14ac:dyDescent="0.25">
      <c r="A33">
        <v>2044</v>
      </c>
      <c r="B33" s="16">
        <v>737.17200000000003</v>
      </c>
      <c r="C33" s="20">
        <f t="shared" si="3"/>
        <v>0.52023429781227948</v>
      </c>
      <c r="F33">
        <v>2044</v>
      </c>
      <c r="G33" s="16">
        <v>1039.2</v>
      </c>
      <c r="H33" s="20">
        <f t="shared" si="4"/>
        <v>0.71178082191780823</v>
      </c>
      <c r="K33">
        <v>2044</v>
      </c>
      <c r="L33" s="16">
        <v>1355.1</v>
      </c>
      <c r="M33" s="20">
        <f t="shared" si="5"/>
        <v>0.14017792489914141</v>
      </c>
    </row>
    <row r="34" spans="1:13" x14ac:dyDescent="0.25">
      <c r="A34">
        <v>2045</v>
      </c>
      <c r="B34" s="16">
        <v>729.22500000000002</v>
      </c>
      <c r="C34" s="20">
        <f t="shared" si="3"/>
        <v>0.51462597035991531</v>
      </c>
      <c r="F34">
        <v>2045</v>
      </c>
      <c r="G34" s="16">
        <v>1027.3</v>
      </c>
      <c r="H34" s="20">
        <f t="shared" si="4"/>
        <v>0.70363013698630139</v>
      </c>
      <c r="K34">
        <v>2045</v>
      </c>
      <c r="L34" s="16">
        <v>1337.2</v>
      </c>
      <c r="M34" s="20">
        <f t="shared" si="5"/>
        <v>0.13832626461156514</v>
      </c>
    </row>
    <row r="35" spans="1:13" x14ac:dyDescent="0.25">
      <c r="A35">
        <v>2046</v>
      </c>
      <c r="B35" s="16">
        <v>721.27700000000004</v>
      </c>
      <c r="C35" s="20">
        <f t="shared" si="3"/>
        <v>0.50901693719124919</v>
      </c>
      <c r="F35">
        <v>2046</v>
      </c>
      <c r="G35" s="16">
        <v>1015.4</v>
      </c>
      <c r="H35" s="20">
        <f t="shared" si="4"/>
        <v>0.69547945205479456</v>
      </c>
      <c r="K35">
        <v>2046</v>
      </c>
      <c r="L35" s="16">
        <v>1319.4</v>
      </c>
      <c r="M35" s="20">
        <f t="shared" si="5"/>
        <v>0.13648494879486917</v>
      </c>
    </row>
    <row r="36" spans="1:13" x14ac:dyDescent="0.25">
      <c r="A36">
        <v>2047</v>
      </c>
      <c r="B36" s="16">
        <v>713.32899999999995</v>
      </c>
      <c r="C36" s="20">
        <f t="shared" si="3"/>
        <v>0.50340790402258284</v>
      </c>
      <c r="F36">
        <v>2047</v>
      </c>
      <c r="G36" s="16">
        <v>1001.4</v>
      </c>
      <c r="H36" s="20">
        <f t="shared" si="4"/>
        <v>0.68589041095890413</v>
      </c>
      <c r="K36">
        <v>2047</v>
      </c>
      <c r="L36" s="16">
        <v>1301.5</v>
      </c>
      <c r="M36" s="20">
        <f t="shared" si="5"/>
        <v>0.13463328850729286</v>
      </c>
    </row>
    <row r="37" spans="1:13" x14ac:dyDescent="0.25">
      <c r="A37">
        <v>2048</v>
      </c>
      <c r="B37" s="16">
        <v>707.36800000000005</v>
      </c>
      <c r="C37" s="20">
        <f t="shared" si="3"/>
        <v>0.49920112914608333</v>
      </c>
      <c r="F37">
        <v>2048</v>
      </c>
      <c r="G37" s="16">
        <v>989.52</v>
      </c>
      <c r="H37" s="20">
        <f t="shared" si="4"/>
        <v>0.67775342465753419</v>
      </c>
      <c r="K37">
        <v>2048</v>
      </c>
      <c r="L37" s="16">
        <v>1279.5999999999999</v>
      </c>
      <c r="M37" s="20">
        <f t="shared" si="5"/>
        <v>0.13236784938450397</v>
      </c>
    </row>
    <row r="38" spans="1:13" x14ac:dyDescent="0.25">
      <c r="A38">
        <v>2049</v>
      </c>
      <c r="B38" s="16">
        <v>699.42</v>
      </c>
      <c r="C38" s="20">
        <f t="shared" si="3"/>
        <v>0.49359209597741704</v>
      </c>
      <c r="F38">
        <v>2049</v>
      </c>
      <c r="G38" s="16">
        <v>977.59799999999996</v>
      </c>
      <c r="H38" s="20">
        <f t="shared" si="4"/>
        <v>0.66958767123287666</v>
      </c>
      <c r="K38">
        <v>2049</v>
      </c>
      <c r="L38" s="16">
        <v>1255.8</v>
      </c>
      <c r="M38" s="20">
        <f t="shared" si="5"/>
        <v>0.12990586531498913</v>
      </c>
    </row>
    <row r="39" spans="1:13" x14ac:dyDescent="0.25">
      <c r="A39">
        <v>2050</v>
      </c>
      <c r="B39" s="16">
        <v>691.47199999999998</v>
      </c>
      <c r="C39" s="20">
        <f t="shared" si="3"/>
        <v>0.48798306280875087</v>
      </c>
      <c r="F39">
        <v>2050</v>
      </c>
      <c r="G39" s="16">
        <v>965.67600000000004</v>
      </c>
      <c r="H39" s="20">
        <f t="shared" si="4"/>
        <v>0.66142191780821924</v>
      </c>
      <c r="K39">
        <v>2050</v>
      </c>
      <c r="L39" s="16">
        <v>1229.9000000000001</v>
      </c>
      <c r="M39" s="20">
        <f t="shared" si="5"/>
        <v>0.12722664735698769</v>
      </c>
    </row>
  </sheetData>
  <mergeCells count="4">
    <mergeCell ref="D1:F1"/>
    <mergeCell ref="A1:C1"/>
    <mergeCell ref="G1:I1"/>
    <mergeCell ref="J1:L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7408C-04C3-49B9-BD4B-02781DB7862A}">
  <dimension ref="A1:V37"/>
  <sheetViews>
    <sheetView workbookViewId="0">
      <selection sqref="A1:XFD1048576"/>
    </sheetView>
  </sheetViews>
  <sheetFormatPr defaultColWidth="8.85546875" defaultRowHeight="15" x14ac:dyDescent="0.25"/>
  <sheetData>
    <row r="1" spans="1:22" ht="45" x14ac:dyDescent="0.25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  <c r="K1" s="2" t="s">
        <v>22</v>
      </c>
      <c r="L1" s="2" t="s">
        <v>23</v>
      </c>
      <c r="M1" s="2" t="s">
        <v>24</v>
      </c>
      <c r="N1" s="2" t="s">
        <v>25</v>
      </c>
      <c r="O1" s="2" t="s">
        <v>26</v>
      </c>
      <c r="P1" s="2" t="s">
        <v>27</v>
      </c>
      <c r="Q1" s="2" t="s">
        <v>28</v>
      </c>
      <c r="R1" s="2" t="s">
        <v>29</v>
      </c>
      <c r="S1" s="2" t="s">
        <v>30</v>
      </c>
      <c r="T1" s="2" t="s">
        <v>31</v>
      </c>
      <c r="U1" s="2" t="s">
        <v>32</v>
      </c>
      <c r="V1" s="2" t="s">
        <v>33</v>
      </c>
    </row>
    <row r="2" spans="1:22" x14ac:dyDescent="0.25">
      <c r="A2" s="2">
        <v>2015</v>
      </c>
      <c r="B2" s="2">
        <v>3</v>
      </c>
      <c r="C2" s="2">
        <v>3</v>
      </c>
      <c r="D2" s="2">
        <v>3</v>
      </c>
      <c r="E2" s="2">
        <v>3</v>
      </c>
      <c r="F2" s="2">
        <v>3</v>
      </c>
      <c r="G2" s="2">
        <v>3</v>
      </c>
      <c r="H2" s="2">
        <v>3</v>
      </c>
      <c r="I2" s="2">
        <v>3</v>
      </c>
      <c r="J2" s="2">
        <v>3</v>
      </c>
      <c r="K2" s="2">
        <v>3</v>
      </c>
      <c r="L2" s="2">
        <v>3</v>
      </c>
      <c r="M2" s="2">
        <v>3</v>
      </c>
      <c r="N2" s="2">
        <v>3</v>
      </c>
      <c r="O2" s="2">
        <v>3</v>
      </c>
      <c r="P2" s="2">
        <v>3</v>
      </c>
      <c r="Q2" s="2">
        <v>3</v>
      </c>
      <c r="R2" s="2">
        <v>3</v>
      </c>
      <c r="S2" s="2">
        <v>3</v>
      </c>
      <c r="T2" s="2">
        <v>3</v>
      </c>
      <c r="U2" s="2">
        <v>3</v>
      </c>
      <c r="V2" s="2">
        <v>3</v>
      </c>
    </row>
    <row r="3" spans="1:22" x14ac:dyDescent="0.25">
      <c r="A3" s="2">
        <v>2016</v>
      </c>
      <c r="B3" s="2">
        <v>3</v>
      </c>
      <c r="C3" s="2">
        <v>3</v>
      </c>
      <c r="D3" s="2">
        <v>3</v>
      </c>
      <c r="E3" s="2">
        <v>3</v>
      </c>
      <c r="F3" s="2">
        <v>3</v>
      </c>
      <c r="G3" s="2">
        <v>3</v>
      </c>
      <c r="H3" s="2">
        <v>3</v>
      </c>
      <c r="I3" s="2">
        <v>3</v>
      </c>
      <c r="J3" s="2">
        <v>3</v>
      </c>
      <c r="K3" s="2">
        <v>3</v>
      </c>
      <c r="L3" s="2">
        <v>3</v>
      </c>
      <c r="M3" s="2">
        <v>3</v>
      </c>
      <c r="N3" s="2">
        <v>3</v>
      </c>
      <c r="O3" s="2">
        <v>3</v>
      </c>
      <c r="P3" s="2">
        <v>3</v>
      </c>
      <c r="Q3" s="2">
        <v>3</v>
      </c>
      <c r="R3" s="2">
        <v>3</v>
      </c>
      <c r="S3" s="2">
        <v>3</v>
      </c>
      <c r="T3" s="2">
        <v>3</v>
      </c>
      <c r="U3" s="2">
        <v>3</v>
      </c>
      <c r="V3" s="2">
        <v>3</v>
      </c>
    </row>
    <row r="4" spans="1:22" x14ac:dyDescent="0.25">
      <c r="A4" s="2">
        <v>2017</v>
      </c>
      <c r="B4" s="2">
        <v>0.996</v>
      </c>
      <c r="C4" s="2">
        <v>0.996</v>
      </c>
      <c r="D4" s="2">
        <v>0.997</v>
      </c>
      <c r="E4" s="2">
        <v>0.996</v>
      </c>
      <c r="F4" s="2">
        <v>0.998</v>
      </c>
      <c r="G4" s="2">
        <v>0.997</v>
      </c>
      <c r="H4" s="2">
        <v>0.99399999999999999</v>
      </c>
      <c r="I4" s="2">
        <v>0.99</v>
      </c>
      <c r="J4" s="2">
        <v>0.995</v>
      </c>
      <c r="K4" s="2">
        <v>0.996</v>
      </c>
      <c r="L4" s="2">
        <v>0.995</v>
      </c>
      <c r="M4" s="2">
        <v>0.997</v>
      </c>
      <c r="N4" s="2">
        <v>0.998</v>
      </c>
      <c r="O4" s="2">
        <v>0.99</v>
      </c>
      <c r="P4" s="2">
        <v>0.998</v>
      </c>
      <c r="Q4" s="2">
        <v>0.99399999999999999</v>
      </c>
      <c r="R4" s="2">
        <v>0.98799999999999999</v>
      </c>
      <c r="S4" s="2">
        <v>0.93799999999999994</v>
      </c>
      <c r="T4" s="2">
        <v>0.93799999999999994</v>
      </c>
      <c r="U4" s="2">
        <v>0.995</v>
      </c>
      <c r="V4" s="2">
        <v>0.995</v>
      </c>
    </row>
    <row r="5" spans="1:22" x14ac:dyDescent="0.25">
      <c r="A5" s="3">
        <v>2018</v>
      </c>
      <c r="B5" s="4">
        <v>0.99124999999999996</v>
      </c>
      <c r="C5" s="4">
        <v>0.99124999999999996</v>
      </c>
      <c r="D5" s="4">
        <v>0.995</v>
      </c>
      <c r="E5" s="4">
        <v>0.99250000000000005</v>
      </c>
      <c r="F5" s="4">
        <v>0.995</v>
      </c>
      <c r="G5" s="4">
        <v>0.99350000000000005</v>
      </c>
      <c r="H5" s="4">
        <v>0.98799999999999999</v>
      </c>
      <c r="I5" s="4">
        <v>0.96472899999999995</v>
      </c>
      <c r="J5" s="4">
        <v>0.99</v>
      </c>
      <c r="K5" s="4">
        <v>0.99250000000000005</v>
      </c>
      <c r="L5" s="4">
        <v>0.99</v>
      </c>
      <c r="M5" s="4">
        <v>0.995</v>
      </c>
      <c r="N5" s="4">
        <v>0.995</v>
      </c>
      <c r="O5" s="4">
        <v>0.98</v>
      </c>
      <c r="P5" s="4">
        <v>0.995</v>
      </c>
      <c r="Q5" s="4">
        <v>0.98750000000000004</v>
      </c>
      <c r="R5" s="4">
        <v>0.98271799999999998</v>
      </c>
      <c r="S5" s="4">
        <v>0.86216300000000001</v>
      </c>
      <c r="T5" s="4">
        <v>0.86216300000000001</v>
      </c>
      <c r="U5" s="4">
        <v>0.99</v>
      </c>
      <c r="V5" s="4">
        <v>0.99</v>
      </c>
    </row>
    <row r="6" spans="1:22" x14ac:dyDescent="0.25">
      <c r="A6" s="3">
        <v>2019</v>
      </c>
      <c r="B6" s="4">
        <v>0.98687499999999995</v>
      </c>
      <c r="C6" s="4">
        <v>0.98687499999999995</v>
      </c>
      <c r="D6" s="4">
        <v>0.99250000000000005</v>
      </c>
      <c r="E6" s="4">
        <v>0.98875000000000002</v>
      </c>
      <c r="F6" s="4">
        <v>0.99250000000000005</v>
      </c>
      <c r="G6" s="4">
        <v>0.99024999999999996</v>
      </c>
      <c r="H6" s="4">
        <v>0.98199999999999998</v>
      </c>
      <c r="I6" s="4">
        <v>0.95097399999999999</v>
      </c>
      <c r="J6" s="4">
        <v>0.98499999999999999</v>
      </c>
      <c r="K6" s="4">
        <v>0.98875000000000002</v>
      </c>
      <c r="L6" s="4">
        <v>0.98499999999999999</v>
      </c>
      <c r="M6" s="4">
        <v>0.99250000000000005</v>
      </c>
      <c r="N6" s="4">
        <v>0.99117</v>
      </c>
      <c r="O6" s="4">
        <v>0.97</v>
      </c>
      <c r="P6" s="4">
        <v>0.99250000000000005</v>
      </c>
      <c r="Q6" s="4">
        <v>0.98124999999999996</v>
      </c>
      <c r="R6" s="4">
        <v>0.97771799999999998</v>
      </c>
      <c r="S6" s="4">
        <v>0.82379100000000005</v>
      </c>
      <c r="T6" s="4">
        <v>0.82379100000000005</v>
      </c>
      <c r="U6" s="4">
        <v>0.98499999999999999</v>
      </c>
      <c r="V6" s="4">
        <v>0.98499999999999999</v>
      </c>
    </row>
    <row r="7" spans="1:22" x14ac:dyDescent="0.25">
      <c r="A7" s="3">
        <v>2020</v>
      </c>
      <c r="B7" s="4">
        <v>0.98250000000000004</v>
      </c>
      <c r="C7" s="4">
        <v>0.98250000000000004</v>
      </c>
      <c r="D7" s="4">
        <v>0.99</v>
      </c>
      <c r="E7" s="4">
        <v>0.98499999999999999</v>
      </c>
      <c r="F7" s="4">
        <v>0.99</v>
      </c>
      <c r="G7" s="4">
        <v>0.98699999999999999</v>
      </c>
      <c r="H7" s="4">
        <v>0.97599999999999998</v>
      </c>
      <c r="I7" s="4">
        <v>0.94097399999999998</v>
      </c>
      <c r="J7" s="4">
        <v>0.98</v>
      </c>
      <c r="K7" s="4">
        <v>0.98111899999999996</v>
      </c>
      <c r="L7" s="4">
        <v>0.98</v>
      </c>
      <c r="M7" s="4">
        <v>0.99</v>
      </c>
      <c r="N7" s="4">
        <v>0.98798200000000003</v>
      </c>
      <c r="O7" s="4">
        <v>0.96</v>
      </c>
      <c r="P7" s="4">
        <v>0.99</v>
      </c>
      <c r="Q7" s="4">
        <v>0.97499999999999998</v>
      </c>
      <c r="R7" s="4">
        <v>0.97271799999999997</v>
      </c>
      <c r="S7" s="4">
        <v>0.80173399999999995</v>
      </c>
      <c r="T7" s="4">
        <v>0.80173399999999995</v>
      </c>
      <c r="U7" s="4">
        <v>0.98</v>
      </c>
      <c r="V7" s="4">
        <v>0.98</v>
      </c>
    </row>
    <row r="8" spans="1:22" x14ac:dyDescent="0.25">
      <c r="A8" s="3">
        <v>2021</v>
      </c>
      <c r="B8" s="4">
        <v>0.97812500000000002</v>
      </c>
      <c r="C8" s="4">
        <v>0.97812500000000002</v>
      </c>
      <c r="D8" s="4">
        <v>0.98750000000000004</v>
      </c>
      <c r="E8" s="4">
        <v>0.98124999999999996</v>
      </c>
      <c r="F8" s="4">
        <v>0.98750000000000004</v>
      </c>
      <c r="G8" s="4">
        <v>0.98375000000000001</v>
      </c>
      <c r="H8" s="4">
        <v>0.97</v>
      </c>
      <c r="I8" s="4">
        <v>0.93097399999999997</v>
      </c>
      <c r="J8" s="4">
        <v>0.97499999999999998</v>
      </c>
      <c r="K8" s="4">
        <v>0.97299100000000005</v>
      </c>
      <c r="L8" s="4">
        <v>0.97499999999999998</v>
      </c>
      <c r="M8" s="4">
        <v>0.98750000000000004</v>
      </c>
      <c r="N8" s="4">
        <v>0.98548199999999997</v>
      </c>
      <c r="O8" s="4">
        <v>0.95</v>
      </c>
      <c r="P8" s="4">
        <v>0.98750000000000004</v>
      </c>
      <c r="Q8" s="4">
        <v>0.96875</v>
      </c>
      <c r="R8" s="4">
        <v>0.96771799999999997</v>
      </c>
      <c r="S8" s="4">
        <v>0.75608299999999995</v>
      </c>
      <c r="T8" s="4">
        <v>0.75608299999999995</v>
      </c>
      <c r="U8" s="4">
        <v>0.97499999999999998</v>
      </c>
      <c r="V8" s="4">
        <v>0.95</v>
      </c>
    </row>
    <row r="9" spans="1:22" x14ac:dyDescent="0.25">
      <c r="A9" s="3">
        <v>2022</v>
      </c>
      <c r="B9" s="4">
        <v>0.97375</v>
      </c>
      <c r="C9" s="4">
        <v>0.97375</v>
      </c>
      <c r="D9" s="4">
        <v>0.98499999999999999</v>
      </c>
      <c r="E9" s="4">
        <v>0.97626000000000002</v>
      </c>
      <c r="F9" s="4">
        <v>0.98499999999999999</v>
      </c>
      <c r="G9" s="4">
        <v>0.97975599999999996</v>
      </c>
      <c r="H9" s="4">
        <v>0.96350400000000003</v>
      </c>
      <c r="I9" s="4">
        <v>0.92097399999999996</v>
      </c>
      <c r="J9" s="4">
        <v>0.96439799999999998</v>
      </c>
      <c r="K9" s="4">
        <v>0.96924100000000002</v>
      </c>
      <c r="L9" s="4">
        <v>0.97</v>
      </c>
      <c r="M9" s="4">
        <v>0.98499999999999999</v>
      </c>
      <c r="N9" s="4">
        <v>0.98298200000000002</v>
      </c>
      <c r="O9" s="4">
        <v>0.94</v>
      </c>
      <c r="P9" s="4">
        <v>0.98499999999999999</v>
      </c>
      <c r="Q9" s="4">
        <v>0.96250000000000002</v>
      </c>
      <c r="R9" s="4">
        <v>0.96271799999999996</v>
      </c>
      <c r="S9" s="4">
        <v>0.74016000000000004</v>
      </c>
      <c r="T9" s="4">
        <v>0.74016000000000004</v>
      </c>
      <c r="U9" s="4">
        <v>0.97</v>
      </c>
      <c r="V9" s="4">
        <v>0.90249999999999997</v>
      </c>
    </row>
    <row r="10" spans="1:22" x14ac:dyDescent="0.25">
      <c r="A10" s="3">
        <v>2023</v>
      </c>
      <c r="B10" s="4">
        <v>0.96937499999999999</v>
      </c>
      <c r="C10" s="4">
        <v>0.96937499999999999</v>
      </c>
      <c r="D10" s="4">
        <v>0.98250000000000004</v>
      </c>
      <c r="E10" s="4">
        <v>0.96871399999999996</v>
      </c>
      <c r="F10" s="4">
        <v>0.98250000000000004</v>
      </c>
      <c r="G10" s="4">
        <v>0.97422900000000001</v>
      </c>
      <c r="H10" s="4">
        <v>0.955986</v>
      </c>
      <c r="I10" s="4">
        <v>0.91097399999999995</v>
      </c>
      <c r="J10" s="4">
        <v>0.95939799999999997</v>
      </c>
      <c r="K10" s="4">
        <v>0.96549099999999999</v>
      </c>
      <c r="L10" s="4">
        <v>0.94386400000000004</v>
      </c>
      <c r="M10" s="4">
        <v>0.98250000000000004</v>
      </c>
      <c r="N10" s="4">
        <v>0.98048199999999996</v>
      </c>
      <c r="O10" s="4">
        <v>0.93</v>
      </c>
      <c r="P10" s="4">
        <v>0.98250000000000004</v>
      </c>
      <c r="Q10" s="4">
        <v>0.95625000000000004</v>
      </c>
      <c r="R10" s="4">
        <v>0.95771799999999996</v>
      </c>
      <c r="S10" s="4">
        <v>0.729182</v>
      </c>
      <c r="T10" s="4">
        <v>0.729182</v>
      </c>
      <c r="U10" s="4">
        <v>0.96499999999999997</v>
      </c>
      <c r="V10" s="4">
        <v>0.857375</v>
      </c>
    </row>
    <row r="11" spans="1:22" x14ac:dyDescent="0.25">
      <c r="A11" s="3">
        <v>2024</v>
      </c>
      <c r="B11" s="4">
        <v>0.96499999999999997</v>
      </c>
      <c r="C11" s="4">
        <v>0.96499999999999997</v>
      </c>
      <c r="D11" s="4">
        <v>0.98</v>
      </c>
      <c r="E11" s="4">
        <v>0.95872100000000005</v>
      </c>
      <c r="F11" s="4">
        <v>0.98</v>
      </c>
      <c r="G11" s="4">
        <v>0.96723300000000001</v>
      </c>
      <c r="H11" s="4">
        <v>0.947488</v>
      </c>
      <c r="I11" s="4">
        <v>0.90097400000000005</v>
      </c>
      <c r="J11" s="4">
        <v>0.95439799999999997</v>
      </c>
      <c r="K11" s="4">
        <v>0.96174099999999996</v>
      </c>
      <c r="L11" s="4">
        <v>0.91039999999999999</v>
      </c>
      <c r="M11" s="4">
        <v>0.98</v>
      </c>
      <c r="N11" s="4">
        <v>0.97798200000000002</v>
      </c>
      <c r="O11" s="4">
        <v>0.92</v>
      </c>
      <c r="P11" s="4">
        <v>0.98</v>
      </c>
      <c r="Q11" s="4">
        <v>0.95</v>
      </c>
      <c r="R11" s="4">
        <v>0.95271799999999995</v>
      </c>
      <c r="S11" s="4">
        <v>0.72765800000000003</v>
      </c>
      <c r="T11" s="4">
        <v>0.72765800000000003</v>
      </c>
      <c r="U11" s="4">
        <v>0.96</v>
      </c>
      <c r="V11" s="4">
        <v>0.84808300000000003</v>
      </c>
    </row>
    <row r="12" spans="1:22" x14ac:dyDescent="0.25">
      <c r="A12" s="3">
        <v>2025</v>
      </c>
      <c r="B12" s="4">
        <v>0.96062499999999995</v>
      </c>
      <c r="C12" s="4">
        <v>0.96062499999999995</v>
      </c>
      <c r="D12" s="4">
        <v>0.97750000000000004</v>
      </c>
      <c r="E12" s="4">
        <v>0.94327799999999995</v>
      </c>
      <c r="F12" s="4">
        <v>0.97750000000000004</v>
      </c>
      <c r="G12" s="4">
        <v>0.95696700000000001</v>
      </c>
      <c r="H12" s="4">
        <v>0.93681099999999995</v>
      </c>
      <c r="I12" s="4">
        <v>0.89097400000000004</v>
      </c>
      <c r="J12" s="4">
        <v>0.94939799999999996</v>
      </c>
      <c r="K12" s="4">
        <v>0.95799100000000004</v>
      </c>
      <c r="L12" s="4">
        <v>0.88250600000000001</v>
      </c>
      <c r="M12" s="4">
        <v>0.97750000000000004</v>
      </c>
      <c r="N12" s="4">
        <v>0.97548199999999996</v>
      </c>
      <c r="O12" s="4">
        <v>0.91</v>
      </c>
      <c r="P12" s="4">
        <v>0.97750000000000004</v>
      </c>
      <c r="Q12" s="4">
        <v>0.94374999999999998</v>
      </c>
      <c r="R12" s="4">
        <v>0.94771899999999998</v>
      </c>
      <c r="S12" s="4">
        <v>0.72615799999999997</v>
      </c>
      <c r="T12" s="4">
        <v>0.72615799999999997</v>
      </c>
      <c r="U12" s="4">
        <v>0.95499999999999996</v>
      </c>
      <c r="V12" s="4">
        <v>0.83769300000000002</v>
      </c>
    </row>
    <row r="13" spans="1:22" x14ac:dyDescent="0.25">
      <c r="A13" s="3">
        <v>2026</v>
      </c>
      <c r="B13" s="4">
        <v>0.95625000000000004</v>
      </c>
      <c r="C13" s="4">
        <v>0.95625000000000004</v>
      </c>
      <c r="D13" s="4">
        <v>0.97499999999999998</v>
      </c>
      <c r="E13" s="4">
        <v>0.92911100000000002</v>
      </c>
      <c r="F13" s="4">
        <v>0.97499999999999998</v>
      </c>
      <c r="G13" s="4">
        <v>0.94746600000000003</v>
      </c>
      <c r="H13" s="4">
        <v>0.92664400000000002</v>
      </c>
      <c r="I13" s="4">
        <v>0.88097400000000003</v>
      </c>
      <c r="J13" s="4">
        <v>0.94439799999999996</v>
      </c>
      <c r="K13" s="4">
        <v>0.95424100000000001</v>
      </c>
      <c r="L13" s="4">
        <v>0.86380999999999997</v>
      </c>
      <c r="M13" s="4">
        <v>0.97499999999999998</v>
      </c>
      <c r="N13" s="4">
        <v>0.97298200000000001</v>
      </c>
      <c r="O13" s="4">
        <v>0.9</v>
      </c>
      <c r="P13" s="4">
        <v>0.97499999999999998</v>
      </c>
      <c r="Q13" s="4">
        <v>0.9375</v>
      </c>
      <c r="R13" s="4">
        <v>0.94271899999999997</v>
      </c>
      <c r="S13" s="4">
        <v>0.72465800000000002</v>
      </c>
      <c r="T13" s="4">
        <v>0.72465800000000002</v>
      </c>
      <c r="U13" s="4">
        <v>0.95</v>
      </c>
      <c r="V13" s="4">
        <v>0.829928</v>
      </c>
    </row>
    <row r="14" spans="1:22" x14ac:dyDescent="0.25">
      <c r="A14" s="3">
        <v>2027</v>
      </c>
      <c r="B14" s="4">
        <v>0.95187500000000003</v>
      </c>
      <c r="C14" s="4">
        <v>0.95187500000000003</v>
      </c>
      <c r="D14" s="4">
        <v>0.97250000000000003</v>
      </c>
      <c r="E14" s="4">
        <v>0.92075700000000005</v>
      </c>
      <c r="F14" s="4">
        <v>0.97250000000000003</v>
      </c>
      <c r="G14" s="4">
        <v>0.94145400000000001</v>
      </c>
      <c r="H14" s="4">
        <v>0.91880300000000004</v>
      </c>
      <c r="I14" s="4">
        <v>0.87097400000000003</v>
      </c>
      <c r="J14" s="4">
        <v>0.93939799999999996</v>
      </c>
      <c r="K14" s="4">
        <v>0.95049099999999997</v>
      </c>
      <c r="L14" s="4">
        <v>0.84991300000000003</v>
      </c>
      <c r="M14" s="4">
        <v>0.97250000000000003</v>
      </c>
      <c r="N14" s="4">
        <v>0.97048199999999996</v>
      </c>
      <c r="O14" s="4">
        <v>0.89</v>
      </c>
      <c r="P14" s="4">
        <v>0.97250000000000003</v>
      </c>
      <c r="Q14" s="4">
        <v>0.93125000000000002</v>
      </c>
      <c r="R14" s="4">
        <v>0.93771899999999997</v>
      </c>
      <c r="S14" s="4">
        <v>0.72315799999999997</v>
      </c>
      <c r="T14" s="4">
        <v>0.72315799999999997</v>
      </c>
      <c r="U14" s="4">
        <v>0.94434099999999999</v>
      </c>
      <c r="V14" s="4">
        <v>0.82319699999999996</v>
      </c>
    </row>
    <row r="15" spans="1:22" x14ac:dyDescent="0.25">
      <c r="A15" s="3">
        <v>2028</v>
      </c>
      <c r="B15" s="4">
        <v>0.94750000000000001</v>
      </c>
      <c r="C15" s="4">
        <v>0.94750000000000001</v>
      </c>
      <c r="D15" s="4">
        <v>0.97</v>
      </c>
      <c r="E15" s="4">
        <v>0.91053200000000001</v>
      </c>
      <c r="F15" s="4">
        <v>0.97</v>
      </c>
      <c r="G15" s="4">
        <v>0.93431900000000001</v>
      </c>
      <c r="H15" s="4">
        <v>0.91021300000000005</v>
      </c>
      <c r="I15" s="4">
        <v>0.86097400000000002</v>
      </c>
      <c r="J15" s="4">
        <v>0.93439799999999995</v>
      </c>
      <c r="K15" s="4">
        <v>0.94674100000000005</v>
      </c>
      <c r="L15" s="4">
        <v>0.83926400000000001</v>
      </c>
      <c r="M15" s="4">
        <v>0.97</v>
      </c>
      <c r="N15" s="4">
        <v>0.96798200000000001</v>
      </c>
      <c r="O15" s="4">
        <v>0.88</v>
      </c>
      <c r="P15" s="4">
        <v>0.97</v>
      </c>
      <c r="Q15" s="4">
        <v>0.92500000000000004</v>
      </c>
      <c r="R15" s="4">
        <v>0.93271899999999996</v>
      </c>
      <c r="S15" s="4">
        <v>0.72133899999999995</v>
      </c>
      <c r="T15" s="4">
        <v>0.72133899999999995</v>
      </c>
      <c r="U15" s="4">
        <v>0.93092399999999997</v>
      </c>
      <c r="V15" s="4">
        <v>0.81601800000000002</v>
      </c>
    </row>
    <row r="16" spans="1:22" x14ac:dyDescent="0.25">
      <c r="A16" s="3">
        <v>2029</v>
      </c>
      <c r="B16" s="4">
        <v>0.94312499999999999</v>
      </c>
      <c r="C16" s="4">
        <v>0.94312499999999999</v>
      </c>
      <c r="D16" s="4">
        <v>0.96750000000000003</v>
      </c>
      <c r="E16" s="4">
        <v>0.90470499999999998</v>
      </c>
      <c r="F16" s="4">
        <v>0.96750000000000003</v>
      </c>
      <c r="G16" s="4">
        <v>0.92982299999999996</v>
      </c>
      <c r="H16" s="4">
        <v>0.90338200000000002</v>
      </c>
      <c r="I16" s="4">
        <v>0.85097400000000001</v>
      </c>
      <c r="J16" s="4">
        <v>0.92939799999999995</v>
      </c>
      <c r="K16" s="4">
        <v>0.94299100000000002</v>
      </c>
      <c r="L16" s="4">
        <v>0.825963</v>
      </c>
      <c r="M16" s="4">
        <v>0.96750000000000003</v>
      </c>
      <c r="N16" s="4">
        <v>0.96548199999999995</v>
      </c>
      <c r="O16" s="4">
        <v>0.87</v>
      </c>
      <c r="P16" s="4">
        <v>0.96750000000000003</v>
      </c>
      <c r="Q16" s="4">
        <v>0.91874999999999996</v>
      </c>
      <c r="R16" s="4">
        <v>0.92771899999999996</v>
      </c>
      <c r="S16" s="4">
        <v>0.71960199999999996</v>
      </c>
      <c r="T16" s="4">
        <v>0.71960199999999996</v>
      </c>
      <c r="U16" s="4">
        <v>0.91943399999999997</v>
      </c>
      <c r="V16" s="4">
        <v>0.80863300000000005</v>
      </c>
    </row>
    <row r="17" spans="1:22" x14ac:dyDescent="0.25">
      <c r="A17" s="3">
        <v>2030</v>
      </c>
      <c r="B17" s="4">
        <v>0.93874999999999997</v>
      </c>
      <c r="C17" s="4">
        <v>0.93874999999999997</v>
      </c>
      <c r="D17" s="4">
        <v>0.96499999999999997</v>
      </c>
      <c r="E17" s="4">
        <v>0.89895000000000003</v>
      </c>
      <c r="F17" s="4">
        <v>0.96499999999999997</v>
      </c>
      <c r="G17" s="4">
        <v>0.92537000000000003</v>
      </c>
      <c r="H17" s="4">
        <v>0.89658000000000004</v>
      </c>
      <c r="I17" s="4">
        <v>0.840974</v>
      </c>
      <c r="J17" s="4">
        <v>0.92439800000000005</v>
      </c>
      <c r="K17" s="4">
        <v>0.93924099999999999</v>
      </c>
      <c r="L17" s="4">
        <v>0.81347199999999997</v>
      </c>
      <c r="M17" s="4">
        <v>0.96499999999999997</v>
      </c>
      <c r="N17" s="4">
        <v>0.962982</v>
      </c>
      <c r="O17" s="4">
        <v>0.86</v>
      </c>
      <c r="P17" s="4">
        <v>0.96499999999999997</v>
      </c>
      <c r="Q17" s="4">
        <v>0.91249999999999998</v>
      </c>
      <c r="R17" s="4">
        <v>0.92271899999999996</v>
      </c>
      <c r="S17" s="4">
        <v>0.71794100000000005</v>
      </c>
      <c r="T17" s="4">
        <v>0.71794100000000005</v>
      </c>
      <c r="U17" s="4">
        <v>0.90952</v>
      </c>
      <c r="V17" s="4">
        <v>0.801705</v>
      </c>
    </row>
    <row r="18" spans="1:22" x14ac:dyDescent="0.25">
      <c r="A18" s="3">
        <v>2031</v>
      </c>
      <c r="B18" s="4">
        <v>0.93437499999999996</v>
      </c>
      <c r="C18" s="4">
        <v>0.93437499999999996</v>
      </c>
      <c r="D18" s="4">
        <v>0.96250000000000002</v>
      </c>
      <c r="E18" s="4">
        <v>0.89300100000000004</v>
      </c>
      <c r="F18" s="4">
        <v>0.96250000000000002</v>
      </c>
      <c r="G18" s="4">
        <v>0.92080099999999998</v>
      </c>
      <c r="H18" s="4">
        <v>0.88970099999999996</v>
      </c>
      <c r="I18" s="4">
        <v>0.83097399999999999</v>
      </c>
      <c r="J18" s="4">
        <v>0.91939800000000005</v>
      </c>
      <c r="K18" s="4">
        <v>0.93549099999999996</v>
      </c>
      <c r="L18" s="4">
        <v>0.80277799999999999</v>
      </c>
      <c r="M18" s="4">
        <v>0.96250000000000002</v>
      </c>
      <c r="N18" s="4">
        <v>0.96048199999999995</v>
      </c>
      <c r="O18" s="4">
        <v>0.85</v>
      </c>
      <c r="P18" s="4">
        <v>0.96250000000000002</v>
      </c>
      <c r="Q18" s="4">
        <v>0.90625</v>
      </c>
      <c r="R18" s="4">
        <v>0.91771899999999995</v>
      </c>
      <c r="S18" s="4">
        <v>0.71596400000000004</v>
      </c>
      <c r="T18" s="4">
        <v>0.71596400000000004</v>
      </c>
      <c r="U18" s="4">
        <v>0.90059500000000003</v>
      </c>
      <c r="V18" s="4">
        <v>0.79532400000000003</v>
      </c>
    </row>
    <row r="19" spans="1:22" x14ac:dyDescent="0.25">
      <c r="A19" s="3">
        <v>2032</v>
      </c>
      <c r="B19" s="4">
        <v>0.93</v>
      </c>
      <c r="C19" s="4">
        <v>0.93</v>
      </c>
      <c r="D19" s="4">
        <v>0.96</v>
      </c>
      <c r="E19" s="4">
        <v>0.88655300000000004</v>
      </c>
      <c r="F19" s="4">
        <v>0.96</v>
      </c>
      <c r="G19" s="4">
        <v>0.91593199999999997</v>
      </c>
      <c r="H19" s="4">
        <v>0.88262099999999999</v>
      </c>
      <c r="I19" s="4">
        <v>0.82097399999999998</v>
      </c>
      <c r="J19" s="4">
        <v>0.91439800000000004</v>
      </c>
      <c r="K19" s="4">
        <v>0.93174100000000004</v>
      </c>
      <c r="L19" s="4">
        <v>0.79383899999999996</v>
      </c>
      <c r="M19" s="4">
        <v>0.96</v>
      </c>
      <c r="N19" s="4">
        <v>0.957982</v>
      </c>
      <c r="O19" s="4">
        <v>0.84</v>
      </c>
      <c r="P19" s="4">
        <v>0.96</v>
      </c>
      <c r="Q19" s="4">
        <v>0.9</v>
      </c>
      <c r="R19" s="4">
        <v>0.91271899999999995</v>
      </c>
      <c r="S19" s="4">
        <v>0.71320700000000004</v>
      </c>
      <c r="T19" s="4">
        <v>0.71320700000000004</v>
      </c>
      <c r="U19" s="4">
        <v>0.89297800000000005</v>
      </c>
      <c r="V19" s="4">
        <v>0.78999799999999998</v>
      </c>
    </row>
    <row r="20" spans="1:22" x14ac:dyDescent="0.25">
      <c r="A20" s="3">
        <v>2033</v>
      </c>
      <c r="B20" s="4">
        <v>0.92562500000000003</v>
      </c>
      <c r="C20" s="4">
        <v>0.92562500000000003</v>
      </c>
      <c r="D20" s="4">
        <v>0.95750000000000002</v>
      </c>
      <c r="E20" s="4">
        <v>0.88</v>
      </c>
      <c r="F20" s="4">
        <v>0.95750000000000002</v>
      </c>
      <c r="G20" s="4">
        <v>0.91100000000000003</v>
      </c>
      <c r="H20" s="4">
        <v>0.87549999999999994</v>
      </c>
      <c r="I20" s="4">
        <v>0.81097399999999997</v>
      </c>
      <c r="J20" s="4">
        <v>0.90939800000000004</v>
      </c>
      <c r="K20" s="4">
        <v>0.92799100000000001</v>
      </c>
      <c r="L20" s="4">
        <v>0.78474500000000003</v>
      </c>
      <c r="M20" s="4">
        <v>0.95750000000000002</v>
      </c>
      <c r="N20" s="4">
        <v>0.95548200000000005</v>
      </c>
      <c r="O20" s="4">
        <v>0.83</v>
      </c>
      <c r="P20" s="4">
        <v>0.95750000000000002</v>
      </c>
      <c r="Q20" s="4">
        <v>0.89375000000000004</v>
      </c>
      <c r="R20" s="4">
        <v>0.90771900000000005</v>
      </c>
      <c r="S20" s="4">
        <v>0.710453</v>
      </c>
      <c r="T20" s="4">
        <v>0.710453</v>
      </c>
      <c r="U20" s="4">
        <v>0.88534599999999997</v>
      </c>
      <c r="V20" s="4">
        <v>0.78394200000000003</v>
      </c>
    </row>
    <row r="21" spans="1:22" x14ac:dyDescent="0.25">
      <c r="A21" s="3">
        <v>2034</v>
      </c>
      <c r="B21" s="4">
        <v>0.92125000000000001</v>
      </c>
      <c r="C21" s="4">
        <v>0.92125000000000001</v>
      </c>
      <c r="D21" s="4">
        <v>0.95499999999999996</v>
      </c>
      <c r="E21" s="4">
        <v>0.87562399999999996</v>
      </c>
      <c r="F21" s="4">
        <v>0.95499999999999996</v>
      </c>
      <c r="G21" s="4">
        <v>0.90737500000000004</v>
      </c>
      <c r="H21" s="4">
        <v>0.86924999999999997</v>
      </c>
      <c r="I21" s="4">
        <v>0.80097399999999996</v>
      </c>
      <c r="J21" s="4">
        <v>0.90439800000000004</v>
      </c>
      <c r="K21" s="4">
        <v>0.92424099999999998</v>
      </c>
      <c r="L21" s="4">
        <v>0.77961599999999998</v>
      </c>
      <c r="M21" s="4">
        <v>0.95499999999999996</v>
      </c>
      <c r="N21" s="4">
        <v>0.952982</v>
      </c>
      <c r="O21" s="4">
        <v>0.82</v>
      </c>
      <c r="P21" s="4">
        <v>0.95499999999999996</v>
      </c>
      <c r="Q21" s="4">
        <v>0.88749999999999996</v>
      </c>
      <c r="R21" s="4">
        <v>0.90271900000000005</v>
      </c>
      <c r="S21" s="4">
        <v>0.70769700000000002</v>
      </c>
      <c r="T21" s="4">
        <v>0.70769700000000002</v>
      </c>
      <c r="U21" s="4">
        <v>0.87867899999999999</v>
      </c>
      <c r="V21" s="4">
        <v>0.77894200000000002</v>
      </c>
    </row>
    <row r="22" spans="1:22" x14ac:dyDescent="0.25">
      <c r="A22" s="3">
        <v>2035</v>
      </c>
      <c r="B22" s="4">
        <v>0.916875</v>
      </c>
      <c r="C22" s="4">
        <v>0.916875</v>
      </c>
      <c r="D22" s="4">
        <v>0.95250000000000001</v>
      </c>
      <c r="E22" s="4">
        <v>0.87165499999999996</v>
      </c>
      <c r="F22" s="4">
        <v>0.95250000000000001</v>
      </c>
      <c r="G22" s="4">
        <v>0.90399300000000005</v>
      </c>
      <c r="H22" s="4">
        <v>0.86316199999999998</v>
      </c>
      <c r="I22" s="4">
        <v>0.79097399999999995</v>
      </c>
      <c r="J22" s="4">
        <v>0.89939800000000003</v>
      </c>
      <c r="K22" s="4">
        <v>0.92049099999999995</v>
      </c>
      <c r="L22" s="4">
        <v>0.77461599999999997</v>
      </c>
      <c r="M22" s="4">
        <v>0.95250000000000001</v>
      </c>
      <c r="N22" s="4">
        <v>0.95048200000000005</v>
      </c>
      <c r="O22" s="4">
        <v>0.81</v>
      </c>
      <c r="P22" s="4">
        <v>0.95250000000000001</v>
      </c>
      <c r="Q22" s="4">
        <v>0.88124999999999998</v>
      </c>
      <c r="R22" s="4">
        <v>0.89771900000000004</v>
      </c>
      <c r="S22" s="4">
        <v>0.70494199999999996</v>
      </c>
      <c r="T22" s="4">
        <v>0.70494199999999996</v>
      </c>
      <c r="U22" s="4">
        <v>0.87235799999999997</v>
      </c>
      <c r="V22" s="4">
        <v>0.77394200000000002</v>
      </c>
    </row>
    <row r="23" spans="1:22" x14ac:dyDescent="0.25">
      <c r="A23" s="3">
        <v>2036</v>
      </c>
      <c r="B23" s="4">
        <v>0.91249999999999998</v>
      </c>
      <c r="C23" s="4">
        <v>0.91249999999999998</v>
      </c>
      <c r="D23" s="4">
        <v>0.95</v>
      </c>
      <c r="E23" s="4">
        <v>0.86756999999999995</v>
      </c>
      <c r="F23" s="4">
        <v>0.95</v>
      </c>
      <c r="G23" s="4">
        <v>0.90054199999999995</v>
      </c>
      <c r="H23" s="4">
        <v>0.85702800000000001</v>
      </c>
      <c r="I23" s="4">
        <v>0.78097399999999995</v>
      </c>
      <c r="J23" s="4">
        <v>0.89439800000000003</v>
      </c>
      <c r="K23" s="4">
        <v>0.91674100000000003</v>
      </c>
      <c r="L23" s="4">
        <v>0.76961599999999997</v>
      </c>
      <c r="M23" s="4">
        <v>0.95</v>
      </c>
      <c r="N23" s="4">
        <v>0.94798199999999999</v>
      </c>
      <c r="O23" s="4">
        <v>0.8</v>
      </c>
      <c r="P23" s="4">
        <v>0.95</v>
      </c>
      <c r="Q23" s="4">
        <v>0.875</v>
      </c>
      <c r="R23" s="4">
        <v>0.89271900000000004</v>
      </c>
      <c r="S23" s="4">
        <v>0.702179</v>
      </c>
      <c r="T23" s="4">
        <v>0.702179</v>
      </c>
      <c r="U23" s="4">
        <v>0.86614500000000005</v>
      </c>
      <c r="V23" s="4">
        <v>0.76894200000000001</v>
      </c>
    </row>
    <row r="24" spans="1:22" x14ac:dyDescent="0.25">
      <c r="A24" s="3">
        <v>2037</v>
      </c>
      <c r="B24" s="4">
        <v>0.90812499999999996</v>
      </c>
      <c r="C24" s="4">
        <v>0.90812499999999996</v>
      </c>
      <c r="D24" s="4">
        <v>0.94750000000000001</v>
      </c>
      <c r="E24" s="4">
        <v>0.86373500000000003</v>
      </c>
      <c r="F24" s="4">
        <v>0.94750000000000001</v>
      </c>
      <c r="G24" s="4">
        <v>0.89724099999999996</v>
      </c>
      <c r="H24" s="4">
        <v>0.85099400000000003</v>
      </c>
      <c r="I24" s="4">
        <v>0.77097400000000005</v>
      </c>
      <c r="J24" s="4">
        <v>0.88939800000000002</v>
      </c>
      <c r="K24" s="4">
        <v>0.912991</v>
      </c>
      <c r="L24" s="4">
        <v>0.76461599999999996</v>
      </c>
      <c r="M24" s="4">
        <v>0.94750000000000001</v>
      </c>
      <c r="N24" s="4">
        <v>0.94548200000000004</v>
      </c>
      <c r="O24" s="4">
        <v>0.79</v>
      </c>
      <c r="P24" s="4">
        <v>0.94750000000000001</v>
      </c>
      <c r="Q24" s="4">
        <v>0.86875000000000002</v>
      </c>
      <c r="R24" s="4">
        <v>0.88771900000000004</v>
      </c>
      <c r="S24" s="4">
        <v>0.7</v>
      </c>
      <c r="T24" s="4">
        <v>0.7</v>
      </c>
      <c r="U24" s="4">
        <v>0.86004899999999995</v>
      </c>
      <c r="V24" s="4">
        <v>0.76394200000000001</v>
      </c>
    </row>
    <row r="25" spans="1:22" x14ac:dyDescent="0.25">
      <c r="A25" s="3">
        <v>2038</v>
      </c>
      <c r="B25" s="4">
        <v>0.90375000000000005</v>
      </c>
      <c r="C25" s="4">
        <v>0.90375000000000005</v>
      </c>
      <c r="D25" s="4">
        <v>0.94499999999999995</v>
      </c>
      <c r="E25" s="4">
        <v>0.85882700000000001</v>
      </c>
      <c r="F25" s="4">
        <v>0.94499999999999995</v>
      </c>
      <c r="G25" s="4">
        <v>0.89329700000000001</v>
      </c>
      <c r="H25" s="4">
        <v>0.84453100000000003</v>
      </c>
      <c r="I25" s="4">
        <v>0.76097400000000004</v>
      </c>
      <c r="J25" s="4">
        <v>0.88439800000000002</v>
      </c>
      <c r="K25" s="4">
        <v>0.90924099999999997</v>
      </c>
      <c r="L25" s="4">
        <v>0.75961599999999996</v>
      </c>
      <c r="M25" s="4">
        <v>0.94499999999999995</v>
      </c>
      <c r="N25" s="4">
        <v>0.94298199999999999</v>
      </c>
      <c r="O25" s="4">
        <v>0.78</v>
      </c>
      <c r="P25" s="4">
        <v>0.94499999999999995</v>
      </c>
      <c r="Q25" s="4">
        <v>0.86250000000000004</v>
      </c>
      <c r="R25" s="4">
        <v>0.88271900000000003</v>
      </c>
      <c r="S25" s="4">
        <v>0.7</v>
      </c>
      <c r="T25" s="4">
        <v>0.7</v>
      </c>
      <c r="U25" s="4">
        <v>0.85504899999999995</v>
      </c>
      <c r="V25" s="4">
        <v>0.75894200000000001</v>
      </c>
    </row>
    <row r="26" spans="1:22" x14ac:dyDescent="0.25">
      <c r="A26" s="3">
        <v>2039</v>
      </c>
      <c r="B26" s="4">
        <v>0.89937500000000004</v>
      </c>
      <c r="C26" s="4">
        <v>0.89937500000000004</v>
      </c>
      <c r="D26" s="4">
        <v>0.9425</v>
      </c>
      <c r="E26" s="4">
        <v>0.85410799999999998</v>
      </c>
      <c r="F26" s="4">
        <v>0.9425</v>
      </c>
      <c r="G26" s="4">
        <v>0.88946499999999995</v>
      </c>
      <c r="H26" s="4">
        <v>0.83814299999999997</v>
      </c>
      <c r="I26" s="4">
        <v>0.75097400000000003</v>
      </c>
      <c r="J26" s="4">
        <v>0.87939800000000001</v>
      </c>
      <c r="K26" s="4">
        <v>0.90549100000000005</v>
      </c>
      <c r="L26" s="4">
        <v>0.75461599999999995</v>
      </c>
      <c r="M26" s="4">
        <v>0.9425</v>
      </c>
      <c r="N26" s="4">
        <v>0.94048200000000004</v>
      </c>
      <c r="O26" s="4">
        <v>0.77</v>
      </c>
      <c r="P26" s="4">
        <v>0.9425</v>
      </c>
      <c r="Q26" s="4">
        <v>0.85624999999999996</v>
      </c>
      <c r="R26" s="4">
        <v>0.87771900000000003</v>
      </c>
      <c r="S26" s="4">
        <v>0.7</v>
      </c>
      <c r="T26" s="4">
        <v>0.7</v>
      </c>
      <c r="U26" s="4">
        <v>0.85004900000000005</v>
      </c>
      <c r="V26" s="4">
        <v>0.753942</v>
      </c>
    </row>
    <row r="27" spans="1:22" x14ac:dyDescent="0.25">
      <c r="A27" s="3">
        <v>2040</v>
      </c>
      <c r="B27" s="4">
        <v>0.89500000000000002</v>
      </c>
      <c r="C27" s="4">
        <v>0.89500000000000002</v>
      </c>
      <c r="D27" s="4">
        <v>0.94</v>
      </c>
      <c r="E27" s="4">
        <v>0.849221</v>
      </c>
      <c r="F27" s="4">
        <v>0.94</v>
      </c>
      <c r="G27" s="4">
        <v>0.88553300000000001</v>
      </c>
      <c r="H27" s="4">
        <v>0.83168900000000001</v>
      </c>
      <c r="I27" s="4">
        <v>0.74097400000000002</v>
      </c>
      <c r="J27" s="4">
        <v>0.87439800000000001</v>
      </c>
      <c r="K27" s="4">
        <v>0.90174100000000001</v>
      </c>
      <c r="L27" s="4">
        <v>0.74961699999999998</v>
      </c>
      <c r="M27" s="4">
        <v>0.94</v>
      </c>
      <c r="N27" s="4">
        <v>0.93798199999999998</v>
      </c>
      <c r="O27" s="4">
        <v>0.76</v>
      </c>
      <c r="P27" s="4">
        <v>0.94</v>
      </c>
      <c r="Q27" s="4">
        <v>0.85</v>
      </c>
      <c r="R27" s="4">
        <v>0.87271900000000002</v>
      </c>
      <c r="S27" s="4">
        <v>0.7</v>
      </c>
      <c r="T27" s="4">
        <v>0.7</v>
      </c>
      <c r="U27" s="4">
        <v>0.84504900000000005</v>
      </c>
      <c r="V27" s="4">
        <v>0.748942</v>
      </c>
    </row>
    <row r="28" spans="1:22" x14ac:dyDescent="0.25">
      <c r="A28" s="3">
        <v>2041</v>
      </c>
      <c r="B28" s="4">
        <v>0.890625</v>
      </c>
      <c r="C28" s="4">
        <v>0.890625</v>
      </c>
      <c r="D28" s="4">
        <v>0.9375</v>
      </c>
      <c r="E28" s="4">
        <v>0.84452799999999995</v>
      </c>
      <c r="F28" s="4">
        <v>0.9375</v>
      </c>
      <c r="G28" s="4">
        <v>0.88171699999999997</v>
      </c>
      <c r="H28" s="4">
        <v>0.82531100000000002</v>
      </c>
      <c r="I28" s="4">
        <v>0.73097400000000001</v>
      </c>
      <c r="J28" s="4">
        <v>0.869398</v>
      </c>
      <c r="K28" s="4">
        <v>0.89799099999999998</v>
      </c>
      <c r="L28" s="4">
        <v>0.74461699999999997</v>
      </c>
      <c r="M28" s="4">
        <v>0.9375</v>
      </c>
      <c r="N28" s="4">
        <v>0.93548200000000004</v>
      </c>
      <c r="O28" s="4">
        <v>0.75</v>
      </c>
      <c r="P28" s="4">
        <v>0.9375</v>
      </c>
      <c r="Q28" s="4">
        <v>0.84375</v>
      </c>
      <c r="R28" s="4">
        <v>0.86771900000000002</v>
      </c>
      <c r="S28" s="4">
        <v>0.7</v>
      </c>
      <c r="T28" s="4">
        <v>0.7</v>
      </c>
      <c r="U28" s="4">
        <v>0.84004900000000005</v>
      </c>
      <c r="V28" s="4">
        <v>0.74394199999999999</v>
      </c>
    </row>
    <row r="29" spans="1:22" x14ac:dyDescent="0.25">
      <c r="A29" s="3">
        <v>2042</v>
      </c>
      <c r="B29" s="4">
        <v>0.88624999999999998</v>
      </c>
      <c r="C29" s="4">
        <v>0.88624999999999998</v>
      </c>
      <c r="D29" s="4">
        <v>0.93500000000000005</v>
      </c>
      <c r="E29" s="4">
        <v>0.84018199999999998</v>
      </c>
      <c r="F29" s="4">
        <v>0.93500000000000005</v>
      </c>
      <c r="G29" s="4">
        <v>0.87810999999999995</v>
      </c>
      <c r="H29" s="4">
        <v>0.81907300000000005</v>
      </c>
      <c r="I29" s="4">
        <v>0.720974</v>
      </c>
      <c r="J29" s="4">
        <v>0.864398</v>
      </c>
      <c r="K29" s="4">
        <v>0.89424099999999995</v>
      </c>
      <c r="L29" s="4">
        <v>0.73961699999999997</v>
      </c>
      <c r="M29" s="4">
        <v>0.93500000000000005</v>
      </c>
      <c r="N29" s="4">
        <v>0.93298199999999998</v>
      </c>
      <c r="O29" s="4">
        <v>0.74</v>
      </c>
      <c r="P29" s="4">
        <v>0.93500000000000005</v>
      </c>
      <c r="Q29" s="4">
        <v>0.83750000000000002</v>
      </c>
      <c r="R29" s="4">
        <v>0.86271900000000001</v>
      </c>
      <c r="S29" s="4">
        <v>0.7</v>
      </c>
      <c r="T29" s="4">
        <v>0.7</v>
      </c>
      <c r="U29" s="4">
        <v>0.83504900000000004</v>
      </c>
      <c r="V29" s="4">
        <v>0.73894199999999999</v>
      </c>
    </row>
    <row r="30" spans="1:22" x14ac:dyDescent="0.25">
      <c r="A30" s="3">
        <v>2043</v>
      </c>
      <c r="B30" s="4">
        <v>0.88187499999999996</v>
      </c>
      <c r="C30" s="4">
        <v>0.88187499999999996</v>
      </c>
      <c r="D30" s="4">
        <v>0.9325</v>
      </c>
      <c r="E30" s="4">
        <v>0.83540499999999995</v>
      </c>
      <c r="F30" s="4">
        <v>0.9325</v>
      </c>
      <c r="G30" s="4">
        <v>0.87424299999999999</v>
      </c>
      <c r="H30" s="4">
        <v>0.812662</v>
      </c>
      <c r="I30" s="4">
        <v>0.71097399999999999</v>
      </c>
      <c r="J30" s="4">
        <v>0.859398</v>
      </c>
      <c r="K30" s="4">
        <v>0.89049100000000003</v>
      </c>
      <c r="L30" s="4">
        <v>0.73461699999999996</v>
      </c>
      <c r="M30" s="4">
        <v>0.9325</v>
      </c>
      <c r="N30" s="4">
        <v>0.93048200000000003</v>
      </c>
      <c r="O30" s="4">
        <v>0.73</v>
      </c>
      <c r="P30" s="4">
        <v>0.9325</v>
      </c>
      <c r="Q30" s="4">
        <v>0.83125000000000004</v>
      </c>
      <c r="R30" s="4">
        <v>0.85771900000000001</v>
      </c>
      <c r="S30" s="4">
        <v>0.7</v>
      </c>
      <c r="T30" s="4">
        <v>0.7</v>
      </c>
      <c r="U30" s="4">
        <v>0.83004900000000004</v>
      </c>
      <c r="V30" s="4">
        <v>0.73394199999999998</v>
      </c>
    </row>
    <row r="31" spans="1:22" x14ac:dyDescent="0.25">
      <c r="A31" s="3">
        <v>2044</v>
      </c>
      <c r="B31" s="4">
        <v>0.87749999999999995</v>
      </c>
      <c r="C31" s="4">
        <v>0.87749999999999995</v>
      </c>
      <c r="D31" s="4">
        <v>0.93</v>
      </c>
      <c r="E31" s="4">
        <v>0.82958399999999999</v>
      </c>
      <c r="F31" s="4">
        <v>0.93</v>
      </c>
      <c r="G31" s="4">
        <v>0.86975000000000002</v>
      </c>
      <c r="H31" s="4">
        <v>0.80583400000000005</v>
      </c>
      <c r="I31" s="4">
        <v>0.70097399999999999</v>
      </c>
      <c r="J31" s="4">
        <v>0.85439799999999999</v>
      </c>
      <c r="K31" s="4">
        <v>0.886741</v>
      </c>
      <c r="L31" s="4">
        <v>0.72961699999999996</v>
      </c>
      <c r="M31" s="4">
        <v>0.93</v>
      </c>
      <c r="N31" s="4">
        <v>0.92798199999999997</v>
      </c>
      <c r="O31" s="4">
        <v>0.72</v>
      </c>
      <c r="P31" s="4">
        <v>0.93</v>
      </c>
      <c r="Q31" s="4">
        <v>0.82499999999999996</v>
      </c>
      <c r="R31" s="4">
        <v>0.852719</v>
      </c>
      <c r="S31" s="4">
        <v>0.7</v>
      </c>
      <c r="T31" s="4">
        <v>0.7</v>
      </c>
      <c r="U31" s="4">
        <v>0.82504900000000003</v>
      </c>
      <c r="V31" s="4">
        <v>0.72894199999999998</v>
      </c>
    </row>
    <row r="32" spans="1:22" x14ac:dyDescent="0.25">
      <c r="A32" s="3">
        <v>2045</v>
      </c>
      <c r="B32" s="4">
        <v>0.87312500000000004</v>
      </c>
      <c r="C32" s="4">
        <v>0.87312500000000004</v>
      </c>
      <c r="D32" s="4">
        <v>0.92749999999999999</v>
      </c>
      <c r="E32" s="4">
        <v>0.82469999999999999</v>
      </c>
      <c r="F32" s="4">
        <v>0.92749999999999999</v>
      </c>
      <c r="G32" s="4">
        <v>0.86582000000000003</v>
      </c>
      <c r="H32" s="4">
        <v>0.79937999999999998</v>
      </c>
      <c r="I32" s="4">
        <v>0.69097399999999998</v>
      </c>
      <c r="J32" s="4">
        <v>0.84939799999999999</v>
      </c>
      <c r="K32" s="4">
        <v>0.88299099999999997</v>
      </c>
      <c r="L32" s="4">
        <v>0.72461699999999996</v>
      </c>
      <c r="M32" s="4">
        <v>0.92749999999999999</v>
      </c>
      <c r="N32" s="4">
        <v>0.92548200000000003</v>
      </c>
      <c r="O32" s="4">
        <v>0.71</v>
      </c>
      <c r="P32" s="4">
        <v>0.92749999999999999</v>
      </c>
      <c r="Q32" s="4">
        <v>0.81874999999999998</v>
      </c>
      <c r="R32" s="4">
        <v>0.847719</v>
      </c>
      <c r="S32" s="4">
        <v>0.7</v>
      </c>
      <c r="T32" s="4">
        <v>0.7</v>
      </c>
      <c r="U32" s="4">
        <v>0.82004900000000003</v>
      </c>
      <c r="V32" s="4">
        <v>0.72394199999999997</v>
      </c>
    </row>
    <row r="33" spans="1:22" x14ac:dyDescent="0.25">
      <c r="A33" s="3">
        <v>2046</v>
      </c>
      <c r="B33" s="4">
        <v>0.86875000000000002</v>
      </c>
      <c r="C33" s="4">
        <v>0.86875000000000002</v>
      </c>
      <c r="D33" s="4">
        <v>0.92500000000000004</v>
      </c>
      <c r="E33" s="4">
        <v>0.818712</v>
      </c>
      <c r="F33" s="4">
        <v>0.92500000000000004</v>
      </c>
      <c r="G33" s="4">
        <v>0.86122699999999996</v>
      </c>
      <c r="H33" s="4">
        <v>0.79248499999999999</v>
      </c>
      <c r="I33" s="4">
        <v>0.68097399999999997</v>
      </c>
      <c r="J33" s="4">
        <v>0.84439799999999998</v>
      </c>
      <c r="K33" s="4">
        <v>0.87924100000000005</v>
      </c>
      <c r="L33" s="4">
        <v>0.71961699999999995</v>
      </c>
      <c r="M33" s="4">
        <v>0.92500000000000004</v>
      </c>
      <c r="N33" s="4">
        <v>0.92298199999999997</v>
      </c>
      <c r="O33" s="4">
        <v>0.7</v>
      </c>
      <c r="P33" s="4">
        <v>0.92500000000000004</v>
      </c>
      <c r="Q33" s="4">
        <v>0.8125</v>
      </c>
      <c r="R33" s="4">
        <v>0.842719</v>
      </c>
      <c r="S33" s="4">
        <v>0.7</v>
      </c>
      <c r="T33" s="4">
        <v>0.7</v>
      </c>
      <c r="U33" s="4">
        <v>0.81504900000000002</v>
      </c>
      <c r="V33" s="4">
        <v>0.71894199999999997</v>
      </c>
    </row>
    <row r="34" spans="1:22" x14ac:dyDescent="0.25">
      <c r="A34" s="3">
        <v>2047</v>
      </c>
      <c r="B34" s="4">
        <v>0.864375</v>
      </c>
      <c r="C34" s="4">
        <v>0.864375</v>
      </c>
      <c r="D34" s="4">
        <v>0.92249999999999999</v>
      </c>
      <c r="E34" s="4">
        <v>0.81254499999999996</v>
      </c>
      <c r="F34" s="4">
        <v>0.92249999999999999</v>
      </c>
      <c r="G34" s="4">
        <v>0.85652700000000004</v>
      </c>
      <c r="H34" s="4">
        <v>0.78551800000000005</v>
      </c>
      <c r="I34" s="4">
        <v>0.67097399999999996</v>
      </c>
      <c r="J34" s="4">
        <v>0.83939799999999998</v>
      </c>
      <c r="K34" s="4">
        <v>0.87549100000000002</v>
      </c>
      <c r="L34" s="4">
        <v>0.71461699999999995</v>
      </c>
      <c r="M34" s="4">
        <v>0.92249999999999999</v>
      </c>
      <c r="N34" s="4">
        <v>0.92048200000000002</v>
      </c>
      <c r="O34" s="4">
        <v>0.69</v>
      </c>
      <c r="P34" s="4">
        <v>0.92249999999999999</v>
      </c>
      <c r="Q34" s="4">
        <v>0.80625000000000002</v>
      </c>
      <c r="R34" s="4">
        <v>0.83771899999999999</v>
      </c>
      <c r="S34" s="4">
        <v>0.7</v>
      </c>
      <c r="T34" s="4">
        <v>0.7</v>
      </c>
      <c r="U34" s="4">
        <v>0.81004900000000002</v>
      </c>
      <c r="V34" s="4">
        <v>0.71394199999999997</v>
      </c>
    </row>
    <row r="35" spans="1:22" x14ac:dyDescent="0.25">
      <c r="A35" s="3">
        <v>2048</v>
      </c>
      <c r="B35" s="4">
        <v>0.86</v>
      </c>
      <c r="C35" s="4">
        <v>0.86</v>
      </c>
      <c r="D35" s="4">
        <v>0.92</v>
      </c>
      <c r="E35" s="4">
        <v>0.81</v>
      </c>
      <c r="F35" s="4">
        <v>0.92</v>
      </c>
      <c r="G35" s="4">
        <v>0.85399999999999998</v>
      </c>
      <c r="H35" s="4">
        <v>0.78</v>
      </c>
      <c r="I35" s="4">
        <v>0.66097399999999995</v>
      </c>
      <c r="J35" s="4">
        <v>0.83439799999999997</v>
      </c>
      <c r="K35" s="4">
        <v>0.87174099999999999</v>
      </c>
      <c r="L35" s="4">
        <v>0.70961700000000005</v>
      </c>
      <c r="M35" s="4">
        <v>0.92</v>
      </c>
      <c r="N35" s="4">
        <v>0.91798199999999996</v>
      </c>
      <c r="O35" s="4">
        <v>0.68</v>
      </c>
      <c r="P35" s="4">
        <v>0.92</v>
      </c>
      <c r="Q35" s="4">
        <v>0.8</v>
      </c>
      <c r="R35" s="4">
        <v>0.83271899999999999</v>
      </c>
      <c r="S35" s="4">
        <v>0.7</v>
      </c>
      <c r="T35" s="4">
        <v>0.7</v>
      </c>
      <c r="U35" s="4">
        <v>0.80504900000000001</v>
      </c>
      <c r="V35" s="4">
        <v>0.70894199999999996</v>
      </c>
    </row>
    <row r="36" spans="1:22" x14ac:dyDescent="0.25">
      <c r="A36" s="3">
        <v>2049</v>
      </c>
      <c r="B36" s="4">
        <v>0.85562499999999997</v>
      </c>
      <c r="C36" s="4">
        <v>0.85562499999999997</v>
      </c>
      <c r="D36" s="4">
        <v>0.91749999999999998</v>
      </c>
      <c r="E36" s="4">
        <v>0.80874999999999997</v>
      </c>
      <c r="F36" s="4">
        <v>0.91749999999999998</v>
      </c>
      <c r="G36" s="4">
        <v>0.85224999999999995</v>
      </c>
      <c r="H36" s="4">
        <v>0.77500000000000002</v>
      </c>
      <c r="I36" s="4">
        <v>0.65097400000000005</v>
      </c>
      <c r="J36" s="4">
        <v>0.82939799999999997</v>
      </c>
      <c r="K36" s="4">
        <v>0.86799099999999996</v>
      </c>
      <c r="L36" s="4">
        <v>0.70461700000000005</v>
      </c>
      <c r="M36" s="4">
        <v>0.91749999999999998</v>
      </c>
      <c r="N36" s="4">
        <v>0.91548200000000002</v>
      </c>
      <c r="O36" s="4">
        <v>0.67</v>
      </c>
      <c r="P36" s="4">
        <v>0.91749999999999998</v>
      </c>
      <c r="Q36" s="4">
        <v>0.79374999999999996</v>
      </c>
      <c r="R36" s="4">
        <v>0.82771899999999998</v>
      </c>
      <c r="S36" s="4">
        <v>0.7</v>
      </c>
      <c r="T36" s="4">
        <v>0.7</v>
      </c>
      <c r="U36" s="4">
        <v>0.80004900000000001</v>
      </c>
      <c r="V36" s="4">
        <v>0.70394199999999996</v>
      </c>
    </row>
    <row r="37" spans="1:22" x14ac:dyDescent="0.25">
      <c r="A37" s="3">
        <v>2050</v>
      </c>
      <c r="B37" s="4">
        <v>0.85124999999999995</v>
      </c>
      <c r="C37" s="4">
        <v>0.85124999999999995</v>
      </c>
      <c r="D37" s="4">
        <v>0.91500000000000004</v>
      </c>
      <c r="E37" s="4">
        <v>0.8075</v>
      </c>
      <c r="F37" s="4">
        <v>0.91500000000000004</v>
      </c>
      <c r="G37" s="4">
        <v>0.85050000000000003</v>
      </c>
      <c r="H37" s="4">
        <v>0.77</v>
      </c>
      <c r="I37" s="4">
        <v>0.64097400000000004</v>
      </c>
      <c r="J37" s="4">
        <v>0.82439799999999996</v>
      </c>
      <c r="K37" s="4">
        <v>0.86424100000000004</v>
      </c>
      <c r="L37" s="4">
        <v>0.7</v>
      </c>
      <c r="M37" s="4">
        <v>0.91500000000000004</v>
      </c>
      <c r="N37" s="4">
        <v>0.91298199999999996</v>
      </c>
      <c r="O37" s="4">
        <v>0.66</v>
      </c>
      <c r="P37" s="4">
        <v>0.91500000000000004</v>
      </c>
      <c r="Q37" s="4">
        <v>0.78749999999999998</v>
      </c>
      <c r="R37" s="4">
        <v>0.82271899999999998</v>
      </c>
      <c r="S37" s="4">
        <v>0.7</v>
      </c>
      <c r="T37" s="4">
        <v>0.7</v>
      </c>
      <c r="U37" s="4">
        <v>0.79504900000000001</v>
      </c>
      <c r="V37" s="4">
        <v>0.7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66AF7-21FD-4B18-B6E1-77904E3ADA9D}">
  <dimension ref="B2:S119"/>
  <sheetViews>
    <sheetView zoomScale="70" zoomScaleNormal="70" workbookViewId="0">
      <selection activeCell="R20" sqref="R20"/>
    </sheetView>
  </sheetViews>
  <sheetFormatPr defaultColWidth="8.85546875" defaultRowHeight="15" x14ac:dyDescent="0.25"/>
  <cols>
    <col min="2" max="2" width="24.28515625" bestFit="1" customWidth="1"/>
    <col min="3" max="3" width="11" bestFit="1" customWidth="1"/>
    <col min="4" max="4" width="6.140625" bestFit="1" customWidth="1"/>
    <col min="5" max="5" width="10.7109375" bestFit="1" customWidth="1"/>
    <col min="6" max="6" width="14.42578125" bestFit="1" customWidth="1"/>
    <col min="8" max="8" width="3" bestFit="1" customWidth="1"/>
    <col min="11" max="11" width="14.42578125" bestFit="1" customWidth="1"/>
    <col min="12" max="12" width="17.7109375" bestFit="1" customWidth="1"/>
    <col min="15" max="15" width="16.7109375" bestFit="1" customWidth="1"/>
    <col min="18" max="18" width="10.7109375" bestFit="1" customWidth="1"/>
    <col min="19" max="19" width="19" bestFit="1" customWidth="1"/>
  </cols>
  <sheetData>
    <row r="2" spans="2:19" x14ac:dyDescent="0.25">
      <c r="B2" t="s">
        <v>34</v>
      </c>
      <c r="F2" s="5"/>
      <c r="O2" t="s">
        <v>34</v>
      </c>
      <c r="S2" s="5"/>
    </row>
    <row r="3" spans="2:19" ht="15.75" thickBot="1" x14ac:dyDescent="0.3">
      <c r="B3" s="6" t="s">
        <v>35</v>
      </c>
      <c r="C3" s="6" t="s">
        <v>36</v>
      </c>
      <c r="D3" s="6" t="s">
        <v>37</v>
      </c>
      <c r="E3" s="7" t="s">
        <v>38</v>
      </c>
      <c r="F3" s="8" t="s">
        <v>39</v>
      </c>
      <c r="J3" s="9">
        <v>1</v>
      </c>
      <c r="K3" s="9" t="s">
        <v>40</v>
      </c>
      <c r="L3" s="9" t="s">
        <v>31</v>
      </c>
      <c r="O3" s="6" t="s">
        <v>35</v>
      </c>
      <c r="P3" s="6" t="s">
        <v>36</v>
      </c>
      <c r="Q3" s="6" t="s">
        <v>37</v>
      </c>
      <c r="R3" s="7" t="s">
        <v>38</v>
      </c>
      <c r="S3" s="8" t="s">
        <v>39</v>
      </c>
    </row>
    <row r="4" spans="2:19" x14ac:dyDescent="0.25">
      <c r="C4" t="s">
        <v>42</v>
      </c>
      <c r="D4">
        <v>2015</v>
      </c>
      <c r="F4" t="s">
        <v>46</v>
      </c>
      <c r="J4" s="9">
        <v>2</v>
      </c>
      <c r="K4" s="9" t="s">
        <v>43</v>
      </c>
      <c r="L4" s="9" t="s">
        <v>27</v>
      </c>
      <c r="O4" t="s">
        <v>44</v>
      </c>
      <c r="P4" t="s">
        <v>42</v>
      </c>
      <c r="Q4">
        <v>2015</v>
      </c>
    </row>
    <row r="5" spans="2:19" x14ac:dyDescent="0.25">
      <c r="C5" t="s">
        <v>42</v>
      </c>
      <c r="D5">
        <v>2016</v>
      </c>
      <c r="F5" t="s">
        <v>46</v>
      </c>
      <c r="J5" s="9">
        <v>3</v>
      </c>
      <c r="K5" s="9" t="s">
        <v>45</v>
      </c>
      <c r="L5" s="9" t="s">
        <v>28</v>
      </c>
      <c r="O5" t="s">
        <v>44</v>
      </c>
      <c r="P5" t="s">
        <v>42</v>
      </c>
      <c r="Q5">
        <v>2016</v>
      </c>
    </row>
    <row r="6" spans="2:19" x14ac:dyDescent="0.25">
      <c r="C6" t="s">
        <v>42</v>
      </c>
      <c r="D6">
        <v>2017</v>
      </c>
      <c r="E6" t="s">
        <v>74</v>
      </c>
      <c r="F6" t="s">
        <v>46</v>
      </c>
      <c r="J6" s="9">
        <v>4</v>
      </c>
      <c r="K6" s="9" t="s">
        <v>46</v>
      </c>
      <c r="L6" s="9" t="s">
        <v>13</v>
      </c>
      <c r="O6" t="s">
        <v>44</v>
      </c>
      <c r="P6" t="s">
        <v>42</v>
      </c>
      <c r="Q6">
        <v>2017</v>
      </c>
      <c r="R6" t="s">
        <v>60</v>
      </c>
      <c r="S6" t="s">
        <v>47</v>
      </c>
    </row>
    <row r="7" spans="2:19" x14ac:dyDescent="0.25">
      <c r="C7" t="s">
        <v>42</v>
      </c>
      <c r="D7">
        <v>2020</v>
      </c>
      <c r="E7" t="s">
        <v>75</v>
      </c>
      <c r="F7" t="s">
        <v>46</v>
      </c>
      <c r="J7" s="9">
        <v>5</v>
      </c>
      <c r="K7" s="9" t="s">
        <v>48</v>
      </c>
      <c r="L7" s="9" t="s">
        <v>13</v>
      </c>
      <c r="O7" t="s">
        <v>44</v>
      </c>
      <c r="P7" t="s">
        <v>42</v>
      </c>
      <c r="Q7">
        <v>2020</v>
      </c>
      <c r="R7" t="s">
        <v>61</v>
      </c>
      <c r="S7" t="s">
        <v>47</v>
      </c>
    </row>
    <row r="8" spans="2:19" x14ac:dyDescent="0.25">
      <c r="C8" t="s">
        <v>42</v>
      </c>
      <c r="D8">
        <v>2025</v>
      </c>
      <c r="E8" t="s">
        <v>76</v>
      </c>
      <c r="F8" t="s">
        <v>46</v>
      </c>
      <c r="J8" s="9">
        <v>6</v>
      </c>
      <c r="K8" s="9" t="s">
        <v>49</v>
      </c>
      <c r="L8" s="9" t="s">
        <v>14</v>
      </c>
      <c r="O8" t="s">
        <v>44</v>
      </c>
      <c r="P8" t="s">
        <v>42</v>
      </c>
      <c r="Q8">
        <v>2025</v>
      </c>
      <c r="R8" t="s">
        <v>62</v>
      </c>
      <c r="S8" t="s">
        <v>47</v>
      </c>
    </row>
    <row r="9" spans="2:19" x14ac:dyDescent="0.25">
      <c r="C9" t="s">
        <v>42</v>
      </c>
      <c r="D9">
        <v>2030</v>
      </c>
      <c r="E9" t="s">
        <v>77</v>
      </c>
      <c r="F9" t="s">
        <v>46</v>
      </c>
      <c r="J9" s="9">
        <v>7</v>
      </c>
      <c r="K9" s="9" t="s">
        <v>50</v>
      </c>
      <c r="L9" s="9" t="s">
        <v>19</v>
      </c>
      <c r="O9" t="s">
        <v>44</v>
      </c>
      <c r="P9" t="s">
        <v>42</v>
      </c>
      <c r="Q9">
        <v>2030</v>
      </c>
      <c r="R9" t="s">
        <v>63</v>
      </c>
      <c r="S9" t="s">
        <v>47</v>
      </c>
    </row>
    <row r="10" spans="2:19" x14ac:dyDescent="0.25">
      <c r="C10" t="s">
        <v>42</v>
      </c>
      <c r="D10">
        <v>2035</v>
      </c>
      <c r="E10" t="s">
        <v>78</v>
      </c>
      <c r="F10" t="s">
        <v>46</v>
      </c>
      <c r="J10" s="9">
        <v>8</v>
      </c>
      <c r="K10" s="9" t="s">
        <v>51</v>
      </c>
      <c r="L10" s="9" t="s">
        <v>18</v>
      </c>
      <c r="O10" t="s">
        <v>44</v>
      </c>
      <c r="P10" t="s">
        <v>42</v>
      </c>
      <c r="Q10">
        <v>2035</v>
      </c>
      <c r="R10" t="s">
        <v>64</v>
      </c>
      <c r="S10" t="s">
        <v>47</v>
      </c>
    </row>
    <row r="11" spans="2:19" x14ac:dyDescent="0.25">
      <c r="C11" t="s">
        <v>42</v>
      </c>
      <c r="D11">
        <v>2040</v>
      </c>
      <c r="E11" t="s">
        <v>79</v>
      </c>
      <c r="F11" t="s">
        <v>46</v>
      </c>
      <c r="J11" s="9">
        <v>9</v>
      </c>
      <c r="K11" s="9" t="s">
        <v>52</v>
      </c>
      <c r="L11" s="9" t="s">
        <v>17</v>
      </c>
      <c r="O11" t="s">
        <v>44</v>
      </c>
      <c r="P11" t="s">
        <v>42</v>
      </c>
      <c r="Q11">
        <v>2040</v>
      </c>
      <c r="R11" t="s">
        <v>65</v>
      </c>
      <c r="S11" t="s">
        <v>47</v>
      </c>
    </row>
    <row r="12" spans="2:19" x14ac:dyDescent="0.25">
      <c r="C12" t="s">
        <v>42</v>
      </c>
      <c r="D12">
        <v>2045</v>
      </c>
      <c r="E12" t="s">
        <v>80</v>
      </c>
      <c r="F12" t="s">
        <v>46</v>
      </c>
      <c r="J12" s="9">
        <v>10</v>
      </c>
      <c r="K12" s="9" t="s">
        <v>53</v>
      </c>
      <c r="L12" s="9" t="s">
        <v>16</v>
      </c>
      <c r="O12" t="s">
        <v>44</v>
      </c>
      <c r="P12" t="s">
        <v>42</v>
      </c>
      <c r="Q12">
        <v>2045</v>
      </c>
      <c r="R12" t="s">
        <v>65</v>
      </c>
      <c r="S12" t="s">
        <v>47</v>
      </c>
    </row>
    <row r="13" spans="2:19" x14ac:dyDescent="0.25">
      <c r="C13" t="s">
        <v>42</v>
      </c>
      <c r="D13">
        <v>2050</v>
      </c>
      <c r="E13" t="s">
        <v>81</v>
      </c>
      <c r="F13" t="s">
        <v>46</v>
      </c>
      <c r="J13" s="9">
        <v>11</v>
      </c>
      <c r="K13" s="9" t="s">
        <v>54</v>
      </c>
      <c r="L13" s="9" t="s">
        <v>15</v>
      </c>
      <c r="O13" t="s">
        <v>44</v>
      </c>
      <c r="P13" t="s">
        <v>42</v>
      </c>
      <c r="Q13">
        <v>2050</v>
      </c>
      <c r="R13" t="s">
        <v>65</v>
      </c>
      <c r="S13" t="s">
        <v>47</v>
      </c>
    </row>
    <row r="14" spans="2:19" x14ac:dyDescent="0.25">
      <c r="C14" t="s">
        <v>42</v>
      </c>
      <c r="D14">
        <v>2015</v>
      </c>
      <c r="F14" t="s">
        <v>48</v>
      </c>
      <c r="J14" s="9">
        <v>12</v>
      </c>
      <c r="K14" s="9" t="s">
        <v>55</v>
      </c>
      <c r="L14" s="9" t="s">
        <v>22</v>
      </c>
      <c r="O14" t="s">
        <v>44</v>
      </c>
      <c r="P14" t="s">
        <v>42</v>
      </c>
      <c r="Q14">
        <v>2015</v>
      </c>
    </row>
    <row r="15" spans="2:19" x14ac:dyDescent="0.25">
      <c r="C15" t="s">
        <v>42</v>
      </c>
      <c r="D15">
        <v>2016</v>
      </c>
      <c r="F15" t="s">
        <v>48</v>
      </c>
      <c r="J15" s="9">
        <v>13</v>
      </c>
      <c r="K15" s="9" t="s">
        <v>56</v>
      </c>
      <c r="L15" s="9" t="str">
        <f>L8</f>
        <v>Coal with 90% CCS</v>
      </c>
      <c r="O15" t="s">
        <v>44</v>
      </c>
      <c r="P15" t="s">
        <v>42</v>
      </c>
      <c r="Q15">
        <v>2016</v>
      </c>
    </row>
    <row r="16" spans="2:19" x14ac:dyDescent="0.25">
      <c r="C16" t="s">
        <v>42</v>
      </c>
      <c r="D16">
        <v>2017</v>
      </c>
      <c r="E16" t="s">
        <v>74</v>
      </c>
      <c r="F16" t="s">
        <v>48</v>
      </c>
      <c r="J16" s="9">
        <v>14</v>
      </c>
      <c r="K16" s="9" t="s">
        <v>57</v>
      </c>
      <c r="L16" s="9" t="str">
        <f>L12</f>
        <v>Adv. CT</v>
      </c>
      <c r="O16" t="s">
        <v>44</v>
      </c>
      <c r="P16" t="s">
        <v>42</v>
      </c>
      <c r="Q16">
        <v>2017</v>
      </c>
      <c r="R16" t="s">
        <v>66</v>
      </c>
      <c r="S16" t="s">
        <v>58</v>
      </c>
    </row>
    <row r="17" spans="2:19" x14ac:dyDescent="0.25">
      <c r="C17" t="s">
        <v>42</v>
      </c>
      <c r="D17">
        <v>2020</v>
      </c>
      <c r="E17" t="s">
        <v>75</v>
      </c>
      <c r="F17" t="s">
        <v>48</v>
      </c>
      <c r="J17" s="9">
        <v>15</v>
      </c>
      <c r="K17" s="9" t="s">
        <v>59</v>
      </c>
      <c r="L17" s="9" t="s">
        <v>25</v>
      </c>
      <c r="O17" t="s">
        <v>44</v>
      </c>
      <c r="P17" t="s">
        <v>42</v>
      </c>
      <c r="Q17">
        <v>2020</v>
      </c>
      <c r="R17" t="s">
        <v>67</v>
      </c>
      <c r="S17" t="s">
        <v>58</v>
      </c>
    </row>
    <row r="18" spans="2:19" x14ac:dyDescent="0.25">
      <c r="C18" t="s">
        <v>42</v>
      </c>
      <c r="D18">
        <v>2025</v>
      </c>
      <c r="E18" t="s">
        <v>76</v>
      </c>
      <c r="F18" t="s">
        <v>48</v>
      </c>
      <c r="O18" t="s">
        <v>44</v>
      </c>
      <c r="P18" t="s">
        <v>42</v>
      </c>
      <c r="Q18">
        <v>2025</v>
      </c>
      <c r="R18" t="s">
        <v>68</v>
      </c>
      <c r="S18" t="s">
        <v>58</v>
      </c>
    </row>
    <row r="19" spans="2:19" x14ac:dyDescent="0.25">
      <c r="C19" t="s">
        <v>42</v>
      </c>
      <c r="D19">
        <v>2030</v>
      </c>
      <c r="E19" t="s">
        <v>77</v>
      </c>
      <c r="F19" t="s">
        <v>48</v>
      </c>
      <c r="O19" t="s">
        <v>44</v>
      </c>
      <c r="P19" t="s">
        <v>42</v>
      </c>
      <c r="Q19">
        <v>2030</v>
      </c>
      <c r="R19" t="s">
        <v>69</v>
      </c>
      <c r="S19" t="s">
        <v>58</v>
      </c>
    </row>
    <row r="20" spans="2:19" x14ac:dyDescent="0.25">
      <c r="C20" t="s">
        <v>42</v>
      </c>
      <c r="D20">
        <v>2035</v>
      </c>
      <c r="E20" t="s">
        <v>78</v>
      </c>
      <c r="F20" t="s">
        <v>48</v>
      </c>
      <c r="O20" t="s">
        <v>44</v>
      </c>
      <c r="P20" t="s">
        <v>42</v>
      </c>
      <c r="Q20">
        <v>2035</v>
      </c>
      <c r="R20" t="s">
        <v>70</v>
      </c>
      <c r="S20" t="s">
        <v>58</v>
      </c>
    </row>
    <row r="21" spans="2:19" x14ac:dyDescent="0.25">
      <c r="C21" t="s">
        <v>42</v>
      </c>
      <c r="D21">
        <v>2040</v>
      </c>
      <c r="E21" t="s">
        <v>79</v>
      </c>
      <c r="F21" t="s">
        <v>48</v>
      </c>
      <c r="O21" t="s">
        <v>44</v>
      </c>
      <c r="P21" t="s">
        <v>42</v>
      </c>
      <c r="Q21">
        <v>2040</v>
      </c>
      <c r="R21" t="s">
        <v>71</v>
      </c>
      <c r="S21" t="s">
        <v>58</v>
      </c>
    </row>
    <row r="22" spans="2:19" x14ac:dyDescent="0.25">
      <c r="C22" t="s">
        <v>42</v>
      </c>
      <c r="D22">
        <v>2045</v>
      </c>
      <c r="E22" t="s">
        <v>80</v>
      </c>
      <c r="F22" t="s">
        <v>48</v>
      </c>
      <c r="O22" t="s">
        <v>44</v>
      </c>
      <c r="P22" t="s">
        <v>42</v>
      </c>
      <c r="Q22">
        <v>2045</v>
      </c>
      <c r="R22" t="s">
        <v>72</v>
      </c>
      <c r="S22" t="s">
        <v>58</v>
      </c>
    </row>
    <row r="23" spans="2:19" x14ac:dyDescent="0.25">
      <c r="C23" t="s">
        <v>42</v>
      </c>
      <c r="D23">
        <v>2050</v>
      </c>
      <c r="E23" t="s">
        <v>81</v>
      </c>
      <c r="F23" t="s">
        <v>48</v>
      </c>
      <c r="O23" t="s">
        <v>44</v>
      </c>
      <c r="P23" t="s">
        <v>42</v>
      </c>
      <c r="Q23">
        <v>2050</v>
      </c>
      <c r="R23" t="s">
        <v>73</v>
      </c>
      <c r="S23" t="s">
        <v>58</v>
      </c>
    </row>
    <row r="24" spans="2:19" x14ac:dyDescent="0.25">
      <c r="B24" t="s">
        <v>41</v>
      </c>
      <c r="C24" t="str">
        <f t="shared" ref="C24:C25" si="0">C21</f>
        <v>INVCOST</v>
      </c>
      <c r="D24">
        <f>Calculation!A8</f>
        <v>2017</v>
      </c>
      <c r="E24" t="str">
        <f>"*"&amp;Calculation!C8</f>
        <v>*0.869371912491179</v>
      </c>
      <c r="F24" t="s">
        <v>82</v>
      </c>
    </row>
    <row r="25" spans="2:19" x14ac:dyDescent="0.25">
      <c r="B25" t="s">
        <v>41</v>
      </c>
      <c r="C25" t="str">
        <f t="shared" si="0"/>
        <v>INVCOST</v>
      </c>
      <c r="D25">
        <f>Calculation!A9</f>
        <v>2020</v>
      </c>
      <c r="E25" t="str">
        <f>"*"&amp;Calculation!C9</f>
        <v>*0.869371912491179</v>
      </c>
      <c r="F25" t="s">
        <v>82</v>
      </c>
    </row>
    <row r="26" spans="2:19" x14ac:dyDescent="0.25">
      <c r="B26" t="s">
        <v>41</v>
      </c>
      <c r="C26" t="str">
        <f>C23</f>
        <v>INVCOST</v>
      </c>
      <c r="D26">
        <f>Calculation!A10</f>
        <v>2021</v>
      </c>
      <c r="E26" t="str">
        <f>"*"&amp;Calculation!C10</f>
        <v>*0.869371912491179</v>
      </c>
      <c r="F26" t="s">
        <v>82</v>
      </c>
    </row>
    <row r="27" spans="2:19" x14ac:dyDescent="0.25">
      <c r="B27" t="s">
        <v>41</v>
      </c>
      <c r="C27" t="str">
        <f t="shared" ref="C27:C55" si="1">C26</f>
        <v>INVCOST</v>
      </c>
      <c r="D27">
        <f>Calculation!A11</f>
        <v>2022</v>
      </c>
      <c r="E27" t="str">
        <f>"*"&amp;Calculation!C11</f>
        <v>*0.831545518701482</v>
      </c>
      <c r="F27" t="s">
        <v>82</v>
      </c>
    </row>
    <row r="28" spans="2:19" x14ac:dyDescent="0.25">
      <c r="B28" t="s">
        <v>41</v>
      </c>
      <c r="C28" t="str">
        <f t="shared" si="1"/>
        <v>INVCOST</v>
      </c>
      <c r="D28">
        <f>Calculation!A12</f>
        <v>2023</v>
      </c>
      <c r="E28" t="str">
        <f>"*"&amp;Calculation!C12</f>
        <v>*0.799294283697953</v>
      </c>
      <c r="F28" t="s">
        <v>82</v>
      </c>
    </row>
    <row r="29" spans="2:19" x14ac:dyDescent="0.25">
      <c r="B29" t="s">
        <v>41</v>
      </c>
      <c r="C29" t="str">
        <f t="shared" si="1"/>
        <v>INVCOST</v>
      </c>
      <c r="D29">
        <f>Calculation!A13</f>
        <v>2024</v>
      </c>
      <c r="E29" t="str">
        <f>"*"&amp;Calculation!C13</f>
        <v>*0.7712067748765</v>
      </c>
      <c r="F29" t="s">
        <v>82</v>
      </c>
    </row>
    <row r="30" spans="2:19" x14ac:dyDescent="0.25">
      <c r="B30" t="s">
        <v>41</v>
      </c>
      <c r="C30" t="str">
        <f t="shared" si="1"/>
        <v>INVCOST</v>
      </c>
      <c r="D30">
        <f>Calculation!A14</f>
        <v>2025</v>
      </c>
      <c r="E30" t="str">
        <f>"*"&amp;Calculation!C14</f>
        <v>*0.754410726887791</v>
      </c>
      <c r="F30" t="s">
        <v>82</v>
      </c>
    </row>
    <row r="31" spans="2:19" x14ac:dyDescent="0.25">
      <c r="B31" t="s">
        <v>41</v>
      </c>
      <c r="C31" t="str">
        <f t="shared" si="1"/>
        <v>INVCOST</v>
      </c>
      <c r="D31">
        <f>Calculation!A15</f>
        <v>2026</v>
      </c>
      <c r="E31" t="str">
        <f>"*"&amp;Calculation!C15</f>
        <v>*0.740366972477064</v>
      </c>
      <c r="F31" t="s">
        <v>82</v>
      </c>
    </row>
    <row r="32" spans="2:19" x14ac:dyDescent="0.25">
      <c r="B32" t="s">
        <v>41</v>
      </c>
      <c r="C32" t="str">
        <f t="shared" si="1"/>
        <v>INVCOST</v>
      </c>
      <c r="D32">
        <f>Calculation!A16</f>
        <v>2027</v>
      </c>
      <c r="E32" t="str">
        <f>"*"&amp;Calculation!C16</f>
        <v>*0.703929428369795</v>
      </c>
      <c r="F32" t="s">
        <v>82</v>
      </c>
    </row>
    <row r="33" spans="2:6" x14ac:dyDescent="0.25">
      <c r="B33" t="s">
        <v>41</v>
      </c>
      <c r="C33" t="str">
        <f t="shared" si="1"/>
        <v>INVCOST</v>
      </c>
      <c r="D33">
        <f>Calculation!A17</f>
        <v>2028</v>
      </c>
      <c r="E33" t="str">
        <f>"*"&amp;Calculation!C17</f>
        <v>*0.667470712773465</v>
      </c>
      <c r="F33" t="s">
        <v>82</v>
      </c>
    </row>
    <row r="34" spans="2:6" x14ac:dyDescent="0.25">
      <c r="B34" t="s">
        <v>41</v>
      </c>
      <c r="C34" t="str">
        <f t="shared" si="1"/>
        <v>INVCOST</v>
      </c>
      <c r="D34">
        <f>Calculation!A18</f>
        <v>2029</v>
      </c>
      <c r="E34" t="str">
        <f>"*"&amp;Calculation!C18</f>
        <v>*0.62961044460127</v>
      </c>
      <c r="F34" t="s">
        <v>82</v>
      </c>
    </row>
    <row r="35" spans="2:6" x14ac:dyDescent="0.25">
      <c r="B35" t="s">
        <v>41</v>
      </c>
      <c r="C35" t="str">
        <f t="shared" si="1"/>
        <v>INVCOST</v>
      </c>
      <c r="D35">
        <f>Calculation!A19</f>
        <v>2030</v>
      </c>
      <c r="E35" t="str">
        <f>"*"&amp;Calculation!C19</f>
        <v>*0.59315172900494</v>
      </c>
      <c r="F35" t="s">
        <v>82</v>
      </c>
    </row>
    <row r="36" spans="2:6" x14ac:dyDescent="0.25">
      <c r="B36" t="s">
        <v>41</v>
      </c>
      <c r="C36" t="str">
        <f t="shared" si="1"/>
        <v>INVCOST</v>
      </c>
      <c r="D36">
        <f>Calculation!A20</f>
        <v>2031</v>
      </c>
      <c r="E36" t="str">
        <f>"*"&amp;Calculation!C20</f>
        <v>*0.587542695836274</v>
      </c>
      <c r="F36" t="s">
        <v>82</v>
      </c>
    </row>
    <row r="37" spans="2:6" x14ac:dyDescent="0.25">
      <c r="B37" t="s">
        <v>41</v>
      </c>
      <c r="C37" t="str">
        <f t="shared" si="1"/>
        <v>INVCOST</v>
      </c>
      <c r="D37">
        <f>Calculation!A21</f>
        <v>2032</v>
      </c>
      <c r="E37" t="str">
        <f>"*"&amp;Calculation!C21</f>
        <v>*0.583335920959774</v>
      </c>
      <c r="F37" t="s">
        <v>82</v>
      </c>
    </row>
    <row r="38" spans="2:6" x14ac:dyDescent="0.25">
      <c r="B38" t="s">
        <v>41</v>
      </c>
      <c r="C38" t="str">
        <f t="shared" si="1"/>
        <v>INVCOST</v>
      </c>
      <c r="D38">
        <f>Calculation!A22</f>
        <v>2033</v>
      </c>
      <c r="E38" t="str">
        <f>"*"&amp;Calculation!C22</f>
        <v>*0.577726887791108</v>
      </c>
      <c r="F38" t="s">
        <v>82</v>
      </c>
    </row>
    <row r="39" spans="2:6" x14ac:dyDescent="0.25">
      <c r="B39" t="s">
        <v>41</v>
      </c>
      <c r="C39" t="str">
        <f t="shared" si="1"/>
        <v>INVCOST</v>
      </c>
      <c r="D39">
        <f>Calculation!A23</f>
        <v>2034</v>
      </c>
      <c r="E39" t="str">
        <f>"*"&amp;Calculation!C23</f>
        <v>*0.572117854622442</v>
      </c>
      <c r="F39" t="s">
        <v>82</v>
      </c>
    </row>
    <row r="40" spans="2:6" x14ac:dyDescent="0.25">
      <c r="B40" t="s">
        <v>41</v>
      </c>
      <c r="C40" t="str">
        <f t="shared" si="1"/>
        <v>INVCOST</v>
      </c>
      <c r="D40">
        <f>Calculation!A24</f>
        <v>2035</v>
      </c>
      <c r="E40" t="str">
        <f>"*"&amp;Calculation!C24</f>
        <v>*0.566508821453776</v>
      </c>
      <c r="F40" t="s">
        <v>82</v>
      </c>
    </row>
    <row r="41" spans="2:6" x14ac:dyDescent="0.25">
      <c r="B41" t="s">
        <v>41</v>
      </c>
      <c r="C41" t="str">
        <f t="shared" si="1"/>
        <v>INVCOST</v>
      </c>
      <c r="D41">
        <f>Calculation!A25</f>
        <v>2036</v>
      </c>
      <c r="E41" t="str">
        <f>"*"&amp;Calculation!C25</f>
        <v>*0.562302046577276</v>
      </c>
      <c r="F41" t="s">
        <v>82</v>
      </c>
    </row>
    <row r="42" spans="2:6" x14ac:dyDescent="0.25">
      <c r="B42" t="s">
        <v>41</v>
      </c>
      <c r="C42" t="str">
        <f t="shared" si="1"/>
        <v>INVCOST</v>
      </c>
      <c r="D42">
        <f>Calculation!A26</f>
        <v>2037</v>
      </c>
      <c r="E42" t="str">
        <f>"*"&amp;Calculation!C26</f>
        <v>*0.55669301340861</v>
      </c>
      <c r="F42" t="s">
        <v>82</v>
      </c>
    </row>
    <row r="43" spans="2:6" x14ac:dyDescent="0.25">
      <c r="B43" t="s">
        <v>41</v>
      </c>
      <c r="C43" t="str">
        <f t="shared" si="1"/>
        <v>INVCOST</v>
      </c>
      <c r="D43">
        <f>Calculation!A27</f>
        <v>2038</v>
      </c>
      <c r="E43" t="str">
        <f>"*"&amp;Calculation!C27</f>
        <v>*0.551083980239944</v>
      </c>
      <c r="F43" t="s">
        <v>82</v>
      </c>
    </row>
    <row r="44" spans="2:6" x14ac:dyDescent="0.25">
      <c r="B44" t="s">
        <v>41</v>
      </c>
      <c r="C44" t="str">
        <f t="shared" si="1"/>
        <v>INVCOST</v>
      </c>
      <c r="D44">
        <f>Calculation!A28</f>
        <v>2039</v>
      </c>
      <c r="E44" t="str">
        <f>"*"&amp;Calculation!C28</f>
        <v>*0.545474947071277</v>
      </c>
      <c r="F44" t="s">
        <v>82</v>
      </c>
    </row>
    <row r="45" spans="2:6" x14ac:dyDescent="0.25">
      <c r="B45" t="s">
        <v>41</v>
      </c>
      <c r="C45" t="str">
        <f t="shared" si="1"/>
        <v>INVCOST</v>
      </c>
      <c r="D45">
        <f>Calculation!A29</f>
        <v>2040</v>
      </c>
      <c r="E45" t="str">
        <f>"*"&amp;Calculation!C29</f>
        <v>*0.541268172194778</v>
      </c>
      <c r="F45" t="s">
        <v>82</v>
      </c>
    </row>
    <row r="46" spans="2:6" x14ac:dyDescent="0.25">
      <c r="B46" t="s">
        <v>41</v>
      </c>
      <c r="C46" t="str">
        <f t="shared" si="1"/>
        <v>INVCOST</v>
      </c>
      <c r="D46">
        <f>Calculation!A30</f>
        <v>2041</v>
      </c>
      <c r="E46" t="str">
        <f>"*"&amp;Calculation!C30</f>
        <v>*0.535659139026112</v>
      </c>
      <c r="F46" t="s">
        <v>82</v>
      </c>
    </row>
    <row r="47" spans="2:6" x14ac:dyDescent="0.25">
      <c r="B47" t="s">
        <v>41</v>
      </c>
      <c r="C47" t="str">
        <f t="shared" si="1"/>
        <v>INVCOST</v>
      </c>
      <c r="D47">
        <f>Calculation!A31</f>
        <v>2042</v>
      </c>
      <c r="E47" t="str">
        <f>"*"&amp;Calculation!C31</f>
        <v>*0.530050105857445</v>
      </c>
      <c r="F47" t="s">
        <v>82</v>
      </c>
    </row>
    <row r="48" spans="2:6" x14ac:dyDescent="0.25">
      <c r="B48" t="s">
        <v>41</v>
      </c>
      <c r="C48" t="str">
        <f t="shared" si="1"/>
        <v>INVCOST</v>
      </c>
      <c r="D48">
        <f>Calculation!A32</f>
        <v>2043</v>
      </c>
      <c r="E48" t="str">
        <f>"*"&amp;Calculation!C32</f>
        <v>*0.524441072688779</v>
      </c>
      <c r="F48" t="s">
        <v>82</v>
      </c>
    </row>
    <row r="49" spans="2:6" x14ac:dyDescent="0.25">
      <c r="B49" t="s">
        <v>41</v>
      </c>
      <c r="C49" t="str">
        <f t="shared" si="1"/>
        <v>INVCOST</v>
      </c>
      <c r="D49">
        <f>Calculation!A33</f>
        <v>2044</v>
      </c>
      <c r="E49" t="str">
        <f>"*"&amp;Calculation!C33</f>
        <v>*0.520234297812279</v>
      </c>
      <c r="F49" t="s">
        <v>82</v>
      </c>
    </row>
    <row r="50" spans="2:6" x14ac:dyDescent="0.25">
      <c r="B50" t="s">
        <v>41</v>
      </c>
      <c r="C50" t="str">
        <f t="shared" si="1"/>
        <v>INVCOST</v>
      </c>
      <c r="D50">
        <f>Calculation!A34</f>
        <v>2045</v>
      </c>
      <c r="E50" t="str">
        <f>"*"&amp;Calculation!C34</f>
        <v>*0.514625970359915</v>
      </c>
      <c r="F50" t="s">
        <v>82</v>
      </c>
    </row>
    <row r="51" spans="2:6" x14ac:dyDescent="0.25">
      <c r="B51" t="s">
        <v>41</v>
      </c>
      <c r="C51" t="str">
        <f t="shared" si="1"/>
        <v>INVCOST</v>
      </c>
      <c r="D51">
        <f>Calculation!A35</f>
        <v>2046</v>
      </c>
      <c r="E51" t="str">
        <f>"*"&amp;Calculation!C35</f>
        <v>*0.509016937191249</v>
      </c>
      <c r="F51" t="s">
        <v>82</v>
      </c>
    </row>
    <row r="52" spans="2:6" x14ac:dyDescent="0.25">
      <c r="B52" t="s">
        <v>41</v>
      </c>
      <c r="C52" t="str">
        <f t="shared" si="1"/>
        <v>INVCOST</v>
      </c>
      <c r="D52">
        <f>Calculation!A36</f>
        <v>2047</v>
      </c>
      <c r="E52" t="str">
        <f>"*"&amp;Calculation!C36</f>
        <v>*0.503407904022583</v>
      </c>
      <c r="F52" t="s">
        <v>82</v>
      </c>
    </row>
    <row r="53" spans="2:6" x14ac:dyDescent="0.25">
      <c r="B53" t="s">
        <v>41</v>
      </c>
      <c r="C53" t="str">
        <f t="shared" si="1"/>
        <v>INVCOST</v>
      </c>
      <c r="D53">
        <f>Calculation!A37</f>
        <v>2048</v>
      </c>
      <c r="E53" t="str">
        <f>"*"&amp;Calculation!C37</f>
        <v>*0.499201129146083</v>
      </c>
      <c r="F53" t="s">
        <v>82</v>
      </c>
    </row>
    <row r="54" spans="2:6" x14ac:dyDescent="0.25">
      <c r="B54" t="s">
        <v>41</v>
      </c>
      <c r="C54" t="str">
        <f t="shared" si="1"/>
        <v>INVCOST</v>
      </c>
      <c r="D54">
        <f>Calculation!A38</f>
        <v>2049</v>
      </c>
      <c r="E54" t="str">
        <f>"*"&amp;Calculation!C38</f>
        <v>*0.493592095977417</v>
      </c>
      <c r="F54" t="s">
        <v>82</v>
      </c>
    </row>
    <row r="55" spans="2:6" x14ac:dyDescent="0.25">
      <c r="B55" t="s">
        <v>41</v>
      </c>
      <c r="C55" t="str">
        <f t="shared" si="1"/>
        <v>INVCOST</v>
      </c>
      <c r="D55">
        <f>Calculation!A39</f>
        <v>2050</v>
      </c>
      <c r="E55" t="str">
        <f>"*"&amp;Calculation!C39</f>
        <v>*0.487983062808751</v>
      </c>
      <c r="F55" t="s">
        <v>82</v>
      </c>
    </row>
    <row r="56" spans="2:6" x14ac:dyDescent="0.25">
      <c r="B56" t="s">
        <v>83</v>
      </c>
      <c r="C56" t="str">
        <f t="shared" ref="C56:C57" si="2">C53</f>
        <v>INVCOST</v>
      </c>
      <c r="D56">
        <f>Calculation!F8</f>
        <v>2017</v>
      </c>
      <c r="E56" t="str">
        <f>"*"&amp;Calculation!H8</f>
        <v>*0.868287671232877</v>
      </c>
      <c r="F56" t="s">
        <v>84</v>
      </c>
    </row>
    <row r="57" spans="2:6" x14ac:dyDescent="0.25">
      <c r="B57" t="s">
        <v>83</v>
      </c>
      <c r="C57" t="str">
        <f t="shared" si="2"/>
        <v>INVCOST</v>
      </c>
      <c r="D57">
        <f>Calculation!F9</f>
        <v>2020</v>
      </c>
      <c r="E57" t="str">
        <f>"*"&amp;Calculation!H9</f>
        <v>*0.868287671232877</v>
      </c>
      <c r="F57" t="s">
        <v>84</v>
      </c>
    </row>
    <row r="58" spans="2:6" x14ac:dyDescent="0.25">
      <c r="B58" t="s">
        <v>83</v>
      </c>
      <c r="C58" t="str">
        <f>C55</f>
        <v>INVCOST</v>
      </c>
      <c r="D58">
        <f>Calculation!F10</f>
        <v>2021</v>
      </c>
      <c r="E58" t="str">
        <f>"*"&amp;Calculation!H10</f>
        <v>*0.868287671232877</v>
      </c>
      <c r="F58" t="s">
        <v>84</v>
      </c>
    </row>
    <row r="59" spans="2:6" x14ac:dyDescent="0.25">
      <c r="B59" t="s">
        <v>83</v>
      </c>
      <c r="C59" t="str">
        <f t="shared" ref="C59:C87" si="3">C58</f>
        <v>INVCOST</v>
      </c>
      <c r="D59">
        <f>Calculation!F11</f>
        <v>2022</v>
      </c>
      <c r="E59" t="str">
        <f>"*"&amp;Calculation!H11</f>
        <v>*0.873698630136986</v>
      </c>
      <c r="F59" t="s">
        <v>84</v>
      </c>
    </row>
    <row r="60" spans="2:6" x14ac:dyDescent="0.25">
      <c r="B60" t="s">
        <v>83</v>
      </c>
      <c r="C60" t="str">
        <f t="shared" si="3"/>
        <v>INVCOST</v>
      </c>
      <c r="D60">
        <f>Calculation!F12</f>
        <v>2023</v>
      </c>
      <c r="E60" t="str">
        <f>"*"&amp;Calculation!H12</f>
        <v>*0.876438356164383</v>
      </c>
      <c r="F60" t="s">
        <v>84</v>
      </c>
    </row>
    <row r="61" spans="2:6" x14ac:dyDescent="0.25">
      <c r="B61" t="s">
        <v>83</v>
      </c>
      <c r="C61" t="str">
        <f t="shared" si="3"/>
        <v>INVCOST</v>
      </c>
      <c r="D61">
        <f>Calculation!F13</f>
        <v>2024</v>
      </c>
      <c r="E61" t="str">
        <f>"*"&amp;Calculation!H13</f>
        <v>*0.877808219178082</v>
      </c>
      <c r="F61" t="s">
        <v>84</v>
      </c>
    </row>
    <row r="62" spans="2:6" x14ac:dyDescent="0.25">
      <c r="B62" t="s">
        <v>83</v>
      </c>
      <c r="C62" t="str">
        <f t="shared" si="3"/>
        <v>INVCOST</v>
      </c>
      <c r="D62">
        <f>Calculation!F14</f>
        <v>2025</v>
      </c>
      <c r="E62" t="str">
        <f>"*"&amp;Calculation!H14</f>
        <v>*0.875068493150685</v>
      </c>
      <c r="F62" t="s">
        <v>84</v>
      </c>
    </row>
    <row r="63" spans="2:6" x14ac:dyDescent="0.25">
      <c r="B63" t="s">
        <v>83</v>
      </c>
      <c r="C63" t="str">
        <f t="shared" si="3"/>
        <v>INVCOST</v>
      </c>
      <c r="D63">
        <f>Calculation!F15</f>
        <v>2026</v>
      </c>
      <c r="E63" t="str">
        <f>"*"&amp;Calculation!H15</f>
        <v>*0.866917808219178</v>
      </c>
      <c r="F63" t="s">
        <v>84</v>
      </c>
    </row>
    <row r="64" spans="2:6" x14ac:dyDescent="0.25">
      <c r="B64" t="s">
        <v>83</v>
      </c>
      <c r="C64" t="str">
        <f t="shared" si="3"/>
        <v>INVCOST</v>
      </c>
      <c r="D64">
        <f>Calculation!F16</f>
        <v>2027</v>
      </c>
      <c r="E64" t="str">
        <f>"*"&amp;Calculation!H16</f>
        <v>*0.857397260273973</v>
      </c>
      <c r="F64" t="s">
        <v>84</v>
      </c>
    </row>
    <row r="65" spans="2:6" x14ac:dyDescent="0.25">
      <c r="B65" t="s">
        <v>83</v>
      </c>
      <c r="C65" t="str">
        <f t="shared" si="3"/>
        <v>INVCOST</v>
      </c>
      <c r="D65">
        <f>Calculation!F17</f>
        <v>2028</v>
      </c>
      <c r="E65" t="str">
        <f>"*"&amp;Calculation!H17</f>
        <v>*0.846506849315069</v>
      </c>
      <c r="F65" t="s">
        <v>84</v>
      </c>
    </row>
    <row r="66" spans="2:6" x14ac:dyDescent="0.25">
      <c r="B66" t="s">
        <v>83</v>
      </c>
      <c r="C66" t="str">
        <f t="shared" si="3"/>
        <v>INVCOST</v>
      </c>
      <c r="D66">
        <f>Calculation!F18</f>
        <v>2029</v>
      </c>
      <c r="E66" t="str">
        <f>"*"&amp;Calculation!H18</f>
        <v>*0.835616438356164</v>
      </c>
      <c r="F66" t="s">
        <v>84</v>
      </c>
    </row>
    <row r="67" spans="2:6" x14ac:dyDescent="0.25">
      <c r="B67" t="s">
        <v>83</v>
      </c>
      <c r="C67" t="str">
        <f t="shared" si="3"/>
        <v>INVCOST</v>
      </c>
      <c r="D67">
        <f>Calculation!F19</f>
        <v>2030</v>
      </c>
      <c r="E67" t="str">
        <f>"*"&amp;Calculation!H19</f>
        <v>*0.823356164383562</v>
      </c>
      <c r="F67" t="s">
        <v>84</v>
      </c>
    </row>
    <row r="68" spans="2:6" x14ac:dyDescent="0.25">
      <c r="B68" t="s">
        <v>83</v>
      </c>
      <c r="C68" t="str">
        <f t="shared" si="3"/>
        <v>INVCOST</v>
      </c>
      <c r="D68">
        <f>Calculation!F20</f>
        <v>2031</v>
      </c>
      <c r="E68" t="str">
        <f>"*"&amp;Calculation!H20</f>
        <v>*0.819315068493151</v>
      </c>
      <c r="F68" t="s">
        <v>84</v>
      </c>
    </row>
    <row r="69" spans="2:6" x14ac:dyDescent="0.25">
      <c r="B69" t="s">
        <v>83</v>
      </c>
      <c r="C69" t="str">
        <f t="shared" si="3"/>
        <v>INVCOST</v>
      </c>
      <c r="D69">
        <f>Calculation!F21</f>
        <v>2032</v>
      </c>
      <c r="E69" t="str">
        <f>"*"&amp;Calculation!H21</f>
        <v>*0.811095890410959</v>
      </c>
      <c r="F69" t="s">
        <v>84</v>
      </c>
    </row>
    <row r="70" spans="2:6" x14ac:dyDescent="0.25">
      <c r="B70" t="s">
        <v>83</v>
      </c>
      <c r="C70" t="str">
        <f t="shared" si="3"/>
        <v>INVCOST</v>
      </c>
      <c r="D70">
        <f>Calculation!F22</f>
        <v>2033</v>
      </c>
      <c r="E70" t="str">
        <f>"*"&amp;Calculation!H22</f>
        <v>*0.802945205479452</v>
      </c>
      <c r="F70" t="s">
        <v>84</v>
      </c>
    </row>
    <row r="71" spans="2:6" x14ac:dyDescent="0.25">
      <c r="B71" t="s">
        <v>83</v>
      </c>
      <c r="C71" t="str">
        <f t="shared" si="3"/>
        <v>INVCOST</v>
      </c>
      <c r="D71">
        <f>Calculation!F23</f>
        <v>2034</v>
      </c>
      <c r="E71" t="str">
        <f>"*"&amp;Calculation!H23</f>
        <v>*0.794794520547945</v>
      </c>
      <c r="F71" t="s">
        <v>84</v>
      </c>
    </row>
    <row r="72" spans="2:6" x14ac:dyDescent="0.25">
      <c r="B72" t="s">
        <v>83</v>
      </c>
      <c r="C72" t="str">
        <f t="shared" si="3"/>
        <v>INVCOST</v>
      </c>
      <c r="D72">
        <f>Calculation!F24</f>
        <v>2035</v>
      </c>
      <c r="E72" t="str">
        <f>"*"&amp;Calculation!H24</f>
        <v>*0.786643835616438</v>
      </c>
      <c r="F72" t="s">
        <v>84</v>
      </c>
    </row>
    <row r="73" spans="2:6" x14ac:dyDescent="0.25">
      <c r="B73" t="s">
        <v>83</v>
      </c>
      <c r="C73" t="str">
        <f t="shared" si="3"/>
        <v>INVCOST</v>
      </c>
      <c r="D73">
        <f>Calculation!F25</f>
        <v>2036</v>
      </c>
      <c r="E73" t="str">
        <f>"*"&amp;Calculation!H25</f>
        <v>*0.778493150684931</v>
      </c>
      <c r="F73" t="s">
        <v>84</v>
      </c>
    </row>
    <row r="74" spans="2:6" x14ac:dyDescent="0.25">
      <c r="B74" t="s">
        <v>83</v>
      </c>
      <c r="C74" t="str">
        <f t="shared" si="3"/>
        <v>INVCOST</v>
      </c>
      <c r="D74">
        <f>Calculation!F26</f>
        <v>2037</v>
      </c>
      <c r="E74" t="str">
        <f>"*"&amp;Calculation!H26</f>
        <v>*0.77027397260274</v>
      </c>
      <c r="F74" t="s">
        <v>84</v>
      </c>
    </row>
    <row r="75" spans="2:6" x14ac:dyDescent="0.25">
      <c r="B75" t="s">
        <v>83</v>
      </c>
      <c r="C75" t="str">
        <f t="shared" si="3"/>
        <v>INVCOST</v>
      </c>
      <c r="D75">
        <f>Calculation!F27</f>
        <v>2038</v>
      </c>
      <c r="E75" t="str">
        <f>"*"&amp;Calculation!H27</f>
        <v>*0.762123287671233</v>
      </c>
      <c r="F75" t="s">
        <v>84</v>
      </c>
    </row>
    <row r="76" spans="2:6" x14ac:dyDescent="0.25">
      <c r="B76" t="s">
        <v>83</v>
      </c>
      <c r="C76" t="str">
        <f t="shared" si="3"/>
        <v>INVCOST</v>
      </c>
      <c r="D76">
        <f>Calculation!F28</f>
        <v>2039</v>
      </c>
      <c r="E76" t="str">
        <f>"*"&amp;Calculation!H28</f>
        <v>*0.753972602739726</v>
      </c>
      <c r="F76" t="s">
        <v>84</v>
      </c>
    </row>
    <row r="77" spans="2:6" x14ac:dyDescent="0.25">
      <c r="B77" t="s">
        <v>83</v>
      </c>
      <c r="C77" t="str">
        <f t="shared" si="3"/>
        <v>INVCOST</v>
      </c>
      <c r="D77">
        <f>Calculation!F29</f>
        <v>2040</v>
      </c>
      <c r="E77" t="str">
        <f>"*"&amp;Calculation!H29</f>
        <v>*0.745821917808219</v>
      </c>
      <c r="F77" t="s">
        <v>84</v>
      </c>
    </row>
    <row r="78" spans="2:6" x14ac:dyDescent="0.25">
      <c r="B78" t="s">
        <v>83</v>
      </c>
      <c r="C78" t="str">
        <f t="shared" si="3"/>
        <v>INVCOST</v>
      </c>
      <c r="D78">
        <f>Calculation!F30</f>
        <v>2041</v>
      </c>
      <c r="E78" t="str">
        <f>"*"&amp;Calculation!H30</f>
        <v>*0.737602739726027</v>
      </c>
      <c r="F78" t="s">
        <v>84</v>
      </c>
    </row>
    <row r="79" spans="2:6" x14ac:dyDescent="0.25">
      <c r="B79" t="s">
        <v>83</v>
      </c>
      <c r="C79" t="str">
        <f t="shared" si="3"/>
        <v>INVCOST</v>
      </c>
      <c r="D79">
        <f>Calculation!F31</f>
        <v>2042</v>
      </c>
      <c r="E79" t="str">
        <f>"*"&amp;Calculation!H31</f>
        <v>*0.728082191780822</v>
      </c>
      <c r="F79" t="s">
        <v>84</v>
      </c>
    </row>
    <row r="80" spans="2:6" x14ac:dyDescent="0.25">
      <c r="B80" t="s">
        <v>83</v>
      </c>
      <c r="C80" t="str">
        <f t="shared" si="3"/>
        <v>INVCOST</v>
      </c>
      <c r="D80">
        <f>Calculation!F32</f>
        <v>2043</v>
      </c>
      <c r="E80" t="str">
        <f>"*"&amp;Calculation!H32</f>
        <v>*0.719931506849315</v>
      </c>
      <c r="F80" t="s">
        <v>84</v>
      </c>
    </row>
    <row r="81" spans="2:6" x14ac:dyDescent="0.25">
      <c r="B81" t="s">
        <v>83</v>
      </c>
      <c r="C81" t="str">
        <f t="shared" si="3"/>
        <v>INVCOST</v>
      </c>
      <c r="D81">
        <f>Calculation!F33</f>
        <v>2044</v>
      </c>
      <c r="E81" t="str">
        <f>"*"&amp;Calculation!H33</f>
        <v>*0.711780821917808</v>
      </c>
      <c r="F81" t="s">
        <v>84</v>
      </c>
    </row>
    <row r="82" spans="2:6" x14ac:dyDescent="0.25">
      <c r="B82" t="s">
        <v>83</v>
      </c>
      <c r="C82" t="str">
        <f t="shared" si="3"/>
        <v>INVCOST</v>
      </c>
      <c r="D82">
        <f>Calculation!F34</f>
        <v>2045</v>
      </c>
      <c r="E82" t="str">
        <f>"*"&amp;Calculation!H34</f>
        <v>*0.703630136986301</v>
      </c>
      <c r="F82" t="s">
        <v>84</v>
      </c>
    </row>
    <row r="83" spans="2:6" x14ac:dyDescent="0.25">
      <c r="B83" t="s">
        <v>83</v>
      </c>
      <c r="C83" t="str">
        <f t="shared" si="3"/>
        <v>INVCOST</v>
      </c>
      <c r="D83">
        <f>Calculation!F35</f>
        <v>2046</v>
      </c>
      <c r="E83" t="str">
        <f>"*"&amp;Calculation!H35</f>
        <v>*0.695479452054795</v>
      </c>
      <c r="F83" t="s">
        <v>84</v>
      </c>
    </row>
    <row r="84" spans="2:6" x14ac:dyDescent="0.25">
      <c r="B84" t="s">
        <v>83</v>
      </c>
      <c r="C84" t="str">
        <f t="shared" si="3"/>
        <v>INVCOST</v>
      </c>
      <c r="D84">
        <f>Calculation!F36</f>
        <v>2047</v>
      </c>
      <c r="E84" t="str">
        <f>"*"&amp;Calculation!H36</f>
        <v>*0.685890410958904</v>
      </c>
      <c r="F84" t="s">
        <v>84</v>
      </c>
    </row>
    <row r="85" spans="2:6" x14ac:dyDescent="0.25">
      <c r="B85" t="s">
        <v>83</v>
      </c>
      <c r="C85" t="str">
        <f t="shared" si="3"/>
        <v>INVCOST</v>
      </c>
      <c r="D85">
        <f>Calculation!F37</f>
        <v>2048</v>
      </c>
      <c r="E85" t="str">
        <f>"*"&amp;Calculation!H37</f>
        <v>*0.677753424657534</v>
      </c>
      <c r="F85" t="s">
        <v>84</v>
      </c>
    </row>
    <row r="86" spans="2:6" x14ac:dyDescent="0.25">
      <c r="B86" t="s">
        <v>83</v>
      </c>
      <c r="C86" t="str">
        <f t="shared" si="3"/>
        <v>INVCOST</v>
      </c>
      <c r="D86">
        <f>Calculation!F38</f>
        <v>2049</v>
      </c>
      <c r="E86" t="str">
        <f>"*"&amp;Calculation!H38</f>
        <v>*0.669587671232877</v>
      </c>
      <c r="F86" t="s">
        <v>84</v>
      </c>
    </row>
    <row r="87" spans="2:6" x14ac:dyDescent="0.25">
      <c r="B87" t="s">
        <v>83</v>
      </c>
      <c r="C87" t="str">
        <f t="shared" si="3"/>
        <v>INVCOST</v>
      </c>
      <c r="D87">
        <f>Calculation!F39</f>
        <v>2050</v>
      </c>
      <c r="E87" t="str">
        <f>"*"&amp;Calculation!H39</f>
        <v>*0.661421917808219</v>
      </c>
      <c r="F87" t="s">
        <v>84</v>
      </c>
    </row>
    <row r="88" spans="2:6" x14ac:dyDescent="0.25">
      <c r="B88" t="s">
        <v>83</v>
      </c>
      <c r="C88" t="s">
        <v>42</v>
      </c>
      <c r="D88">
        <f>Calculation!K8</f>
        <v>2017</v>
      </c>
      <c r="E88" t="str">
        <f>"*"&amp;Calculation!M8</f>
        <v>*0.265149477604221</v>
      </c>
      <c r="F88" t="s">
        <v>85</v>
      </c>
    </row>
    <row r="89" spans="2:6" x14ac:dyDescent="0.25">
      <c r="B89" t="s">
        <v>83</v>
      </c>
      <c r="C89" t="s">
        <v>42</v>
      </c>
      <c r="D89">
        <f>Calculation!K9</f>
        <v>2020</v>
      </c>
      <c r="E89" t="str">
        <f>"*"&amp;Calculation!M9</f>
        <v>*0.265149477604221</v>
      </c>
      <c r="F89" t="s">
        <v>85</v>
      </c>
    </row>
    <row r="90" spans="2:6" x14ac:dyDescent="0.25">
      <c r="B90" t="s">
        <v>83</v>
      </c>
      <c r="C90" t="s">
        <v>42</v>
      </c>
      <c r="D90">
        <f>Calculation!K10</f>
        <v>2021</v>
      </c>
      <c r="E90" t="str">
        <f>"*"&amp;Calculation!M10</f>
        <v>*0.265149477604221</v>
      </c>
      <c r="F90" t="s">
        <v>85</v>
      </c>
    </row>
    <row r="91" spans="2:6" x14ac:dyDescent="0.25">
      <c r="B91" t="s">
        <v>83</v>
      </c>
      <c r="C91" t="s">
        <v>42</v>
      </c>
      <c r="D91">
        <f>Calculation!K11</f>
        <v>2022</v>
      </c>
      <c r="E91" t="str">
        <f>"*"&amp;Calculation!M11</f>
        <v>*0.251991310644461</v>
      </c>
      <c r="F91" t="s">
        <v>85</v>
      </c>
    </row>
    <row r="92" spans="2:6" x14ac:dyDescent="0.25">
      <c r="B92" t="s">
        <v>83</v>
      </c>
      <c r="C92" t="s">
        <v>42</v>
      </c>
      <c r="D92">
        <f>Calculation!K12</f>
        <v>2023</v>
      </c>
      <c r="E92" t="str">
        <f>"*"&amp;Calculation!M12</f>
        <v>*0.240074480190338</v>
      </c>
      <c r="F92" t="s">
        <v>85</v>
      </c>
    </row>
    <row r="93" spans="2:6" x14ac:dyDescent="0.25">
      <c r="B93" t="s">
        <v>83</v>
      </c>
      <c r="C93" t="s">
        <v>42</v>
      </c>
      <c r="D93">
        <f>Calculation!K13</f>
        <v>2024</v>
      </c>
      <c r="E93" t="str">
        <f>"*"&amp;Calculation!M13</f>
        <v>*0.228974862935761</v>
      </c>
      <c r="F93" t="s">
        <v>85</v>
      </c>
    </row>
    <row r="94" spans="2:6" x14ac:dyDescent="0.25">
      <c r="B94" t="s">
        <v>83</v>
      </c>
      <c r="C94" t="s">
        <v>42</v>
      </c>
      <c r="D94">
        <f>Calculation!K14</f>
        <v>2025</v>
      </c>
      <c r="E94" t="str">
        <f>"*"&amp;Calculation!M14</f>
        <v>*0.218899348298335</v>
      </c>
      <c r="F94" t="s">
        <v>85</v>
      </c>
    </row>
    <row r="95" spans="2:6" x14ac:dyDescent="0.25">
      <c r="B95" t="s">
        <v>83</v>
      </c>
      <c r="C95" t="s">
        <v>42</v>
      </c>
      <c r="D95">
        <f>Calculation!K15</f>
        <v>2026</v>
      </c>
      <c r="E95" t="str">
        <f>"*"&amp;Calculation!M15</f>
        <v>*0.209651391331333</v>
      </c>
      <c r="F95" t="s">
        <v>85</v>
      </c>
    </row>
    <row r="96" spans="2:6" x14ac:dyDescent="0.25">
      <c r="B96" t="s">
        <v>83</v>
      </c>
      <c r="C96" t="s">
        <v>42</v>
      </c>
      <c r="D96">
        <f>Calculation!K16</f>
        <v>2027</v>
      </c>
      <c r="E96" t="str">
        <f>"*"&amp;Calculation!M16</f>
        <v>*0.201427536981483</v>
      </c>
      <c r="F96" t="s">
        <v>85</v>
      </c>
    </row>
    <row r="97" spans="2:6" x14ac:dyDescent="0.25">
      <c r="B97" t="s">
        <v>83</v>
      </c>
      <c r="C97" t="s">
        <v>42</v>
      </c>
      <c r="D97">
        <f>Calculation!K17</f>
        <v>2028</v>
      </c>
      <c r="E97" t="str">
        <f>"*"&amp;Calculation!M17</f>
        <v>*0.193824350884452</v>
      </c>
      <c r="F97" t="s">
        <v>85</v>
      </c>
    </row>
    <row r="98" spans="2:6" x14ac:dyDescent="0.25">
      <c r="B98" t="s">
        <v>83</v>
      </c>
      <c r="C98" t="s">
        <v>42</v>
      </c>
      <c r="D98">
        <f>Calculation!K18</f>
        <v>2029</v>
      </c>
      <c r="E98" t="str">
        <f>"*"&amp;Calculation!M18</f>
        <v>*0.187048722457846</v>
      </c>
      <c r="F98" t="s">
        <v>85</v>
      </c>
    </row>
    <row r="99" spans="2:6" x14ac:dyDescent="0.25">
      <c r="B99" t="s">
        <v>83</v>
      </c>
      <c r="C99" t="s">
        <v>42</v>
      </c>
      <c r="D99">
        <f>Calculation!K19</f>
        <v>2030</v>
      </c>
      <c r="E99" t="str">
        <f>"*"&amp;Calculation!M19</f>
        <v>*0.180873073342299</v>
      </c>
      <c r="F99" t="s">
        <v>85</v>
      </c>
    </row>
    <row r="100" spans="2:6" x14ac:dyDescent="0.25">
      <c r="B100" t="s">
        <v>83</v>
      </c>
      <c r="C100" t="s">
        <v>42</v>
      </c>
      <c r="D100">
        <f>Calculation!K20</f>
        <v>2031</v>
      </c>
      <c r="E100" t="str">
        <f>"*"&amp;Calculation!M20</f>
        <v>*0.175535326368056</v>
      </c>
      <c r="F100" t="s">
        <v>85</v>
      </c>
    </row>
    <row r="101" spans="2:6" x14ac:dyDescent="0.25">
      <c r="B101" t="s">
        <v>83</v>
      </c>
      <c r="C101" t="s">
        <v>42</v>
      </c>
      <c r="D101">
        <f>Calculation!K21</f>
        <v>2032</v>
      </c>
      <c r="E101" t="str">
        <f>"*"&amp;Calculation!M21</f>
        <v>*0.170601013758146</v>
      </c>
      <c r="F101" t="s">
        <v>85</v>
      </c>
    </row>
    <row r="102" spans="2:6" x14ac:dyDescent="0.25">
      <c r="B102" t="s">
        <v>83</v>
      </c>
      <c r="C102" t="s">
        <v>42</v>
      </c>
      <c r="D102">
        <f>Calculation!K22</f>
        <v>2033</v>
      </c>
      <c r="E102" t="str">
        <f>"*"&amp;Calculation!M22</f>
        <v>*0.166287369401055</v>
      </c>
      <c r="F102" t="s">
        <v>85</v>
      </c>
    </row>
    <row r="103" spans="2:6" x14ac:dyDescent="0.25">
      <c r="B103" t="s">
        <v>83</v>
      </c>
      <c r="C103" t="s">
        <v>42</v>
      </c>
      <c r="D103">
        <f>Calculation!K23</f>
        <v>2034</v>
      </c>
      <c r="E103" t="str">
        <f>"*"&amp;Calculation!M23</f>
        <v>*0.162377159408296</v>
      </c>
      <c r="F103" t="s">
        <v>85</v>
      </c>
    </row>
    <row r="104" spans="2:6" x14ac:dyDescent="0.25">
      <c r="B104" t="s">
        <v>83</v>
      </c>
      <c r="C104" t="s">
        <v>42</v>
      </c>
      <c r="D104">
        <f>Calculation!K24</f>
        <v>2035</v>
      </c>
      <c r="E104" t="str">
        <f>"*"&amp;Calculation!M24</f>
        <v>*0.159087617668356</v>
      </c>
      <c r="F104" t="s">
        <v>85</v>
      </c>
    </row>
    <row r="105" spans="2:6" x14ac:dyDescent="0.25">
      <c r="B105" t="s">
        <v>83</v>
      </c>
      <c r="C105" t="s">
        <v>42</v>
      </c>
      <c r="D105">
        <f>Calculation!K25</f>
        <v>2036</v>
      </c>
      <c r="E105" t="str">
        <f>"*"&amp;Calculation!M25</f>
        <v>*0.156004965346023</v>
      </c>
      <c r="F105" t="s">
        <v>85</v>
      </c>
    </row>
    <row r="106" spans="2:6" x14ac:dyDescent="0.25">
      <c r="B106" t="s">
        <v>83</v>
      </c>
      <c r="C106" t="s">
        <v>42</v>
      </c>
      <c r="D106">
        <f>Calculation!K26</f>
        <v>2037</v>
      </c>
      <c r="E106" t="str">
        <f>"*"&amp;Calculation!M26</f>
        <v>*0.153336091858901</v>
      </c>
      <c r="F106" t="s">
        <v>85</v>
      </c>
    </row>
    <row r="107" spans="2:6" x14ac:dyDescent="0.25">
      <c r="B107" t="s">
        <v>83</v>
      </c>
      <c r="C107" t="s">
        <v>42</v>
      </c>
      <c r="D107">
        <f>Calculation!K27</f>
        <v>2038</v>
      </c>
      <c r="E107" t="str">
        <f>"*"&amp;Calculation!M27</f>
        <v>*0.150863763318506</v>
      </c>
      <c r="F107" t="s">
        <v>85</v>
      </c>
    </row>
    <row r="108" spans="2:6" x14ac:dyDescent="0.25">
      <c r="B108" t="s">
        <v>83</v>
      </c>
      <c r="C108" t="s">
        <v>42</v>
      </c>
      <c r="D108">
        <f>Calculation!K28</f>
        <v>2039</v>
      </c>
      <c r="E108" t="str">
        <f>"*"&amp;Calculation!M28</f>
        <v>*0.148815558084204</v>
      </c>
      <c r="F108" t="s">
        <v>85</v>
      </c>
    </row>
    <row r="109" spans="2:6" x14ac:dyDescent="0.25">
      <c r="B109" t="s">
        <v>83</v>
      </c>
      <c r="C109" t="s">
        <v>42</v>
      </c>
      <c r="D109">
        <f>Calculation!K29</f>
        <v>2040</v>
      </c>
      <c r="E109" t="str">
        <f>"*"&amp;Calculation!M29</f>
        <v>*0.146963897796628</v>
      </c>
      <c r="F109" t="s">
        <v>85</v>
      </c>
    </row>
    <row r="110" spans="2:6" x14ac:dyDescent="0.25">
      <c r="B110" t="s">
        <v>83</v>
      </c>
      <c r="C110" t="s">
        <v>42</v>
      </c>
      <c r="D110">
        <f>Calculation!K30</f>
        <v>2041</v>
      </c>
      <c r="E110" t="str">
        <f>"*"&amp;Calculation!M30</f>
        <v>*0.145112237509051</v>
      </c>
      <c r="F110" t="s">
        <v>85</v>
      </c>
    </row>
    <row r="111" spans="2:6" x14ac:dyDescent="0.25">
      <c r="B111" t="s">
        <v>83</v>
      </c>
      <c r="C111" t="s">
        <v>42</v>
      </c>
      <c r="D111">
        <f>Calculation!K31</f>
        <v>2042</v>
      </c>
      <c r="E111" t="str">
        <f>"*"&amp;Calculation!M31</f>
        <v>*0.143467466639081</v>
      </c>
      <c r="F111" t="s">
        <v>85</v>
      </c>
    </row>
    <row r="112" spans="2:6" x14ac:dyDescent="0.25">
      <c r="B112" t="s">
        <v>83</v>
      </c>
      <c r="C112" t="s">
        <v>42</v>
      </c>
      <c r="D112">
        <f>Calculation!K32</f>
        <v>2043</v>
      </c>
      <c r="E112" t="str">
        <f>"*"&amp;Calculation!M32</f>
        <v>*0.141822695769111</v>
      </c>
      <c r="F112" t="s">
        <v>85</v>
      </c>
    </row>
    <row r="113" spans="2:6" x14ac:dyDescent="0.25">
      <c r="B113" t="s">
        <v>83</v>
      </c>
      <c r="C113" t="s">
        <v>42</v>
      </c>
      <c r="D113">
        <f>Calculation!K33</f>
        <v>2044</v>
      </c>
      <c r="E113" t="str">
        <f>"*"&amp;Calculation!M33</f>
        <v>*0.140177924899141</v>
      </c>
      <c r="F113" t="s">
        <v>85</v>
      </c>
    </row>
    <row r="114" spans="2:6" x14ac:dyDescent="0.25">
      <c r="B114" t="s">
        <v>83</v>
      </c>
      <c r="C114" t="s">
        <v>42</v>
      </c>
      <c r="D114">
        <f>Calculation!K34</f>
        <v>2045</v>
      </c>
      <c r="E114" t="str">
        <f>"*"&amp;Calculation!M34</f>
        <v>*0.138326264611565</v>
      </c>
      <c r="F114" t="s">
        <v>85</v>
      </c>
    </row>
    <row r="115" spans="2:6" x14ac:dyDescent="0.25">
      <c r="B115" t="s">
        <v>83</v>
      </c>
      <c r="C115" t="s">
        <v>42</v>
      </c>
      <c r="D115">
        <f>Calculation!K35</f>
        <v>2046</v>
      </c>
      <c r="E115" t="str">
        <f>"*"&amp;Calculation!M35</f>
        <v>*0.136484948794869</v>
      </c>
      <c r="F115" t="s">
        <v>85</v>
      </c>
    </row>
    <row r="116" spans="2:6" x14ac:dyDescent="0.25">
      <c r="B116" t="s">
        <v>83</v>
      </c>
      <c r="C116" t="s">
        <v>42</v>
      </c>
      <c r="D116">
        <f>Calculation!K36</f>
        <v>2047</v>
      </c>
      <c r="E116" t="str">
        <f>"*"&amp;Calculation!M36</f>
        <v>*0.134633288507293</v>
      </c>
      <c r="F116" t="s">
        <v>85</v>
      </c>
    </row>
    <row r="117" spans="2:6" x14ac:dyDescent="0.25">
      <c r="B117" t="s">
        <v>83</v>
      </c>
      <c r="C117" t="s">
        <v>42</v>
      </c>
      <c r="D117">
        <f>Calculation!K37</f>
        <v>2048</v>
      </c>
      <c r="E117" t="str">
        <f>"*"&amp;Calculation!M37</f>
        <v>*0.132367849384504</v>
      </c>
      <c r="F117" t="s">
        <v>85</v>
      </c>
    </row>
    <row r="118" spans="2:6" x14ac:dyDescent="0.25">
      <c r="B118" t="s">
        <v>83</v>
      </c>
      <c r="C118" t="s">
        <v>42</v>
      </c>
      <c r="D118">
        <f>Calculation!K38</f>
        <v>2049</v>
      </c>
      <c r="E118" t="str">
        <f>"*"&amp;Calculation!M38</f>
        <v>*0.129905865314989</v>
      </c>
      <c r="F118" t="s">
        <v>85</v>
      </c>
    </row>
    <row r="119" spans="2:6" x14ac:dyDescent="0.25">
      <c r="B119" t="s">
        <v>83</v>
      </c>
      <c r="C119" t="s">
        <v>42</v>
      </c>
      <c r="D119">
        <f>Calculation!K39</f>
        <v>2050</v>
      </c>
      <c r="E119" t="str">
        <f>"*"&amp;Calculation!M39</f>
        <v>*0.127226647356988</v>
      </c>
      <c r="F119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Calculation</vt:lpstr>
      <vt:lpstr>NEMS learning</vt:lpstr>
      <vt:lpstr>INS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Mahmoud MOBIR</dc:creator>
  <cp:lastModifiedBy>Mahmoud MOBIR</cp:lastModifiedBy>
  <dcterms:created xsi:type="dcterms:W3CDTF">2021-11-22T21:13:49Z</dcterms:created>
  <dcterms:modified xsi:type="dcterms:W3CDTF">2021-11-23T13:01:00Z</dcterms:modified>
</cp:coreProperties>
</file>