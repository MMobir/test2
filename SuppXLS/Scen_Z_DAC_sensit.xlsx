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24226"/>
  <mc:AlternateContent xmlns:mc="http://schemas.openxmlformats.org/markup-compatibility/2006">
    <mc:Choice Requires="x15">
      <x15ac:absPath xmlns:x15ac="http://schemas.microsoft.com/office/spreadsheetml/2010/11/ac" url="C:\Veda\Veda_models\IEMM_v60_10-1\SuppXLS\"/>
    </mc:Choice>
  </mc:AlternateContent>
  <xr:revisionPtr revIDLastSave="0" documentId="13_ncr:1_{ED754515-DF3B-43E6-B548-77BCCB736112}" xr6:coauthVersionLast="47" xr6:coauthVersionMax="47" xr10:uidLastSave="{00000000-0000-0000-0000-000000000000}"/>
  <bookViews>
    <workbookView xWindow="5820" yWindow="2136" windowWidth="23040" windowHeight="12072" activeTab="3" xr2:uid="{00000000-000D-0000-FFFF-FFFF00000000}"/>
  </bookViews>
  <sheets>
    <sheet name="readme" sheetId="4" r:id="rId1"/>
    <sheet name="Costs from JRC EU TIMES " sheetId="2" r:id="rId2"/>
    <sheet name="Other" sheetId="3" r:id="rId3"/>
    <sheet name="Test"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11" i="3" l="1"/>
  <c r="I23" i="3"/>
  <c r="I22" i="3"/>
  <c r="I21" i="3"/>
  <c r="I20" i="3"/>
  <c r="AD7" i="2"/>
  <c r="AD8" i="2"/>
  <c r="AA6" i="2"/>
  <c r="AB6" i="2"/>
  <c r="AC6" i="2"/>
  <c r="AD9" i="2"/>
  <c r="Y8" i="2"/>
  <c r="Y9" i="2" s="1"/>
  <c r="Y10" i="2"/>
  <c r="Y32" i="2"/>
  <c r="Y33" i="2" s="1"/>
  <c r="Z10" i="2"/>
  <c r="AA8" i="2"/>
  <c r="AA10" i="2" s="1"/>
  <c r="Z8" i="2"/>
  <c r="AA7" i="2"/>
  <c r="Y7" i="2"/>
  <c r="X5" i="2"/>
  <c r="X6" i="2" s="1"/>
  <c r="Z5" i="2"/>
  <c r="AF30" i="2"/>
  <c r="AF29" i="2"/>
  <c r="AF28" i="2"/>
  <c r="AF27" i="2"/>
  <c r="F19" i="2"/>
  <c r="F18" i="2"/>
  <c r="F17" i="2"/>
  <c r="F16" i="2"/>
  <c r="F10" i="2"/>
  <c r="F11" i="2" s="1"/>
  <c r="F9" i="2"/>
  <c r="K5" i="2"/>
  <c r="K6" i="2"/>
  <c r="K7" i="2" s="1"/>
  <c r="K8" i="2" s="1"/>
  <c r="F7" i="2" l="1"/>
  <c r="F6" i="2" s="1"/>
  <c r="F5" i="2" s="1"/>
  <c r="Z9" i="2"/>
  <c r="Z6"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B2" authorId="0" shapeId="0" xr:uid="{00000000-0006-0000-0000-000001000000}">
      <text>
        <r>
          <rPr>
            <b/>
            <sz val="8"/>
            <color indexed="81"/>
            <rFont val="Tahoma"/>
            <family val="2"/>
          </rPr>
          <t>Insert Table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E5" authorId="0" shapeId="0" xr:uid="{58380911-BEAF-46E3-BFCD-C0A0743324E3}">
      <text>
        <r>
          <rPr>
            <b/>
            <sz val="8"/>
            <color indexed="81"/>
            <rFont val="Tahoma"/>
            <family val="2"/>
          </rPr>
          <t>Insert Table</t>
        </r>
      </text>
    </comment>
  </commentList>
</comments>
</file>

<file path=xl/sharedStrings.xml><?xml version="1.0" encoding="utf-8"?>
<sst xmlns="http://schemas.openxmlformats.org/spreadsheetml/2006/main" count="237" uniqueCount="98">
  <si>
    <t>Year</t>
  </si>
  <si>
    <t>Pset_PN</t>
  </si>
  <si>
    <t>Cset_CN</t>
  </si>
  <si>
    <t>Attribute</t>
  </si>
  <si>
    <t>LimType</t>
  </si>
  <si>
    <t>TimeSlice</t>
  </si>
  <si>
    <t>AllRegions</t>
  </si>
  <si>
    <t>Trans - Insert</t>
  </si>
  <si>
    <t>SNK_DAC</t>
  </si>
  <si>
    <t>VDA_FLOP</t>
  </si>
  <si>
    <t>KWh</t>
  </si>
  <si>
    <t>MJ</t>
  </si>
  <si>
    <t>GJ per ton</t>
  </si>
  <si>
    <t>TJ per ton</t>
  </si>
  <si>
    <t>PJ per kton</t>
  </si>
  <si>
    <t>NCAP_COST</t>
  </si>
  <si>
    <t>NCAP_FOM</t>
  </si>
  <si>
    <t xml:space="preserve">https://www.cell.com/joule/fulltext/S2542-4351(18)30225-3 </t>
  </si>
  <si>
    <t>ACT_COST</t>
  </si>
  <si>
    <t>SNK_DAC_GAS</t>
  </si>
  <si>
    <t>A Process for Capturing CO2 from the Atmosphere</t>
  </si>
  <si>
    <t>13.4 t/h CH4 equals 36.9 t/h CO2.</t>
  </si>
  <si>
    <t>(44/16)</t>
  </si>
  <si>
    <t>(Check: 670 GJ/h x 56 = 37.5 t/h CO2)</t>
  </si>
  <si>
    <t>On a total of 171 t/h that is mostly CO2</t>
  </si>
  <si>
    <t>Does all CO2 go to ?</t>
  </si>
  <si>
    <t>13.4 t/h CH4 + 6.3 t/h CH4  =&gt; 54 t/h CO2.</t>
  </si>
  <si>
    <t>0.06% -0.016% (IN-OUT) on a mass basis with 25100 t/h = 112 t/h CO2</t>
  </si>
  <si>
    <t>Sensitivities included</t>
  </si>
  <si>
    <t>Scenario</t>
  </si>
  <si>
    <t>Gas Input</t>
  </si>
  <si>
    <t>a</t>
  </si>
  <si>
    <r>
      <t>Gas and electrical inputs as well as levelized cost are all per ton CO</t>
    </r>
    <r>
      <rPr>
        <b/>
        <sz val="8.25"/>
        <color indexed="57"/>
        <rFont val="Arial"/>
        <family val="2"/>
      </rPr>
      <t>2</t>
    </r>
    <r>
      <rPr>
        <b/>
        <sz val="12"/>
        <color indexed="57"/>
        <rFont val="Arial"/>
        <family val="2"/>
      </rPr>
      <t xml:space="preserve"> capture from the atmosphere.</t>
    </r>
  </si>
  <si>
    <r>
      <t>(GJ/t-CO</t>
    </r>
    <r>
      <rPr>
        <b/>
        <sz val="8.25"/>
        <color indexed="57"/>
        <rFont val="Arial"/>
        <family val="2"/>
      </rPr>
      <t>2</t>
    </r>
    <r>
      <rPr>
        <b/>
        <sz val="12"/>
        <color indexed="57"/>
        <rFont val="Arial"/>
        <family val="2"/>
      </rPr>
      <t>)</t>
    </r>
  </si>
  <si>
    <t>Electricity Input</t>
  </si>
  <si>
    <r>
      <t>(kWh/t-CO</t>
    </r>
    <r>
      <rPr>
        <b/>
        <sz val="8.25"/>
        <color indexed="57"/>
        <rFont val="Arial"/>
        <family val="2"/>
      </rPr>
      <t>2</t>
    </r>
    <r>
      <rPr>
        <b/>
        <sz val="12"/>
        <color indexed="57"/>
        <rFont val="Arial"/>
        <family val="2"/>
      </rPr>
      <t>)</t>
    </r>
  </si>
  <si>
    <t>C-Gas/C-Air</t>
  </si>
  <si>
    <r>
      <t>Capital $ per t-CO</t>
    </r>
    <r>
      <rPr>
        <b/>
        <sz val="8.25"/>
        <color indexed="57"/>
        <rFont val="Arial"/>
        <family val="2"/>
      </rPr>
      <t>2</t>
    </r>
    <r>
      <rPr>
        <b/>
        <sz val="12"/>
        <color indexed="57"/>
        <rFont val="Arial"/>
        <family val="2"/>
      </rPr>
      <t>/year</t>
    </r>
  </si>
  <si>
    <t>O&amp;M</t>
  </si>
  <si>
    <t>b</t>
  </si>
  <si>
    <t>Non-energy O&amp;M expressed as fixed per unit of capacity with variable costs including cost of make-up streams included and converted equivalent fixed costs using 90% utilization.</t>
  </si>
  <si>
    <r>
      <t>($/t-CO</t>
    </r>
    <r>
      <rPr>
        <b/>
        <sz val="8.25"/>
        <color indexed="57"/>
        <rFont val="Arial"/>
        <family val="2"/>
      </rPr>
      <t>2</t>
    </r>
    <r>
      <rPr>
        <b/>
        <sz val="12"/>
        <color indexed="57"/>
        <rFont val="Arial"/>
        <family val="2"/>
      </rPr>
      <t>)</t>
    </r>
  </si>
  <si>
    <t>Levelized</t>
  </si>
  <si>
    <t>CRF</t>
  </si>
  <si>
    <t>c</t>
  </si>
  <si>
    <t>CRF is the average capital recovery factor defined in the section on Process Economics. Calculations assume NG at 3.5 $/GJ and a 90% utilization. For the C and D variants levelized costs are shown as a range using electricity at 30 and 60 $/MWhr.</t>
  </si>
  <si>
    <r>
      <t>A: Baseline: gas fired → 15 MPa CO</t>
    </r>
    <r>
      <rPr>
        <sz val="8.25"/>
        <color indexed="63"/>
        <rFont val="Arial"/>
        <family val="2"/>
      </rPr>
      <t>2</t>
    </r>
    <r>
      <rPr>
        <sz val="11"/>
        <color indexed="63"/>
        <rFont val="Arial"/>
        <family val="2"/>
      </rPr>
      <t xml:space="preserve"> output</t>
    </r>
  </si>
  <si>
    <r>
      <t>B: Baseline with N</t>
    </r>
    <r>
      <rPr>
        <sz val="8.25"/>
        <color indexed="63"/>
        <rFont val="Arial"/>
        <family val="2"/>
      </rPr>
      <t>th</t>
    </r>
    <r>
      <rPr>
        <sz val="11"/>
        <color indexed="63"/>
        <rFont val="Arial"/>
        <family val="2"/>
      </rPr>
      <t xml:space="preserve"> plant financials</t>
    </r>
  </si>
  <si>
    <r>
      <t>C: Gas and electricity input → 15 MPa CO</t>
    </r>
    <r>
      <rPr>
        <sz val="8.25"/>
        <color indexed="63"/>
        <rFont val="Arial"/>
        <family val="2"/>
      </rPr>
      <t>2</t>
    </r>
    <r>
      <rPr>
        <sz val="11"/>
        <color indexed="63"/>
        <rFont val="Arial"/>
        <family val="2"/>
      </rPr>
      <t xml:space="preserve"> output</t>
    </r>
  </si>
  <si>
    <t>113–124</t>
  </si>
  <si>
    <t>152–163</t>
  </si>
  <si>
    <r>
      <t>D: Gas and electricity input → 0.1 MPa CO</t>
    </r>
    <r>
      <rPr>
        <sz val="8.25"/>
        <color indexed="63"/>
        <rFont val="Arial"/>
        <family val="2"/>
      </rPr>
      <t>2</t>
    </r>
    <r>
      <rPr>
        <sz val="11"/>
        <color indexed="63"/>
        <rFont val="Arial"/>
        <family val="2"/>
      </rPr>
      <t xml:space="preserve"> output assuming zero cost O</t>
    </r>
    <r>
      <rPr>
        <sz val="8.25"/>
        <color indexed="63"/>
        <rFont val="Arial"/>
        <family val="2"/>
      </rPr>
      <t>2</t>
    </r>
  </si>
  <si>
    <t>94–97</t>
  </si>
  <si>
    <t>128–130</t>
  </si>
  <si>
    <t>A: Baseline: gas fired → 15 MPa CO2 output</t>
  </si>
  <si>
    <t>C: Gas and electricity input → 15 MPa CO2 output</t>
  </si>
  <si>
    <t>GAS input</t>
  </si>
  <si>
    <t xml:space="preserve"> ELEC input</t>
  </si>
  <si>
    <t>VAROM</t>
  </si>
  <si>
    <t>Original data from different sources</t>
  </si>
  <si>
    <t>All electric (NO REFERENCES ?) - Hydrogen as proxy</t>
  </si>
  <si>
    <t>Hydrogen fuelled - most probably more expensive than any competing technology.</t>
  </si>
  <si>
    <t>kwh/ton</t>
  </si>
  <si>
    <t>ton CO2 per ton CO2</t>
  </si>
  <si>
    <t>2900 to 1485</t>
  </si>
  <si>
    <t>CAPEX</t>
  </si>
  <si>
    <t xml:space="preserve">We don’t model this variant to keep freedom of power production (including gas with CCS). Also, without underground storage, you simply have to much positive emissions. Indirect CO2 from electricity may make CO2 price higher in scenarios with underground storage. </t>
  </si>
  <si>
    <t>SNKCO2N</t>
  </si>
  <si>
    <t>SUPSCO2N</t>
  </si>
  <si>
    <t>Heat input</t>
  </si>
  <si>
    <t>Sensitivity for LCEO</t>
  </si>
  <si>
    <t>This is the variant included in the sensitivity - should only be used in case of P2L (see explanation paper).</t>
  </si>
  <si>
    <t>Higher pressure, requires more electricity; not only for P2L (should be used for underground storage)</t>
  </si>
  <si>
    <t>Heat as an input may be TOO flexible (as the temperature from CHP heat is for example too low).</t>
  </si>
  <si>
    <t xml:space="preserve">ELC </t>
  </si>
  <si>
    <t>Source</t>
  </si>
  <si>
    <t>https://www.sciencedirect.com/science/article/pii/S0959652619307772</t>
  </si>
  <si>
    <t>Deactivate~TFM_INS</t>
  </si>
  <si>
    <t>Workbook purpose:</t>
  </si>
  <si>
    <t>Data source:</t>
  </si>
  <si>
    <t>User-modifiable?</t>
  </si>
  <si>
    <t xml:space="preserve">JRC EU TIMES models data: https://www.cell.com/joule/fulltext/S2542-4351(18)30225-3 </t>
  </si>
  <si>
    <t xml:space="preserve">Yes. </t>
  </si>
  <si>
    <t>updates the costs and specs of DAC for sensitivity runs</t>
  </si>
  <si>
    <t>Other source: https://www.sciencedirect.com/science/article/pii/S0959652619307772</t>
  </si>
  <si>
    <t>~TFM_MIG</t>
  </si>
  <si>
    <t>SourceScen</t>
  </si>
  <si>
    <t>Year2</t>
  </si>
  <si>
    <t>PSET_PN</t>
  </si>
  <si>
    <t>CCUS</t>
  </si>
  <si>
    <t>INVCOST</t>
  </si>
  <si>
    <t>SNK_DAC*</t>
  </si>
  <si>
    <t>*0.9</t>
  </si>
  <si>
    <t>*0.7</t>
  </si>
  <si>
    <t>*0.5</t>
  </si>
  <si>
    <t>DeactivateTFM_INS</t>
  </si>
  <si>
    <t>*0.3</t>
  </si>
  <si>
    <t>*0.2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</si>
</sst>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000"/>
    <numFmt numFmtId="166" formatCode="_-* #,##0.00\ &quot;€&quot;_-;\-* #,##0.00\ &quot;€&quot;_-;_-* &quot;-&quot;??\ &quot;€&quot;_-;_-@_-"/>
  </numFmts>
  <fonts count="20" x14ac:knownFonts="1">
    <font>
      <sz val="11"/>
      <color theme="1"/>
      <name val="Calibri"/>
      <family val="2"/>
      <scheme val="minor"/>
    </font>
    <font>
      <b/>
      <sz val="10"/>
      <name val="Arial"/>
      <family val="2"/>
    </font>
    <font>
      <sz val="10"/>
      <name val="Arial"/>
      <family val="2"/>
    </font>
    <font>
      <b/>
      <sz val="10"/>
      <color indexed="12"/>
      <name val="Arial"/>
      <family val="2"/>
    </font>
    <font>
      <b/>
      <sz val="8"/>
      <color indexed="81"/>
      <name val="Tahoma"/>
      <family val="2"/>
    </font>
    <font>
      <b/>
      <sz val="12"/>
      <color indexed="57"/>
      <name val="Arial"/>
      <family val="2"/>
    </font>
    <font>
      <b/>
      <sz val="8.25"/>
      <color indexed="57"/>
      <name val="Arial"/>
      <family val="2"/>
    </font>
    <font>
      <sz val="11"/>
      <color indexed="63"/>
      <name val="Arial"/>
      <family val="2"/>
    </font>
    <font>
      <sz val="8.25"/>
      <color indexed="63"/>
      <name val="Arial"/>
      <family val="2"/>
    </font>
    <font>
      <u/>
      <sz val="11"/>
      <color theme="10"/>
      <name val="Calibri"/>
      <family val="2"/>
      <scheme val="minor"/>
    </font>
    <font>
      <b/>
      <sz val="11"/>
      <color theme="1"/>
      <name val="Calibri"/>
      <family val="2"/>
      <scheme val="minor"/>
    </font>
    <font>
      <sz val="12"/>
      <color rgb="FFFFFFFF"/>
      <name val="Arial"/>
      <family val="2"/>
    </font>
    <font>
      <b/>
      <sz val="12"/>
      <color rgb="FF198D8E"/>
      <name val="Arial"/>
      <family val="2"/>
    </font>
    <font>
      <sz val="11"/>
      <color rgb="FF505050"/>
      <name val="Arial"/>
      <family val="2"/>
    </font>
    <font>
      <strike/>
      <sz val="11"/>
      <color theme="1"/>
      <name val="Calibri"/>
      <family val="2"/>
      <scheme val="minor"/>
    </font>
    <font>
      <b/>
      <sz val="11"/>
      <color rgb="FF000000"/>
      <name val="Calibri"/>
      <family val="2"/>
      <scheme val="minor"/>
    </font>
    <font>
      <sz val="11"/>
      <color rgb="FF000000"/>
      <name val="Calibri"/>
      <family val="2"/>
      <scheme val="minor"/>
    </font>
    <font>
      <sz val="10"/>
      <name val="Arial"/>
    </font>
    <font>
      <sz val="10"/>
      <name val="Courier"/>
      <family val="3"/>
    </font>
    <font>
      <sz val="11"/>
      <color theme="1"/>
      <name val="Calibri"/>
      <family val="2"/>
      <scheme val="minor"/>
    </font>
  </fonts>
  <fills count="6">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rgb="FFFFFFFF"/>
        <bgColor indexed="64"/>
      </patternFill>
    </fill>
    <fill>
      <patternFill patternType="solid">
        <fgColor theme="2"/>
        <bgColor indexed="64"/>
      </patternFill>
    </fill>
  </fills>
  <borders count="5">
    <border>
      <left/>
      <right/>
      <top/>
      <bottom/>
      <diagonal/>
    </border>
    <border>
      <left/>
      <right/>
      <top style="thin">
        <color indexed="64"/>
      </top>
      <bottom style="medium">
        <color indexed="64"/>
      </bottom>
      <diagonal/>
    </border>
    <border>
      <left/>
      <right/>
      <top style="medium">
        <color rgb="FFC0C0C0"/>
      </top>
      <bottom/>
      <diagonal/>
    </border>
    <border>
      <left/>
      <right/>
      <top/>
      <bottom style="medium">
        <color rgb="FFC0C0C0"/>
      </bottom>
      <diagonal/>
    </border>
    <border>
      <left/>
      <right/>
      <top style="medium">
        <color rgb="FFC0C0C0"/>
      </top>
      <bottom style="medium">
        <color rgb="FFC0C0C0"/>
      </bottom>
      <diagonal/>
    </border>
  </borders>
  <cellStyleXfs count="9">
    <xf numFmtId="0" fontId="0" fillId="0" borderId="0"/>
    <xf numFmtId="0" fontId="9" fillId="0" borderId="0" applyNumberFormat="0" applyFill="0" applyBorder="0" applyAlignment="0" applyProtection="0"/>
    <xf numFmtId="0" fontId="2" fillId="0" borderId="0"/>
    <xf numFmtId="0" fontId="17" fillId="0" borderId="0"/>
    <xf numFmtId="0" fontId="2" fillId="0" borderId="0"/>
    <xf numFmtId="0" fontId="2" fillId="0" borderId="0"/>
    <xf numFmtId="0" fontId="2" fillId="0" borderId="0"/>
    <xf numFmtId="0" fontId="18" fillId="0" borderId="0"/>
    <xf numFmtId="166" fontId="19" fillId="0" borderId="0" applyFont="0" applyFill="0" applyBorder="0" applyAlignment="0" applyProtection="0"/>
  </cellStyleXfs>
  <cellXfs count="39">
    <xf numFmtId="0" fontId="0" fillId="0" borderId="0" xfId="0"/>
    <xf numFmtId="0" fontId="3" fillId="0" borderId="0" xfId="0" applyFont="1"/>
    <xf numFmtId="0" fontId="1" fillId="0" borderId="0" xfId="0" applyFont="1" applyAlignment="1">
      <alignment horizontal="center"/>
    </xf>
    <xf numFmtId="0" fontId="1" fillId="2" borderId="1" xfId="0" applyFont="1" applyFill="1" applyBorder="1"/>
    <xf numFmtId="0" fontId="1" fillId="3" borderId="1" xfId="0" applyFont="1" applyFill="1" applyBorder="1"/>
    <xf numFmtId="0" fontId="2" fillId="2" borderId="1" xfId="0" applyFont="1" applyFill="1" applyBorder="1"/>
    <xf numFmtId="164" fontId="0" fillId="0" borderId="0" xfId="0" applyNumberFormat="1"/>
    <xf numFmtId="0" fontId="9" fillId="0" borderId="0" xfId="1"/>
    <xf numFmtId="0" fontId="11" fillId="0" borderId="0" xfId="0" applyFont="1"/>
    <xf numFmtId="0" fontId="10" fillId="0" borderId="0" xfId="0" applyFont="1"/>
    <xf numFmtId="0" fontId="0" fillId="0" borderId="0" xfId="0" applyAlignment="1"/>
    <xf numFmtId="0" fontId="12" fillId="4" borderId="2" xfId="0" applyFont="1" applyFill="1" applyBorder="1" applyAlignment="1">
      <alignment horizontal="left"/>
    </xf>
    <xf numFmtId="0" fontId="9" fillId="4" borderId="0" xfId="1" applyFill="1" applyAlignment="1">
      <alignment horizontal="left" vertical="center"/>
    </xf>
    <xf numFmtId="0" fontId="12" fillId="4" borderId="0" xfId="0" applyFont="1" applyFill="1" applyAlignment="1">
      <alignment horizontal="left" vertical="center"/>
    </xf>
    <xf numFmtId="0" fontId="12" fillId="4" borderId="0" xfId="0" applyFont="1" applyFill="1" applyAlignment="1">
      <alignment horizontal="left"/>
    </xf>
    <xf numFmtId="0" fontId="12" fillId="4" borderId="3" xfId="0" applyFont="1" applyFill="1" applyBorder="1" applyAlignment="1">
      <alignment horizontal="left"/>
    </xf>
    <xf numFmtId="10" fontId="12" fillId="4" borderId="4" xfId="0" applyNumberFormat="1" applyFont="1" applyFill="1" applyBorder="1" applyAlignment="1">
      <alignment horizontal="left"/>
    </xf>
    <xf numFmtId="0" fontId="13" fillId="0" borderId="0" xfId="0" applyFont="1" applyAlignment="1">
      <alignment horizontal="left" vertical="center"/>
    </xf>
    <xf numFmtId="3" fontId="13" fillId="0" borderId="0" xfId="0" applyNumberFormat="1" applyFont="1" applyAlignment="1">
      <alignment horizontal="left" vertical="center"/>
    </xf>
    <xf numFmtId="0" fontId="13" fillId="0" borderId="3" xfId="0" applyFont="1" applyBorder="1" applyAlignment="1">
      <alignment horizontal="left" vertical="center"/>
    </xf>
    <xf numFmtId="2" fontId="0" fillId="0" borderId="0" xfId="0" applyNumberFormat="1"/>
    <xf numFmtId="1" fontId="0" fillId="0" borderId="0" xfId="0" applyNumberFormat="1"/>
    <xf numFmtId="0" fontId="14" fillId="0" borderId="0" xfId="0" applyFont="1"/>
    <xf numFmtId="3" fontId="14" fillId="0" borderId="0" xfId="0" applyNumberFormat="1" applyFont="1"/>
    <xf numFmtId="0" fontId="0" fillId="5" borderId="0" xfId="0" applyFill="1"/>
    <xf numFmtId="165" fontId="0" fillId="0" borderId="0" xfId="0" applyNumberFormat="1"/>
    <xf numFmtId="0" fontId="15" fillId="0" borderId="0" xfId="0" applyFont="1"/>
    <xf numFmtId="0" fontId="16" fillId="0" borderId="0" xfId="0" applyFont="1"/>
    <xf numFmtId="0" fontId="0" fillId="0" borderId="0" xfId="0"/>
    <xf numFmtId="0" fontId="1" fillId="0" borderId="0" xfId="0" applyFont="1" applyAlignment="1">
      <alignment horizontal="center"/>
    </xf>
    <xf numFmtId="0" fontId="1" fillId="2" borderId="1" xfId="0" applyFont="1" applyFill="1" applyBorder="1"/>
    <xf numFmtId="0" fontId="1" fillId="3" borderId="1" xfId="0" applyFont="1" applyFill="1" applyBorder="1"/>
    <xf numFmtId="0" fontId="2" fillId="2" borderId="1" xfId="0" applyFont="1" applyFill="1" applyBorder="1"/>
    <xf numFmtId="0" fontId="12" fillId="4" borderId="2" xfId="0" applyFont="1" applyFill="1" applyBorder="1" applyAlignment="1">
      <alignment horizontal="left"/>
    </xf>
    <xf numFmtId="0" fontId="12" fillId="4" borderId="0" xfId="0" applyFont="1" applyFill="1" applyBorder="1" applyAlignment="1">
      <alignment horizontal="left"/>
    </xf>
    <xf numFmtId="0" fontId="12" fillId="4" borderId="3" xfId="0" applyFont="1" applyFill="1" applyBorder="1" applyAlignment="1">
      <alignment horizontal="left"/>
    </xf>
    <xf numFmtId="0" fontId="9" fillId="4" borderId="0" xfId="1" applyFill="1" applyAlignment="1">
      <alignment horizontal="left" vertical="center"/>
    </xf>
    <xf numFmtId="0" fontId="12" fillId="4" borderId="0" xfId="0" applyFont="1" applyFill="1" applyAlignment="1">
      <alignment horizontal="left" vertical="center"/>
    </xf>
    <xf numFmtId="0" fontId="12" fillId="4" borderId="3" xfId="0" applyFont="1" applyFill="1" applyBorder="1" applyAlignment="1">
      <alignment horizontal="left" vertical="center"/>
    </xf>
  </cellXfs>
  <cellStyles count="9">
    <cellStyle name="Currency 2" xfId="8" xr:uid="{C932E38C-08DC-499F-BFBD-1A500289C95C}"/>
    <cellStyle name="Hyperlink" xfId="1" builtinId="8"/>
    <cellStyle name="Normal" xfId="0" builtinId="0"/>
    <cellStyle name="Normal 10" xfId="2" xr:uid="{00000000-0005-0000-0000-000002000000}"/>
    <cellStyle name="Normal 2" xfId="4" xr:uid="{4C54678B-F782-488A-B40A-2FDBD97A3D40}"/>
    <cellStyle name="Normal 3" xfId="5" xr:uid="{40D2793E-7286-4DF9-B451-948EEBD1ED3C}"/>
    <cellStyle name="Normal 4" xfId="6" xr:uid="{3F740CA6-D441-497C-9436-082100EFDED6}"/>
    <cellStyle name="Normal 5" xfId="3" xr:uid="{B6B1D05E-C627-48F8-8146-AB17F5FB6CFE}"/>
    <cellStyle name="Normale_B2020" xfId="7" xr:uid="{2729780D-2383-458A-850D-FFC94CE01FC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9</xdr:col>
      <xdr:colOff>384810</xdr:colOff>
      <xdr:row>22</xdr:row>
      <xdr:rowOff>40005</xdr:rowOff>
    </xdr:from>
    <xdr:to>
      <xdr:col>21</xdr:col>
      <xdr:colOff>232410</xdr:colOff>
      <xdr:row>58</xdr:row>
      <xdr:rowOff>158115</xdr:rowOff>
    </xdr:to>
    <xdr:pic>
      <xdr:nvPicPr>
        <xdr:cNvPr id="1039" name="Picture 1" descr="D:\Temporary for restart\untitled.png">
          <a:extLst>
            <a:ext uri="{FF2B5EF4-FFF2-40B4-BE49-F238E27FC236}">
              <a16:creationId xmlns:a16="http://schemas.microsoft.com/office/drawing/2014/main" id="{F734070B-4C86-4582-B62D-C7E3D5151A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95110" y="4170045"/>
          <a:ext cx="11353800" cy="6785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30480</xdr:colOff>
      <xdr:row>6</xdr:row>
      <xdr:rowOff>45720</xdr:rowOff>
    </xdr:from>
    <xdr:to>
      <xdr:col>27</xdr:col>
      <xdr:colOff>465439</xdr:colOff>
      <xdr:row>25</xdr:row>
      <xdr:rowOff>23159</xdr:rowOff>
    </xdr:to>
    <xdr:pic>
      <xdr:nvPicPr>
        <xdr:cNvPr id="2" name="Picture 1">
          <a:extLst>
            <a:ext uri="{FF2B5EF4-FFF2-40B4-BE49-F238E27FC236}">
              <a16:creationId xmlns:a16="http://schemas.microsoft.com/office/drawing/2014/main" id="{31356119-45BC-413A-8F82-E5C9856FE1E9}"/>
            </a:ext>
          </a:extLst>
        </xdr:cNvPr>
        <xdr:cNvPicPr>
          <a:picLocks noChangeAspect="1"/>
        </xdr:cNvPicPr>
      </xdr:nvPicPr>
      <xdr:blipFill>
        <a:blip xmlns:r="http://schemas.openxmlformats.org/officeDocument/2006/relationships" r:embed="rId1"/>
        <a:stretch>
          <a:fillRect/>
        </a:stretch>
      </xdr:blipFill>
      <xdr:spPr>
        <a:xfrm>
          <a:off x="9784080" y="1143000"/>
          <a:ext cx="7140559" cy="345215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cell.com/joule/fulltext/S2542-4351(18)30225-3" TargetMode="External"/><Relationship Id="rId7" Type="http://schemas.openxmlformats.org/officeDocument/2006/relationships/printerSettings" Target="../printerSettings/printerSettings1.bin"/><Relationship Id="rId2" Type="http://schemas.openxmlformats.org/officeDocument/2006/relationships/hyperlink" Target="https://www.cell.com/joule/fulltext/S2542-4351(18)30225-3" TargetMode="External"/><Relationship Id="rId1" Type="http://schemas.openxmlformats.org/officeDocument/2006/relationships/hyperlink" Target="https://www.cell.com/joule/fulltext/S2542-4351(18)30225-3" TargetMode="External"/><Relationship Id="rId6" Type="http://schemas.openxmlformats.org/officeDocument/2006/relationships/hyperlink" Target="https://www.cell.com/joule/fulltext/S2542-4351(18)30225-3" TargetMode="External"/><Relationship Id="rId5" Type="http://schemas.openxmlformats.org/officeDocument/2006/relationships/hyperlink" Target="https://www.cell.com/joule/fulltext/S2542-4351(18)30225-3" TargetMode="External"/><Relationship Id="rId10" Type="http://schemas.openxmlformats.org/officeDocument/2006/relationships/comments" Target="../comments1.xml"/><Relationship Id="rId4" Type="http://schemas.openxmlformats.org/officeDocument/2006/relationships/hyperlink" Target="https://www.cell.com/joule/fulltext/S2542-4351(18)30225-3" TargetMode="External"/><Relationship Id="rId9"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hyperlink" Target="https://www.sciencedirect.com/science/article/pii/S0959652619307772"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5D85A-BF94-497C-9C56-6EC14177CFB6}">
  <dimension ref="A1:A13"/>
  <sheetViews>
    <sheetView workbookViewId="0">
      <selection activeCell="D13" sqref="D13"/>
    </sheetView>
  </sheetViews>
  <sheetFormatPr defaultRowHeight="14.4" x14ac:dyDescent="0.3"/>
  <sheetData>
    <row r="1" spans="1:1" x14ac:dyDescent="0.3">
      <c r="A1" s="26" t="s">
        <v>78</v>
      </c>
    </row>
    <row r="2" spans="1:1" x14ac:dyDescent="0.3">
      <c r="A2" s="27" t="s">
        <v>83</v>
      </c>
    </row>
    <row r="3" spans="1:1" x14ac:dyDescent="0.3">
      <c r="A3" s="27"/>
    </row>
    <row r="4" spans="1:1" x14ac:dyDescent="0.3">
      <c r="A4" s="27"/>
    </row>
    <row r="5" spans="1:1" x14ac:dyDescent="0.3">
      <c r="A5" s="26" t="s">
        <v>79</v>
      </c>
    </row>
    <row r="6" spans="1:1" x14ac:dyDescent="0.3">
      <c r="A6" s="27" t="s">
        <v>81</v>
      </c>
    </row>
    <row r="7" spans="1:1" x14ac:dyDescent="0.3">
      <c r="A7" s="27" t="s">
        <v>84</v>
      </c>
    </row>
    <row r="8" spans="1:1" x14ac:dyDescent="0.3">
      <c r="A8" s="27"/>
    </row>
    <row r="9" spans="1:1" x14ac:dyDescent="0.3">
      <c r="A9" s="27"/>
    </row>
    <row r="10" spans="1:1" x14ac:dyDescent="0.3">
      <c r="A10" s="27"/>
    </row>
    <row r="11" spans="1:1" x14ac:dyDescent="0.3">
      <c r="A11" s="27"/>
    </row>
    <row r="12" spans="1:1" x14ac:dyDescent="0.3">
      <c r="A12" s="26" t="s">
        <v>80</v>
      </c>
    </row>
    <row r="13" spans="1:1" x14ac:dyDescent="0.3">
      <c r="A13" s="27" t="s">
        <v>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3"/>
  <sheetViews>
    <sheetView topLeftCell="L13" workbookViewId="0">
      <selection activeCell="K2" sqref="K2"/>
    </sheetView>
  </sheetViews>
  <sheetFormatPr defaultRowHeight="14.4" x14ac:dyDescent="0.3"/>
  <cols>
    <col min="2" max="2" width="10.109375" bestFit="1" customWidth="1"/>
    <col min="3" max="3" width="8.88671875" bestFit="1" customWidth="1"/>
    <col min="4" max="4" width="13" customWidth="1"/>
    <col min="5" max="5" width="5.109375" bestFit="1" customWidth="1"/>
    <col min="6" max="6" width="10.6640625" bestFit="1" customWidth="1"/>
    <col min="7" max="7" width="16.5546875" customWidth="1"/>
    <col min="8" max="8" width="8.44140625" bestFit="1" customWidth="1"/>
    <col min="11" max="11" width="70" customWidth="1"/>
    <col min="22" max="22" width="17.44140625" customWidth="1"/>
    <col min="23" max="23" width="52.88671875" customWidth="1"/>
    <col min="24" max="24" width="12" bestFit="1" customWidth="1"/>
    <col min="25" max="25" width="18.44140625" bestFit="1" customWidth="1"/>
    <col min="26" max="26" width="16.6640625" customWidth="1"/>
    <col min="28" max="28" width="11" customWidth="1"/>
    <col min="29" max="29" width="12.6640625" customWidth="1"/>
  </cols>
  <sheetData>
    <row r="1" spans="1:31" x14ac:dyDescent="0.3">
      <c r="A1" t="s">
        <v>7</v>
      </c>
    </row>
    <row r="2" spans="1:31" x14ac:dyDescent="0.3">
      <c r="B2" s="1" t="s">
        <v>77</v>
      </c>
      <c r="G2" s="2"/>
      <c r="H2" s="2"/>
      <c r="K2" s="7" t="s">
        <v>17</v>
      </c>
    </row>
    <row r="3" spans="1:31" ht="15" thickBot="1" x14ac:dyDescent="0.35">
      <c r="B3" s="3" t="s">
        <v>5</v>
      </c>
      <c r="C3" s="3" t="s">
        <v>4</v>
      </c>
      <c r="D3" s="3" t="s">
        <v>3</v>
      </c>
      <c r="E3" s="3" t="s">
        <v>0</v>
      </c>
      <c r="F3" s="4" t="s">
        <v>6</v>
      </c>
      <c r="G3" s="5" t="s">
        <v>1</v>
      </c>
      <c r="H3" s="5" t="s">
        <v>2</v>
      </c>
      <c r="K3" t="s">
        <v>20</v>
      </c>
      <c r="V3" t="s">
        <v>28</v>
      </c>
    </row>
    <row r="4" spans="1:31" x14ac:dyDescent="0.3">
      <c r="D4" t="s">
        <v>9</v>
      </c>
      <c r="E4">
        <v>2010</v>
      </c>
      <c r="F4">
        <v>2.5000000000000001E-3</v>
      </c>
      <c r="G4" t="s">
        <v>8</v>
      </c>
      <c r="H4" t="s">
        <v>74</v>
      </c>
      <c r="K4">
        <v>77</v>
      </c>
      <c r="L4" t="s">
        <v>10</v>
      </c>
      <c r="X4" t="s">
        <v>69</v>
      </c>
      <c r="Y4" t="s">
        <v>56</v>
      </c>
      <c r="Z4" t="s">
        <v>57</v>
      </c>
      <c r="AA4" t="s">
        <v>65</v>
      </c>
      <c r="AB4" t="s">
        <v>58</v>
      </c>
      <c r="AC4" t="s">
        <v>67</v>
      </c>
      <c r="AD4" t="s">
        <v>68</v>
      </c>
    </row>
    <row r="5" spans="1:31" x14ac:dyDescent="0.3">
      <c r="D5" t="s">
        <v>9</v>
      </c>
      <c r="E5">
        <v>2020</v>
      </c>
      <c r="F5" s="6">
        <f>F6</f>
        <v>4.1580000000000002E-4</v>
      </c>
      <c r="G5" t="s">
        <v>8</v>
      </c>
      <c r="H5" t="s">
        <v>74</v>
      </c>
      <c r="K5">
        <f>K4*3.6</f>
        <v>277.2</v>
      </c>
      <c r="L5" t="s">
        <v>11</v>
      </c>
      <c r="V5" t="s">
        <v>8</v>
      </c>
      <c r="W5" t="s">
        <v>59</v>
      </c>
      <c r="X5" s="20">
        <f>0.005888*1000</f>
        <v>5.8879999999999999</v>
      </c>
      <c r="Z5" s="21">
        <f>0.00128/3.6*1000000</f>
        <v>355.5555555555556</v>
      </c>
      <c r="AA5" t="s">
        <v>64</v>
      </c>
      <c r="AC5">
        <v>1</v>
      </c>
      <c r="AE5" t="s">
        <v>73</v>
      </c>
    </row>
    <row r="6" spans="1:31" x14ac:dyDescent="0.3">
      <c r="D6" t="s">
        <v>9</v>
      </c>
      <c r="E6">
        <v>2030</v>
      </c>
      <c r="F6" s="6">
        <f>F7*1.5</f>
        <v>4.1580000000000002E-4</v>
      </c>
      <c r="G6" t="s">
        <v>8</v>
      </c>
      <c r="H6" t="s">
        <v>74</v>
      </c>
      <c r="K6">
        <f>K5/1000</f>
        <v>0.2772</v>
      </c>
      <c r="L6" t="s">
        <v>12</v>
      </c>
      <c r="V6" t="s">
        <v>8</v>
      </c>
      <c r="W6" t="s">
        <v>70</v>
      </c>
      <c r="X6" s="20">
        <f>X5</f>
        <v>5.8879999999999999</v>
      </c>
      <c r="Z6">
        <f>Z9</f>
        <v>77</v>
      </c>
      <c r="AA6">
        <f>AA9</f>
        <v>609</v>
      </c>
      <c r="AB6">
        <f>AB9</f>
        <v>23</v>
      </c>
      <c r="AC6">
        <f>AC9</f>
        <v>1</v>
      </c>
      <c r="AE6" t="s">
        <v>71</v>
      </c>
    </row>
    <row r="7" spans="1:31" x14ac:dyDescent="0.3">
      <c r="D7" t="s">
        <v>9</v>
      </c>
      <c r="E7">
        <v>2050</v>
      </c>
      <c r="F7" s="6">
        <f>K8</f>
        <v>2.7720000000000002E-4</v>
      </c>
      <c r="G7" t="s">
        <v>8</v>
      </c>
      <c r="H7" t="s">
        <v>74</v>
      </c>
      <c r="K7">
        <f>K6/1000</f>
        <v>2.7720000000000002E-4</v>
      </c>
      <c r="L7" t="s">
        <v>13</v>
      </c>
      <c r="V7" t="s">
        <v>19</v>
      </c>
      <c r="W7" s="22" t="s">
        <v>54</v>
      </c>
      <c r="Y7" s="22">
        <f>X27</f>
        <v>8.81</v>
      </c>
      <c r="Z7" s="22">
        <v>0</v>
      </c>
      <c r="AA7" s="23">
        <f>AA27</f>
        <v>1146</v>
      </c>
      <c r="AB7" s="22"/>
      <c r="AC7" s="22">
        <v>1</v>
      </c>
      <c r="AD7" s="22">
        <f>Z27</f>
        <v>0.48</v>
      </c>
      <c r="AE7" t="s">
        <v>66</v>
      </c>
    </row>
    <row r="8" spans="1:31" x14ac:dyDescent="0.3">
      <c r="D8" t="s">
        <v>15</v>
      </c>
      <c r="E8">
        <v>2010</v>
      </c>
      <c r="F8">
        <v>0.6</v>
      </c>
      <c r="G8" t="s">
        <v>8</v>
      </c>
      <c r="K8">
        <f>K7</f>
        <v>2.7720000000000002E-4</v>
      </c>
      <c r="L8" t="s">
        <v>14</v>
      </c>
      <c r="V8" t="s">
        <v>19</v>
      </c>
      <c r="W8" t="s">
        <v>55</v>
      </c>
      <c r="Y8" s="20">
        <f>X29</f>
        <v>5.25</v>
      </c>
      <c r="Z8">
        <f>Y29</f>
        <v>366</v>
      </c>
      <c r="AA8">
        <f>AA29</f>
        <v>694</v>
      </c>
      <c r="AC8">
        <v>1</v>
      </c>
      <c r="AD8">
        <f>Z29</f>
        <v>0.3</v>
      </c>
      <c r="AE8" t="s">
        <v>72</v>
      </c>
    </row>
    <row r="9" spans="1:31" ht="15" thickBot="1" x14ac:dyDescent="0.35">
      <c r="D9" t="s">
        <v>15</v>
      </c>
      <c r="E9">
        <v>2020</v>
      </c>
      <c r="F9">
        <f>F8</f>
        <v>0.6</v>
      </c>
      <c r="G9" t="s">
        <v>8</v>
      </c>
      <c r="V9" t="s">
        <v>19</v>
      </c>
      <c r="W9" s="19" t="s">
        <v>51</v>
      </c>
      <c r="Y9" s="20">
        <f>Y8</f>
        <v>5.25</v>
      </c>
      <c r="Z9">
        <f>K8/3.6*1000000</f>
        <v>77</v>
      </c>
      <c r="AA9">
        <v>609</v>
      </c>
      <c r="AB9">
        <v>23</v>
      </c>
      <c r="AC9">
        <v>1</v>
      </c>
      <c r="AD9">
        <f>Z30</f>
        <v>0.3</v>
      </c>
    </row>
    <row r="10" spans="1:31" x14ac:dyDescent="0.3">
      <c r="D10" t="s">
        <v>15</v>
      </c>
      <c r="E10">
        <v>2030</v>
      </c>
      <c r="F10">
        <f>F9</f>
        <v>0.6</v>
      </c>
      <c r="G10" t="s">
        <v>8</v>
      </c>
      <c r="V10" t="s">
        <v>19</v>
      </c>
      <c r="W10" t="s">
        <v>60</v>
      </c>
      <c r="Y10" s="20">
        <f>Y8</f>
        <v>5.25</v>
      </c>
      <c r="Z10">
        <f>Z8</f>
        <v>366</v>
      </c>
      <c r="AA10">
        <f>AA8</f>
        <v>694</v>
      </c>
      <c r="AE10" t="s">
        <v>61</v>
      </c>
    </row>
    <row r="11" spans="1:31" ht="15.6" x14ac:dyDescent="0.3">
      <c r="D11" t="s">
        <v>15</v>
      </c>
      <c r="E11">
        <v>2050</v>
      </c>
      <c r="F11">
        <f>F10</f>
        <v>0.6</v>
      </c>
      <c r="G11" t="s">
        <v>8</v>
      </c>
      <c r="K11" s="8"/>
    </row>
    <row r="12" spans="1:31" x14ac:dyDescent="0.3">
      <c r="D12" t="s">
        <v>16</v>
      </c>
      <c r="E12">
        <v>2010</v>
      </c>
      <c r="F12">
        <v>0</v>
      </c>
      <c r="G12" t="s">
        <v>8</v>
      </c>
      <c r="K12" s="9" t="s">
        <v>25</v>
      </c>
    </row>
    <row r="13" spans="1:31" x14ac:dyDescent="0.3">
      <c r="D13" t="s">
        <v>16</v>
      </c>
      <c r="E13">
        <v>2020</v>
      </c>
      <c r="F13">
        <v>0</v>
      </c>
      <c r="G13" t="s">
        <v>8</v>
      </c>
      <c r="K13" t="s">
        <v>26</v>
      </c>
      <c r="L13" t="s">
        <v>23</v>
      </c>
    </row>
    <row r="14" spans="1:31" x14ac:dyDescent="0.3">
      <c r="D14" t="s">
        <v>16</v>
      </c>
      <c r="E14">
        <v>2030</v>
      </c>
      <c r="F14">
        <v>0</v>
      </c>
      <c r="G14" t="s">
        <v>8</v>
      </c>
      <c r="L14" t="s">
        <v>21</v>
      </c>
    </row>
    <row r="15" spans="1:31" x14ac:dyDescent="0.3">
      <c r="D15" t="s">
        <v>16</v>
      </c>
      <c r="E15">
        <v>2050</v>
      </c>
      <c r="F15">
        <v>0</v>
      </c>
      <c r="G15" t="s">
        <v>8</v>
      </c>
      <c r="L15" t="s">
        <v>22</v>
      </c>
    </row>
    <row r="16" spans="1:31" x14ac:dyDescent="0.3">
      <c r="D16" t="s">
        <v>18</v>
      </c>
      <c r="E16">
        <v>2010</v>
      </c>
      <c r="F16">
        <f>23/1000</f>
        <v>2.3E-2</v>
      </c>
      <c r="G16" t="s">
        <v>8</v>
      </c>
      <c r="K16" t="s">
        <v>24</v>
      </c>
    </row>
    <row r="17" spans="4:32" x14ac:dyDescent="0.3">
      <c r="D17" t="s">
        <v>18</v>
      </c>
      <c r="E17">
        <v>2020</v>
      </c>
      <c r="F17">
        <f>23/1000</f>
        <v>2.3E-2</v>
      </c>
      <c r="G17" t="s">
        <v>8</v>
      </c>
      <c r="K17" t="s">
        <v>27</v>
      </c>
    </row>
    <row r="18" spans="4:32" ht="16.2" thickBot="1" x14ac:dyDescent="0.35">
      <c r="D18" t="s">
        <v>18</v>
      </c>
      <c r="E18">
        <v>2030</v>
      </c>
      <c r="F18">
        <f>23/1000</f>
        <v>2.3E-2</v>
      </c>
      <c r="G18" t="s">
        <v>8</v>
      </c>
      <c r="W18" s="13" t="s">
        <v>32</v>
      </c>
      <c r="X18" s="10"/>
      <c r="Y18" s="10"/>
      <c r="Z18" s="10"/>
      <c r="AA18" s="10"/>
      <c r="AB18" s="10"/>
      <c r="AC18" s="10"/>
      <c r="AD18" s="10"/>
    </row>
    <row r="19" spans="4:32" ht="15.6" x14ac:dyDescent="0.3">
      <c r="D19" t="s">
        <v>18</v>
      </c>
      <c r="E19">
        <v>2050</v>
      </c>
      <c r="F19">
        <f>23/1000</f>
        <v>2.3E-2</v>
      </c>
      <c r="G19" t="s">
        <v>8</v>
      </c>
      <c r="W19" s="33" t="s">
        <v>29</v>
      </c>
      <c r="X19" s="11" t="s">
        <v>30</v>
      </c>
      <c r="Y19" s="11" t="s">
        <v>34</v>
      </c>
      <c r="Z19" s="33" t="s">
        <v>36</v>
      </c>
      <c r="AA19" s="33" t="s">
        <v>37</v>
      </c>
      <c r="AB19" s="11" t="s">
        <v>38</v>
      </c>
      <c r="AC19" s="33" t="s">
        <v>42</v>
      </c>
      <c r="AD19" s="33"/>
    </row>
    <row r="20" spans="4:32" x14ac:dyDescent="0.3">
      <c r="W20" s="34"/>
      <c r="X20" s="12" t="s">
        <v>31</v>
      </c>
      <c r="Y20" s="12" t="s">
        <v>31</v>
      </c>
      <c r="Z20" s="34"/>
      <c r="AA20" s="34"/>
      <c r="AB20" s="12" t="s">
        <v>39</v>
      </c>
      <c r="AC20" s="36" t="s">
        <v>31</v>
      </c>
      <c r="AD20" s="36"/>
    </row>
    <row r="21" spans="4:32" ht="15.6" x14ac:dyDescent="0.3">
      <c r="W21" s="34"/>
      <c r="Y21" s="13"/>
      <c r="Z21" s="34"/>
      <c r="AA21" s="34"/>
      <c r="AB21" s="13" t="s">
        <v>40</v>
      </c>
      <c r="AC21" s="37" t="s">
        <v>32</v>
      </c>
      <c r="AD21" s="37"/>
    </row>
    <row r="22" spans="4:32" ht="16.2" thickBot="1" x14ac:dyDescent="0.35">
      <c r="W22" s="34"/>
      <c r="X22" s="14" t="s">
        <v>33</v>
      </c>
      <c r="Y22" s="14" t="s">
        <v>35</v>
      </c>
      <c r="Z22" s="34"/>
      <c r="AA22" s="34"/>
      <c r="AB22" s="14" t="s">
        <v>41</v>
      </c>
      <c r="AC22" s="35" t="s">
        <v>41</v>
      </c>
      <c r="AD22" s="35"/>
    </row>
    <row r="23" spans="4:32" ht="15.6" x14ac:dyDescent="0.3">
      <c r="W23" s="34"/>
      <c r="X23" s="14"/>
      <c r="Y23" s="14"/>
      <c r="Z23" s="34"/>
      <c r="AA23" s="34"/>
      <c r="AB23" s="14"/>
      <c r="AC23" s="33" t="s">
        <v>43</v>
      </c>
      <c r="AD23" s="33"/>
    </row>
    <row r="24" spans="4:32" ht="15.6" x14ac:dyDescent="0.3">
      <c r="W24" s="34"/>
      <c r="X24" s="14"/>
      <c r="Y24" s="14"/>
      <c r="Z24" s="34"/>
      <c r="AA24" s="34"/>
      <c r="AB24" s="14"/>
      <c r="AC24" s="36" t="s">
        <v>44</v>
      </c>
      <c r="AD24" s="36"/>
    </row>
    <row r="25" spans="4:32" ht="16.2" thickBot="1" x14ac:dyDescent="0.35">
      <c r="W25" s="34"/>
      <c r="X25" s="14"/>
      <c r="Y25" s="14"/>
      <c r="Z25" s="34"/>
      <c r="AA25" s="34"/>
      <c r="AB25" s="14"/>
      <c r="AC25" s="38" t="s">
        <v>45</v>
      </c>
      <c r="AD25" s="38"/>
    </row>
    <row r="26" spans="4:32" ht="16.2" thickBot="1" x14ac:dyDescent="0.35">
      <c r="W26" s="35"/>
      <c r="X26" s="15"/>
      <c r="Y26" s="15"/>
      <c r="Z26" s="35"/>
      <c r="AA26" s="35"/>
      <c r="AB26" s="15"/>
      <c r="AC26" s="16">
        <v>7.4999999999999997E-2</v>
      </c>
      <c r="AD26" s="16">
        <v>0.125</v>
      </c>
    </row>
    <row r="27" spans="4:32" x14ac:dyDescent="0.3">
      <c r="W27" s="17" t="s">
        <v>46</v>
      </c>
      <c r="X27" s="17">
        <v>8.81</v>
      </c>
      <c r="Y27" s="17">
        <v>0</v>
      </c>
      <c r="Z27" s="17">
        <v>0.48</v>
      </c>
      <c r="AA27" s="18">
        <v>1146</v>
      </c>
      <c r="AB27" s="17">
        <v>42</v>
      </c>
      <c r="AC27" s="17">
        <v>168</v>
      </c>
      <c r="AD27" s="17">
        <v>232</v>
      </c>
      <c r="AF27">
        <f>1+Z27</f>
        <v>1.48</v>
      </c>
    </row>
    <row r="28" spans="4:32" x14ac:dyDescent="0.3">
      <c r="W28" s="17" t="s">
        <v>47</v>
      </c>
      <c r="X28" s="17">
        <v>8.81</v>
      </c>
      <c r="Y28" s="17">
        <v>0</v>
      </c>
      <c r="Z28" s="17">
        <v>0.48</v>
      </c>
      <c r="AA28" s="17">
        <v>793</v>
      </c>
      <c r="AB28" s="17">
        <v>30</v>
      </c>
      <c r="AC28" s="17">
        <v>126</v>
      </c>
      <c r="AD28" s="17">
        <v>170</v>
      </c>
      <c r="AF28">
        <f>1+Z28</f>
        <v>1.48</v>
      </c>
    </row>
    <row r="29" spans="4:32" x14ac:dyDescent="0.3">
      <c r="W29" s="17" t="s">
        <v>48</v>
      </c>
      <c r="X29" s="17">
        <v>5.25</v>
      </c>
      <c r="Y29" s="17">
        <v>366</v>
      </c>
      <c r="Z29" s="17">
        <v>0.3</v>
      </c>
      <c r="AA29" s="17">
        <v>694</v>
      </c>
      <c r="AB29" s="17">
        <v>26</v>
      </c>
      <c r="AC29" s="17" t="s">
        <v>49</v>
      </c>
      <c r="AD29" s="17" t="s">
        <v>50</v>
      </c>
      <c r="AF29">
        <f>1+Z29</f>
        <v>1.3</v>
      </c>
    </row>
    <row r="30" spans="4:32" ht="15" thickBot="1" x14ac:dyDescent="0.35">
      <c r="W30" s="19" t="s">
        <v>51</v>
      </c>
      <c r="X30" s="19">
        <v>5.25</v>
      </c>
      <c r="Y30" s="19">
        <v>77</v>
      </c>
      <c r="Z30" s="19">
        <v>0.3</v>
      </c>
      <c r="AA30" s="19">
        <v>609</v>
      </c>
      <c r="AB30" s="19">
        <v>23</v>
      </c>
      <c r="AC30" s="19" t="s">
        <v>52</v>
      </c>
      <c r="AD30" s="19" t="s">
        <v>53</v>
      </c>
      <c r="AF30">
        <f>1+Z30</f>
        <v>1.3</v>
      </c>
    </row>
    <row r="32" spans="4:32" x14ac:dyDescent="0.3">
      <c r="Y32">
        <f>Y29-Y30</f>
        <v>289</v>
      </c>
      <c r="Z32" t="s">
        <v>62</v>
      </c>
    </row>
    <row r="33" spans="25:26" x14ac:dyDescent="0.3">
      <c r="Y33">
        <f>400*Y32/1000000</f>
        <v>0.11559999999999999</v>
      </c>
      <c r="Z33" t="s">
        <v>63</v>
      </c>
    </row>
  </sheetData>
  <mergeCells count="10">
    <mergeCell ref="W19:W26"/>
    <mergeCell ref="Z19:Z26"/>
    <mergeCell ref="AA19:AA26"/>
    <mergeCell ref="AC19:AD19"/>
    <mergeCell ref="AC20:AD20"/>
    <mergeCell ref="AC21:AD21"/>
    <mergeCell ref="AC22:AD22"/>
    <mergeCell ref="AC23:AD23"/>
    <mergeCell ref="AC24:AD24"/>
    <mergeCell ref="AC25:AD25"/>
  </mergeCells>
  <hyperlinks>
    <hyperlink ref="K2" r:id="rId1" xr:uid="{00000000-0004-0000-0000-000000000000}"/>
    <hyperlink ref="X20" r:id="rId2" display="https://www.cell.com/joule/fulltext/S2542-4351(18)30225-3" xr:uid="{00000000-0004-0000-0000-000001000000}"/>
    <hyperlink ref="Y20" r:id="rId3" display="https://www.cell.com/joule/fulltext/S2542-4351(18)30225-3" xr:uid="{00000000-0004-0000-0000-000002000000}"/>
    <hyperlink ref="AB20" r:id="rId4" display="https://www.cell.com/joule/fulltext/S2542-4351(18)30225-3" xr:uid="{00000000-0004-0000-0000-000003000000}"/>
    <hyperlink ref="AC20" r:id="rId5" display="https://www.cell.com/joule/fulltext/S2542-4351(18)30225-3" xr:uid="{00000000-0004-0000-0000-000004000000}"/>
    <hyperlink ref="AC24" r:id="rId6" display="https://www.cell.com/joule/fulltext/S2542-4351(18)30225-3" xr:uid="{00000000-0004-0000-0000-000005000000}"/>
  </hyperlinks>
  <pageMargins left="0.7" right="0.7" top="0.75" bottom="0.75" header="0.3" footer="0.3"/>
  <pageSetup orientation="portrait" r:id="rId7"/>
  <drawing r:id="rId8"/>
  <legacyDrawing r:id="rId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08C93-3F5E-4EDC-9D06-A8525D8AA376}">
  <dimension ref="E5:R23"/>
  <sheetViews>
    <sheetView topLeftCell="A4" workbookViewId="0">
      <selection activeCell="E6" sqref="E6"/>
    </sheetView>
  </sheetViews>
  <sheetFormatPr defaultRowHeight="14.4" x14ac:dyDescent="0.3"/>
  <cols>
    <col min="7" max="7" width="10.88671875" bestFit="1" customWidth="1"/>
    <col min="9" max="9" width="10.21875" bestFit="1" customWidth="1"/>
    <col min="10" max="10" width="13" bestFit="1" customWidth="1"/>
    <col min="11" max="11" width="8" bestFit="1" customWidth="1"/>
  </cols>
  <sheetData>
    <row r="5" spans="5:18" x14ac:dyDescent="0.3">
      <c r="E5" s="1" t="s">
        <v>95</v>
      </c>
      <c r="J5" s="2"/>
      <c r="K5" s="2"/>
    </row>
    <row r="6" spans="5:18" ht="15" thickBot="1" x14ac:dyDescent="0.35">
      <c r="E6" s="3" t="s">
        <v>5</v>
      </c>
      <c r="F6" s="3" t="s">
        <v>4</v>
      </c>
      <c r="G6" s="3" t="s">
        <v>3</v>
      </c>
      <c r="H6" s="3" t="s">
        <v>0</v>
      </c>
      <c r="I6" s="4" t="s">
        <v>6</v>
      </c>
      <c r="J6" s="5" t="s">
        <v>1</v>
      </c>
      <c r="K6" s="5" t="s">
        <v>2</v>
      </c>
      <c r="Q6" t="s">
        <v>75</v>
      </c>
      <c r="R6" s="7" t="s">
        <v>76</v>
      </c>
    </row>
    <row r="7" spans="5:18" x14ac:dyDescent="0.3">
      <c r="G7" t="s">
        <v>9</v>
      </c>
      <c r="H7">
        <v>2010</v>
      </c>
      <c r="I7" s="25">
        <v>2.5000000000000001E-3</v>
      </c>
      <c r="J7" t="s">
        <v>19</v>
      </c>
      <c r="K7" t="s">
        <v>74</v>
      </c>
    </row>
    <row r="8" spans="5:18" x14ac:dyDescent="0.3">
      <c r="G8" t="s">
        <v>9</v>
      </c>
      <c r="H8">
        <v>2020</v>
      </c>
      <c r="I8" s="25">
        <v>4.1580000000000002E-4</v>
      </c>
      <c r="J8" t="s">
        <v>19</v>
      </c>
      <c r="K8" t="s">
        <v>74</v>
      </c>
    </row>
    <row r="9" spans="5:18" x14ac:dyDescent="0.3">
      <c r="G9" t="s">
        <v>9</v>
      </c>
      <c r="H9">
        <v>2030</v>
      </c>
      <c r="I9" s="25">
        <v>4.1580000000000002E-4</v>
      </c>
      <c r="J9" t="s">
        <v>19</v>
      </c>
      <c r="K9" t="s">
        <v>74</v>
      </c>
    </row>
    <row r="10" spans="5:18" x14ac:dyDescent="0.3">
      <c r="G10" t="s">
        <v>9</v>
      </c>
      <c r="H10">
        <v>2050</v>
      </c>
      <c r="I10" s="25">
        <v>2.7720000000000002E-4</v>
      </c>
      <c r="J10" t="s">
        <v>19</v>
      </c>
      <c r="K10" t="s">
        <v>74</v>
      </c>
    </row>
    <row r="11" spans="5:18" x14ac:dyDescent="0.3">
      <c r="G11" t="s">
        <v>15</v>
      </c>
      <c r="H11">
        <v>2010</v>
      </c>
      <c r="I11" s="24">
        <f>I12</f>
        <v>0.81499999999999995</v>
      </c>
      <c r="J11" t="s">
        <v>19</v>
      </c>
    </row>
    <row r="12" spans="5:18" x14ac:dyDescent="0.3">
      <c r="G12" t="s">
        <v>15</v>
      </c>
      <c r="H12">
        <v>2020</v>
      </c>
      <c r="I12" s="24">
        <v>0.81499999999999995</v>
      </c>
      <c r="J12" t="s">
        <v>19</v>
      </c>
    </row>
    <row r="13" spans="5:18" x14ac:dyDescent="0.3">
      <c r="G13" t="s">
        <v>15</v>
      </c>
      <c r="H13">
        <v>2030</v>
      </c>
      <c r="I13" s="24">
        <v>0.378</v>
      </c>
      <c r="J13" t="s">
        <v>19</v>
      </c>
    </row>
    <row r="14" spans="5:18" x14ac:dyDescent="0.3">
      <c r="G14" t="s">
        <v>15</v>
      </c>
      <c r="H14">
        <v>2040</v>
      </c>
      <c r="I14" s="24">
        <v>0.26500000000000001</v>
      </c>
      <c r="J14" t="s">
        <v>19</v>
      </c>
    </row>
    <row r="15" spans="5:18" x14ac:dyDescent="0.3">
      <c r="G15" t="s">
        <v>15</v>
      </c>
      <c r="H15">
        <v>2050</v>
      </c>
      <c r="I15" s="24">
        <v>0.222</v>
      </c>
      <c r="J15" t="s">
        <v>19</v>
      </c>
    </row>
    <row r="16" spans="5:18" x14ac:dyDescent="0.3">
      <c r="G16" t="s">
        <v>16</v>
      </c>
      <c r="H16">
        <v>2010</v>
      </c>
      <c r="I16">
        <v>0</v>
      </c>
      <c r="J16" t="s">
        <v>19</v>
      </c>
    </row>
    <row r="17" spans="7:10" x14ac:dyDescent="0.3">
      <c r="G17" t="s">
        <v>16</v>
      </c>
      <c r="H17">
        <v>2020</v>
      </c>
      <c r="I17">
        <v>0</v>
      </c>
      <c r="J17" t="s">
        <v>19</v>
      </c>
    </row>
    <row r="18" spans="7:10" x14ac:dyDescent="0.3">
      <c r="G18" t="s">
        <v>16</v>
      </c>
      <c r="H18">
        <v>2030</v>
      </c>
      <c r="I18">
        <v>0</v>
      </c>
      <c r="J18" t="s">
        <v>19</v>
      </c>
    </row>
    <row r="19" spans="7:10" x14ac:dyDescent="0.3">
      <c r="G19" t="s">
        <v>16</v>
      </c>
      <c r="H19">
        <v>2050</v>
      </c>
      <c r="I19">
        <v>0</v>
      </c>
      <c r="J19" t="s">
        <v>19</v>
      </c>
    </row>
    <row r="20" spans="7:10" x14ac:dyDescent="0.3">
      <c r="G20" t="s">
        <v>18</v>
      </c>
      <c r="H20">
        <v>2010</v>
      </c>
      <c r="I20">
        <f>23/1000</f>
        <v>2.3E-2</v>
      </c>
      <c r="J20" t="s">
        <v>19</v>
      </c>
    </row>
    <row r="21" spans="7:10" x14ac:dyDescent="0.3">
      <c r="G21" t="s">
        <v>18</v>
      </c>
      <c r="H21">
        <v>2020</v>
      </c>
      <c r="I21">
        <f>23/1000</f>
        <v>2.3E-2</v>
      </c>
      <c r="J21" t="s">
        <v>19</v>
      </c>
    </row>
    <row r="22" spans="7:10" x14ac:dyDescent="0.3">
      <c r="G22" t="s">
        <v>18</v>
      </c>
      <c r="H22">
        <v>2030</v>
      </c>
      <c r="I22">
        <f>23/1000</f>
        <v>2.3E-2</v>
      </c>
      <c r="J22" t="s">
        <v>19</v>
      </c>
    </row>
    <row r="23" spans="7:10" x14ac:dyDescent="0.3">
      <c r="G23" t="s">
        <v>18</v>
      </c>
      <c r="H23">
        <v>2050</v>
      </c>
      <c r="I23">
        <f>23/1000</f>
        <v>2.3E-2</v>
      </c>
      <c r="J23" t="s">
        <v>19</v>
      </c>
    </row>
  </sheetData>
  <hyperlinks>
    <hyperlink ref="R6" r:id="rId1" xr:uid="{78B6C9BF-33AF-4CCF-9441-6BA9BFCB1389}"/>
  </hyperlinks>
  <pageMargins left="0.7" right="0.7" top="0.75" bottom="0.75" header="0.3" footer="0.3"/>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6D5BF-9C2C-4250-ABD4-A8FAF6C0BFAF}">
  <dimension ref="I3:M19"/>
  <sheetViews>
    <sheetView tabSelected="1" workbookViewId="0">
      <selection activeCell="L22" sqref="L22"/>
    </sheetView>
  </sheetViews>
  <sheetFormatPr defaultRowHeight="14.4" x14ac:dyDescent="0.3"/>
  <sheetData>
    <row r="3" spans="9:13" x14ac:dyDescent="0.3">
      <c r="I3" s="28" t="s">
        <v>85</v>
      </c>
      <c r="J3" s="28"/>
      <c r="K3" s="28"/>
      <c r="L3" s="28"/>
      <c r="M3" s="29"/>
    </row>
    <row r="4" spans="9:13" ht="15" thickBot="1" x14ac:dyDescent="0.35">
      <c r="I4" s="30" t="s">
        <v>86</v>
      </c>
      <c r="J4" s="30" t="s">
        <v>3</v>
      </c>
      <c r="K4" s="30" t="s">
        <v>87</v>
      </c>
      <c r="L4" s="31" t="s">
        <v>6</v>
      </c>
      <c r="M4" s="32" t="s">
        <v>88</v>
      </c>
    </row>
    <row r="5" spans="9:13" x14ac:dyDescent="0.3">
      <c r="I5" t="s">
        <v>89</v>
      </c>
      <c r="J5" t="s">
        <v>90</v>
      </c>
      <c r="K5">
        <v>2040</v>
      </c>
      <c r="L5" t="s">
        <v>92</v>
      </c>
      <c r="M5" t="s">
        <v>91</v>
      </c>
    </row>
    <row r="6" spans="9:13" x14ac:dyDescent="0.3">
      <c r="I6" s="28" t="s">
        <v>89</v>
      </c>
      <c r="J6" s="28" t="s">
        <v>90</v>
      </c>
      <c r="K6">
        <v>2050</v>
      </c>
      <c r="L6" t="s">
        <v>93</v>
      </c>
      <c r="M6" s="28" t="s">
        <v>91</v>
      </c>
    </row>
    <row r="7" spans="9:13" x14ac:dyDescent="0.3">
      <c r="I7" s="28" t="s">
        <v>89</v>
      </c>
      <c r="J7" s="28" t="s">
        <v>90</v>
      </c>
      <c r="K7">
        <v>2060</v>
      </c>
      <c r="L7" t="s">
        <v>94</v>
      </c>
      <c r="M7" s="28" t="s">
        <v>91</v>
      </c>
    </row>
    <row r="8" spans="9:13" x14ac:dyDescent="0.3">
      <c r="I8" s="28" t="s">
        <v>89</v>
      </c>
      <c r="J8" s="28" t="s">
        <v>90</v>
      </c>
      <c r="K8">
        <v>2070</v>
      </c>
      <c r="L8" t="s">
        <v>96</v>
      </c>
      <c r="M8" s="28" t="s">
        <v>91</v>
      </c>
    </row>
    <row r="9" spans="9:13" x14ac:dyDescent="0.3">
      <c r="I9" s="28" t="s">
        <v>89</v>
      </c>
      <c r="J9" s="28" t="s">
        <v>90</v>
      </c>
      <c r="K9">
        <v>2080</v>
      </c>
      <c r="L9" t="s">
        <v>97</v>
      </c>
      <c r="M9" s="28" t="s">
        <v>91</v>
      </c>
    </row>
    <row r="10" spans="9:13" x14ac:dyDescent="0.3">
      <c r="I10" s="28" t="s">
        <v>89</v>
      </c>
      <c r="J10" s="28" t="s">
        <v>16</v>
      </c>
      <c r="K10" s="28">
        <v>2040</v>
      </c>
      <c r="L10" s="28" t="s">
        <v>92</v>
      </c>
      <c r="M10" s="28" t="s">
        <v>91</v>
      </c>
    </row>
    <row r="11" spans="9:13" x14ac:dyDescent="0.3">
      <c r="I11" s="28" t="s">
        <v>89</v>
      </c>
      <c r="J11" s="28" t="s">
        <v>16</v>
      </c>
      <c r="K11" s="28">
        <v>2050</v>
      </c>
      <c r="L11" s="28" t="s">
        <v>93</v>
      </c>
      <c r="M11" s="28" t="s">
        <v>91</v>
      </c>
    </row>
    <row r="12" spans="9:13" x14ac:dyDescent="0.3">
      <c r="I12" s="28" t="s">
        <v>89</v>
      </c>
      <c r="J12" s="28" t="s">
        <v>16</v>
      </c>
      <c r="K12" s="28">
        <v>2060</v>
      </c>
      <c r="L12" s="28" t="s">
        <v>94</v>
      </c>
      <c r="M12" s="28" t="s">
        <v>91</v>
      </c>
    </row>
    <row r="13" spans="9:13" x14ac:dyDescent="0.3">
      <c r="I13" s="28" t="s">
        <v>89</v>
      </c>
      <c r="J13" s="28" t="s">
        <v>16</v>
      </c>
      <c r="K13" s="28">
        <v>2070</v>
      </c>
      <c r="L13" s="28" t="s">
        <v>96</v>
      </c>
      <c r="M13" s="28" t="s">
        <v>91</v>
      </c>
    </row>
    <row r="14" spans="9:13" x14ac:dyDescent="0.3">
      <c r="I14" s="28" t="s">
        <v>89</v>
      </c>
      <c r="J14" s="28" t="s">
        <v>16</v>
      </c>
      <c r="K14" s="28">
        <v>2080</v>
      </c>
      <c r="L14" s="28" t="s">
        <v>97</v>
      </c>
      <c r="M14" s="28" t="s">
        <v>91</v>
      </c>
    </row>
    <row r="15" spans="9:13" x14ac:dyDescent="0.3">
      <c r="I15" s="28" t="s">
        <v>89</v>
      </c>
      <c r="J15" s="28" t="s">
        <v>18</v>
      </c>
      <c r="K15" s="28">
        <v>2040</v>
      </c>
      <c r="L15" s="28" t="s">
        <v>92</v>
      </c>
      <c r="M15" s="28" t="s">
        <v>91</v>
      </c>
    </row>
    <row r="16" spans="9:13" x14ac:dyDescent="0.3">
      <c r="I16" s="28" t="s">
        <v>89</v>
      </c>
      <c r="J16" s="28" t="s">
        <v>18</v>
      </c>
      <c r="K16" s="28">
        <v>2050</v>
      </c>
      <c r="L16" s="28" t="s">
        <v>93</v>
      </c>
      <c r="M16" s="28" t="s">
        <v>91</v>
      </c>
    </row>
    <row r="17" spans="9:13" x14ac:dyDescent="0.3">
      <c r="I17" s="28" t="s">
        <v>89</v>
      </c>
      <c r="J17" s="28" t="s">
        <v>18</v>
      </c>
      <c r="K17" s="28">
        <v>2060</v>
      </c>
      <c r="L17" s="28" t="s">
        <v>94</v>
      </c>
      <c r="M17" s="28" t="s">
        <v>91</v>
      </c>
    </row>
    <row r="18" spans="9:13" x14ac:dyDescent="0.3">
      <c r="I18" s="28" t="s">
        <v>89</v>
      </c>
      <c r="J18" s="28" t="s">
        <v>18</v>
      </c>
      <c r="K18" s="28">
        <v>2070</v>
      </c>
      <c r="L18" s="28" t="s">
        <v>96</v>
      </c>
      <c r="M18" s="28" t="s">
        <v>91</v>
      </c>
    </row>
    <row r="19" spans="9:13" x14ac:dyDescent="0.3">
      <c r="I19" s="28" t="s">
        <v>89</v>
      </c>
      <c r="J19" s="28" t="s">
        <v>18</v>
      </c>
      <c r="K19" s="28">
        <v>2080</v>
      </c>
      <c r="L19" s="28" t="s">
        <v>97</v>
      </c>
      <c r="M19" s="28"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Costs from JRC EU TIMES </vt:lpstr>
      <vt:lpstr>Other</vt:lpstr>
      <vt:lpstr>Test</vt:lpstr>
    </vt:vector>
  </TitlesOfParts>
  <Company>KanORS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Mahmoud Mobir</cp:lastModifiedBy>
  <dcterms:created xsi:type="dcterms:W3CDTF">2009-05-27T15:40:55Z</dcterms:created>
  <dcterms:modified xsi:type="dcterms:W3CDTF">2022-01-04T15:30:21Z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997112452983856</vt:r8>
  </property>
</Properties>
</file>