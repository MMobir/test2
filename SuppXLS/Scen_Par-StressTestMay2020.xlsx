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0D97E82C-D009-45B6-B2DC-E9ED1EAB2953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forScenList" sheetId="13" r:id="rId1"/>
    <sheet name="controller" sheetId="11" r:id="rId2"/>
    <sheet name="Nuc_O-M" sheetId="16" r:id="rId3"/>
    <sheet name="Storage" sheetId="15" r:id="rId4"/>
    <sheet name="REGridCost" sheetId="14" r:id="rId5"/>
    <sheet name="CO2Price" sheetId="12" r:id="rId6"/>
    <sheet name="GasPrice" sheetId="10" r:id="rId7"/>
    <sheet name="RECost" sheetId="2" r:id="rId8"/>
    <sheet name="NEMS learning" sheetId="8" r:id="rId9"/>
    <sheet name="Sheet9" sheetId="9" r:id="rId10"/>
  </sheets>
  <definedNames>
    <definedName name="_xlnm._FilterDatabase" localSheetId="1" hidden="1">controller!$B$8:$L$153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1" l="1"/>
  <c r="B11" i="11" s="1"/>
  <c r="B12" i="11" s="1"/>
  <c r="B13" i="11" s="1"/>
  <c r="B14" i="11" s="1"/>
  <c r="B15" i="11" s="1"/>
  <c r="B16" i="11" s="1"/>
  <c r="B17" i="11" s="1"/>
  <c r="C12" i="11"/>
  <c r="C15" i="11" s="1"/>
  <c r="C18" i="11" s="1"/>
  <c r="C21" i="11" s="1"/>
  <c r="C24" i="11" s="1"/>
  <c r="C27" i="11" s="1"/>
  <c r="C30" i="11" s="1"/>
  <c r="C33" i="11" s="1"/>
  <c r="C36" i="11" s="1"/>
  <c r="C39" i="11" s="1"/>
  <c r="C42" i="11" s="1"/>
  <c r="C45" i="11" s="1"/>
  <c r="C48" i="11" s="1"/>
  <c r="C51" i="11" s="1"/>
  <c r="C54" i="11" s="1"/>
  <c r="C57" i="11" s="1"/>
  <c r="C60" i="11" s="1"/>
  <c r="C63" i="11" s="1"/>
  <c r="C66" i="11" s="1"/>
  <c r="C69" i="11" s="1"/>
  <c r="C72" i="11" s="1"/>
  <c r="C75" i="11" s="1"/>
  <c r="C78" i="11" s="1"/>
  <c r="C81" i="11" s="1"/>
  <c r="C84" i="11" s="1"/>
  <c r="C87" i="11" s="1"/>
  <c r="C90" i="11" s="1"/>
  <c r="C93" i="11" s="1"/>
  <c r="C96" i="11" s="1"/>
  <c r="C99" i="11" s="1"/>
  <c r="C102" i="11" s="1"/>
  <c r="C105" i="11" s="1"/>
  <c r="C108" i="11" s="1"/>
  <c r="C111" i="11" s="1"/>
  <c r="C114" i="11" s="1"/>
  <c r="C13" i="11"/>
  <c r="C16" i="11" s="1"/>
  <c r="C19" i="11" s="1"/>
  <c r="C22" i="11" s="1"/>
  <c r="C25" i="11" s="1"/>
  <c r="C28" i="11" s="1"/>
  <c r="C31" i="11" s="1"/>
  <c r="C34" i="11" s="1"/>
  <c r="C37" i="11" s="1"/>
  <c r="C40" i="11" s="1"/>
  <c r="C43" i="11" s="1"/>
  <c r="C46" i="11" s="1"/>
  <c r="C49" i="11" s="1"/>
  <c r="C52" i="11" s="1"/>
  <c r="C55" i="11" s="1"/>
  <c r="C58" i="11" s="1"/>
  <c r="C61" i="11" s="1"/>
  <c r="C64" i="11" s="1"/>
  <c r="C67" i="11" s="1"/>
  <c r="C70" i="11" s="1"/>
  <c r="C73" i="11" s="1"/>
  <c r="C76" i="11" s="1"/>
  <c r="C79" i="11" s="1"/>
  <c r="C82" i="11" s="1"/>
  <c r="C85" i="11" s="1"/>
  <c r="C88" i="11" s="1"/>
  <c r="C91" i="11" s="1"/>
  <c r="C94" i="11" s="1"/>
  <c r="C97" i="11" s="1"/>
  <c r="C100" i="11" s="1"/>
  <c r="C103" i="11" s="1"/>
  <c r="C106" i="11" s="1"/>
  <c r="C109" i="11" s="1"/>
  <c r="C112" i="11" s="1"/>
  <c r="C115" i="11" s="1"/>
  <c r="C14" i="11"/>
  <c r="C17" i="11" s="1"/>
  <c r="C20" i="11" s="1"/>
  <c r="C23" i="11" s="1"/>
  <c r="C26" i="11" s="1"/>
  <c r="C29" i="11" s="1"/>
  <c r="C32" i="11" s="1"/>
  <c r="C35" i="11" s="1"/>
  <c r="C38" i="11" s="1"/>
  <c r="C41" i="11" s="1"/>
  <c r="C44" i="11" s="1"/>
  <c r="C47" i="11" s="1"/>
  <c r="C50" i="11" s="1"/>
  <c r="C53" i="11" s="1"/>
  <c r="C56" i="11" s="1"/>
  <c r="C59" i="11" s="1"/>
  <c r="C62" i="11" s="1"/>
  <c r="C65" i="11" s="1"/>
  <c r="C68" i="11" s="1"/>
  <c r="C71" i="11" s="1"/>
  <c r="C74" i="11" s="1"/>
  <c r="C77" i="11" s="1"/>
  <c r="C80" i="11" s="1"/>
  <c r="C83" i="11" s="1"/>
  <c r="C86" i="11" s="1"/>
  <c r="C89" i="11" s="1"/>
  <c r="C92" i="11" s="1"/>
  <c r="C95" i="11" s="1"/>
  <c r="C98" i="11" s="1"/>
  <c r="C101" i="11" s="1"/>
  <c r="C104" i="11" s="1"/>
  <c r="C107" i="11" s="1"/>
  <c r="C110" i="11" s="1"/>
  <c r="C113" i="11" s="1"/>
  <c r="C116" i="11" s="1"/>
  <c r="D21" i="11"/>
  <c r="D33" i="11" s="1"/>
  <c r="D45" i="11" s="1"/>
  <c r="D57" i="11" s="1"/>
  <c r="D69" i="11" s="1"/>
  <c r="D81" i="11" s="1"/>
  <c r="D93" i="11" s="1"/>
  <c r="D105" i="11" s="1"/>
  <c r="D22" i="11"/>
  <c r="D23" i="11"/>
  <c r="D35" i="11" s="1"/>
  <c r="D47" i="11" s="1"/>
  <c r="D59" i="11" s="1"/>
  <c r="D71" i="11" s="1"/>
  <c r="D83" i="11" s="1"/>
  <c r="D95" i="11" s="1"/>
  <c r="D107" i="11" s="1"/>
  <c r="D24" i="11"/>
  <c r="D36" i="11" s="1"/>
  <c r="D48" i="11" s="1"/>
  <c r="D60" i="11" s="1"/>
  <c r="D72" i="11" s="1"/>
  <c r="D84" i="11" s="1"/>
  <c r="D96" i="11" s="1"/>
  <c r="D108" i="11" s="1"/>
  <c r="D25" i="11"/>
  <c r="D37" i="11" s="1"/>
  <c r="D49" i="11" s="1"/>
  <c r="D61" i="11" s="1"/>
  <c r="D73" i="11" s="1"/>
  <c r="D85" i="11" s="1"/>
  <c r="D97" i="11" s="1"/>
  <c r="D109" i="11" s="1"/>
  <c r="D26" i="11"/>
  <c r="D38" i="11" s="1"/>
  <c r="D50" i="11" s="1"/>
  <c r="D62" i="11" s="1"/>
  <c r="D74" i="11" s="1"/>
  <c r="D86" i="11" s="1"/>
  <c r="D98" i="11" s="1"/>
  <c r="D110" i="11" s="1"/>
  <c r="D27" i="11"/>
  <c r="D39" i="11" s="1"/>
  <c r="D51" i="11" s="1"/>
  <c r="D63" i="11" s="1"/>
  <c r="D75" i="11" s="1"/>
  <c r="D87" i="11" s="1"/>
  <c r="D99" i="11" s="1"/>
  <c r="D111" i="11" s="1"/>
  <c r="D28" i="11"/>
  <c r="D29" i="11"/>
  <c r="D41" i="11" s="1"/>
  <c r="D53" i="11" s="1"/>
  <c r="D65" i="11" s="1"/>
  <c r="D77" i="11" s="1"/>
  <c r="D89" i="11" s="1"/>
  <c r="D101" i="11" s="1"/>
  <c r="D113" i="11" s="1"/>
  <c r="D30" i="11"/>
  <c r="D31" i="11"/>
  <c r="D32" i="11"/>
  <c r="D44" i="11" s="1"/>
  <c r="D56" i="11" s="1"/>
  <c r="D68" i="11" s="1"/>
  <c r="D80" i="11" s="1"/>
  <c r="D92" i="11" s="1"/>
  <c r="D104" i="11" s="1"/>
  <c r="D116" i="11" s="1"/>
  <c r="D34" i="11"/>
  <c r="D46" i="11" s="1"/>
  <c r="D58" i="11" s="1"/>
  <c r="D70" i="11" s="1"/>
  <c r="D82" i="11" s="1"/>
  <c r="D94" i="11" s="1"/>
  <c r="D106" i="11" s="1"/>
  <c r="D40" i="11"/>
  <c r="D52" i="11" s="1"/>
  <c r="D64" i="11" s="1"/>
  <c r="D76" i="11" s="1"/>
  <c r="D88" i="11" s="1"/>
  <c r="D100" i="11" s="1"/>
  <c r="D112" i="11" s="1"/>
  <c r="D42" i="11"/>
  <c r="D54" i="11" s="1"/>
  <c r="D66" i="11" s="1"/>
  <c r="D78" i="11" s="1"/>
  <c r="D90" i="11" s="1"/>
  <c r="D102" i="11" s="1"/>
  <c r="D114" i="11" s="1"/>
  <c r="D43" i="11"/>
  <c r="D55" i="11" s="1"/>
  <c r="D67" i="11" s="1"/>
  <c r="D79" i="11" s="1"/>
  <c r="D91" i="11" s="1"/>
  <c r="D103" i="11" s="1"/>
  <c r="D115" i="11" s="1"/>
  <c r="E45" i="11"/>
  <c r="E81" i="11" s="1"/>
  <c r="E46" i="11"/>
  <c r="E82" i="11" s="1"/>
  <c r="E47" i="11"/>
  <c r="E83" i="11" s="1"/>
  <c r="E48" i="11"/>
  <c r="E84" i="11" s="1"/>
  <c r="E49" i="11"/>
  <c r="E85" i="11" s="1"/>
  <c r="E50" i="11"/>
  <c r="E86" i="11" s="1"/>
  <c r="E51" i="11"/>
  <c r="E87" i="11" s="1"/>
  <c r="E52" i="11"/>
  <c r="E88" i="11" s="1"/>
  <c r="E53" i="11"/>
  <c r="E89" i="11" s="1"/>
  <c r="E54" i="11"/>
  <c r="E55" i="11"/>
  <c r="E91" i="11" s="1"/>
  <c r="E56" i="11"/>
  <c r="E92" i="11" s="1"/>
  <c r="E57" i="11"/>
  <c r="E93" i="11" s="1"/>
  <c r="E58" i="11"/>
  <c r="E94" i="11" s="1"/>
  <c r="E59" i="11"/>
  <c r="E95" i="11" s="1"/>
  <c r="E60" i="11"/>
  <c r="E61" i="11"/>
  <c r="E97" i="11" s="1"/>
  <c r="E62" i="11"/>
  <c r="E98" i="11" s="1"/>
  <c r="E63" i="11"/>
  <c r="E99" i="11" s="1"/>
  <c r="E64" i="11"/>
  <c r="E100" i="11" s="1"/>
  <c r="E65" i="11"/>
  <c r="E101" i="11" s="1"/>
  <c r="E66" i="11"/>
  <c r="E102" i="11" s="1"/>
  <c r="E67" i="11"/>
  <c r="E103" i="11" s="1"/>
  <c r="E68" i="11"/>
  <c r="E104" i="11" s="1"/>
  <c r="E69" i="11"/>
  <c r="E105" i="11" s="1"/>
  <c r="E70" i="11"/>
  <c r="E106" i="11" s="1"/>
  <c r="E71" i="11"/>
  <c r="E107" i="11" s="1"/>
  <c r="E72" i="11"/>
  <c r="E108" i="11" s="1"/>
  <c r="E73" i="11"/>
  <c r="E109" i="11" s="1"/>
  <c r="E74" i="11"/>
  <c r="E110" i="11" s="1"/>
  <c r="E75" i="11"/>
  <c r="E111" i="11" s="1"/>
  <c r="E76" i="11"/>
  <c r="E112" i="11" s="1"/>
  <c r="E77" i="11"/>
  <c r="E113" i="11" s="1"/>
  <c r="E78" i="11"/>
  <c r="E114" i="11" s="1"/>
  <c r="E79" i="11"/>
  <c r="E115" i="11" s="1"/>
  <c r="E80" i="11"/>
  <c r="E116" i="11" s="1"/>
  <c r="E90" i="11"/>
  <c r="E96" i="11"/>
  <c r="B1" i="13"/>
  <c r="B2" i="13" s="1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M7" i="12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L7" i="12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K7" i="12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L25" i="2"/>
  <c r="L26" i="2" s="1"/>
  <c r="L27" i="2" s="1"/>
  <c r="L28" i="2"/>
  <c r="L29" i="2" s="1"/>
  <c r="L30" i="2" s="1"/>
  <c r="L31" i="2" s="1"/>
  <c r="L32" i="2"/>
  <c r="L33" i="2" s="1"/>
  <c r="L34" i="2" s="1"/>
  <c r="D5" i="2"/>
  <c r="D6" i="2"/>
  <c r="D4" i="2"/>
  <c r="C12" i="2"/>
  <c r="D12" i="2" s="1"/>
  <c r="C13" i="2"/>
  <c r="C21" i="2" s="1"/>
  <c r="C14" i="2"/>
  <c r="H12" i="2"/>
  <c r="H20" i="2" s="1"/>
  <c r="E20" i="2" s="1"/>
  <c r="H13" i="2"/>
  <c r="E13" i="2" s="1"/>
  <c r="H21" i="2"/>
  <c r="E21" i="2" s="1"/>
  <c r="H14" i="2"/>
  <c r="H22" i="2" s="1"/>
  <c r="E22" i="2" s="1"/>
  <c r="H15" i="2"/>
  <c r="E15" i="2" s="1"/>
  <c r="H23" i="2"/>
  <c r="E23" i="2" s="1"/>
  <c r="H16" i="2"/>
  <c r="H24" i="2" s="1"/>
  <c r="E24" i="2" s="1"/>
  <c r="H17" i="2"/>
  <c r="E17" i="2" s="1"/>
  <c r="H18" i="2"/>
  <c r="E18" i="2" s="1"/>
  <c r="H19" i="2"/>
  <c r="E19" i="2" s="1"/>
  <c r="C7" i="2"/>
  <c r="D7" i="2" s="1"/>
  <c r="E4" i="2"/>
  <c r="E5" i="2"/>
  <c r="E6" i="2"/>
  <c r="E7" i="2"/>
  <c r="E8" i="2"/>
  <c r="E10" i="2"/>
  <c r="E11" i="2"/>
  <c r="E9" i="2"/>
  <c r="L16" i="2"/>
  <c r="L15" i="2"/>
  <c r="C8" i="2"/>
  <c r="D8" i="2" s="1"/>
  <c r="C15" i="2"/>
  <c r="C9" i="2"/>
  <c r="D9" i="2" s="1"/>
  <c r="C16" i="2"/>
  <c r="C10" i="2"/>
  <c r="H25" i="2" l="1"/>
  <c r="E25" i="2" s="1"/>
  <c r="E16" i="2"/>
  <c r="E14" i="2"/>
  <c r="C20" i="2"/>
  <c r="D20" i="2" s="1"/>
  <c r="D13" i="2"/>
  <c r="H27" i="2"/>
  <c r="E27" i="2" s="1"/>
  <c r="C11" i="2"/>
  <c r="D10" i="2"/>
  <c r="C18" i="2"/>
  <c r="C22" i="2"/>
  <c r="D22" i="2" s="1"/>
  <c r="D14" i="2"/>
  <c r="C24" i="2"/>
  <c r="D24" i="2" s="1"/>
  <c r="D16" i="2"/>
  <c r="C23" i="2"/>
  <c r="D23" i="2" s="1"/>
  <c r="D15" i="2"/>
  <c r="D21" i="2"/>
  <c r="H26" i="2"/>
  <c r="E26" i="2" s="1"/>
  <c r="E12" i="2"/>
  <c r="C17" i="2"/>
  <c r="B18" i="11"/>
  <c r="D11" i="2" l="1"/>
  <c r="C19" i="2"/>
  <c r="D17" i="2"/>
  <c r="C25" i="2"/>
  <c r="D25" i="2" s="1"/>
  <c r="C26" i="2"/>
  <c r="D26" i="2" s="1"/>
  <c r="D18" i="2"/>
  <c r="B19" i="11"/>
  <c r="B20" i="11" l="1"/>
  <c r="D19" i="2"/>
  <c r="C27" i="2"/>
  <c r="D27" i="2" s="1"/>
  <c r="B21" i="11" l="1"/>
  <c r="B22" i="11" l="1"/>
  <c r="B23" i="11" l="1"/>
  <c r="B24" i="11" l="1"/>
  <c r="B25" i="11" l="1"/>
  <c r="B26" i="11" l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F7" i="11" l="1"/>
  <c r="A1" i="2" s="1"/>
  <c r="E7" i="11"/>
  <c r="A1" i="14" s="1"/>
  <c r="H7" i="11"/>
  <c r="A1" i="16" s="1"/>
  <c r="D4" i="16" s="1"/>
  <c r="C7" i="11"/>
  <c r="A1" i="10" s="1"/>
  <c r="G7" i="11"/>
  <c r="A1" i="15" s="1"/>
  <c r="D4" i="15" s="1"/>
  <c r="D7" i="11"/>
  <c r="A1" i="12" s="1"/>
  <c r="F8" i="12" l="1"/>
  <c r="F16" i="12"/>
  <c r="F24" i="12"/>
  <c r="F32" i="12"/>
  <c r="F17" i="12"/>
  <c r="F25" i="12"/>
  <c r="F35" i="12"/>
  <c r="F20" i="12"/>
  <c r="F36" i="12"/>
  <c r="F21" i="12"/>
  <c r="F14" i="12"/>
  <c r="F7" i="12"/>
  <c r="F23" i="12"/>
  <c r="F9" i="12"/>
  <c r="F33" i="12"/>
  <c r="F29" i="12"/>
  <c r="F22" i="12"/>
  <c r="F31" i="12"/>
  <c r="F10" i="12"/>
  <c r="F18" i="12"/>
  <c r="F26" i="12"/>
  <c r="F34" i="12"/>
  <c r="F11" i="12"/>
  <c r="F27" i="12"/>
  <c r="F12" i="12"/>
  <c r="F28" i="12"/>
  <c r="F13" i="12"/>
  <c r="F6" i="12"/>
  <c r="F30" i="12"/>
  <c r="F15" i="12"/>
  <c r="F19" i="12"/>
  <c r="G6" i="10"/>
  <c r="G14" i="10"/>
  <c r="G22" i="10"/>
  <c r="G30" i="10"/>
  <c r="G5" i="10"/>
  <c r="G7" i="10"/>
  <c r="G15" i="10"/>
  <c r="G23" i="10"/>
  <c r="G31" i="10"/>
  <c r="G8" i="10"/>
  <c r="G16" i="10"/>
  <c r="G24" i="10"/>
  <c r="G32" i="10"/>
  <c r="G19" i="10"/>
  <c r="G20" i="10"/>
  <c r="G36" i="10"/>
  <c r="G37" i="10"/>
  <c r="G9" i="10"/>
  <c r="G17" i="10"/>
  <c r="G25" i="10"/>
  <c r="G33" i="10"/>
  <c r="G27" i="10"/>
  <c r="G12" i="10"/>
  <c r="G21" i="10"/>
  <c r="G10" i="10"/>
  <c r="G18" i="10"/>
  <c r="G26" i="10"/>
  <c r="G34" i="10"/>
  <c r="G11" i="10"/>
  <c r="G35" i="10"/>
  <c r="G28" i="10"/>
  <c r="G13" i="10"/>
  <c r="G29" i="10"/>
  <c r="J2" i="10"/>
  <c r="C3" i="10"/>
  <c r="E7" i="14"/>
  <c r="C5" i="14"/>
  <c r="R2" i="2"/>
  <c r="N2" i="2"/>
  <c r="C31" i="2" l="1"/>
  <c r="G4" i="2" l="1"/>
  <c r="N4" i="2" s="1"/>
  <c r="U4" i="2" s="1"/>
  <c r="G12" i="2"/>
  <c r="N12" i="2" s="1"/>
  <c r="U12" i="2" s="1"/>
  <c r="G8" i="2"/>
  <c r="G24" i="2"/>
  <c r="G25" i="2"/>
  <c r="G20" i="2"/>
  <c r="N20" i="2" s="1"/>
  <c r="U20" i="2" s="1"/>
  <c r="G5" i="2"/>
  <c r="N5" i="2" s="1"/>
  <c r="U5" i="2" s="1"/>
  <c r="G21" i="2"/>
  <c r="N21" i="2" s="1"/>
  <c r="U21" i="2" s="1"/>
  <c r="G23" i="2"/>
  <c r="G9" i="2"/>
  <c r="G19" i="2"/>
  <c r="G27" i="2"/>
  <c r="G13" i="2"/>
  <c r="N13" i="2" s="1"/>
  <c r="U13" i="2" s="1"/>
  <c r="G15" i="2"/>
  <c r="G6" i="2"/>
  <c r="G16" i="2"/>
  <c r="G11" i="2"/>
  <c r="G22" i="2"/>
  <c r="G17" i="2"/>
  <c r="G18" i="2"/>
  <c r="G7" i="2"/>
  <c r="G10" i="2"/>
  <c r="G26" i="2"/>
  <c r="G14" i="2"/>
  <c r="N14" i="2" l="1"/>
  <c r="U14" i="2" s="1"/>
  <c r="N22" i="2"/>
  <c r="U22" i="2" s="1"/>
  <c r="N6" i="2"/>
  <c r="U6" i="2" s="1"/>
  <c r="N15" i="2"/>
  <c r="U15" i="2" s="1"/>
  <c r="N23" i="2"/>
  <c r="U23" i="2" s="1"/>
  <c r="N24" i="2"/>
  <c r="U24" i="2" s="1"/>
  <c r="N25" i="2"/>
  <c r="U25" i="2" s="1"/>
  <c r="N7" i="2" l="1"/>
  <c r="N26" i="2"/>
  <c r="N16" i="2"/>
  <c r="U16" i="2" l="1"/>
  <c r="N17" i="2"/>
  <c r="U26" i="2"/>
  <c r="N27" i="2"/>
  <c r="U27" i="2" s="1"/>
  <c r="U7" i="2"/>
  <c r="N8" i="2"/>
  <c r="U8" i="2" l="1"/>
  <c r="N9" i="2"/>
  <c r="U17" i="2"/>
  <c r="N18" i="2"/>
  <c r="U18" i="2" l="1"/>
  <c r="N19" i="2"/>
  <c r="U19" i="2" s="1"/>
  <c r="U9" i="2"/>
  <c r="N10" i="2"/>
  <c r="U10" i="2" l="1"/>
  <c r="N11" i="2"/>
  <c r="U11" i="2" s="1"/>
</calcChain>
</file>

<file path=xl/sharedStrings.xml><?xml version="1.0" encoding="utf-8"?>
<sst xmlns="http://schemas.openxmlformats.org/spreadsheetml/2006/main" count="1015" uniqueCount="147">
  <si>
    <t>Attribute</t>
  </si>
  <si>
    <t>AllRegions</t>
  </si>
  <si>
    <t>Year2</t>
  </si>
  <si>
    <t>INVCOST</t>
  </si>
  <si>
    <t>SourceScen</t>
  </si>
  <si>
    <t>BaseExtra</t>
  </si>
  <si>
    <t>Solar-EIA-c</t>
  </si>
  <si>
    <t>Online Year</t>
  </si>
  <si>
    <t>Coal with 30% CCS</t>
  </si>
  <si>
    <t>Coal with 90% CCS</t>
  </si>
  <si>
    <t>Comb. Turb</t>
  </si>
  <si>
    <t>Adv. CT</t>
  </si>
  <si>
    <t>Comb. Cyc</t>
  </si>
  <si>
    <t>Adv CC</t>
  </si>
  <si>
    <t>Adv CC w/seq</t>
  </si>
  <si>
    <t>Fuel Cell</t>
  </si>
  <si>
    <t>Nuclear</t>
  </si>
  <si>
    <t>Biomass</t>
  </si>
  <si>
    <t>Geothermal</t>
  </si>
  <si>
    <t>Landfill Gas</t>
  </si>
  <si>
    <t>Hydro</t>
  </si>
  <si>
    <t>Battery Storage</t>
  </si>
  <si>
    <t>Wind</t>
  </si>
  <si>
    <t>Offshore Wind</t>
  </si>
  <si>
    <t>Solar Thermal</t>
  </si>
  <si>
    <t>Solar PV - tracking</t>
  </si>
  <si>
    <t>Solar PV - fixed tilt</t>
  </si>
  <si>
    <t>Dist. Gen Base</t>
  </si>
  <si>
    <t>Dist Gen Peak</t>
  </si>
  <si>
    <t>EN_COAPUL</t>
  </si>
  <si>
    <t>EN_COAIGCC</t>
  </si>
  <si>
    <t>EN_ZCOAIGCC</t>
  </si>
  <si>
    <t>EN_ZGasCCAdv</t>
  </si>
  <si>
    <t>EN_GasCCAdv</t>
  </si>
  <si>
    <t>EN_GasCC</t>
  </si>
  <si>
    <t>EN_GasCTAdv</t>
  </si>
  <si>
    <t>EN_GasCT</t>
  </si>
  <si>
    <t>EN_Biomass</t>
  </si>
  <si>
    <t>EN_ZBiomass</t>
  </si>
  <si>
    <t>EN_OilCCAdv</t>
  </si>
  <si>
    <t>E_WON*</t>
  </si>
  <si>
    <t>E_WOF*</t>
  </si>
  <si>
    <t>E_SPV*</t>
  </si>
  <si>
    <t>PSET_PN</t>
  </si>
  <si>
    <t>EN_Hydro*</t>
  </si>
  <si>
    <t>Run #</t>
  </si>
  <si>
    <t>reduction by 2050 (in add'n to NEMS learning) 0 = default cost reduction (NEMS learning); 1 = frozen cost</t>
  </si>
  <si>
    <t>Lo</t>
  </si>
  <si>
    <t>ACT_COST</t>
  </si>
  <si>
    <t>MinGas*</t>
  </si>
  <si>
    <t>Year</t>
  </si>
  <si>
    <t>Hi</t>
  </si>
  <si>
    <t>Ref</t>
  </si>
  <si>
    <t>GasPrice</t>
  </si>
  <si>
    <t>CO2Price</t>
  </si>
  <si>
    <t>Med</t>
  </si>
  <si>
    <t>REGridCost</t>
  </si>
  <si>
    <t>CSET_CN</t>
  </si>
  <si>
    <t>COM_TAXNET</t>
  </si>
  <si>
    <t>ELCCO2Net</t>
  </si>
  <si>
    <t>start</t>
  </si>
  <si>
    <t>growth</t>
  </si>
  <si>
    <t>RECost</t>
  </si>
  <si>
    <t>~TFM_INS</t>
  </si>
  <si>
    <t>Base</t>
  </si>
  <si>
    <t>NatGrdExt*</t>
  </si>
  <si>
    <t>stg sensitivity</t>
  </si>
  <si>
    <t>nuc sensitivity</t>
  </si>
  <si>
    <t>Storage</t>
  </si>
  <si>
    <t>Nuc_O-M</t>
  </si>
  <si>
    <t>Yes</t>
  </si>
  <si>
    <t>No</t>
  </si>
  <si>
    <t>START</t>
  </si>
  <si>
    <t>EN_Stg*</t>
  </si>
  <si>
    <t>*1.2</t>
  </si>
  <si>
    <t>EN_Nuclear*</t>
  </si>
  <si>
    <t>FIXOM</t>
  </si>
  <si>
    <t>*1</t>
  </si>
  <si>
    <t>*1.17520089486453</t>
  </si>
  <si>
    <t>*1.11353129901131</t>
  </si>
  <si>
    <t>*0.723768671513585</t>
  </si>
  <si>
    <t>*0.667282868775325</t>
  </si>
  <si>
    <t>*0.677341072852966</t>
  </si>
  <si>
    <t>*0.685076397749664</t>
  </si>
  <si>
    <t>*0.723537825547089</t>
  </si>
  <si>
    <t>*0.752050719229276</t>
  </si>
  <si>
    <t>*0.79483054311137</t>
  </si>
  <si>
    <t>*0.814884778912248</t>
  </si>
  <si>
    <t>*0.81816234674846</t>
  </si>
  <si>
    <t>*0.827726894497462</t>
  </si>
  <si>
    <t>*0.832773500880391</t>
  </si>
  <si>
    <t>*0.819160631816951</t>
  </si>
  <si>
    <t>*0.8453201045679</t>
  </si>
  <si>
    <t>*0.847012828318711</t>
  </si>
  <si>
    <t>*0.848437096514626</t>
  </si>
  <si>
    <t>*0.844172539308103</t>
  </si>
  <si>
    <t>*0.839259692735875</t>
  </si>
  <si>
    <t>*0.839562296298786</t>
  </si>
  <si>
    <t>*0.84526310369353</t>
  </si>
  <si>
    <t>*0.835208639972468</t>
  </si>
  <si>
    <t>*0.834932582193331</t>
  </si>
  <si>
    <t>*0.832113247338162</t>
  </si>
  <si>
    <t>*0.832850508136456</t>
  </si>
  <si>
    <t>*0.842226931591444</t>
  </si>
  <si>
    <t>*0.812537982409902</t>
  </si>
  <si>
    <t>*0.817092002488588</t>
  </si>
  <si>
    <t>*0.809108823271049</t>
  </si>
  <si>
    <t>*0.797858211680652</t>
  </si>
  <si>
    <t>*0.785114490936803</t>
  </si>
  <si>
    <t>*0.771747440222102</t>
  </si>
  <si>
    <t>*0.754176380589704</t>
  </si>
  <si>
    <t>*0.95405973473104</t>
  </si>
  <si>
    <t>*0.965824749104333</t>
  </si>
  <si>
    <t>*1.42621699435605</t>
  </si>
  <si>
    <t>*1.44714120110334</t>
  </si>
  <si>
    <t>*1.51010788562888</t>
  </si>
  <si>
    <t>*1.58415882759654</t>
  </si>
  <si>
    <t>*1.60288395688783</t>
  </si>
  <si>
    <t>*1.60208734544499</t>
  </si>
  <si>
    <t>*1.55444925632777</t>
  </si>
  <si>
    <t>*1.49773737793382</t>
  </si>
  <si>
    <t>*1.45660272564172</t>
  </si>
  <si>
    <t>*1.41460460380904</t>
  </si>
  <si>
    <t>*1.36790852696526</t>
  </si>
  <si>
    <t>*1.32721505196477</t>
  </si>
  <si>
    <t>*1.26213081025743</t>
  </si>
  <si>
    <t>*1.21902314813471</t>
  </si>
  <si>
    <t>*1.17728843470502</t>
  </si>
  <si>
    <t>*1.14350460082343</t>
  </si>
  <si>
    <t>*1.12315878998893</t>
  </si>
  <si>
    <t>*1.11701389805454</t>
  </si>
  <si>
    <t>*1.10218767501199</t>
  </si>
  <si>
    <t>*1.09572046138954</t>
  </si>
  <si>
    <t>*1.09528004137033</t>
  </si>
  <si>
    <t>*1.11061746808653</t>
  </si>
  <si>
    <t>*1.11271499525458</t>
  </si>
  <si>
    <t>*1.11320462013965</t>
  </si>
  <si>
    <t>*1.11696836410708</t>
  </si>
  <si>
    <t>*1.11505924506397</t>
  </si>
  <si>
    <t>*1.10960694385015</t>
  </si>
  <si>
    <t>*1.10395305584941</t>
  </si>
  <si>
    <t>*1.09846262374728</t>
  </si>
  <si>
    <t>*1.09231257134127</t>
  </si>
  <si>
    <t>*1.08599277939943</t>
  </si>
  <si>
    <t>LOGS</t>
  </si>
  <si>
    <t>HOGS</t>
  </si>
  <si>
    <t>~InputCell: 1,51,54,57,60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</si>
</sst>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9">
    <xf numFmtId="0" fontId="0" fillId="0" borderId="0"/>
    <xf numFmtId="0" fontId="6" fillId="4" borderId="0" applyNumberFormat="0" applyBorder="0" applyAlignment="0" applyProtection="0"/>
    <xf numFmtId="0" fontId="4" fillId="0" borderId="0"/>
    <xf numFmtId="0" fontId="5" fillId="0" borderId="0"/>
    <xf numFmtId="0" fontId="2" fillId="0" borderId="0"/>
    <xf numFmtId="0" fontId="7" fillId="5" borderId="0" applyNumberFormat="0" applyBorder="0" applyAlignment="0" applyProtection="0"/>
    <xf numFmtId="0" fontId="8" fillId="6" borderId="3" applyNumberFormat="0" applyAlignment="0" applyProtection="0"/>
    <xf numFmtId="9" fontId="11" fillId="0" borderId="0" applyFont="0" applyFill="0" applyBorder="0" applyAlignment="0" applyProtection="0"/>
    <xf numFmtId="0" fontId="12" fillId="0" borderId="10" applyNumberFormat="0" applyFill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3" fillId="2" borderId="2" xfId="0" applyFont="1" applyFill="1" applyBorder="1"/>
    <xf numFmtId="0" fontId="3" fillId="3" borderId="2" xfId="0" applyFont="1" applyFill="1" applyBorder="1"/>
    <xf numFmtId="0" fontId="4" fillId="2" borderId="2" xfId="0" applyFont="1" applyFill="1" applyBorder="1"/>
    <xf numFmtId="0" fontId="0" fillId="0" borderId="0" xfId="0" applyAlignment="1">
      <alignment wrapText="1"/>
    </xf>
    <xf numFmtId="0" fontId="1" fillId="0" borderId="1" xfId="3" applyFont="1" applyBorder="1" applyAlignment="1">
      <alignment horizontal="right" wrapText="1"/>
    </xf>
    <xf numFmtId="164" fontId="1" fillId="0" borderId="1" xfId="3" applyNumberFormat="1" applyFont="1" applyBorder="1" applyAlignment="1">
      <alignment horizontal="right" wrapText="1"/>
    </xf>
    <xf numFmtId="0" fontId="6" fillId="4" borderId="0" xfId="1"/>
    <xf numFmtId="0" fontId="8" fillId="6" borderId="3" xfId="6"/>
    <xf numFmtId="164" fontId="0" fillId="0" borderId="0" xfId="0" applyNumberFormat="1"/>
    <xf numFmtId="0" fontId="7" fillId="5" borderId="4" xfId="5" applyBorder="1"/>
    <xf numFmtId="0" fontId="7" fillId="5" borderId="5" xfId="5" applyBorder="1"/>
    <xf numFmtId="0" fontId="7" fillId="5" borderId="6" xfId="5" applyBorder="1"/>
    <xf numFmtId="0" fontId="7" fillId="5" borderId="7" xfId="5" applyBorder="1"/>
    <xf numFmtId="0" fontId="9" fillId="0" borderId="8" xfId="0" applyFont="1" applyBorder="1"/>
    <xf numFmtId="0" fontId="10" fillId="0" borderId="9" xfId="0" applyFont="1" applyBorder="1" applyAlignment="1">
      <alignment wrapText="1"/>
    </xf>
    <xf numFmtId="164" fontId="0" fillId="7" borderId="0" xfId="0" applyNumberFormat="1" applyFill="1"/>
    <xf numFmtId="2" fontId="0" fillId="0" borderId="0" xfId="0" applyNumberFormat="1"/>
    <xf numFmtId="0" fontId="12" fillId="0" borderId="10" xfId="8"/>
    <xf numFmtId="0" fontId="7" fillId="5" borderId="0" xfId="5"/>
    <xf numFmtId="9" fontId="0" fillId="0" borderId="0" xfId="7" applyFont="1"/>
  </cellXfs>
  <cellStyles count="9">
    <cellStyle name="Good" xfId="5" builtinId="26"/>
    <cellStyle name="Input" xfId="6" builtinId="20"/>
    <cellStyle name="Linked Cell" xfId="8" builtinId="24"/>
    <cellStyle name="Neutral" xfId="1" builtinId="28"/>
    <cellStyle name="Normal" xfId="0" builtinId="0"/>
    <cellStyle name="Normal 10" xfId="2" xr:uid="{00000000-0005-0000-0000-000004000000}"/>
    <cellStyle name="Normal_Sheet1" xfId="3" xr:uid="{00000000-0005-0000-0000-000005000000}"/>
    <cellStyle name="Normale_Scen_UC_IND-StrucConst" xfId="4" xr:uid="{00000000-0005-0000-0000-000006000000}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CO2Price!$K$5</c:f>
              <c:strCache>
                <c:ptCount val="1"/>
                <c:pt idx="0">
                  <c:v>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CO2Price!$J$6:$J$36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CO2Price!$K$6:$K$36</c:f>
              <c:numCache>
                <c:formatCode>0.00</c:formatCode>
                <c:ptCount val="31"/>
                <c:pt idx="0" formatCode="General">
                  <c:v>75</c:v>
                </c:pt>
                <c:pt idx="1">
                  <c:v>78.75</c:v>
                </c:pt>
                <c:pt idx="2">
                  <c:v>82.6875</c:v>
                </c:pt>
                <c:pt idx="3">
                  <c:v>86.821875000000006</c:v>
                </c:pt>
                <c:pt idx="4">
                  <c:v>91.162968750000005</c:v>
                </c:pt>
                <c:pt idx="5">
                  <c:v>95.721117187500013</c:v>
                </c:pt>
                <c:pt idx="6">
                  <c:v>100.50717304687502</c:v>
                </c:pt>
                <c:pt idx="7">
                  <c:v>105.53253169921878</c:v>
                </c:pt>
                <c:pt idx="8">
                  <c:v>110.80915828417972</c:v>
                </c:pt>
                <c:pt idx="9">
                  <c:v>116.3496161983887</c:v>
                </c:pt>
                <c:pt idx="10">
                  <c:v>122.16709700830815</c:v>
                </c:pt>
                <c:pt idx="11">
                  <c:v>128.27545185872356</c:v>
                </c:pt>
                <c:pt idx="12">
                  <c:v>134.68922445165975</c:v>
                </c:pt>
                <c:pt idx="13">
                  <c:v>141.42368567424276</c:v>
                </c:pt>
                <c:pt idx="14">
                  <c:v>148.4948699579549</c:v>
                </c:pt>
                <c:pt idx="15">
                  <c:v>155.91961345585267</c:v>
                </c:pt>
                <c:pt idx="16">
                  <c:v>163.71559412864531</c:v>
                </c:pt>
                <c:pt idx="17">
                  <c:v>171.90137383507758</c:v>
                </c:pt>
                <c:pt idx="18">
                  <c:v>180.49644252683146</c:v>
                </c:pt>
                <c:pt idx="19">
                  <c:v>189.52126465317303</c:v>
                </c:pt>
                <c:pt idx="20">
                  <c:v>198.99732788583168</c:v>
                </c:pt>
                <c:pt idx="21">
                  <c:v>208.94719428012328</c:v>
                </c:pt>
                <c:pt idx="22">
                  <c:v>219.39455399412947</c:v>
                </c:pt>
                <c:pt idx="23">
                  <c:v>230.36428169383595</c:v>
                </c:pt>
                <c:pt idx="24">
                  <c:v>241.88249577852775</c:v>
                </c:pt>
                <c:pt idx="25">
                  <c:v>253.97662056745415</c:v>
                </c:pt>
                <c:pt idx="26">
                  <c:v>266.67545159582687</c:v>
                </c:pt>
                <c:pt idx="27">
                  <c:v>280.00922417561821</c:v>
                </c:pt>
                <c:pt idx="28">
                  <c:v>294.00968538439912</c:v>
                </c:pt>
                <c:pt idx="29">
                  <c:v>308.71016965361906</c:v>
                </c:pt>
                <c:pt idx="30">
                  <c:v>324.14567813630003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B-4291-8C40-C751065A45B6}"/>
            </c:ext>
          </c:extLst>
        </c:ser>
        <c:ser>
          <c:idx val="1"/>
          <c:order val="1"/>
          <c:tx>
            <c:strRef>
              <c:f>CO2Price!$L$5</c:f>
              <c:strCache>
                <c:ptCount val="1"/>
                <c:pt idx="0">
                  <c:v>Med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CO2Price!$J$6:$J$36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CO2Price!$L$6:$L$36</c:f>
              <c:numCache>
                <c:formatCode>0.00</c:formatCode>
                <c:ptCount val="31"/>
                <c:pt idx="0" formatCode="General">
                  <c:v>125</c:v>
                </c:pt>
                <c:pt idx="1">
                  <c:v>131.25</c:v>
                </c:pt>
                <c:pt idx="2">
                  <c:v>137.8125</c:v>
                </c:pt>
                <c:pt idx="3">
                  <c:v>144.703125</c:v>
                </c:pt>
                <c:pt idx="4">
                  <c:v>151.93828125000002</c:v>
                </c:pt>
                <c:pt idx="5">
                  <c:v>159.53519531250004</c:v>
                </c:pt>
                <c:pt idx="6">
                  <c:v>167.51195507812506</c:v>
                </c:pt>
                <c:pt idx="7">
                  <c:v>175.8875528320313</c:v>
                </c:pt>
                <c:pt idx="8">
                  <c:v>184.68193047363289</c:v>
                </c:pt>
                <c:pt idx="9">
                  <c:v>193.91602699731453</c:v>
                </c:pt>
                <c:pt idx="10">
                  <c:v>203.61182834718028</c:v>
                </c:pt>
                <c:pt idx="11">
                  <c:v>213.79241976453929</c:v>
                </c:pt>
                <c:pt idx="12">
                  <c:v>224.48204075276627</c:v>
                </c:pt>
                <c:pt idx="13">
                  <c:v>235.70614279040458</c:v>
                </c:pt>
                <c:pt idx="14">
                  <c:v>247.49144992992481</c:v>
                </c:pt>
                <c:pt idx="15">
                  <c:v>259.86602242642107</c:v>
                </c:pt>
                <c:pt idx="16">
                  <c:v>272.85932354774212</c:v>
                </c:pt>
                <c:pt idx="17">
                  <c:v>286.50228972512923</c:v>
                </c:pt>
                <c:pt idx="18">
                  <c:v>300.82740421138573</c:v>
                </c:pt>
                <c:pt idx="19">
                  <c:v>315.86877442195504</c:v>
                </c:pt>
                <c:pt idx="20">
                  <c:v>331.66221314305278</c:v>
                </c:pt>
                <c:pt idx="21">
                  <c:v>348.24532380020543</c:v>
                </c:pt>
                <c:pt idx="22">
                  <c:v>365.65758999021574</c:v>
                </c:pt>
                <c:pt idx="23">
                  <c:v>383.94046948972652</c:v>
                </c:pt>
                <c:pt idx="24">
                  <c:v>403.13749296421287</c:v>
                </c:pt>
                <c:pt idx="25">
                  <c:v>423.29436761242351</c:v>
                </c:pt>
                <c:pt idx="26">
                  <c:v>444.45908599304471</c:v>
                </c:pt>
                <c:pt idx="27">
                  <c:v>466.68204029269697</c:v>
                </c:pt>
                <c:pt idx="28">
                  <c:v>490.01614230733185</c:v>
                </c:pt>
                <c:pt idx="29">
                  <c:v>514.51694942269842</c:v>
                </c:pt>
                <c:pt idx="30">
                  <c:v>540.24279689383332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B-4291-8C40-C751065A45B6}"/>
            </c:ext>
          </c:extLst>
        </c:ser>
        <c:ser>
          <c:idx val="2"/>
          <c:order val="2"/>
          <c:tx>
            <c:strRef>
              <c:f>CO2Price!$M$5</c:f>
              <c:strCache>
                <c:ptCount val="1"/>
                <c:pt idx="0">
                  <c:v>Hi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CO2Price!$J$6:$J$36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CO2Price!$M$6:$M$36</c:f>
              <c:numCache>
                <c:formatCode>0.00</c:formatCode>
                <c:ptCount val="31"/>
                <c:pt idx="0" formatCode="General">
                  <c:v>200</c:v>
                </c:pt>
                <c:pt idx="1">
                  <c:v>210</c:v>
                </c:pt>
                <c:pt idx="2">
                  <c:v>220.5</c:v>
                </c:pt>
                <c:pt idx="3">
                  <c:v>231.52500000000001</c:v>
                </c:pt>
                <c:pt idx="4">
                  <c:v>243.10125000000002</c:v>
                </c:pt>
                <c:pt idx="5">
                  <c:v>255.25631250000004</c:v>
                </c:pt>
                <c:pt idx="6">
                  <c:v>268.01912812500007</c:v>
                </c:pt>
                <c:pt idx="7">
                  <c:v>281.4200845312501</c:v>
                </c:pt>
                <c:pt idx="8">
                  <c:v>295.49108875781263</c:v>
                </c:pt>
                <c:pt idx="9">
                  <c:v>310.26564319570326</c:v>
                </c:pt>
                <c:pt idx="10">
                  <c:v>325.77892535548841</c:v>
                </c:pt>
                <c:pt idx="11">
                  <c:v>342.06787162326287</c:v>
                </c:pt>
                <c:pt idx="12">
                  <c:v>359.17126520442605</c:v>
                </c:pt>
                <c:pt idx="13">
                  <c:v>377.12982846464735</c:v>
                </c:pt>
                <c:pt idx="14">
                  <c:v>395.98631988787974</c:v>
                </c:pt>
                <c:pt idx="15">
                  <c:v>415.78563588227377</c:v>
                </c:pt>
                <c:pt idx="16">
                  <c:v>436.57491767638749</c:v>
                </c:pt>
                <c:pt idx="17">
                  <c:v>458.40366356020689</c:v>
                </c:pt>
                <c:pt idx="18">
                  <c:v>481.32384673821724</c:v>
                </c:pt>
                <c:pt idx="19">
                  <c:v>505.39003907512813</c:v>
                </c:pt>
                <c:pt idx="20">
                  <c:v>530.65954102888452</c:v>
                </c:pt>
                <c:pt idx="21">
                  <c:v>557.1925180803288</c:v>
                </c:pt>
                <c:pt idx="22">
                  <c:v>585.05214398434521</c:v>
                </c:pt>
                <c:pt idx="23">
                  <c:v>614.30475118356253</c:v>
                </c:pt>
                <c:pt idx="24">
                  <c:v>645.01998874274068</c:v>
                </c:pt>
                <c:pt idx="25">
                  <c:v>677.27098817987769</c:v>
                </c:pt>
                <c:pt idx="26">
                  <c:v>711.13453758887158</c:v>
                </c:pt>
                <c:pt idx="27">
                  <c:v>746.69126446831524</c:v>
                </c:pt>
                <c:pt idx="28">
                  <c:v>784.02582769173102</c:v>
                </c:pt>
                <c:pt idx="29">
                  <c:v>823.22711907631765</c:v>
                </c:pt>
                <c:pt idx="30">
                  <c:v>864.38847503013358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B-4291-8C40-C751065A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724912"/>
        <c:axId val="658721072"/>
      </c:lineChart>
      <c:catAx>
        <c:axId val="65872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1072"/>
        <c:crosses val="autoZero"/>
        <c:auto val="1"/>
        <c:lblAlgn val="ctr"/>
        <c:lblOffset val="100"/>
        <c:noMultiLvlLbl val="0"/>
      </c:catAx>
      <c:valAx>
        <c:axId val="6587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501650</xdr:colOff>
      <xdr:row>2</xdr:row>
      <xdr:rowOff>173037</xdr:rowOff>
    </xdr:from>
    <xdr:to>
      <xdr:col>21</xdr:col>
      <xdr:colOff>133350</xdr:colOff>
      <xdr:row>17</xdr:row>
      <xdr:rowOff>58737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51637-A529-4C17-88BF-4766F1A6B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7170-6727-4B98-8EA0-282346F1427B}">
  <dimension ref="A1:B72"/>
  <sheetViews>
    <sheetView workbookViewId="0"/>
  </sheetViews>
  <sheetFormatPr defaultColWidth="8.85546875" defaultRowHeight="15" x14ac:dyDescent="0.25"/>
  <sheetData>
    <row r="1" spans="1:2" x14ac:dyDescent="0.25">
      <c r="A1">
        <v>1</v>
      </c>
      <c r="B1">
        <f>A1</f>
        <v>1</v>
      </c>
    </row>
    <row r="2" spans="1:2" x14ac:dyDescent="0.25">
      <c r="A2">
        <v>4</v>
      </c>
      <c r="B2" t="str">
        <f>B1&amp;","&amp;A2</f>
        <v>1,4</v>
      </c>
    </row>
    <row r="3" spans="1:2" x14ac:dyDescent="0.25">
      <c r="A3">
        <v>7</v>
      </c>
      <c r="B3" t="str">
        <f t="shared" ref="B3:B66" si="0">B2&amp;","&amp;A3</f>
        <v>1,4,7</v>
      </c>
    </row>
    <row r="4" spans="1:2" x14ac:dyDescent="0.25">
      <c r="A4">
        <v>10</v>
      </c>
      <c r="B4" t="str">
        <f t="shared" si="0"/>
        <v>1,4,7,10</v>
      </c>
    </row>
    <row r="5" spans="1:2" x14ac:dyDescent="0.25">
      <c r="A5">
        <v>13</v>
      </c>
      <c r="B5" t="str">
        <f t="shared" si="0"/>
        <v>1,4,7,10,13</v>
      </c>
    </row>
    <row r="6" spans="1:2" x14ac:dyDescent="0.25">
      <c r="A6">
        <v>16</v>
      </c>
      <c r="B6" t="str">
        <f t="shared" si="0"/>
        <v>1,4,7,10,13,16</v>
      </c>
    </row>
    <row r="7" spans="1:2" x14ac:dyDescent="0.25">
      <c r="A7">
        <v>19</v>
      </c>
      <c r="B7" t="str">
        <f t="shared" si="0"/>
        <v>1,4,7,10,13,16,19</v>
      </c>
    </row>
    <row r="8" spans="1:2" x14ac:dyDescent="0.25">
      <c r="A8">
        <v>22</v>
      </c>
      <c r="B8" t="str">
        <f t="shared" si="0"/>
        <v>1,4,7,10,13,16,19,22</v>
      </c>
    </row>
    <row r="9" spans="1:2" x14ac:dyDescent="0.25">
      <c r="A9">
        <v>25</v>
      </c>
      <c r="B9" t="str">
        <f t="shared" si="0"/>
        <v>1,4,7,10,13,16,19,22,25</v>
      </c>
    </row>
    <row r="10" spans="1:2" x14ac:dyDescent="0.25">
      <c r="A10">
        <v>28</v>
      </c>
      <c r="B10" t="str">
        <f t="shared" si="0"/>
        <v>1,4,7,10,13,16,19,22,25,28</v>
      </c>
    </row>
    <row r="11" spans="1:2" x14ac:dyDescent="0.25">
      <c r="A11">
        <v>31</v>
      </c>
      <c r="B11" t="str">
        <f t="shared" si="0"/>
        <v>1,4,7,10,13,16,19,22,25,28,31</v>
      </c>
    </row>
    <row r="12" spans="1:2" x14ac:dyDescent="0.25">
      <c r="A12">
        <v>34</v>
      </c>
      <c r="B12" t="str">
        <f t="shared" si="0"/>
        <v>1,4,7,10,13,16,19,22,25,28,31,34</v>
      </c>
    </row>
    <row r="13" spans="1:2" x14ac:dyDescent="0.25">
      <c r="A13">
        <v>37</v>
      </c>
      <c r="B13" t="str">
        <f t="shared" si="0"/>
        <v>1,4,7,10,13,16,19,22,25,28,31,34,37</v>
      </c>
    </row>
    <row r="14" spans="1:2" x14ac:dyDescent="0.25">
      <c r="A14">
        <v>40</v>
      </c>
      <c r="B14" t="str">
        <f t="shared" si="0"/>
        <v>1,4,7,10,13,16,19,22,25,28,31,34,37,40</v>
      </c>
    </row>
    <row r="15" spans="1:2" x14ac:dyDescent="0.25">
      <c r="A15">
        <v>43</v>
      </c>
      <c r="B15" t="str">
        <f t="shared" si="0"/>
        <v>1,4,7,10,13,16,19,22,25,28,31,34,37,40,43</v>
      </c>
    </row>
    <row r="16" spans="1:2" x14ac:dyDescent="0.25">
      <c r="A16">
        <v>46</v>
      </c>
      <c r="B16" t="str">
        <f t="shared" si="0"/>
        <v>1,4,7,10,13,16,19,22,25,28,31,34,37,40,43,46</v>
      </c>
    </row>
    <row r="17" spans="1:2" x14ac:dyDescent="0.25">
      <c r="A17">
        <v>49</v>
      </c>
      <c r="B17" t="str">
        <f t="shared" si="0"/>
        <v>1,4,7,10,13,16,19,22,25,28,31,34,37,40,43,46,49</v>
      </c>
    </row>
    <row r="18" spans="1:2" x14ac:dyDescent="0.25">
      <c r="A18">
        <v>52</v>
      </c>
      <c r="B18" t="str">
        <f t="shared" si="0"/>
        <v>1,4,7,10,13,16,19,22,25,28,31,34,37,40,43,46,49,52</v>
      </c>
    </row>
    <row r="19" spans="1:2" x14ac:dyDescent="0.25">
      <c r="A19">
        <v>55</v>
      </c>
      <c r="B19" t="str">
        <f t="shared" si="0"/>
        <v>1,4,7,10,13,16,19,22,25,28,31,34,37,40,43,46,49,52,55</v>
      </c>
    </row>
    <row r="20" spans="1:2" x14ac:dyDescent="0.25">
      <c r="A20">
        <v>58</v>
      </c>
      <c r="B20" t="str">
        <f t="shared" si="0"/>
        <v>1,4,7,10,13,16,19,22,25,28,31,34,37,40,43,46,49,52,55,58</v>
      </c>
    </row>
    <row r="21" spans="1:2" x14ac:dyDescent="0.25">
      <c r="A21">
        <v>61</v>
      </c>
      <c r="B21" t="str">
        <f t="shared" si="0"/>
        <v>1,4,7,10,13,16,19,22,25,28,31,34,37,40,43,46,49,52,55,58,61</v>
      </c>
    </row>
    <row r="22" spans="1:2" x14ac:dyDescent="0.25">
      <c r="A22">
        <v>64</v>
      </c>
      <c r="B22" t="str">
        <f t="shared" si="0"/>
        <v>1,4,7,10,13,16,19,22,25,28,31,34,37,40,43,46,49,52,55,58,61,64</v>
      </c>
    </row>
    <row r="23" spans="1:2" x14ac:dyDescent="0.25">
      <c r="A23">
        <v>67</v>
      </c>
      <c r="B23" t="str">
        <f t="shared" si="0"/>
        <v>1,4,7,10,13,16,19,22,25,28,31,34,37,40,43,46,49,52,55,58,61,64,67</v>
      </c>
    </row>
    <row r="24" spans="1:2" x14ac:dyDescent="0.25">
      <c r="A24">
        <v>70</v>
      </c>
      <c r="B24" t="str">
        <f t="shared" si="0"/>
        <v>1,4,7,10,13,16,19,22,25,28,31,34,37,40,43,46,49,52,55,58,61,64,67,70</v>
      </c>
    </row>
    <row r="25" spans="1:2" x14ac:dyDescent="0.25">
      <c r="A25">
        <v>73</v>
      </c>
      <c r="B25" t="str">
        <f t="shared" si="0"/>
        <v>1,4,7,10,13,16,19,22,25,28,31,34,37,40,43,46,49,52,55,58,61,64,67,70,73</v>
      </c>
    </row>
    <row r="26" spans="1:2" x14ac:dyDescent="0.25">
      <c r="A26">
        <v>76</v>
      </c>
      <c r="B26" t="str">
        <f t="shared" si="0"/>
        <v>1,4,7,10,13,16,19,22,25,28,31,34,37,40,43,46,49,52,55,58,61,64,67,70,73,76</v>
      </c>
    </row>
    <row r="27" spans="1:2" x14ac:dyDescent="0.25">
      <c r="A27">
        <v>79</v>
      </c>
      <c r="B27" t="str">
        <f t="shared" si="0"/>
        <v>1,4,7,10,13,16,19,22,25,28,31,34,37,40,43,46,49,52,55,58,61,64,67,70,73,76,79</v>
      </c>
    </row>
    <row r="28" spans="1:2" x14ac:dyDescent="0.25">
      <c r="A28">
        <v>82</v>
      </c>
      <c r="B28" t="str">
        <f t="shared" si="0"/>
        <v>1,4,7,10,13,16,19,22,25,28,31,34,37,40,43,46,49,52,55,58,61,64,67,70,73,76,79,82</v>
      </c>
    </row>
    <row r="29" spans="1:2" x14ac:dyDescent="0.25">
      <c r="A29">
        <v>85</v>
      </c>
      <c r="B29" t="str">
        <f t="shared" si="0"/>
        <v>1,4,7,10,13,16,19,22,25,28,31,34,37,40,43,46,49,52,55,58,61,64,67,70,73,76,79,82,85</v>
      </c>
    </row>
    <row r="30" spans="1:2" x14ac:dyDescent="0.25">
      <c r="A30">
        <v>88</v>
      </c>
      <c r="B30" t="str">
        <f t="shared" si="0"/>
        <v>1,4,7,10,13,16,19,22,25,28,31,34,37,40,43,46,49,52,55,58,61,64,67,70,73,76,79,82,85,88</v>
      </c>
    </row>
    <row r="31" spans="1:2" x14ac:dyDescent="0.25">
      <c r="A31">
        <v>91</v>
      </c>
      <c r="B31" t="str">
        <f t="shared" si="0"/>
        <v>1,4,7,10,13,16,19,22,25,28,31,34,37,40,43,46,49,52,55,58,61,64,67,70,73,76,79,82,85,88,91</v>
      </c>
    </row>
    <row r="32" spans="1:2" x14ac:dyDescent="0.25">
      <c r="A32">
        <v>94</v>
      </c>
      <c r="B32" t="str">
        <f t="shared" si="0"/>
        <v>1,4,7,10,13,16,19,22,25,28,31,34,37,40,43,46,49,52,55,58,61,64,67,70,73,76,79,82,85,88,91,94</v>
      </c>
    </row>
    <row r="33" spans="1:2" x14ac:dyDescent="0.25">
      <c r="A33">
        <v>97</v>
      </c>
      <c r="B33" t="str">
        <f t="shared" si="0"/>
        <v>1,4,7,10,13,16,19,22,25,28,31,34,37,40,43,46,49,52,55,58,61,64,67,70,73,76,79,82,85,88,91,94,97</v>
      </c>
    </row>
    <row r="34" spans="1:2" x14ac:dyDescent="0.25">
      <c r="A34">
        <v>100</v>
      </c>
      <c r="B34" t="str">
        <f t="shared" si="0"/>
        <v>1,4,7,10,13,16,19,22,25,28,31,34,37,40,43,46,49,52,55,58,61,64,67,70,73,76,79,82,85,88,91,94,97,100</v>
      </c>
    </row>
    <row r="35" spans="1:2" x14ac:dyDescent="0.25">
      <c r="A35">
        <v>103</v>
      </c>
      <c r="B35" t="str">
        <f t="shared" si="0"/>
        <v>1,4,7,10,13,16,19,22,25,28,31,34,37,40,43,46,49,52,55,58,61,64,67,70,73,76,79,82,85,88,91,94,97,100,103</v>
      </c>
    </row>
    <row r="36" spans="1:2" x14ac:dyDescent="0.25">
      <c r="A36">
        <v>106</v>
      </c>
      <c r="B36" t="str">
        <f t="shared" si="0"/>
        <v>1,4,7,10,13,16,19,22,25,28,31,34,37,40,43,46,49,52,55,58,61,64,67,70,73,76,79,82,85,88,91,94,97,100,103,106</v>
      </c>
    </row>
    <row r="37" spans="1:2" x14ac:dyDescent="0.25">
      <c r="A37">
        <v>127</v>
      </c>
      <c r="B37" t="str">
        <f t="shared" si="0"/>
        <v>1,4,7,10,13,16,19,22,25,28,31,34,37,40,43,46,49,52,55,58,61,64,67,70,73,76,79,82,85,88,91,94,97,100,103,106,127</v>
      </c>
    </row>
    <row r="38" spans="1:2" x14ac:dyDescent="0.25">
      <c r="A38">
        <v>144</v>
      </c>
      <c r="B38" t="str">
        <f t="shared" si="0"/>
        <v>1,4,7,10,13,16,19,22,25,28,31,34,37,40,43,46,49,52,55,58,61,64,67,70,73,76,79,82,85,88,91,94,97,100,103,106,127,144</v>
      </c>
    </row>
    <row r="39" spans="1:2" x14ac:dyDescent="0.25">
      <c r="A39">
        <v>59</v>
      </c>
      <c r="B39" t="str">
        <f t="shared" si="0"/>
        <v>1,4,7,10,13,16,19,22,25,28,31,34,37,40,43,46,49,52,55,58,61,64,67,70,73,76,79,82,85,88,91,94,97,100,103,106,127,144,59</v>
      </c>
    </row>
    <row r="40" spans="1:2" x14ac:dyDescent="0.25">
      <c r="A40">
        <v>60</v>
      </c>
      <c r="B40" t="str">
        <f t="shared" si="0"/>
        <v>1,4,7,10,13,16,19,22,25,28,31,34,37,40,43,46,49,52,55,58,61,64,67,70,73,76,79,82,85,88,91,94,97,100,103,106,127,144,59,60</v>
      </c>
    </row>
    <row r="41" spans="1:2" x14ac:dyDescent="0.25">
      <c r="A41">
        <v>62</v>
      </c>
      <c r="B41" t="str">
        <f t="shared" si="0"/>
        <v>1,4,7,10,13,16,19,22,25,28,31,34,37,40,43,46,49,52,55,58,61,64,67,70,73,76,79,82,85,88,91,94,97,100,103,106,127,144,59,60,62</v>
      </c>
    </row>
    <row r="42" spans="1:2" x14ac:dyDescent="0.25">
      <c r="A42">
        <v>63</v>
      </c>
      <c r="B42" t="str">
        <f t="shared" si="0"/>
        <v>1,4,7,10,13,16,19,22,25,28,31,34,37,40,43,46,49,52,55,58,61,64,67,70,73,76,79,82,85,88,91,94,97,100,103,106,127,144,59,60,62,63</v>
      </c>
    </row>
    <row r="43" spans="1:2" x14ac:dyDescent="0.25">
      <c r="A43">
        <v>65</v>
      </c>
      <c r="B43" t="str">
        <f t="shared" si="0"/>
        <v>1,4,7,10,13,16,19,22,25,28,31,34,37,40,43,46,49,52,55,58,61,64,67,70,73,76,79,82,85,88,91,94,97,100,103,106,127,144,59,60,62,63,65</v>
      </c>
    </row>
    <row r="44" spans="1:2" x14ac:dyDescent="0.25">
      <c r="A44">
        <v>66</v>
      </c>
      <c r="B44" t="str">
        <f t="shared" si="0"/>
        <v>1,4,7,10,13,16,19,22,25,28,31,34,37,40,43,46,49,52,55,58,61,64,67,70,73,76,79,82,85,88,91,94,97,100,103,106,127,144,59,60,62,63,65,66</v>
      </c>
    </row>
    <row r="45" spans="1:2" x14ac:dyDescent="0.25">
      <c r="A45">
        <v>68</v>
      </c>
      <c r="B45" t="str">
        <f t="shared" si="0"/>
        <v>1,4,7,10,13,16,19,22,25,28,31,34,37,40,43,46,49,52,55,58,61,64,67,70,73,76,79,82,85,88,91,94,97,100,103,106,127,144,59,60,62,63,65,66,68</v>
      </c>
    </row>
    <row r="46" spans="1:2" x14ac:dyDescent="0.25">
      <c r="A46">
        <v>69</v>
      </c>
      <c r="B46" t="str">
        <f t="shared" si="0"/>
        <v>1,4,7,10,13,16,19,22,25,28,31,34,37,40,43,46,49,52,55,58,61,64,67,70,73,76,79,82,85,88,91,94,97,100,103,106,127,144,59,60,62,63,65,66,68,69</v>
      </c>
    </row>
    <row r="47" spans="1:2" x14ac:dyDescent="0.25">
      <c r="A47">
        <v>71</v>
      </c>
      <c r="B47" t="str">
        <f t="shared" si="0"/>
        <v>1,4,7,10,13,16,19,22,25,28,31,34,37,40,43,46,49,52,55,58,61,64,67,70,73,76,79,82,85,88,91,94,97,100,103,106,127,144,59,60,62,63,65,66,68,69,71</v>
      </c>
    </row>
    <row r="48" spans="1:2" x14ac:dyDescent="0.25">
      <c r="A48">
        <v>72</v>
      </c>
      <c r="B48" t="str">
        <f t="shared" si="0"/>
        <v>1,4,7,10,13,16,19,22,25,28,31,34,37,40,43,46,49,52,55,58,61,64,67,70,73,76,79,82,85,88,91,94,97,100,103,106,127,144,59,60,62,63,65,66,68,69,71,72</v>
      </c>
    </row>
    <row r="49" spans="1:2" x14ac:dyDescent="0.25">
      <c r="A49">
        <v>74</v>
      </c>
      <c r="B49" t="str">
        <f t="shared" si="0"/>
        <v>1,4,7,10,13,16,19,22,25,28,31,34,37,40,43,46,49,52,55,58,61,64,67,70,73,76,79,82,85,88,91,94,97,100,103,106,127,144,59,60,62,63,65,66,68,69,71,72,74</v>
      </c>
    </row>
    <row r="50" spans="1:2" x14ac:dyDescent="0.25">
      <c r="A50">
        <v>75</v>
      </c>
      <c r="B50" t="str">
        <f t="shared" si="0"/>
        <v>1,4,7,10,13,16,19,22,25,28,31,34,37,40,43,46,49,52,55,58,61,64,67,70,73,76,79,82,85,88,91,94,97,100,103,106,127,144,59,60,62,63,65,66,68,69,71,72,74,75</v>
      </c>
    </row>
    <row r="51" spans="1:2" x14ac:dyDescent="0.25">
      <c r="A51">
        <v>77</v>
      </c>
      <c r="B51" t="str">
        <f t="shared" si="0"/>
        <v>1,4,7,10,13,16,19,22,25,28,31,34,37,40,43,46,49,52,55,58,61,64,67,70,73,76,79,82,85,88,91,94,97,100,103,106,127,144,59,60,62,63,65,66,68,69,71,72,74,75,77</v>
      </c>
    </row>
    <row r="52" spans="1:2" x14ac:dyDescent="0.25">
      <c r="A52">
        <v>78</v>
      </c>
      <c r="B52" t="str">
        <f t="shared" si="0"/>
        <v>1,4,7,10,13,16,19,22,25,28,31,34,37,40,43,46,49,52,55,58,61,64,67,70,73,76,79,82,85,88,91,94,97,100,103,106,127,144,59,60,62,63,65,66,68,69,71,72,74,75,77,78</v>
      </c>
    </row>
    <row r="53" spans="1:2" x14ac:dyDescent="0.25">
      <c r="A53">
        <v>80</v>
      </c>
      <c r="B53" t="str">
        <f t="shared" si="0"/>
        <v>1,4,7,10,13,16,19,22,25,28,31,34,37,40,43,46,49,52,55,58,61,64,67,70,73,76,79,82,85,88,91,94,97,100,103,106,127,144,59,60,62,63,65,66,68,69,71,72,74,75,77,78,80</v>
      </c>
    </row>
    <row r="54" spans="1:2" x14ac:dyDescent="0.25">
      <c r="A54">
        <v>81</v>
      </c>
      <c r="B54" t="str">
        <f t="shared" si="0"/>
        <v>1,4,7,10,13,16,19,22,25,28,31,34,37,40,43,46,49,52,55,58,61,64,67,70,73,76,79,82,85,88,91,94,97,100,103,106,127,144,59,60,62,63,65,66,68,69,71,72,74,75,77,78,80,81</v>
      </c>
    </row>
    <row r="55" spans="1:2" x14ac:dyDescent="0.25">
      <c r="A55">
        <v>83</v>
      </c>
      <c r="B55" t="str">
        <f t="shared" si="0"/>
        <v>1,4,7,10,13,16,19,22,25,28,31,34,37,40,43,46,49,52,55,58,61,64,67,70,73,76,79,82,85,88,91,94,97,100,103,106,127,144,59,60,62,63,65,66,68,69,71,72,74,75,77,78,80,81,83</v>
      </c>
    </row>
    <row r="56" spans="1:2" x14ac:dyDescent="0.25">
      <c r="A56">
        <v>84</v>
      </c>
      <c r="B56" t="str">
        <f t="shared" si="0"/>
        <v>1,4,7,10,13,16,19,22,25,28,31,34,37,40,43,46,49,52,55,58,61,64,67,70,73,76,79,82,85,88,91,94,97,100,103,106,127,144,59,60,62,63,65,66,68,69,71,72,74,75,77,78,80,81,83,84</v>
      </c>
    </row>
    <row r="57" spans="1:2" x14ac:dyDescent="0.25">
      <c r="A57">
        <v>86</v>
      </c>
      <c r="B57" t="str">
        <f t="shared" si="0"/>
        <v>1,4,7,10,13,16,19,22,25,28,31,34,37,40,43,46,49,52,55,58,61,64,67,70,73,76,79,82,85,88,91,94,97,100,103,106,127,144,59,60,62,63,65,66,68,69,71,72,74,75,77,78,80,81,83,84,86</v>
      </c>
    </row>
    <row r="58" spans="1:2" x14ac:dyDescent="0.25">
      <c r="A58">
        <v>87</v>
      </c>
      <c r="B58" t="str">
        <f t="shared" si="0"/>
        <v>1,4,7,10,13,16,19,22,25,28,31,34,37,40,43,46,49,52,55,58,61,64,67,70,73,76,79,82,85,88,91,94,97,100,103,106,127,144,59,60,62,63,65,66,68,69,71,72,74,75,77,78,80,81,83,84,86,87</v>
      </c>
    </row>
    <row r="59" spans="1:2" x14ac:dyDescent="0.25">
      <c r="A59">
        <v>89</v>
      </c>
      <c r="B59" t="str">
        <f t="shared" si="0"/>
        <v>1,4,7,10,13,16,19,22,25,28,31,34,37,40,43,46,49,52,55,58,61,64,67,70,73,76,79,82,85,88,91,94,97,100,103,106,127,144,59,60,62,63,65,66,68,69,71,72,74,75,77,78,80,81,83,84,86,87,89</v>
      </c>
    </row>
    <row r="60" spans="1:2" x14ac:dyDescent="0.25">
      <c r="A60">
        <v>90</v>
      </c>
      <c r="B60" t="str">
        <f t="shared" si="0"/>
        <v>1,4,7,10,13,16,19,22,25,28,31,34,37,40,43,46,49,52,55,58,61,64,67,70,73,76,79,82,85,88,91,94,97,100,103,106,127,144,59,60,62,63,65,66,68,69,71,72,74,75,77,78,80,81,83,84,86,87,89,90</v>
      </c>
    </row>
    <row r="61" spans="1:2" x14ac:dyDescent="0.25">
      <c r="A61">
        <v>92</v>
      </c>
      <c r="B61" t="str">
        <f t="shared" si="0"/>
        <v>1,4,7,10,13,16,19,22,25,28,31,34,37,40,43,46,49,52,55,58,61,64,67,70,73,76,79,82,85,88,91,94,97,100,103,106,127,144,59,60,62,63,65,66,68,69,71,72,74,75,77,78,80,81,83,84,86,87,89,90,92</v>
      </c>
    </row>
    <row r="62" spans="1:2" x14ac:dyDescent="0.25">
      <c r="A62">
        <v>93</v>
      </c>
      <c r="B62" t="str">
        <f t="shared" si="0"/>
        <v>1,4,7,10,13,16,19,22,25,28,31,34,37,40,43,46,49,52,55,58,61,64,67,70,73,76,79,82,85,88,91,94,97,100,103,106,127,144,59,60,62,63,65,66,68,69,71,72,74,75,77,78,80,81,83,84,86,87,89,90,92,93</v>
      </c>
    </row>
    <row r="63" spans="1:2" x14ac:dyDescent="0.25">
      <c r="A63">
        <v>95</v>
      </c>
      <c r="B63" t="str">
        <f t="shared" si="0"/>
        <v>1,4,7,10,13,16,19,22,25,28,31,34,37,40,43,46,49,52,55,58,61,64,67,70,73,76,79,82,85,88,91,94,97,100,103,106,127,144,59,60,62,63,65,66,68,69,71,72,74,75,77,78,80,81,83,84,86,87,89,90,92,93,95</v>
      </c>
    </row>
    <row r="64" spans="1:2" x14ac:dyDescent="0.25">
      <c r="A64">
        <v>96</v>
      </c>
      <c r="B64" t="str">
        <f t="shared" si="0"/>
        <v>1,4,7,10,13,16,19,22,25,28,31,34,37,40,43,46,49,52,55,58,61,64,67,70,73,76,79,82,85,88,91,94,97,100,103,106,127,144,59,60,62,63,65,66,68,69,71,72,74,75,77,78,80,81,83,84,86,87,89,90,92,93,95,96</v>
      </c>
    </row>
    <row r="65" spans="1:2" x14ac:dyDescent="0.25">
      <c r="A65">
        <v>98</v>
      </c>
      <c r="B65" t="str">
        <f t="shared" si="0"/>
        <v>1,4,7,10,13,16,19,22,25,28,31,34,37,40,43,46,49,52,55,58,61,64,67,70,73,76,79,82,85,88,91,94,97,100,103,106,127,144,59,60,62,63,65,66,68,69,71,72,74,75,77,78,80,81,83,84,86,87,89,90,92,93,95,96,98</v>
      </c>
    </row>
    <row r="66" spans="1:2" x14ac:dyDescent="0.25">
      <c r="A66">
        <v>99</v>
      </c>
      <c r="B66" t="str">
        <f t="shared" si="0"/>
        <v>1,4,7,10,13,16,19,22,25,28,31,34,37,40,43,46,49,52,55,58,61,64,67,70,73,76,79,82,85,88,91,94,97,100,103,106,127,144,59,60,62,63,65,66,68,69,71,72,74,75,77,78,80,81,83,84,86,87,89,90,92,93,95,96,98,99</v>
      </c>
    </row>
    <row r="67" spans="1:2" x14ac:dyDescent="0.25">
      <c r="A67">
        <v>101</v>
      </c>
      <c r="B67" t="str">
        <f t="shared" ref="B67:B72" si="1">B66&amp;","&amp;A67</f>
        <v>1,4,7,10,13,16,19,22,25,28,31,34,37,40,43,46,49,52,55,58,61,64,67,70,73,76,79,82,85,88,91,94,97,100,103,106,127,144,59,60,62,63,65,66,68,69,71,72,74,75,77,78,80,81,83,84,86,87,89,90,92,93,95,96,98,99,101</v>
      </c>
    </row>
    <row r="68" spans="1:2" x14ac:dyDescent="0.25">
      <c r="A68">
        <v>102</v>
      </c>
      <c r="B68" t="str">
        <f t="shared" si="1"/>
        <v>1,4,7,10,13,16,19,22,25,28,31,34,37,40,43,46,49,52,55,58,61,64,67,70,73,76,79,82,85,88,91,94,97,100,103,106,127,144,59,60,62,63,65,66,68,69,71,72,74,75,77,78,80,81,83,84,86,87,89,90,92,93,95,96,98,99,101,102</v>
      </c>
    </row>
    <row r="69" spans="1:2" x14ac:dyDescent="0.25">
      <c r="A69">
        <v>104</v>
      </c>
      <c r="B69" t="str">
        <f t="shared" si="1"/>
        <v>1,4,7,10,13,16,19,22,25,28,31,34,37,40,43,46,49,52,55,58,61,64,67,70,73,76,79,82,85,88,91,94,97,100,103,106,127,144,59,60,62,63,65,66,68,69,71,72,74,75,77,78,80,81,83,84,86,87,89,90,92,93,95,96,98,99,101,102,104</v>
      </c>
    </row>
    <row r="70" spans="1:2" x14ac:dyDescent="0.25">
      <c r="A70">
        <v>105</v>
      </c>
      <c r="B70" t="str">
        <f t="shared" si="1"/>
        <v>1,4,7,10,13,16,19,22,25,28,31,34,37,40,43,46,49,52,55,58,61,64,67,70,73,76,79,82,85,88,91,94,97,100,103,106,127,144,59,60,62,63,65,66,68,69,71,72,74,75,77,78,80,81,83,84,86,87,89,90,92,93,95,96,98,99,101,102,104,105</v>
      </c>
    </row>
    <row r="71" spans="1:2" x14ac:dyDescent="0.25">
      <c r="A71">
        <v>107</v>
      </c>
      <c r="B71" t="str">
        <f t="shared" si="1"/>
        <v>1,4,7,10,13,16,19,22,25,28,31,34,37,40,43,46,49,52,55,58,61,64,67,70,73,76,79,82,85,88,91,94,97,100,103,106,127,144,59,60,62,63,65,66,68,69,71,72,74,75,77,78,80,81,83,84,86,87,89,90,92,93,95,96,98,99,101,102,104,105,107</v>
      </c>
    </row>
    <row r="72" spans="1:2" x14ac:dyDescent="0.25">
      <c r="A72">
        <v>108</v>
      </c>
      <c r="B72" t="str">
        <f t="shared" si="1"/>
        <v>1,4,7,10,13,16,19,22,25,28,31,34,37,40,43,46,49,52,55,58,61,64,67,70,73,76,79,82,85,88,91,94,97,100,103,106,127,144,59,60,62,63,65,66,68,69,71,72,74,75,77,78,80,81,83,84,86,87,89,90,92,93,95,96,98,99,101,102,104,105,107,108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8513-EF54-43B3-B1D1-D290A2B58541}">
  <sheetPr codeName="Sheet5"/>
  <dimension ref="B2:L153"/>
  <sheetViews>
    <sheetView workbookViewId="0">
      <selection activeCell="B4" sqref="B4"/>
    </sheetView>
  </sheetViews>
  <sheetFormatPr defaultColWidth="8.85546875" defaultRowHeight="15" x14ac:dyDescent="0.25"/>
  <cols>
    <col min="3" max="3" width="8.42578125" bestFit="1" customWidth="1"/>
    <col min="4" max="4" width="9" bestFit="1" customWidth="1"/>
    <col min="5" max="5" width="10.7109375" bestFit="1" customWidth="1"/>
    <col min="6" max="6" width="7" bestFit="1" customWidth="1"/>
    <col min="7" max="7" width="7.7109375" bestFit="1" customWidth="1"/>
  </cols>
  <sheetData>
    <row r="2" spans="2:8" x14ac:dyDescent="0.25">
      <c r="B2" t="s">
        <v>146</v>
      </c>
    </row>
    <row r="3" spans="2:8" x14ac:dyDescent="0.25">
      <c r="B3" s="9">
        <v>60</v>
      </c>
    </row>
    <row r="5" spans="2:8" x14ac:dyDescent="0.25">
      <c r="C5">
        <v>2</v>
      </c>
      <c r="D5">
        <v>3</v>
      </c>
      <c r="E5">
        <v>4</v>
      </c>
      <c r="F5">
        <v>5</v>
      </c>
      <c r="G5">
        <v>6</v>
      </c>
      <c r="H5">
        <v>7</v>
      </c>
    </row>
    <row r="7" spans="2:8" x14ac:dyDescent="0.25">
      <c r="C7" s="20" t="str">
        <f>VLOOKUP($B$3,$B$9:$F$999,C$5,FALSE)</f>
        <v>Hi</v>
      </c>
      <c r="D7" s="20" t="str">
        <f t="shared" ref="D7:E7" si="0">VLOOKUP($B$3,$B$9:$F$999,D$5,FALSE)</f>
        <v>Hi</v>
      </c>
      <c r="E7" s="20" t="str">
        <f t="shared" si="0"/>
        <v>Lo</v>
      </c>
      <c r="F7" s="20" t="str">
        <f>VLOOKUP($B$3,$B$9:$I$999,F$5,FALSE)</f>
        <v>Lo</v>
      </c>
      <c r="G7" s="20" t="str">
        <f>VLOOKUP($B$3,$B$9:$I$999,G$5,FALSE)</f>
        <v>Yes</v>
      </c>
      <c r="H7" s="20" t="str">
        <f>VLOOKUP($B$3,$B$9:$I$999,H$5,FALSE)</f>
        <v>Ref</v>
      </c>
    </row>
    <row r="8" spans="2:8" x14ac:dyDescent="0.25">
      <c r="C8" t="s">
        <v>53</v>
      </c>
      <c r="D8" t="s">
        <v>54</v>
      </c>
      <c r="E8" t="s">
        <v>56</v>
      </c>
      <c r="F8" t="s">
        <v>62</v>
      </c>
      <c r="G8" t="s">
        <v>68</v>
      </c>
      <c r="H8" t="s">
        <v>69</v>
      </c>
    </row>
    <row r="9" spans="2:8" x14ac:dyDescent="0.25">
      <c r="B9">
        <v>1</v>
      </c>
      <c r="C9" t="s">
        <v>52</v>
      </c>
      <c r="D9" t="s">
        <v>52</v>
      </c>
      <c r="E9" t="s">
        <v>52</v>
      </c>
      <c r="F9" t="s">
        <v>52</v>
      </c>
      <c r="G9" t="s">
        <v>70</v>
      </c>
      <c r="H9" t="s">
        <v>52</v>
      </c>
    </row>
    <row r="10" spans="2:8" x14ac:dyDescent="0.25">
      <c r="B10">
        <f>B9+1</f>
        <v>2</v>
      </c>
      <c r="C10" t="s">
        <v>47</v>
      </c>
      <c r="D10" t="s">
        <v>52</v>
      </c>
      <c r="E10" t="s">
        <v>52</v>
      </c>
      <c r="F10" t="s">
        <v>52</v>
      </c>
      <c r="G10" t="s">
        <v>70</v>
      </c>
      <c r="H10" t="s">
        <v>52</v>
      </c>
    </row>
    <row r="11" spans="2:8" x14ac:dyDescent="0.25">
      <c r="B11">
        <f t="shared" ref="B11:B74" si="1">B10+1</f>
        <v>3</v>
      </c>
      <c r="C11" t="s">
        <v>51</v>
      </c>
      <c r="D11" t="s">
        <v>52</v>
      </c>
      <c r="E11" t="s">
        <v>52</v>
      </c>
      <c r="F11" t="s">
        <v>52</v>
      </c>
      <c r="G11" t="s">
        <v>70</v>
      </c>
      <c r="H11" t="s">
        <v>52</v>
      </c>
    </row>
    <row r="12" spans="2:8" x14ac:dyDescent="0.25">
      <c r="B12">
        <f t="shared" si="1"/>
        <v>4</v>
      </c>
      <c r="C12" t="str">
        <f>C9</f>
        <v>Ref</v>
      </c>
      <c r="D12" t="s">
        <v>47</v>
      </c>
      <c r="E12" t="s">
        <v>52</v>
      </c>
      <c r="F12" t="s">
        <v>52</v>
      </c>
      <c r="G12" t="s">
        <v>70</v>
      </c>
      <c r="H12" t="s">
        <v>52</v>
      </c>
    </row>
    <row r="13" spans="2:8" x14ac:dyDescent="0.25">
      <c r="B13">
        <f t="shared" si="1"/>
        <v>5</v>
      </c>
      <c r="C13" t="str">
        <f t="shared" ref="C13:C76" si="2">C10</f>
        <v>Lo</v>
      </c>
      <c r="D13" t="s">
        <v>47</v>
      </c>
      <c r="E13" t="s">
        <v>52</v>
      </c>
      <c r="F13" t="s">
        <v>52</v>
      </c>
      <c r="G13" t="s">
        <v>70</v>
      </c>
      <c r="H13" t="s">
        <v>52</v>
      </c>
    </row>
    <row r="14" spans="2:8" x14ac:dyDescent="0.25">
      <c r="B14">
        <f t="shared" si="1"/>
        <v>6</v>
      </c>
      <c r="C14" t="str">
        <f t="shared" si="2"/>
        <v>Hi</v>
      </c>
      <c r="D14" t="s">
        <v>47</v>
      </c>
      <c r="E14" t="s">
        <v>52</v>
      </c>
      <c r="F14" t="s">
        <v>52</v>
      </c>
      <c r="G14" t="s">
        <v>70</v>
      </c>
      <c r="H14" t="s">
        <v>52</v>
      </c>
    </row>
    <row r="15" spans="2:8" x14ac:dyDescent="0.25">
      <c r="B15">
        <f t="shared" si="1"/>
        <v>7</v>
      </c>
      <c r="C15" t="str">
        <f t="shared" si="2"/>
        <v>Ref</v>
      </c>
      <c r="D15" t="s">
        <v>55</v>
      </c>
      <c r="E15" t="s">
        <v>52</v>
      </c>
      <c r="F15" t="s">
        <v>52</v>
      </c>
      <c r="G15" t="s">
        <v>70</v>
      </c>
      <c r="H15" t="s">
        <v>52</v>
      </c>
    </row>
    <row r="16" spans="2:8" x14ac:dyDescent="0.25">
      <c r="B16">
        <f t="shared" si="1"/>
        <v>8</v>
      </c>
      <c r="C16" t="str">
        <f t="shared" si="2"/>
        <v>Lo</v>
      </c>
      <c r="D16" t="s">
        <v>55</v>
      </c>
      <c r="E16" t="s">
        <v>52</v>
      </c>
      <c r="F16" t="s">
        <v>52</v>
      </c>
      <c r="G16" t="s">
        <v>70</v>
      </c>
      <c r="H16" t="s">
        <v>52</v>
      </c>
    </row>
    <row r="17" spans="2:8" x14ac:dyDescent="0.25">
      <c r="B17">
        <f t="shared" si="1"/>
        <v>9</v>
      </c>
      <c r="C17" t="str">
        <f t="shared" si="2"/>
        <v>Hi</v>
      </c>
      <c r="D17" t="s">
        <v>55</v>
      </c>
      <c r="E17" t="s">
        <v>52</v>
      </c>
      <c r="F17" t="s">
        <v>52</v>
      </c>
      <c r="G17" t="s">
        <v>70</v>
      </c>
      <c r="H17" t="s">
        <v>52</v>
      </c>
    </row>
    <row r="18" spans="2:8" x14ac:dyDescent="0.25">
      <c r="B18">
        <f t="shared" si="1"/>
        <v>10</v>
      </c>
      <c r="C18" t="str">
        <f t="shared" si="2"/>
        <v>Ref</v>
      </c>
      <c r="D18" t="s">
        <v>51</v>
      </c>
      <c r="E18" t="s">
        <v>52</v>
      </c>
      <c r="F18" t="s">
        <v>52</v>
      </c>
      <c r="G18" t="s">
        <v>70</v>
      </c>
      <c r="H18" t="s">
        <v>52</v>
      </c>
    </row>
    <row r="19" spans="2:8" x14ac:dyDescent="0.25">
      <c r="B19">
        <f t="shared" si="1"/>
        <v>11</v>
      </c>
      <c r="C19" t="str">
        <f t="shared" si="2"/>
        <v>Lo</v>
      </c>
      <c r="D19" t="s">
        <v>51</v>
      </c>
      <c r="E19" t="s">
        <v>52</v>
      </c>
      <c r="F19" t="s">
        <v>52</v>
      </c>
      <c r="G19" t="s">
        <v>70</v>
      </c>
      <c r="H19" t="s">
        <v>52</v>
      </c>
    </row>
    <row r="20" spans="2:8" x14ac:dyDescent="0.25">
      <c r="B20">
        <f t="shared" si="1"/>
        <v>12</v>
      </c>
      <c r="C20" t="str">
        <f t="shared" si="2"/>
        <v>Hi</v>
      </c>
      <c r="D20" t="s">
        <v>51</v>
      </c>
      <c r="E20" t="s">
        <v>52</v>
      </c>
      <c r="F20" t="s">
        <v>52</v>
      </c>
      <c r="G20" t="s">
        <v>70</v>
      </c>
      <c r="H20" t="s">
        <v>52</v>
      </c>
    </row>
    <row r="21" spans="2:8" x14ac:dyDescent="0.25">
      <c r="B21">
        <f t="shared" si="1"/>
        <v>13</v>
      </c>
      <c r="C21" t="str">
        <f t="shared" si="2"/>
        <v>Ref</v>
      </c>
      <c r="D21" t="str">
        <f>D9</f>
        <v>Ref</v>
      </c>
      <c r="E21" t="s">
        <v>47</v>
      </c>
      <c r="F21" t="s">
        <v>52</v>
      </c>
      <c r="G21" t="s">
        <v>70</v>
      </c>
      <c r="H21" t="s">
        <v>52</v>
      </c>
    </row>
    <row r="22" spans="2:8" x14ac:dyDescent="0.25">
      <c r="B22">
        <f t="shared" si="1"/>
        <v>14</v>
      </c>
      <c r="C22" t="str">
        <f t="shared" si="2"/>
        <v>Lo</v>
      </c>
      <c r="D22" t="str">
        <f t="shared" ref="D22:D86" si="3">D10</f>
        <v>Ref</v>
      </c>
      <c r="E22" t="s">
        <v>47</v>
      </c>
      <c r="F22" t="s">
        <v>52</v>
      </c>
      <c r="G22" t="s">
        <v>70</v>
      </c>
      <c r="H22" t="s">
        <v>52</v>
      </c>
    </row>
    <row r="23" spans="2:8" x14ac:dyDescent="0.25">
      <c r="B23">
        <f t="shared" si="1"/>
        <v>15</v>
      </c>
      <c r="C23" t="str">
        <f t="shared" si="2"/>
        <v>Hi</v>
      </c>
      <c r="D23" t="str">
        <f t="shared" si="3"/>
        <v>Ref</v>
      </c>
      <c r="E23" t="s">
        <v>47</v>
      </c>
      <c r="F23" t="s">
        <v>52</v>
      </c>
      <c r="G23" t="s">
        <v>70</v>
      </c>
      <c r="H23" t="s">
        <v>52</v>
      </c>
    </row>
    <row r="24" spans="2:8" x14ac:dyDescent="0.25">
      <c r="B24">
        <f t="shared" si="1"/>
        <v>16</v>
      </c>
      <c r="C24" t="str">
        <f t="shared" si="2"/>
        <v>Ref</v>
      </c>
      <c r="D24" t="str">
        <f t="shared" si="3"/>
        <v>Lo</v>
      </c>
      <c r="E24" t="s">
        <v>47</v>
      </c>
      <c r="F24" t="s">
        <v>52</v>
      </c>
      <c r="G24" t="s">
        <v>70</v>
      </c>
      <c r="H24" t="s">
        <v>52</v>
      </c>
    </row>
    <row r="25" spans="2:8" x14ac:dyDescent="0.25">
      <c r="B25">
        <f t="shared" si="1"/>
        <v>17</v>
      </c>
      <c r="C25" t="str">
        <f t="shared" si="2"/>
        <v>Lo</v>
      </c>
      <c r="D25" t="str">
        <f t="shared" si="3"/>
        <v>Lo</v>
      </c>
      <c r="E25" t="s">
        <v>47</v>
      </c>
      <c r="F25" t="s">
        <v>52</v>
      </c>
      <c r="G25" t="s">
        <v>70</v>
      </c>
      <c r="H25" t="s">
        <v>52</v>
      </c>
    </row>
    <row r="26" spans="2:8" x14ac:dyDescent="0.25">
      <c r="B26">
        <f t="shared" si="1"/>
        <v>18</v>
      </c>
      <c r="C26" t="str">
        <f t="shared" si="2"/>
        <v>Hi</v>
      </c>
      <c r="D26" t="str">
        <f t="shared" si="3"/>
        <v>Lo</v>
      </c>
      <c r="E26" t="s">
        <v>47</v>
      </c>
      <c r="F26" t="s">
        <v>52</v>
      </c>
      <c r="G26" t="s">
        <v>70</v>
      </c>
      <c r="H26" t="s">
        <v>52</v>
      </c>
    </row>
    <row r="27" spans="2:8" x14ac:dyDescent="0.25">
      <c r="B27">
        <f t="shared" si="1"/>
        <v>19</v>
      </c>
      <c r="C27" t="str">
        <f t="shared" si="2"/>
        <v>Ref</v>
      </c>
      <c r="D27" t="str">
        <f t="shared" si="3"/>
        <v>Med</v>
      </c>
      <c r="E27" t="s">
        <v>47</v>
      </c>
      <c r="F27" t="s">
        <v>52</v>
      </c>
      <c r="G27" t="s">
        <v>70</v>
      </c>
      <c r="H27" t="s">
        <v>52</v>
      </c>
    </row>
    <row r="28" spans="2:8" x14ac:dyDescent="0.25">
      <c r="B28">
        <f t="shared" si="1"/>
        <v>20</v>
      </c>
      <c r="C28" t="str">
        <f t="shared" si="2"/>
        <v>Lo</v>
      </c>
      <c r="D28" t="str">
        <f t="shared" si="3"/>
        <v>Med</v>
      </c>
      <c r="E28" t="s">
        <v>47</v>
      </c>
      <c r="F28" t="s">
        <v>52</v>
      </c>
      <c r="G28" t="s">
        <v>70</v>
      </c>
      <c r="H28" t="s">
        <v>52</v>
      </c>
    </row>
    <row r="29" spans="2:8" x14ac:dyDescent="0.25">
      <c r="B29">
        <f t="shared" si="1"/>
        <v>21</v>
      </c>
      <c r="C29" t="str">
        <f t="shared" si="2"/>
        <v>Hi</v>
      </c>
      <c r="D29" t="str">
        <f t="shared" si="3"/>
        <v>Med</v>
      </c>
      <c r="E29" t="s">
        <v>47</v>
      </c>
      <c r="F29" t="s">
        <v>52</v>
      </c>
      <c r="G29" t="s">
        <v>70</v>
      </c>
      <c r="H29" t="s">
        <v>52</v>
      </c>
    </row>
    <row r="30" spans="2:8" x14ac:dyDescent="0.25">
      <c r="B30">
        <f t="shared" si="1"/>
        <v>22</v>
      </c>
      <c r="C30" t="str">
        <f t="shared" si="2"/>
        <v>Ref</v>
      </c>
      <c r="D30" t="str">
        <f t="shared" si="3"/>
        <v>Hi</v>
      </c>
      <c r="E30" t="s">
        <v>47</v>
      </c>
      <c r="F30" t="s">
        <v>52</v>
      </c>
      <c r="G30" t="s">
        <v>70</v>
      </c>
      <c r="H30" t="s">
        <v>52</v>
      </c>
    </row>
    <row r="31" spans="2:8" x14ac:dyDescent="0.25">
      <c r="B31">
        <f t="shared" si="1"/>
        <v>23</v>
      </c>
      <c r="C31" t="str">
        <f t="shared" si="2"/>
        <v>Lo</v>
      </c>
      <c r="D31" t="str">
        <f t="shared" si="3"/>
        <v>Hi</v>
      </c>
      <c r="E31" t="s">
        <v>47</v>
      </c>
      <c r="F31" t="s">
        <v>52</v>
      </c>
      <c r="G31" t="s">
        <v>70</v>
      </c>
      <c r="H31" t="s">
        <v>52</v>
      </c>
    </row>
    <row r="32" spans="2:8" x14ac:dyDescent="0.25">
      <c r="B32">
        <f t="shared" si="1"/>
        <v>24</v>
      </c>
      <c r="C32" t="str">
        <f t="shared" si="2"/>
        <v>Hi</v>
      </c>
      <c r="D32" t="str">
        <f t="shared" si="3"/>
        <v>Hi</v>
      </c>
      <c r="E32" t="s">
        <v>47</v>
      </c>
      <c r="F32" t="s">
        <v>52</v>
      </c>
      <c r="G32" t="s">
        <v>70</v>
      </c>
      <c r="H32" t="s">
        <v>52</v>
      </c>
    </row>
    <row r="33" spans="2:8" x14ac:dyDescent="0.25">
      <c r="B33">
        <f t="shared" si="1"/>
        <v>25</v>
      </c>
      <c r="C33" t="str">
        <f t="shared" si="2"/>
        <v>Ref</v>
      </c>
      <c r="D33" t="str">
        <f t="shared" si="3"/>
        <v>Ref</v>
      </c>
      <c r="E33" t="s">
        <v>51</v>
      </c>
      <c r="F33" t="s">
        <v>52</v>
      </c>
      <c r="G33" t="s">
        <v>70</v>
      </c>
      <c r="H33" t="s">
        <v>52</v>
      </c>
    </row>
    <row r="34" spans="2:8" x14ac:dyDescent="0.25">
      <c r="B34">
        <f t="shared" si="1"/>
        <v>26</v>
      </c>
      <c r="C34" t="str">
        <f t="shared" si="2"/>
        <v>Lo</v>
      </c>
      <c r="D34" t="str">
        <f t="shared" si="3"/>
        <v>Ref</v>
      </c>
      <c r="E34" t="s">
        <v>51</v>
      </c>
      <c r="F34" t="s">
        <v>52</v>
      </c>
      <c r="G34" t="s">
        <v>70</v>
      </c>
      <c r="H34" t="s">
        <v>52</v>
      </c>
    </row>
    <row r="35" spans="2:8" x14ac:dyDescent="0.25">
      <c r="B35">
        <f t="shared" si="1"/>
        <v>27</v>
      </c>
      <c r="C35" t="str">
        <f t="shared" si="2"/>
        <v>Hi</v>
      </c>
      <c r="D35" t="str">
        <f t="shared" si="3"/>
        <v>Ref</v>
      </c>
      <c r="E35" t="s">
        <v>51</v>
      </c>
      <c r="F35" t="s">
        <v>52</v>
      </c>
      <c r="G35" t="s">
        <v>70</v>
      </c>
      <c r="H35" t="s">
        <v>52</v>
      </c>
    </row>
    <row r="36" spans="2:8" x14ac:dyDescent="0.25">
      <c r="B36">
        <f t="shared" si="1"/>
        <v>28</v>
      </c>
      <c r="C36" t="str">
        <f t="shared" si="2"/>
        <v>Ref</v>
      </c>
      <c r="D36" t="str">
        <f t="shared" si="3"/>
        <v>Lo</v>
      </c>
      <c r="E36" t="s">
        <v>51</v>
      </c>
      <c r="F36" t="s">
        <v>52</v>
      </c>
      <c r="G36" t="s">
        <v>70</v>
      </c>
      <c r="H36" t="s">
        <v>52</v>
      </c>
    </row>
    <row r="37" spans="2:8" x14ac:dyDescent="0.25">
      <c r="B37">
        <f t="shared" si="1"/>
        <v>29</v>
      </c>
      <c r="C37" t="str">
        <f t="shared" si="2"/>
        <v>Lo</v>
      </c>
      <c r="D37" t="str">
        <f t="shared" si="3"/>
        <v>Lo</v>
      </c>
      <c r="E37" t="s">
        <v>51</v>
      </c>
      <c r="F37" t="s">
        <v>52</v>
      </c>
      <c r="G37" t="s">
        <v>70</v>
      </c>
      <c r="H37" t="s">
        <v>52</v>
      </c>
    </row>
    <row r="38" spans="2:8" x14ac:dyDescent="0.25">
      <c r="B38">
        <f t="shared" si="1"/>
        <v>30</v>
      </c>
      <c r="C38" t="str">
        <f t="shared" si="2"/>
        <v>Hi</v>
      </c>
      <c r="D38" t="str">
        <f t="shared" si="3"/>
        <v>Lo</v>
      </c>
      <c r="E38" t="s">
        <v>51</v>
      </c>
      <c r="F38" t="s">
        <v>52</v>
      </c>
      <c r="G38" t="s">
        <v>70</v>
      </c>
      <c r="H38" t="s">
        <v>52</v>
      </c>
    </row>
    <row r="39" spans="2:8" x14ac:dyDescent="0.25">
      <c r="B39">
        <f t="shared" si="1"/>
        <v>31</v>
      </c>
      <c r="C39" t="str">
        <f t="shared" si="2"/>
        <v>Ref</v>
      </c>
      <c r="D39" t="str">
        <f t="shared" si="3"/>
        <v>Med</v>
      </c>
      <c r="E39" t="s">
        <v>51</v>
      </c>
      <c r="F39" t="s">
        <v>52</v>
      </c>
      <c r="G39" t="s">
        <v>70</v>
      </c>
      <c r="H39" t="s">
        <v>52</v>
      </c>
    </row>
    <row r="40" spans="2:8" x14ac:dyDescent="0.25">
      <c r="B40">
        <f t="shared" si="1"/>
        <v>32</v>
      </c>
      <c r="C40" t="str">
        <f t="shared" si="2"/>
        <v>Lo</v>
      </c>
      <c r="D40" t="str">
        <f t="shared" si="3"/>
        <v>Med</v>
      </c>
      <c r="E40" t="s">
        <v>51</v>
      </c>
      <c r="F40" t="s">
        <v>52</v>
      </c>
      <c r="G40" t="s">
        <v>70</v>
      </c>
      <c r="H40" t="s">
        <v>52</v>
      </c>
    </row>
    <row r="41" spans="2:8" x14ac:dyDescent="0.25">
      <c r="B41">
        <f t="shared" si="1"/>
        <v>33</v>
      </c>
      <c r="C41" t="str">
        <f t="shared" si="2"/>
        <v>Hi</v>
      </c>
      <c r="D41" t="str">
        <f t="shared" si="3"/>
        <v>Med</v>
      </c>
      <c r="E41" t="s">
        <v>51</v>
      </c>
      <c r="F41" t="s">
        <v>52</v>
      </c>
      <c r="G41" t="s">
        <v>70</v>
      </c>
      <c r="H41" t="s">
        <v>52</v>
      </c>
    </row>
    <row r="42" spans="2:8" x14ac:dyDescent="0.25">
      <c r="B42">
        <f t="shared" si="1"/>
        <v>34</v>
      </c>
      <c r="C42" t="str">
        <f t="shared" si="2"/>
        <v>Ref</v>
      </c>
      <c r="D42" t="str">
        <f t="shared" si="3"/>
        <v>Hi</v>
      </c>
      <c r="E42" t="s">
        <v>51</v>
      </c>
      <c r="F42" t="s">
        <v>52</v>
      </c>
      <c r="G42" t="s">
        <v>70</v>
      </c>
      <c r="H42" t="s">
        <v>52</v>
      </c>
    </row>
    <row r="43" spans="2:8" x14ac:dyDescent="0.25">
      <c r="B43">
        <f t="shared" si="1"/>
        <v>35</v>
      </c>
      <c r="C43" t="str">
        <f t="shared" si="2"/>
        <v>Lo</v>
      </c>
      <c r="D43" t="str">
        <f t="shared" si="3"/>
        <v>Hi</v>
      </c>
      <c r="E43" t="s">
        <v>51</v>
      </c>
      <c r="F43" t="s">
        <v>52</v>
      </c>
      <c r="G43" t="s">
        <v>70</v>
      </c>
      <c r="H43" t="s">
        <v>52</v>
      </c>
    </row>
    <row r="44" spans="2:8" x14ac:dyDescent="0.25">
      <c r="B44">
        <f t="shared" si="1"/>
        <v>36</v>
      </c>
      <c r="C44" t="str">
        <f t="shared" si="2"/>
        <v>Hi</v>
      </c>
      <c r="D44" t="str">
        <f t="shared" si="3"/>
        <v>Hi</v>
      </c>
      <c r="E44" t="s">
        <v>51</v>
      </c>
      <c r="F44" t="s">
        <v>52</v>
      </c>
      <c r="G44" t="s">
        <v>70</v>
      </c>
      <c r="H44" t="s">
        <v>52</v>
      </c>
    </row>
    <row r="45" spans="2:8" x14ac:dyDescent="0.25">
      <c r="B45">
        <f t="shared" si="1"/>
        <v>37</v>
      </c>
      <c r="C45" t="str">
        <f t="shared" si="2"/>
        <v>Ref</v>
      </c>
      <c r="D45" t="str">
        <f t="shared" si="3"/>
        <v>Ref</v>
      </c>
      <c r="E45" t="str">
        <f>E9</f>
        <v>Ref</v>
      </c>
      <c r="F45" t="s">
        <v>47</v>
      </c>
      <c r="G45" t="s">
        <v>70</v>
      </c>
      <c r="H45" t="s">
        <v>52</v>
      </c>
    </row>
    <row r="46" spans="2:8" x14ac:dyDescent="0.25">
      <c r="B46">
        <f t="shared" si="1"/>
        <v>38</v>
      </c>
      <c r="C46" t="str">
        <f t="shared" si="2"/>
        <v>Lo</v>
      </c>
      <c r="D46" t="str">
        <f t="shared" si="3"/>
        <v>Ref</v>
      </c>
      <c r="E46" t="str">
        <f t="shared" ref="E46:E109" si="4">E10</f>
        <v>Ref</v>
      </c>
      <c r="F46" t="s">
        <v>47</v>
      </c>
      <c r="G46" t="s">
        <v>70</v>
      </c>
      <c r="H46" t="s">
        <v>52</v>
      </c>
    </row>
    <row r="47" spans="2:8" x14ac:dyDescent="0.25">
      <c r="B47">
        <f t="shared" si="1"/>
        <v>39</v>
      </c>
      <c r="C47" t="str">
        <f t="shared" si="2"/>
        <v>Hi</v>
      </c>
      <c r="D47" t="str">
        <f t="shared" si="3"/>
        <v>Ref</v>
      </c>
      <c r="E47" t="str">
        <f t="shared" si="4"/>
        <v>Ref</v>
      </c>
      <c r="F47" t="s">
        <v>47</v>
      </c>
      <c r="G47" t="s">
        <v>70</v>
      </c>
      <c r="H47" t="s">
        <v>52</v>
      </c>
    </row>
    <row r="48" spans="2:8" x14ac:dyDescent="0.25">
      <c r="B48">
        <f t="shared" si="1"/>
        <v>40</v>
      </c>
      <c r="C48" t="str">
        <f t="shared" si="2"/>
        <v>Ref</v>
      </c>
      <c r="D48" t="str">
        <f t="shared" si="3"/>
        <v>Lo</v>
      </c>
      <c r="E48" t="str">
        <f t="shared" si="4"/>
        <v>Ref</v>
      </c>
      <c r="F48" t="s">
        <v>47</v>
      </c>
      <c r="G48" t="s">
        <v>70</v>
      </c>
      <c r="H48" t="s">
        <v>52</v>
      </c>
    </row>
    <row r="49" spans="2:8" x14ac:dyDescent="0.25">
      <c r="B49">
        <f t="shared" si="1"/>
        <v>41</v>
      </c>
      <c r="C49" t="str">
        <f t="shared" si="2"/>
        <v>Lo</v>
      </c>
      <c r="D49" t="str">
        <f t="shared" si="3"/>
        <v>Lo</v>
      </c>
      <c r="E49" t="str">
        <f t="shared" si="4"/>
        <v>Ref</v>
      </c>
      <c r="F49" t="s">
        <v>47</v>
      </c>
      <c r="G49" t="s">
        <v>70</v>
      </c>
      <c r="H49" t="s">
        <v>52</v>
      </c>
    </row>
    <row r="50" spans="2:8" x14ac:dyDescent="0.25">
      <c r="B50">
        <f t="shared" si="1"/>
        <v>42</v>
      </c>
      <c r="C50" t="str">
        <f t="shared" si="2"/>
        <v>Hi</v>
      </c>
      <c r="D50" t="str">
        <f t="shared" si="3"/>
        <v>Lo</v>
      </c>
      <c r="E50" t="str">
        <f t="shared" si="4"/>
        <v>Ref</v>
      </c>
      <c r="F50" t="s">
        <v>47</v>
      </c>
      <c r="G50" t="s">
        <v>70</v>
      </c>
      <c r="H50" t="s">
        <v>52</v>
      </c>
    </row>
    <row r="51" spans="2:8" x14ac:dyDescent="0.25">
      <c r="B51">
        <f t="shared" si="1"/>
        <v>43</v>
      </c>
      <c r="C51" t="str">
        <f t="shared" si="2"/>
        <v>Ref</v>
      </c>
      <c r="D51" t="str">
        <f t="shared" si="3"/>
        <v>Med</v>
      </c>
      <c r="E51" t="str">
        <f t="shared" si="4"/>
        <v>Ref</v>
      </c>
      <c r="F51" t="s">
        <v>47</v>
      </c>
      <c r="G51" t="s">
        <v>70</v>
      </c>
      <c r="H51" t="s">
        <v>52</v>
      </c>
    </row>
    <row r="52" spans="2:8" x14ac:dyDescent="0.25">
      <c r="B52">
        <f t="shared" si="1"/>
        <v>44</v>
      </c>
      <c r="C52" t="str">
        <f t="shared" si="2"/>
        <v>Lo</v>
      </c>
      <c r="D52" t="str">
        <f t="shared" si="3"/>
        <v>Med</v>
      </c>
      <c r="E52" t="str">
        <f t="shared" si="4"/>
        <v>Ref</v>
      </c>
      <c r="F52" t="s">
        <v>47</v>
      </c>
      <c r="G52" t="s">
        <v>70</v>
      </c>
      <c r="H52" t="s">
        <v>52</v>
      </c>
    </row>
    <row r="53" spans="2:8" x14ac:dyDescent="0.25">
      <c r="B53">
        <f t="shared" si="1"/>
        <v>45</v>
      </c>
      <c r="C53" t="str">
        <f t="shared" si="2"/>
        <v>Hi</v>
      </c>
      <c r="D53" t="str">
        <f t="shared" si="3"/>
        <v>Med</v>
      </c>
      <c r="E53" t="str">
        <f t="shared" si="4"/>
        <v>Ref</v>
      </c>
      <c r="F53" t="s">
        <v>47</v>
      </c>
      <c r="G53" t="s">
        <v>70</v>
      </c>
      <c r="H53" t="s">
        <v>52</v>
      </c>
    </row>
    <row r="54" spans="2:8" x14ac:dyDescent="0.25">
      <c r="B54">
        <f t="shared" si="1"/>
        <v>46</v>
      </c>
      <c r="C54" t="str">
        <f t="shared" si="2"/>
        <v>Ref</v>
      </c>
      <c r="D54" t="str">
        <f t="shared" si="3"/>
        <v>Hi</v>
      </c>
      <c r="E54" t="str">
        <f t="shared" si="4"/>
        <v>Ref</v>
      </c>
      <c r="F54" t="s">
        <v>47</v>
      </c>
      <c r="G54" t="s">
        <v>70</v>
      </c>
      <c r="H54" t="s">
        <v>52</v>
      </c>
    </row>
    <row r="55" spans="2:8" x14ac:dyDescent="0.25">
      <c r="B55">
        <f t="shared" si="1"/>
        <v>47</v>
      </c>
      <c r="C55" t="str">
        <f t="shared" si="2"/>
        <v>Lo</v>
      </c>
      <c r="D55" t="str">
        <f t="shared" si="3"/>
        <v>Hi</v>
      </c>
      <c r="E55" t="str">
        <f t="shared" si="4"/>
        <v>Ref</v>
      </c>
      <c r="F55" t="s">
        <v>47</v>
      </c>
      <c r="G55" t="s">
        <v>70</v>
      </c>
      <c r="H55" t="s">
        <v>52</v>
      </c>
    </row>
    <row r="56" spans="2:8" x14ac:dyDescent="0.25">
      <c r="B56">
        <f t="shared" si="1"/>
        <v>48</v>
      </c>
      <c r="C56" t="str">
        <f t="shared" si="2"/>
        <v>Hi</v>
      </c>
      <c r="D56" t="str">
        <f t="shared" si="3"/>
        <v>Hi</v>
      </c>
      <c r="E56" t="str">
        <f t="shared" si="4"/>
        <v>Ref</v>
      </c>
      <c r="F56" t="s">
        <v>47</v>
      </c>
      <c r="G56" t="s">
        <v>70</v>
      </c>
      <c r="H56" t="s">
        <v>52</v>
      </c>
    </row>
    <row r="57" spans="2:8" x14ac:dyDescent="0.25">
      <c r="B57">
        <f t="shared" si="1"/>
        <v>49</v>
      </c>
      <c r="C57" t="str">
        <f t="shared" si="2"/>
        <v>Ref</v>
      </c>
      <c r="D57" t="str">
        <f t="shared" si="3"/>
        <v>Ref</v>
      </c>
      <c r="E57" t="str">
        <f t="shared" si="4"/>
        <v>Lo</v>
      </c>
      <c r="F57" t="s">
        <v>47</v>
      </c>
      <c r="G57" t="s">
        <v>70</v>
      </c>
      <c r="H57" t="s">
        <v>52</v>
      </c>
    </row>
    <row r="58" spans="2:8" x14ac:dyDescent="0.25">
      <c r="B58">
        <f t="shared" si="1"/>
        <v>50</v>
      </c>
      <c r="C58" t="str">
        <f t="shared" si="2"/>
        <v>Lo</v>
      </c>
      <c r="D58" t="str">
        <f t="shared" si="3"/>
        <v>Ref</v>
      </c>
      <c r="E58" t="str">
        <f t="shared" si="4"/>
        <v>Lo</v>
      </c>
      <c r="F58" t="s">
        <v>47</v>
      </c>
      <c r="G58" t="s">
        <v>70</v>
      </c>
      <c r="H58" t="s">
        <v>52</v>
      </c>
    </row>
    <row r="59" spans="2:8" x14ac:dyDescent="0.25">
      <c r="B59">
        <f t="shared" si="1"/>
        <v>51</v>
      </c>
      <c r="C59" t="str">
        <f t="shared" si="2"/>
        <v>Hi</v>
      </c>
      <c r="D59" t="str">
        <f t="shared" si="3"/>
        <v>Ref</v>
      </c>
      <c r="E59" t="str">
        <f t="shared" si="4"/>
        <v>Lo</v>
      </c>
      <c r="F59" t="s">
        <v>47</v>
      </c>
      <c r="G59" t="s">
        <v>70</v>
      </c>
      <c r="H59" t="s">
        <v>52</v>
      </c>
    </row>
    <row r="60" spans="2:8" x14ac:dyDescent="0.25">
      <c r="B60">
        <f t="shared" si="1"/>
        <v>52</v>
      </c>
      <c r="C60" t="str">
        <f t="shared" si="2"/>
        <v>Ref</v>
      </c>
      <c r="D60" t="str">
        <f t="shared" si="3"/>
        <v>Lo</v>
      </c>
      <c r="E60" t="str">
        <f t="shared" si="4"/>
        <v>Lo</v>
      </c>
      <c r="F60" t="s">
        <v>47</v>
      </c>
      <c r="G60" t="s">
        <v>70</v>
      </c>
      <c r="H60" t="s">
        <v>52</v>
      </c>
    </row>
    <row r="61" spans="2:8" x14ac:dyDescent="0.25">
      <c r="B61">
        <f t="shared" si="1"/>
        <v>53</v>
      </c>
      <c r="C61" t="str">
        <f t="shared" si="2"/>
        <v>Lo</v>
      </c>
      <c r="D61" t="str">
        <f t="shared" si="3"/>
        <v>Lo</v>
      </c>
      <c r="E61" t="str">
        <f t="shared" si="4"/>
        <v>Lo</v>
      </c>
      <c r="F61" t="s">
        <v>47</v>
      </c>
      <c r="G61" t="s">
        <v>70</v>
      </c>
      <c r="H61" t="s">
        <v>52</v>
      </c>
    </row>
    <row r="62" spans="2:8" x14ac:dyDescent="0.25">
      <c r="B62">
        <f t="shared" si="1"/>
        <v>54</v>
      </c>
      <c r="C62" t="str">
        <f t="shared" si="2"/>
        <v>Hi</v>
      </c>
      <c r="D62" t="str">
        <f t="shared" si="3"/>
        <v>Lo</v>
      </c>
      <c r="E62" t="str">
        <f t="shared" si="4"/>
        <v>Lo</v>
      </c>
      <c r="F62" t="s">
        <v>47</v>
      </c>
      <c r="G62" t="s">
        <v>70</v>
      </c>
      <c r="H62" t="s">
        <v>52</v>
      </c>
    </row>
    <row r="63" spans="2:8" x14ac:dyDescent="0.25">
      <c r="B63">
        <f t="shared" si="1"/>
        <v>55</v>
      </c>
      <c r="C63" t="str">
        <f t="shared" si="2"/>
        <v>Ref</v>
      </c>
      <c r="D63" t="str">
        <f t="shared" si="3"/>
        <v>Med</v>
      </c>
      <c r="E63" t="str">
        <f t="shared" si="4"/>
        <v>Lo</v>
      </c>
      <c r="F63" t="s">
        <v>47</v>
      </c>
      <c r="G63" t="s">
        <v>70</v>
      </c>
      <c r="H63" t="s">
        <v>52</v>
      </c>
    </row>
    <row r="64" spans="2:8" x14ac:dyDescent="0.25">
      <c r="B64">
        <f t="shared" si="1"/>
        <v>56</v>
      </c>
      <c r="C64" t="str">
        <f t="shared" si="2"/>
        <v>Lo</v>
      </c>
      <c r="D64" t="str">
        <f t="shared" si="3"/>
        <v>Med</v>
      </c>
      <c r="E64" t="str">
        <f t="shared" si="4"/>
        <v>Lo</v>
      </c>
      <c r="F64" t="s">
        <v>47</v>
      </c>
      <c r="G64" t="s">
        <v>70</v>
      </c>
      <c r="H64" t="s">
        <v>52</v>
      </c>
    </row>
    <row r="65" spans="2:8" x14ac:dyDescent="0.25">
      <c r="B65">
        <f t="shared" si="1"/>
        <v>57</v>
      </c>
      <c r="C65" t="str">
        <f t="shared" si="2"/>
        <v>Hi</v>
      </c>
      <c r="D65" t="str">
        <f t="shared" si="3"/>
        <v>Med</v>
      </c>
      <c r="E65" t="str">
        <f t="shared" si="4"/>
        <v>Lo</v>
      </c>
      <c r="F65" t="s">
        <v>47</v>
      </c>
      <c r="G65" t="s">
        <v>70</v>
      </c>
      <c r="H65" t="s">
        <v>52</v>
      </c>
    </row>
    <row r="66" spans="2:8" x14ac:dyDescent="0.25">
      <c r="B66">
        <f t="shared" si="1"/>
        <v>58</v>
      </c>
      <c r="C66" t="str">
        <f t="shared" si="2"/>
        <v>Ref</v>
      </c>
      <c r="D66" t="str">
        <f t="shared" si="3"/>
        <v>Hi</v>
      </c>
      <c r="E66" t="str">
        <f t="shared" si="4"/>
        <v>Lo</v>
      </c>
      <c r="F66" t="s">
        <v>47</v>
      </c>
      <c r="G66" t="s">
        <v>70</v>
      </c>
      <c r="H66" t="s">
        <v>52</v>
      </c>
    </row>
    <row r="67" spans="2:8" x14ac:dyDescent="0.25">
      <c r="B67">
        <f t="shared" si="1"/>
        <v>59</v>
      </c>
      <c r="C67" t="str">
        <f t="shared" si="2"/>
        <v>Lo</v>
      </c>
      <c r="D67" t="str">
        <f t="shared" si="3"/>
        <v>Hi</v>
      </c>
      <c r="E67" t="str">
        <f t="shared" si="4"/>
        <v>Lo</v>
      </c>
      <c r="F67" t="s">
        <v>47</v>
      </c>
      <c r="G67" t="s">
        <v>70</v>
      </c>
      <c r="H67" t="s">
        <v>52</v>
      </c>
    </row>
    <row r="68" spans="2:8" x14ac:dyDescent="0.25">
      <c r="B68">
        <f t="shared" si="1"/>
        <v>60</v>
      </c>
      <c r="C68" t="str">
        <f t="shared" si="2"/>
        <v>Hi</v>
      </c>
      <c r="D68" t="str">
        <f t="shared" si="3"/>
        <v>Hi</v>
      </c>
      <c r="E68" t="str">
        <f t="shared" si="4"/>
        <v>Lo</v>
      </c>
      <c r="F68" t="s">
        <v>47</v>
      </c>
      <c r="G68" t="s">
        <v>70</v>
      </c>
      <c r="H68" t="s">
        <v>52</v>
      </c>
    </row>
    <row r="69" spans="2:8" x14ac:dyDescent="0.25">
      <c r="B69">
        <f t="shared" si="1"/>
        <v>61</v>
      </c>
      <c r="C69" t="str">
        <f t="shared" si="2"/>
        <v>Ref</v>
      </c>
      <c r="D69" t="str">
        <f t="shared" si="3"/>
        <v>Ref</v>
      </c>
      <c r="E69" t="str">
        <f t="shared" si="4"/>
        <v>Hi</v>
      </c>
      <c r="F69" t="s">
        <v>47</v>
      </c>
      <c r="G69" t="s">
        <v>70</v>
      </c>
      <c r="H69" t="s">
        <v>52</v>
      </c>
    </row>
    <row r="70" spans="2:8" x14ac:dyDescent="0.25">
      <c r="B70">
        <f t="shared" si="1"/>
        <v>62</v>
      </c>
      <c r="C70" t="str">
        <f t="shared" si="2"/>
        <v>Lo</v>
      </c>
      <c r="D70" t="str">
        <f t="shared" si="3"/>
        <v>Ref</v>
      </c>
      <c r="E70" t="str">
        <f t="shared" si="4"/>
        <v>Hi</v>
      </c>
      <c r="F70" t="s">
        <v>47</v>
      </c>
      <c r="G70" t="s">
        <v>70</v>
      </c>
      <c r="H70" t="s">
        <v>52</v>
      </c>
    </row>
    <row r="71" spans="2:8" x14ac:dyDescent="0.25">
      <c r="B71">
        <f t="shared" si="1"/>
        <v>63</v>
      </c>
      <c r="C71" t="str">
        <f t="shared" si="2"/>
        <v>Hi</v>
      </c>
      <c r="D71" t="str">
        <f t="shared" si="3"/>
        <v>Ref</v>
      </c>
      <c r="E71" t="str">
        <f t="shared" si="4"/>
        <v>Hi</v>
      </c>
      <c r="F71" t="s">
        <v>47</v>
      </c>
      <c r="G71" t="s">
        <v>70</v>
      </c>
      <c r="H71" t="s">
        <v>52</v>
      </c>
    </row>
    <row r="72" spans="2:8" x14ac:dyDescent="0.25">
      <c r="B72">
        <f t="shared" si="1"/>
        <v>64</v>
      </c>
      <c r="C72" t="str">
        <f t="shared" si="2"/>
        <v>Ref</v>
      </c>
      <c r="D72" t="str">
        <f t="shared" si="3"/>
        <v>Lo</v>
      </c>
      <c r="E72" t="str">
        <f t="shared" si="4"/>
        <v>Hi</v>
      </c>
      <c r="F72" t="s">
        <v>47</v>
      </c>
      <c r="G72" t="s">
        <v>70</v>
      </c>
      <c r="H72" t="s">
        <v>52</v>
      </c>
    </row>
    <row r="73" spans="2:8" x14ac:dyDescent="0.25">
      <c r="B73">
        <f t="shared" si="1"/>
        <v>65</v>
      </c>
      <c r="C73" t="str">
        <f t="shared" si="2"/>
        <v>Lo</v>
      </c>
      <c r="D73" t="str">
        <f t="shared" si="3"/>
        <v>Lo</v>
      </c>
      <c r="E73" t="str">
        <f t="shared" si="4"/>
        <v>Hi</v>
      </c>
      <c r="F73" t="s">
        <v>47</v>
      </c>
      <c r="G73" t="s">
        <v>70</v>
      </c>
      <c r="H73" t="s">
        <v>52</v>
      </c>
    </row>
    <row r="74" spans="2:8" x14ac:dyDescent="0.25">
      <c r="B74">
        <f t="shared" si="1"/>
        <v>66</v>
      </c>
      <c r="C74" t="str">
        <f t="shared" si="2"/>
        <v>Hi</v>
      </c>
      <c r="D74" t="str">
        <f t="shared" si="3"/>
        <v>Lo</v>
      </c>
      <c r="E74" t="str">
        <f t="shared" si="4"/>
        <v>Hi</v>
      </c>
      <c r="F74" t="s">
        <v>47</v>
      </c>
      <c r="G74" t="s">
        <v>70</v>
      </c>
      <c r="H74" t="s">
        <v>52</v>
      </c>
    </row>
    <row r="75" spans="2:8" x14ac:dyDescent="0.25">
      <c r="B75">
        <f t="shared" ref="B75:B85" si="5">B74+1</f>
        <v>67</v>
      </c>
      <c r="C75" t="str">
        <f t="shared" si="2"/>
        <v>Ref</v>
      </c>
      <c r="D75" t="str">
        <f t="shared" si="3"/>
        <v>Med</v>
      </c>
      <c r="E75" t="str">
        <f t="shared" si="4"/>
        <v>Hi</v>
      </c>
      <c r="F75" t="s">
        <v>47</v>
      </c>
      <c r="G75" t="s">
        <v>70</v>
      </c>
      <c r="H75" t="s">
        <v>52</v>
      </c>
    </row>
    <row r="76" spans="2:8" x14ac:dyDescent="0.25">
      <c r="B76">
        <f t="shared" si="5"/>
        <v>68</v>
      </c>
      <c r="C76" t="str">
        <f t="shared" si="2"/>
        <v>Lo</v>
      </c>
      <c r="D76" t="str">
        <f t="shared" si="3"/>
        <v>Med</v>
      </c>
      <c r="E76" t="str">
        <f t="shared" si="4"/>
        <v>Hi</v>
      </c>
      <c r="F76" t="s">
        <v>47</v>
      </c>
      <c r="G76" t="s">
        <v>70</v>
      </c>
      <c r="H76" t="s">
        <v>52</v>
      </c>
    </row>
    <row r="77" spans="2:8" x14ac:dyDescent="0.25">
      <c r="B77">
        <f t="shared" si="5"/>
        <v>69</v>
      </c>
      <c r="C77" t="str">
        <f t="shared" ref="C77:C116" si="6">C74</f>
        <v>Hi</v>
      </c>
      <c r="D77" t="str">
        <f t="shared" si="3"/>
        <v>Med</v>
      </c>
      <c r="E77" t="str">
        <f t="shared" si="4"/>
        <v>Hi</v>
      </c>
      <c r="F77" t="s">
        <v>47</v>
      </c>
      <c r="G77" t="s">
        <v>70</v>
      </c>
      <c r="H77" t="s">
        <v>52</v>
      </c>
    </row>
    <row r="78" spans="2:8" x14ac:dyDescent="0.25">
      <c r="B78">
        <f t="shared" si="5"/>
        <v>70</v>
      </c>
      <c r="C78" t="str">
        <f t="shared" si="6"/>
        <v>Ref</v>
      </c>
      <c r="D78" t="str">
        <f t="shared" si="3"/>
        <v>Hi</v>
      </c>
      <c r="E78" t="str">
        <f t="shared" si="4"/>
        <v>Hi</v>
      </c>
      <c r="F78" t="s">
        <v>47</v>
      </c>
      <c r="G78" t="s">
        <v>70</v>
      </c>
      <c r="H78" t="s">
        <v>52</v>
      </c>
    </row>
    <row r="79" spans="2:8" x14ac:dyDescent="0.25">
      <c r="B79">
        <f t="shared" si="5"/>
        <v>71</v>
      </c>
      <c r="C79" t="str">
        <f t="shared" si="6"/>
        <v>Lo</v>
      </c>
      <c r="D79" t="str">
        <f t="shared" si="3"/>
        <v>Hi</v>
      </c>
      <c r="E79" t="str">
        <f t="shared" si="4"/>
        <v>Hi</v>
      </c>
      <c r="F79" t="s">
        <v>47</v>
      </c>
      <c r="G79" t="s">
        <v>70</v>
      </c>
      <c r="H79" t="s">
        <v>52</v>
      </c>
    </row>
    <row r="80" spans="2:8" x14ac:dyDescent="0.25">
      <c r="B80">
        <f t="shared" si="5"/>
        <v>72</v>
      </c>
      <c r="C80" t="str">
        <f t="shared" si="6"/>
        <v>Hi</v>
      </c>
      <c r="D80" t="str">
        <f t="shared" si="3"/>
        <v>Hi</v>
      </c>
      <c r="E80" t="str">
        <f t="shared" si="4"/>
        <v>Hi</v>
      </c>
      <c r="F80" t="s">
        <v>47</v>
      </c>
      <c r="G80" t="s">
        <v>70</v>
      </c>
      <c r="H80" t="s">
        <v>52</v>
      </c>
    </row>
    <row r="81" spans="2:8" x14ac:dyDescent="0.25">
      <c r="B81">
        <f t="shared" si="5"/>
        <v>73</v>
      </c>
      <c r="C81" t="str">
        <f t="shared" si="6"/>
        <v>Ref</v>
      </c>
      <c r="D81" t="str">
        <f t="shared" si="3"/>
        <v>Ref</v>
      </c>
      <c r="E81" t="str">
        <f t="shared" si="4"/>
        <v>Ref</v>
      </c>
      <c r="F81" t="s">
        <v>51</v>
      </c>
      <c r="G81" t="s">
        <v>70</v>
      </c>
      <c r="H81" t="s">
        <v>52</v>
      </c>
    </row>
    <row r="82" spans="2:8" x14ac:dyDescent="0.25">
      <c r="B82">
        <f t="shared" si="5"/>
        <v>74</v>
      </c>
      <c r="C82" t="str">
        <f t="shared" si="6"/>
        <v>Lo</v>
      </c>
      <c r="D82" t="str">
        <f t="shared" si="3"/>
        <v>Ref</v>
      </c>
      <c r="E82" t="str">
        <f t="shared" si="4"/>
        <v>Ref</v>
      </c>
      <c r="F82" t="s">
        <v>51</v>
      </c>
      <c r="G82" t="s">
        <v>70</v>
      </c>
      <c r="H82" t="s">
        <v>52</v>
      </c>
    </row>
    <row r="83" spans="2:8" x14ac:dyDescent="0.25">
      <c r="B83">
        <f t="shared" si="5"/>
        <v>75</v>
      </c>
      <c r="C83" t="str">
        <f t="shared" si="6"/>
        <v>Hi</v>
      </c>
      <c r="D83" t="str">
        <f t="shared" si="3"/>
        <v>Ref</v>
      </c>
      <c r="E83" t="str">
        <f t="shared" si="4"/>
        <v>Ref</v>
      </c>
      <c r="F83" t="s">
        <v>51</v>
      </c>
      <c r="G83" t="s">
        <v>70</v>
      </c>
      <c r="H83" t="s">
        <v>52</v>
      </c>
    </row>
    <row r="84" spans="2:8" x14ac:dyDescent="0.25">
      <c r="B84">
        <f t="shared" si="5"/>
        <v>76</v>
      </c>
      <c r="C84" t="str">
        <f t="shared" si="6"/>
        <v>Ref</v>
      </c>
      <c r="D84" t="str">
        <f t="shared" si="3"/>
        <v>Lo</v>
      </c>
      <c r="E84" t="str">
        <f t="shared" si="4"/>
        <v>Ref</v>
      </c>
      <c r="F84" t="s">
        <v>51</v>
      </c>
      <c r="G84" t="s">
        <v>70</v>
      </c>
      <c r="H84" t="s">
        <v>52</v>
      </c>
    </row>
    <row r="85" spans="2:8" x14ac:dyDescent="0.25">
      <c r="B85">
        <f t="shared" si="5"/>
        <v>77</v>
      </c>
      <c r="C85" t="str">
        <f t="shared" si="6"/>
        <v>Lo</v>
      </c>
      <c r="D85" t="str">
        <f t="shared" si="3"/>
        <v>Lo</v>
      </c>
      <c r="E85" t="str">
        <f t="shared" si="4"/>
        <v>Ref</v>
      </c>
      <c r="F85" t="s">
        <v>51</v>
      </c>
      <c r="G85" t="s">
        <v>70</v>
      </c>
      <c r="H85" t="s">
        <v>52</v>
      </c>
    </row>
    <row r="86" spans="2:8" x14ac:dyDescent="0.25">
      <c r="B86">
        <f t="shared" ref="B86:B149" si="7">B85+1</f>
        <v>78</v>
      </c>
      <c r="C86" t="str">
        <f t="shared" si="6"/>
        <v>Hi</v>
      </c>
      <c r="D86" t="str">
        <f t="shared" si="3"/>
        <v>Lo</v>
      </c>
      <c r="E86" t="str">
        <f t="shared" si="4"/>
        <v>Ref</v>
      </c>
      <c r="F86" t="s">
        <v>51</v>
      </c>
      <c r="G86" t="s">
        <v>70</v>
      </c>
      <c r="H86" t="s">
        <v>52</v>
      </c>
    </row>
    <row r="87" spans="2:8" x14ac:dyDescent="0.25">
      <c r="B87">
        <f t="shared" si="7"/>
        <v>79</v>
      </c>
      <c r="C87" t="str">
        <f t="shared" si="6"/>
        <v>Ref</v>
      </c>
      <c r="D87" t="str">
        <f t="shared" ref="D87:D116" si="8">D75</f>
        <v>Med</v>
      </c>
      <c r="E87" t="str">
        <f t="shared" si="4"/>
        <v>Ref</v>
      </c>
      <c r="F87" t="s">
        <v>51</v>
      </c>
      <c r="G87" t="s">
        <v>70</v>
      </c>
      <c r="H87" t="s">
        <v>52</v>
      </c>
    </row>
    <row r="88" spans="2:8" x14ac:dyDescent="0.25">
      <c r="B88">
        <f t="shared" si="7"/>
        <v>80</v>
      </c>
      <c r="C88" t="str">
        <f t="shared" si="6"/>
        <v>Lo</v>
      </c>
      <c r="D88" t="str">
        <f t="shared" si="8"/>
        <v>Med</v>
      </c>
      <c r="E88" t="str">
        <f t="shared" si="4"/>
        <v>Ref</v>
      </c>
      <c r="F88" t="s">
        <v>51</v>
      </c>
      <c r="G88" t="s">
        <v>70</v>
      </c>
      <c r="H88" t="s">
        <v>52</v>
      </c>
    </row>
    <row r="89" spans="2:8" x14ac:dyDescent="0.25">
      <c r="B89">
        <f t="shared" si="7"/>
        <v>81</v>
      </c>
      <c r="C89" t="str">
        <f t="shared" si="6"/>
        <v>Hi</v>
      </c>
      <c r="D89" t="str">
        <f t="shared" si="8"/>
        <v>Med</v>
      </c>
      <c r="E89" t="str">
        <f t="shared" si="4"/>
        <v>Ref</v>
      </c>
      <c r="F89" t="s">
        <v>51</v>
      </c>
      <c r="G89" t="s">
        <v>70</v>
      </c>
      <c r="H89" t="s">
        <v>52</v>
      </c>
    </row>
    <row r="90" spans="2:8" x14ac:dyDescent="0.25">
      <c r="B90">
        <f t="shared" si="7"/>
        <v>82</v>
      </c>
      <c r="C90" t="str">
        <f t="shared" si="6"/>
        <v>Ref</v>
      </c>
      <c r="D90" t="str">
        <f t="shared" si="8"/>
        <v>Hi</v>
      </c>
      <c r="E90" t="str">
        <f t="shared" si="4"/>
        <v>Ref</v>
      </c>
      <c r="F90" t="s">
        <v>51</v>
      </c>
      <c r="G90" t="s">
        <v>70</v>
      </c>
      <c r="H90" t="s">
        <v>52</v>
      </c>
    </row>
    <row r="91" spans="2:8" x14ac:dyDescent="0.25">
      <c r="B91">
        <f t="shared" si="7"/>
        <v>83</v>
      </c>
      <c r="C91" t="str">
        <f t="shared" si="6"/>
        <v>Lo</v>
      </c>
      <c r="D91" t="str">
        <f t="shared" si="8"/>
        <v>Hi</v>
      </c>
      <c r="E91" t="str">
        <f t="shared" si="4"/>
        <v>Ref</v>
      </c>
      <c r="F91" t="s">
        <v>51</v>
      </c>
      <c r="G91" t="s">
        <v>70</v>
      </c>
      <c r="H91" t="s">
        <v>52</v>
      </c>
    </row>
    <row r="92" spans="2:8" x14ac:dyDescent="0.25">
      <c r="B92">
        <f t="shared" si="7"/>
        <v>84</v>
      </c>
      <c r="C92" t="str">
        <f t="shared" si="6"/>
        <v>Hi</v>
      </c>
      <c r="D92" t="str">
        <f t="shared" si="8"/>
        <v>Hi</v>
      </c>
      <c r="E92" t="str">
        <f t="shared" si="4"/>
        <v>Ref</v>
      </c>
      <c r="F92" t="s">
        <v>51</v>
      </c>
      <c r="G92" t="s">
        <v>70</v>
      </c>
      <c r="H92" t="s">
        <v>52</v>
      </c>
    </row>
    <row r="93" spans="2:8" x14ac:dyDescent="0.25">
      <c r="B93">
        <f t="shared" si="7"/>
        <v>85</v>
      </c>
      <c r="C93" t="str">
        <f t="shared" si="6"/>
        <v>Ref</v>
      </c>
      <c r="D93" t="str">
        <f t="shared" si="8"/>
        <v>Ref</v>
      </c>
      <c r="E93" t="str">
        <f t="shared" si="4"/>
        <v>Lo</v>
      </c>
      <c r="F93" t="s">
        <v>51</v>
      </c>
      <c r="G93" t="s">
        <v>70</v>
      </c>
      <c r="H93" t="s">
        <v>52</v>
      </c>
    </row>
    <row r="94" spans="2:8" x14ac:dyDescent="0.25">
      <c r="B94">
        <f t="shared" si="7"/>
        <v>86</v>
      </c>
      <c r="C94" t="str">
        <f t="shared" si="6"/>
        <v>Lo</v>
      </c>
      <c r="D94" t="str">
        <f t="shared" si="8"/>
        <v>Ref</v>
      </c>
      <c r="E94" t="str">
        <f t="shared" si="4"/>
        <v>Lo</v>
      </c>
      <c r="F94" t="s">
        <v>51</v>
      </c>
      <c r="G94" t="s">
        <v>70</v>
      </c>
      <c r="H94" t="s">
        <v>52</v>
      </c>
    </row>
    <row r="95" spans="2:8" x14ac:dyDescent="0.25">
      <c r="B95">
        <f t="shared" si="7"/>
        <v>87</v>
      </c>
      <c r="C95" t="str">
        <f t="shared" si="6"/>
        <v>Hi</v>
      </c>
      <c r="D95" t="str">
        <f t="shared" si="8"/>
        <v>Ref</v>
      </c>
      <c r="E95" t="str">
        <f t="shared" si="4"/>
        <v>Lo</v>
      </c>
      <c r="F95" t="s">
        <v>51</v>
      </c>
      <c r="G95" t="s">
        <v>70</v>
      </c>
      <c r="H95" t="s">
        <v>52</v>
      </c>
    </row>
    <row r="96" spans="2:8" x14ac:dyDescent="0.25">
      <c r="B96">
        <f t="shared" si="7"/>
        <v>88</v>
      </c>
      <c r="C96" t="str">
        <f t="shared" si="6"/>
        <v>Ref</v>
      </c>
      <c r="D96" t="str">
        <f t="shared" si="8"/>
        <v>Lo</v>
      </c>
      <c r="E96" t="str">
        <f t="shared" si="4"/>
        <v>Lo</v>
      </c>
      <c r="F96" t="s">
        <v>51</v>
      </c>
      <c r="G96" t="s">
        <v>70</v>
      </c>
      <c r="H96" t="s">
        <v>52</v>
      </c>
    </row>
    <row r="97" spans="2:8" x14ac:dyDescent="0.25">
      <c r="B97">
        <f t="shared" si="7"/>
        <v>89</v>
      </c>
      <c r="C97" t="str">
        <f t="shared" si="6"/>
        <v>Lo</v>
      </c>
      <c r="D97" t="str">
        <f t="shared" si="8"/>
        <v>Lo</v>
      </c>
      <c r="E97" t="str">
        <f t="shared" si="4"/>
        <v>Lo</v>
      </c>
      <c r="F97" t="s">
        <v>51</v>
      </c>
      <c r="G97" t="s">
        <v>70</v>
      </c>
      <c r="H97" t="s">
        <v>52</v>
      </c>
    </row>
    <row r="98" spans="2:8" x14ac:dyDescent="0.25">
      <c r="B98">
        <f t="shared" si="7"/>
        <v>90</v>
      </c>
      <c r="C98" t="str">
        <f t="shared" si="6"/>
        <v>Hi</v>
      </c>
      <c r="D98" t="str">
        <f t="shared" si="8"/>
        <v>Lo</v>
      </c>
      <c r="E98" t="str">
        <f t="shared" si="4"/>
        <v>Lo</v>
      </c>
      <c r="F98" t="s">
        <v>51</v>
      </c>
      <c r="G98" t="s">
        <v>70</v>
      </c>
      <c r="H98" t="s">
        <v>52</v>
      </c>
    </row>
    <row r="99" spans="2:8" x14ac:dyDescent="0.25">
      <c r="B99">
        <f t="shared" si="7"/>
        <v>91</v>
      </c>
      <c r="C99" t="str">
        <f t="shared" si="6"/>
        <v>Ref</v>
      </c>
      <c r="D99" t="str">
        <f t="shared" si="8"/>
        <v>Med</v>
      </c>
      <c r="E99" t="str">
        <f t="shared" si="4"/>
        <v>Lo</v>
      </c>
      <c r="F99" t="s">
        <v>51</v>
      </c>
      <c r="G99" t="s">
        <v>70</v>
      </c>
      <c r="H99" t="s">
        <v>52</v>
      </c>
    </row>
    <row r="100" spans="2:8" x14ac:dyDescent="0.25">
      <c r="B100">
        <f t="shared" si="7"/>
        <v>92</v>
      </c>
      <c r="C100" t="str">
        <f t="shared" si="6"/>
        <v>Lo</v>
      </c>
      <c r="D100" t="str">
        <f t="shared" si="8"/>
        <v>Med</v>
      </c>
      <c r="E100" t="str">
        <f t="shared" si="4"/>
        <v>Lo</v>
      </c>
      <c r="F100" t="s">
        <v>51</v>
      </c>
      <c r="G100" t="s">
        <v>70</v>
      </c>
      <c r="H100" t="s">
        <v>52</v>
      </c>
    </row>
    <row r="101" spans="2:8" x14ac:dyDescent="0.25">
      <c r="B101">
        <f t="shared" si="7"/>
        <v>93</v>
      </c>
      <c r="C101" t="str">
        <f t="shared" si="6"/>
        <v>Hi</v>
      </c>
      <c r="D101" t="str">
        <f t="shared" si="8"/>
        <v>Med</v>
      </c>
      <c r="E101" t="str">
        <f t="shared" si="4"/>
        <v>Lo</v>
      </c>
      <c r="F101" t="s">
        <v>51</v>
      </c>
      <c r="G101" t="s">
        <v>70</v>
      </c>
      <c r="H101" t="s">
        <v>52</v>
      </c>
    </row>
    <row r="102" spans="2:8" x14ac:dyDescent="0.25">
      <c r="B102">
        <f t="shared" si="7"/>
        <v>94</v>
      </c>
      <c r="C102" t="str">
        <f t="shared" si="6"/>
        <v>Ref</v>
      </c>
      <c r="D102" t="str">
        <f t="shared" si="8"/>
        <v>Hi</v>
      </c>
      <c r="E102" t="str">
        <f t="shared" si="4"/>
        <v>Lo</v>
      </c>
      <c r="F102" t="s">
        <v>51</v>
      </c>
      <c r="G102" t="s">
        <v>70</v>
      </c>
      <c r="H102" t="s">
        <v>52</v>
      </c>
    </row>
    <row r="103" spans="2:8" x14ac:dyDescent="0.25">
      <c r="B103">
        <f t="shared" si="7"/>
        <v>95</v>
      </c>
      <c r="C103" t="str">
        <f t="shared" si="6"/>
        <v>Lo</v>
      </c>
      <c r="D103" t="str">
        <f t="shared" si="8"/>
        <v>Hi</v>
      </c>
      <c r="E103" t="str">
        <f t="shared" si="4"/>
        <v>Lo</v>
      </c>
      <c r="F103" t="s">
        <v>51</v>
      </c>
      <c r="G103" t="s">
        <v>70</v>
      </c>
      <c r="H103" t="s">
        <v>52</v>
      </c>
    </row>
    <row r="104" spans="2:8" x14ac:dyDescent="0.25">
      <c r="B104">
        <f t="shared" si="7"/>
        <v>96</v>
      </c>
      <c r="C104" t="str">
        <f t="shared" si="6"/>
        <v>Hi</v>
      </c>
      <c r="D104" t="str">
        <f t="shared" si="8"/>
        <v>Hi</v>
      </c>
      <c r="E104" t="str">
        <f t="shared" si="4"/>
        <v>Lo</v>
      </c>
      <c r="F104" t="s">
        <v>51</v>
      </c>
      <c r="G104" t="s">
        <v>70</v>
      </c>
      <c r="H104" t="s">
        <v>52</v>
      </c>
    </row>
    <row r="105" spans="2:8" x14ac:dyDescent="0.25">
      <c r="B105">
        <f t="shared" si="7"/>
        <v>97</v>
      </c>
      <c r="C105" t="str">
        <f t="shared" si="6"/>
        <v>Ref</v>
      </c>
      <c r="D105" t="str">
        <f t="shared" si="8"/>
        <v>Ref</v>
      </c>
      <c r="E105" t="str">
        <f t="shared" si="4"/>
        <v>Hi</v>
      </c>
      <c r="F105" t="s">
        <v>51</v>
      </c>
      <c r="G105" t="s">
        <v>70</v>
      </c>
      <c r="H105" t="s">
        <v>52</v>
      </c>
    </row>
    <row r="106" spans="2:8" x14ac:dyDescent="0.25">
      <c r="B106">
        <f t="shared" si="7"/>
        <v>98</v>
      </c>
      <c r="C106" t="str">
        <f t="shared" si="6"/>
        <v>Lo</v>
      </c>
      <c r="D106" t="str">
        <f t="shared" si="8"/>
        <v>Ref</v>
      </c>
      <c r="E106" t="str">
        <f t="shared" si="4"/>
        <v>Hi</v>
      </c>
      <c r="F106" t="s">
        <v>51</v>
      </c>
      <c r="G106" t="s">
        <v>70</v>
      </c>
      <c r="H106" t="s">
        <v>52</v>
      </c>
    </row>
    <row r="107" spans="2:8" x14ac:dyDescent="0.25">
      <c r="B107">
        <f t="shared" si="7"/>
        <v>99</v>
      </c>
      <c r="C107" t="str">
        <f t="shared" si="6"/>
        <v>Hi</v>
      </c>
      <c r="D107" t="str">
        <f t="shared" si="8"/>
        <v>Ref</v>
      </c>
      <c r="E107" t="str">
        <f t="shared" si="4"/>
        <v>Hi</v>
      </c>
      <c r="F107" t="s">
        <v>51</v>
      </c>
      <c r="G107" t="s">
        <v>70</v>
      </c>
      <c r="H107" t="s">
        <v>52</v>
      </c>
    </row>
    <row r="108" spans="2:8" x14ac:dyDescent="0.25">
      <c r="B108">
        <f t="shared" si="7"/>
        <v>100</v>
      </c>
      <c r="C108" t="str">
        <f t="shared" si="6"/>
        <v>Ref</v>
      </c>
      <c r="D108" t="str">
        <f t="shared" si="8"/>
        <v>Lo</v>
      </c>
      <c r="E108" t="str">
        <f t="shared" si="4"/>
        <v>Hi</v>
      </c>
      <c r="F108" t="s">
        <v>51</v>
      </c>
      <c r="G108" t="s">
        <v>70</v>
      </c>
      <c r="H108" t="s">
        <v>52</v>
      </c>
    </row>
    <row r="109" spans="2:8" x14ac:dyDescent="0.25">
      <c r="B109">
        <f t="shared" si="7"/>
        <v>101</v>
      </c>
      <c r="C109" t="str">
        <f t="shared" si="6"/>
        <v>Lo</v>
      </c>
      <c r="D109" t="str">
        <f t="shared" si="8"/>
        <v>Lo</v>
      </c>
      <c r="E109" t="str">
        <f t="shared" si="4"/>
        <v>Hi</v>
      </c>
      <c r="F109" t="s">
        <v>51</v>
      </c>
      <c r="G109" t="s">
        <v>70</v>
      </c>
      <c r="H109" t="s">
        <v>52</v>
      </c>
    </row>
    <row r="110" spans="2:8" x14ac:dyDescent="0.25">
      <c r="B110">
        <f t="shared" si="7"/>
        <v>102</v>
      </c>
      <c r="C110" t="str">
        <f t="shared" si="6"/>
        <v>Hi</v>
      </c>
      <c r="D110" t="str">
        <f t="shared" si="8"/>
        <v>Lo</v>
      </c>
      <c r="E110" t="str">
        <f t="shared" ref="E110:E116" si="9">E74</f>
        <v>Hi</v>
      </c>
      <c r="F110" t="s">
        <v>51</v>
      </c>
      <c r="G110" t="s">
        <v>70</v>
      </c>
      <c r="H110" t="s">
        <v>52</v>
      </c>
    </row>
    <row r="111" spans="2:8" x14ac:dyDescent="0.25">
      <c r="B111">
        <f t="shared" si="7"/>
        <v>103</v>
      </c>
      <c r="C111" t="str">
        <f t="shared" si="6"/>
        <v>Ref</v>
      </c>
      <c r="D111" t="str">
        <f t="shared" si="8"/>
        <v>Med</v>
      </c>
      <c r="E111" t="str">
        <f t="shared" si="9"/>
        <v>Hi</v>
      </c>
      <c r="F111" t="s">
        <v>51</v>
      </c>
      <c r="G111" t="s">
        <v>70</v>
      </c>
      <c r="H111" t="s">
        <v>52</v>
      </c>
    </row>
    <row r="112" spans="2:8" x14ac:dyDescent="0.25">
      <c r="B112">
        <f t="shared" si="7"/>
        <v>104</v>
      </c>
      <c r="C112" t="str">
        <f t="shared" si="6"/>
        <v>Lo</v>
      </c>
      <c r="D112" t="str">
        <f t="shared" si="8"/>
        <v>Med</v>
      </c>
      <c r="E112" t="str">
        <f t="shared" si="9"/>
        <v>Hi</v>
      </c>
      <c r="F112" t="s">
        <v>51</v>
      </c>
      <c r="G112" t="s">
        <v>70</v>
      </c>
      <c r="H112" t="s">
        <v>52</v>
      </c>
    </row>
    <row r="113" spans="2:12" x14ac:dyDescent="0.25">
      <c r="B113">
        <f t="shared" si="7"/>
        <v>105</v>
      </c>
      <c r="C113" t="str">
        <f t="shared" si="6"/>
        <v>Hi</v>
      </c>
      <c r="D113" t="str">
        <f t="shared" si="8"/>
        <v>Med</v>
      </c>
      <c r="E113" t="str">
        <f t="shared" si="9"/>
        <v>Hi</v>
      </c>
      <c r="F113" t="s">
        <v>51</v>
      </c>
      <c r="G113" t="s">
        <v>70</v>
      </c>
      <c r="H113" t="s">
        <v>52</v>
      </c>
    </row>
    <row r="114" spans="2:12" x14ac:dyDescent="0.25">
      <c r="B114">
        <f t="shared" si="7"/>
        <v>106</v>
      </c>
      <c r="C114" t="str">
        <f t="shared" si="6"/>
        <v>Ref</v>
      </c>
      <c r="D114" t="str">
        <f t="shared" si="8"/>
        <v>Hi</v>
      </c>
      <c r="E114" t="str">
        <f t="shared" si="9"/>
        <v>Hi</v>
      </c>
      <c r="F114" t="s">
        <v>51</v>
      </c>
      <c r="G114" t="s">
        <v>70</v>
      </c>
      <c r="H114" t="s">
        <v>52</v>
      </c>
    </row>
    <row r="115" spans="2:12" x14ac:dyDescent="0.25">
      <c r="B115">
        <f t="shared" si="7"/>
        <v>107</v>
      </c>
      <c r="C115" t="str">
        <f t="shared" si="6"/>
        <v>Lo</v>
      </c>
      <c r="D115" t="str">
        <f t="shared" si="8"/>
        <v>Hi</v>
      </c>
      <c r="E115" t="str">
        <f t="shared" si="9"/>
        <v>Hi</v>
      </c>
      <c r="F115" t="s">
        <v>51</v>
      </c>
      <c r="G115" t="s">
        <v>70</v>
      </c>
      <c r="H115" t="s">
        <v>52</v>
      </c>
    </row>
    <row r="116" spans="2:12" x14ac:dyDescent="0.25">
      <c r="B116">
        <f t="shared" si="7"/>
        <v>108</v>
      </c>
      <c r="C116" t="str">
        <f t="shared" si="6"/>
        <v>Hi</v>
      </c>
      <c r="D116" t="str">
        <f t="shared" si="8"/>
        <v>Hi</v>
      </c>
      <c r="E116" t="str">
        <f t="shared" si="9"/>
        <v>Hi</v>
      </c>
      <c r="F116" t="s">
        <v>51</v>
      </c>
      <c r="G116" t="s">
        <v>70</v>
      </c>
      <c r="H116" t="s">
        <v>52</v>
      </c>
    </row>
    <row r="117" spans="2:12" x14ac:dyDescent="0.25">
      <c r="B117">
        <f t="shared" si="7"/>
        <v>109</v>
      </c>
      <c r="C117" t="s">
        <v>51</v>
      </c>
      <c r="D117" t="s">
        <v>55</v>
      </c>
      <c r="E117" t="s">
        <v>52</v>
      </c>
      <c r="F117" t="s">
        <v>52</v>
      </c>
      <c r="G117" t="s">
        <v>71</v>
      </c>
      <c r="H117" t="s">
        <v>52</v>
      </c>
      <c r="L117" t="s">
        <v>66</v>
      </c>
    </row>
    <row r="118" spans="2:12" x14ac:dyDescent="0.25">
      <c r="B118">
        <f t="shared" si="7"/>
        <v>110</v>
      </c>
      <c r="C118" t="s">
        <v>51</v>
      </c>
      <c r="D118" t="s">
        <v>51</v>
      </c>
      <c r="E118" t="s">
        <v>52</v>
      </c>
      <c r="F118" t="s">
        <v>52</v>
      </c>
      <c r="G118" t="s">
        <v>71</v>
      </c>
      <c r="H118" t="s">
        <v>52</v>
      </c>
    </row>
    <row r="119" spans="2:12" x14ac:dyDescent="0.25">
      <c r="B119">
        <f t="shared" si="7"/>
        <v>111</v>
      </c>
      <c r="C119" t="s">
        <v>51</v>
      </c>
      <c r="D119" t="s">
        <v>55</v>
      </c>
      <c r="E119" t="s">
        <v>47</v>
      </c>
      <c r="F119" t="s">
        <v>52</v>
      </c>
      <c r="G119" t="s">
        <v>71</v>
      </c>
      <c r="H119" t="s">
        <v>52</v>
      </c>
    </row>
    <row r="120" spans="2:12" x14ac:dyDescent="0.25">
      <c r="B120">
        <f t="shared" si="7"/>
        <v>112</v>
      </c>
      <c r="C120" t="s">
        <v>51</v>
      </c>
      <c r="D120" t="s">
        <v>51</v>
      </c>
      <c r="E120" t="s">
        <v>47</v>
      </c>
      <c r="F120" t="s">
        <v>52</v>
      </c>
      <c r="G120" t="s">
        <v>71</v>
      </c>
      <c r="H120" t="s">
        <v>52</v>
      </c>
    </row>
    <row r="121" spans="2:12" x14ac:dyDescent="0.25">
      <c r="B121">
        <f t="shared" si="7"/>
        <v>113</v>
      </c>
      <c r="C121" t="s">
        <v>51</v>
      </c>
      <c r="D121" t="s">
        <v>55</v>
      </c>
      <c r="E121" t="s">
        <v>51</v>
      </c>
      <c r="F121" t="s">
        <v>52</v>
      </c>
      <c r="G121" t="s">
        <v>71</v>
      </c>
      <c r="H121" t="s">
        <v>52</v>
      </c>
    </row>
    <row r="122" spans="2:12" x14ac:dyDescent="0.25">
      <c r="B122">
        <f t="shared" si="7"/>
        <v>114</v>
      </c>
      <c r="C122" t="s">
        <v>51</v>
      </c>
      <c r="D122" t="s">
        <v>51</v>
      </c>
      <c r="E122" t="s">
        <v>51</v>
      </c>
      <c r="F122" t="s">
        <v>52</v>
      </c>
      <c r="G122" t="s">
        <v>71</v>
      </c>
      <c r="H122" t="s">
        <v>52</v>
      </c>
    </row>
    <row r="123" spans="2:12" x14ac:dyDescent="0.25">
      <c r="B123">
        <f t="shared" si="7"/>
        <v>115</v>
      </c>
      <c r="C123" t="s">
        <v>51</v>
      </c>
      <c r="D123" t="s">
        <v>55</v>
      </c>
      <c r="E123" t="s">
        <v>52</v>
      </c>
      <c r="F123" t="s">
        <v>47</v>
      </c>
      <c r="G123" t="s">
        <v>71</v>
      </c>
      <c r="H123" t="s">
        <v>52</v>
      </c>
    </row>
    <row r="124" spans="2:12" x14ac:dyDescent="0.25">
      <c r="B124">
        <f t="shared" si="7"/>
        <v>116</v>
      </c>
      <c r="C124" t="s">
        <v>51</v>
      </c>
      <c r="D124" t="s">
        <v>51</v>
      </c>
      <c r="E124" t="s">
        <v>52</v>
      </c>
      <c r="F124" t="s">
        <v>47</v>
      </c>
      <c r="G124" t="s">
        <v>71</v>
      </c>
      <c r="H124" t="s">
        <v>52</v>
      </c>
    </row>
    <row r="125" spans="2:12" x14ac:dyDescent="0.25">
      <c r="B125">
        <f t="shared" si="7"/>
        <v>117</v>
      </c>
      <c r="C125" t="s">
        <v>51</v>
      </c>
      <c r="D125" t="s">
        <v>55</v>
      </c>
      <c r="E125" t="s">
        <v>47</v>
      </c>
      <c r="F125" t="s">
        <v>47</v>
      </c>
      <c r="G125" t="s">
        <v>71</v>
      </c>
      <c r="H125" t="s">
        <v>52</v>
      </c>
    </row>
    <row r="126" spans="2:12" x14ac:dyDescent="0.25">
      <c r="B126">
        <f t="shared" si="7"/>
        <v>118</v>
      </c>
      <c r="C126" t="s">
        <v>51</v>
      </c>
      <c r="D126" t="s">
        <v>51</v>
      </c>
      <c r="E126" t="s">
        <v>47</v>
      </c>
      <c r="F126" t="s">
        <v>47</v>
      </c>
      <c r="G126" t="s">
        <v>71</v>
      </c>
      <c r="H126" t="s">
        <v>52</v>
      </c>
    </row>
    <row r="127" spans="2:12" x14ac:dyDescent="0.25">
      <c r="B127">
        <f t="shared" si="7"/>
        <v>119</v>
      </c>
      <c r="C127" t="s">
        <v>51</v>
      </c>
      <c r="D127" t="s">
        <v>55</v>
      </c>
      <c r="E127" t="s">
        <v>51</v>
      </c>
      <c r="F127" t="s">
        <v>47</v>
      </c>
      <c r="G127" t="s">
        <v>71</v>
      </c>
      <c r="H127" t="s">
        <v>52</v>
      </c>
    </row>
    <row r="128" spans="2:12" x14ac:dyDescent="0.25">
      <c r="B128">
        <f t="shared" si="7"/>
        <v>120</v>
      </c>
      <c r="C128" t="s">
        <v>51</v>
      </c>
      <c r="D128" t="s">
        <v>51</v>
      </c>
      <c r="E128" t="s">
        <v>51</v>
      </c>
      <c r="F128" t="s">
        <v>47</v>
      </c>
      <c r="G128" t="s">
        <v>71</v>
      </c>
      <c r="H128" t="s">
        <v>52</v>
      </c>
    </row>
    <row r="129" spans="2:12" x14ac:dyDescent="0.25">
      <c r="B129">
        <f t="shared" si="7"/>
        <v>121</v>
      </c>
      <c r="C129" t="s">
        <v>51</v>
      </c>
      <c r="D129" t="s">
        <v>55</v>
      </c>
      <c r="E129" t="s">
        <v>52</v>
      </c>
      <c r="F129" t="s">
        <v>51</v>
      </c>
      <c r="G129" t="s">
        <v>71</v>
      </c>
      <c r="H129" t="s">
        <v>52</v>
      </c>
    </row>
    <row r="130" spans="2:12" x14ac:dyDescent="0.25">
      <c r="B130">
        <f t="shared" si="7"/>
        <v>122</v>
      </c>
      <c r="C130" t="s">
        <v>51</v>
      </c>
      <c r="D130" t="s">
        <v>51</v>
      </c>
      <c r="E130" t="s">
        <v>52</v>
      </c>
      <c r="F130" t="s">
        <v>51</v>
      </c>
      <c r="G130" t="s">
        <v>71</v>
      </c>
      <c r="H130" t="s">
        <v>52</v>
      </c>
    </row>
    <row r="131" spans="2:12" x14ac:dyDescent="0.25">
      <c r="B131">
        <f t="shared" si="7"/>
        <v>123</v>
      </c>
      <c r="C131" t="s">
        <v>51</v>
      </c>
      <c r="D131" t="s">
        <v>55</v>
      </c>
      <c r="E131" t="s">
        <v>47</v>
      </c>
      <c r="F131" t="s">
        <v>51</v>
      </c>
      <c r="G131" t="s">
        <v>71</v>
      </c>
      <c r="H131" t="s">
        <v>52</v>
      </c>
    </row>
    <row r="132" spans="2:12" x14ac:dyDescent="0.25">
      <c r="B132">
        <f t="shared" si="7"/>
        <v>124</v>
      </c>
      <c r="C132" t="s">
        <v>51</v>
      </c>
      <c r="D132" t="s">
        <v>51</v>
      </c>
      <c r="E132" t="s">
        <v>47</v>
      </c>
      <c r="F132" t="s">
        <v>51</v>
      </c>
      <c r="G132" t="s">
        <v>71</v>
      </c>
      <c r="H132" t="s">
        <v>52</v>
      </c>
    </row>
    <row r="133" spans="2:12" x14ac:dyDescent="0.25">
      <c r="B133">
        <f t="shared" si="7"/>
        <v>125</v>
      </c>
      <c r="C133" t="s">
        <v>51</v>
      </c>
      <c r="D133" t="s">
        <v>55</v>
      </c>
      <c r="E133" t="s">
        <v>51</v>
      </c>
      <c r="F133" t="s">
        <v>51</v>
      </c>
      <c r="G133" t="s">
        <v>71</v>
      </c>
      <c r="H133" t="s">
        <v>52</v>
      </c>
    </row>
    <row r="134" spans="2:12" x14ac:dyDescent="0.25">
      <c r="B134">
        <f t="shared" si="7"/>
        <v>126</v>
      </c>
      <c r="C134" t="s">
        <v>51</v>
      </c>
      <c r="D134" t="s">
        <v>51</v>
      </c>
      <c r="E134" t="s">
        <v>51</v>
      </c>
      <c r="F134" t="s">
        <v>51</v>
      </c>
      <c r="G134" t="s">
        <v>71</v>
      </c>
      <c r="H134" t="s">
        <v>52</v>
      </c>
    </row>
    <row r="135" spans="2:12" x14ac:dyDescent="0.25">
      <c r="B135">
        <f t="shared" si="7"/>
        <v>127</v>
      </c>
      <c r="C135" t="s">
        <v>52</v>
      </c>
      <c r="D135" t="s">
        <v>52</v>
      </c>
      <c r="E135" t="s">
        <v>52</v>
      </c>
      <c r="F135" t="s">
        <v>52</v>
      </c>
      <c r="G135" t="s">
        <v>71</v>
      </c>
      <c r="H135" t="s">
        <v>52</v>
      </c>
    </row>
    <row r="136" spans="2:12" x14ac:dyDescent="0.25">
      <c r="B136">
        <f t="shared" si="7"/>
        <v>128</v>
      </c>
      <c r="C136" t="s">
        <v>47</v>
      </c>
      <c r="D136" t="s">
        <v>47</v>
      </c>
      <c r="E136" t="s">
        <v>47</v>
      </c>
      <c r="F136" t="s">
        <v>52</v>
      </c>
      <c r="G136" t="s">
        <v>70</v>
      </c>
      <c r="H136" t="s">
        <v>51</v>
      </c>
      <c r="L136" t="s">
        <v>67</v>
      </c>
    </row>
    <row r="137" spans="2:12" x14ac:dyDescent="0.25">
      <c r="B137">
        <f t="shared" si="7"/>
        <v>129</v>
      </c>
      <c r="C137" t="s">
        <v>47</v>
      </c>
      <c r="D137" t="s">
        <v>51</v>
      </c>
      <c r="E137" t="s">
        <v>47</v>
      </c>
      <c r="F137" t="s">
        <v>52</v>
      </c>
      <c r="G137" t="s">
        <v>70</v>
      </c>
      <c r="H137" t="s">
        <v>51</v>
      </c>
    </row>
    <row r="138" spans="2:12" x14ac:dyDescent="0.25">
      <c r="B138">
        <f t="shared" si="7"/>
        <v>130</v>
      </c>
      <c r="C138" t="s">
        <v>47</v>
      </c>
      <c r="D138" t="s">
        <v>47</v>
      </c>
      <c r="E138" t="s">
        <v>51</v>
      </c>
      <c r="F138" t="s">
        <v>52</v>
      </c>
      <c r="G138" t="s">
        <v>70</v>
      </c>
      <c r="H138" t="s">
        <v>51</v>
      </c>
    </row>
    <row r="139" spans="2:12" x14ac:dyDescent="0.25">
      <c r="B139">
        <f t="shared" si="7"/>
        <v>131</v>
      </c>
      <c r="C139" t="s">
        <v>47</v>
      </c>
      <c r="D139" t="s">
        <v>51</v>
      </c>
      <c r="E139" t="s">
        <v>51</v>
      </c>
      <c r="F139" t="s">
        <v>52</v>
      </c>
      <c r="G139" t="s">
        <v>70</v>
      </c>
      <c r="H139" t="s">
        <v>51</v>
      </c>
    </row>
    <row r="140" spans="2:12" x14ac:dyDescent="0.25">
      <c r="B140">
        <f t="shared" si="7"/>
        <v>132</v>
      </c>
      <c r="C140" t="s">
        <v>47</v>
      </c>
      <c r="D140" t="s">
        <v>47</v>
      </c>
      <c r="E140" t="s">
        <v>52</v>
      </c>
      <c r="F140" t="s">
        <v>47</v>
      </c>
      <c r="G140" t="s">
        <v>70</v>
      </c>
      <c r="H140" t="s">
        <v>51</v>
      </c>
    </row>
    <row r="141" spans="2:12" x14ac:dyDescent="0.25">
      <c r="B141">
        <f t="shared" si="7"/>
        <v>133</v>
      </c>
      <c r="C141" t="s">
        <v>47</v>
      </c>
      <c r="D141" t="s">
        <v>51</v>
      </c>
      <c r="E141" t="s">
        <v>52</v>
      </c>
      <c r="F141" t="s">
        <v>47</v>
      </c>
      <c r="G141" t="s">
        <v>70</v>
      </c>
      <c r="H141" t="s">
        <v>51</v>
      </c>
    </row>
    <row r="142" spans="2:12" x14ac:dyDescent="0.25">
      <c r="B142">
        <f t="shared" si="7"/>
        <v>134</v>
      </c>
      <c r="C142" t="s">
        <v>47</v>
      </c>
      <c r="D142" t="s">
        <v>47</v>
      </c>
      <c r="E142" t="s">
        <v>47</v>
      </c>
      <c r="F142" t="s">
        <v>47</v>
      </c>
      <c r="G142" t="s">
        <v>70</v>
      </c>
      <c r="H142" t="s">
        <v>51</v>
      </c>
    </row>
    <row r="143" spans="2:12" x14ac:dyDescent="0.25">
      <c r="B143">
        <f t="shared" si="7"/>
        <v>135</v>
      </c>
      <c r="C143" t="s">
        <v>47</v>
      </c>
      <c r="D143" t="s">
        <v>51</v>
      </c>
      <c r="E143" t="s">
        <v>47</v>
      </c>
      <c r="F143" t="s">
        <v>47</v>
      </c>
      <c r="G143" t="s">
        <v>70</v>
      </c>
      <c r="H143" t="s">
        <v>51</v>
      </c>
    </row>
    <row r="144" spans="2:12" x14ac:dyDescent="0.25">
      <c r="B144">
        <f t="shared" si="7"/>
        <v>136</v>
      </c>
      <c r="C144" t="s">
        <v>47</v>
      </c>
      <c r="D144" t="s">
        <v>47</v>
      </c>
      <c r="E144" t="s">
        <v>51</v>
      </c>
      <c r="F144" t="s">
        <v>47</v>
      </c>
      <c r="G144" t="s">
        <v>70</v>
      </c>
      <c r="H144" t="s">
        <v>51</v>
      </c>
    </row>
    <row r="145" spans="2:8" x14ac:dyDescent="0.25">
      <c r="B145">
        <f t="shared" si="7"/>
        <v>137</v>
      </c>
      <c r="C145" t="s">
        <v>47</v>
      </c>
      <c r="D145" t="s">
        <v>51</v>
      </c>
      <c r="E145" t="s">
        <v>51</v>
      </c>
      <c r="F145" t="s">
        <v>47</v>
      </c>
      <c r="G145" t="s">
        <v>70</v>
      </c>
      <c r="H145" t="s">
        <v>51</v>
      </c>
    </row>
    <row r="146" spans="2:8" x14ac:dyDescent="0.25">
      <c r="B146">
        <f t="shared" si="7"/>
        <v>138</v>
      </c>
      <c r="C146" t="s">
        <v>47</v>
      </c>
      <c r="D146" t="s">
        <v>47</v>
      </c>
      <c r="E146" t="s">
        <v>52</v>
      </c>
      <c r="F146" t="s">
        <v>51</v>
      </c>
      <c r="G146" t="s">
        <v>70</v>
      </c>
      <c r="H146" t="s">
        <v>51</v>
      </c>
    </row>
    <row r="147" spans="2:8" x14ac:dyDescent="0.25">
      <c r="B147">
        <f t="shared" si="7"/>
        <v>139</v>
      </c>
      <c r="C147" t="s">
        <v>47</v>
      </c>
      <c r="D147" t="s">
        <v>51</v>
      </c>
      <c r="E147" t="s">
        <v>52</v>
      </c>
      <c r="F147" t="s">
        <v>51</v>
      </c>
      <c r="G147" t="s">
        <v>70</v>
      </c>
      <c r="H147" t="s">
        <v>51</v>
      </c>
    </row>
    <row r="148" spans="2:8" x14ac:dyDescent="0.25">
      <c r="B148">
        <f t="shared" si="7"/>
        <v>140</v>
      </c>
      <c r="C148" t="s">
        <v>47</v>
      </c>
      <c r="D148" t="s">
        <v>47</v>
      </c>
      <c r="E148" t="s">
        <v>47</v>
      </c>
      <c r="F148" t="s">
        <v>51</v>
      </c>
      <c r="G148" t="s">
        <v>70</v>
      </c>
      <c r="H148" t="s">
        <v>51</v>
      </c>
    </row>
    <row r="149" spans="2:8" x14ac:dyDescent="0.25">
      <c r="B149">
        <f t="shared" si="7"/>
        <v>141</v>
      </c>
      <c r="C149" t="s">
        <v>47</v>
      </c>
      <c r="D149" t="s">
        <v>51</v>
      </c>
      <c r="E149" t="s">
        <v>47</v>
      </c>
      <c r="F149" t="s">
        <v>51</v>
      </c>
      <c r="G149" t="s">
        <v>70</v>
      </c>
      <c r="H149" t="s">
        <v>51</v>
      </c>
    </row>
    <row r="150" spans="2:8" x14ac:dyDescent="0.25">
      <c r="B150">
        <f t="shared" ref="B150:B153" si="10">B149+1</f>
        <v>142</v>
      </c>
      <c r="C150" t="s">
        <v>47</v>
      </c>
      <c r="D150" t="s">
        <v>47</v>
      </c>
      <c r="E150" t="s">
        <v>51</v>
      </c>
      <c r="F150" t="s">
        <v>51</v>
      </c>
      <c r="G150" t="s">
        <v>70</v>
      </c>
      <c r="H150" t="s">
        <v>51</v>
      </c>
    </row>
    <row r="151" spans="2:8" x14ac:dyDescent="0.25">
      <c r="B151">
        <f t="shared" si="10"/>
        <v>143</v>
      </c>
      <c r="C151" t="s">
        <v>47</v>
      </c>
      <c r="D151" t="s">
        <v>51</v>
      </c>
      <c r="E151" t="s">
        <v>51</v>
      </c>
      <c r="F151" t="s">
        <v>51</v>
      </c>
      <c r="G151" t="s">
        <v>70</v>
      </c>
      <c r="H151" t="s">
        <v>51</v>
      </c>
    </row>
    <row r="152" spans="2:8" x14ac:dyDescent="0.25">
      <c r="B152">
        <f t="shared" si="10"/>
        <v>144</v>
      </c>
      <c r="C152" t="s">
        <v>52</v>
      </c>
      <c r="D152" t="s">
        <v>52</v>
      </c>
      <c r="E152" t="s">
        <v>52</v>
      </c>
      <c r="F152" t="s">
        <v>52</v>
      </c>
      <c r="G152" t="s">
        <v>70</v>
      </c>
      <c r="H152" t="s">
        <v>51</v>
      </c>
    </row>
    <row r="153" spans="2:8" x14ac:dyDescent="0.25">
      <c r="B153">
        <f t="shared" si="10"/>
        <v>145</v>
      </c>
      <c r="C153" t="s">
        <v>51</v>
      </c>
      <c r="D153" t="s">
        <v>52</v>
      </c>
      <c r="E153" t="s">
        <v>52</v>
      </c>
      <c r="F153" t="s">
        <v>52</v>
      </c>
      <c r="G153" t="s">
        <v>70</v>
      </c>
      <c r="H153" t="s">
        <v>51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F3BC-89D2-4725-BE4A-ADC80847A7FA}">
  <dimension ref="A1:F7"/>
  <sheetViews>
    <sheetView workbookViewId="0"/>
  </sheetViews>
  <sheetFormatPr defaultColWidth="8.85546875" defaultRowHeight="15" x14ac:dyDescent="0.25"/>
  <cols>
    <col min="2" max="2" width="4.85546875" customWidth="1"/>
    <col min="3" max="3" width="4.28515625" customWidth="1"/>
    <col min="4" max="5" width="10.42578125" bestFit="1" customWidth="1"/>
    <col min="6" max="6" width="12.28515625" bestFit="1" customWidth="1"/>
  </cols>
  <sheetData>
    <row r="1" spans="1:6" ht="15.75" thickBot="1" x14ac:dyDescent="0.3">
      <c r="A1" s="19" t="str">
        <f>controller!$H$7</f>
        <v>Ref</v>
      </c>
    </row>
    <row r="2" spans="1:6" ht="15.75" thickTop="1" x14ac:dyDescent="0.25"/>
    <row r="4" spans="1:6" x14ac:dyDescent="0.25">
      <c r="D4" t="str">
        <f>IF($A$1="Hi","~TFM_UPD","deact")</f>
        <v>deact</v>
      </c>
    </row>
    <row r="5" spans="1:6" x14ac:dyDescent="0.25">
      <c r="D5" t="s">
        <v>0</v>
      </c>
      <c r="E5" t="s">
        <v>1</v>
      </c>
      <c r="F5" t="s">
        <v>43</v>
      </c>
    </row>
    <row r="6" spans="1:6" x14ac:dyDescent="0.25">
      <c r="D6" t="s">
        <v>48</v>
      </c>
      <c r="E6" t="s">
        <v>74</v>
      </c>
      <c r="F6" t="s">
        <v>75</v>
      </c>
    </row>
    <row r="7" spans="1:6" x14ac:dyDescent="0.25">
      <c r="D7" t="s">
        <v>76</v>
      </c>
      <c r="E7" t="s">
        <v>74</v>
      </c>
      <c r="F7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8D68-9B49-48A9-BD76-2289FD75EC47}">
  <dimension ref="A1:F6"/>
  <sheetViews>
    <sheetView workbookViewId="0"/>
  </sheetViews>
  <sheetFormatPr defaultColWidth="8.85546875" defaultRowHeight="15" x14ac:dyDescent="0.25"/>
  <cols>
    <col min="5" max="5" width="10.42578125" bestFit="1" customWidth="1"/>
    <col min="6" max="6" width="8.7109375" bestFit="1" customWidth="1"/>
  </cols>
  <sheetData>
    <row r="1" spans="1:6" ht="15.75" thickBot="1" x14ac:dyDescent="0.3">
      <c r="A1" s="19" t="str">
        <f>controller!$G$7</f>
        <v>Yes</v>
      </c>
    </row>
    <row r="2" spans="1:6" ht="15.75" thickTop="1" x14ac:dyDescent="0.25"/>
    <row r="4" spans="1:6" x14ac:dyDescent="0.25">
      <c r="D4" t="str">
        <f>IF($A$1="No","~TFM_INS","deact")</f>
        <v>deact</v>
      </c>
    </row>
    <row r="5" spans="1:6" x14ac:dyDescent="0.25">
      <c r="D5" t="s">
        <v>0</v>
      </c>
      <c r="E5" t="s">
        <v>1</v>
      </c>
      <c r="F5" t="s">
        <v>43</v>
      </c>
    </row>
    <row r="6" spans="1:6" x14ac:dyDescent="0.25">
      <c r="D6" t="s">
        <v>72</v>
      </c>
      <c r="E6">
        <v>2100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F62B-49DC-4AF6-869E-403ACC7F9976}">
  <dimension ref="A1:E7"/>
  <sheetViews>
    <sheetView workbookViewId="0"/>
  </sheetViews>
  <sheetFormatPr defaultColWidth="8.85546875" defaultRowHeight="15" x14ac:dyDescent="0.25"/>
  <cols>
    <col min="4" max="4" width="11" bestFit="1" customWidth="1"/>
    <col min="5" max="5" width="10.42578125" bestFit="1" customWidth="1"/>
  </cols>
  <sheetData>
    <row r="1" spans="1:5" ht="15.75" thickBot="1" x14ac:dyDescent="0.3">
      <c r="A1" s="19" t="str">
        <f>controller!$E$7</f>
        <v>Lo</v>
      </c>
    </row>
    <row r="2" spans="1:5" ht="15.75" thickTop="1" x14ac:dyDescent="0.25"/>
    <row r="5" spans="1:5" x14ac:dyDescent="0.25">
      <c r="C5" t="str">
        <f>IF(A1="Ref","DeACT","~TFM_UPD")</f>
        <v>~TFM_UPD</v>
      </c>
    </row>
    <row r="6" spans="1:5" x14ac:dyDescent="0.25">
      <c r="C6" t="s">
        <v>0</v>
      </c>
      <c r="D6" t="s">
        <v>43</v>
      </c>
      <c r="E6" t="s">
        <v>1</v>
      </c>
    </row>
    <row r="7" spans="1:5" x14ac:dyDescent="0.25">
      <c r="C7" t="s">
        <v>3</v>
      </c>
      <c r="D7" t="s">
        <v>65</v>
      </c>
      <c r="E7" t="str">
        <f>"*"&amp;IF(A1="Hi","2",".5")</f>
        <v>*.5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B9F8-0C0A-4E12-8E2A-7B1142805934}">
  <sheetPr codeName="Sheet6"/>
  <dimension ref="A1:M36"/>
  <sheetViews>
    <sheetView workbookViewId="0">
      <selection activeCell="L7" sqref="L7"/>
    </sheetView>
  </sheetViews>
  <sheetFormatPr defaultColWidth="8.85546875" defaultRowHeight="15" x14ac:dyDescent="0.25"/>
  <cols>
    <col min="2" max="2" width="4.28515625" customWidth="1"/>
    <col min="3" max="3" width="13.28515625" bestFit="1" customWidth="1"/>
    <col min="4" max="4" width="10.85546875" bestFit="1" customWidth="1"/>
    <col min="5" max="5" width="5" bestFit="1" customWidth="1"/>
    <col min="6" max="6" width="10.42578125" bestFit="1" customWidth="1"/>
    <col min="7" max="7" width="3.7109375" customWidth="1"/>
    <col min="8" max="8" width="2.28515625" customWidth="1"/>
    <col min="9" max="9" width="3.140625" customWidth="1"/>
  </cols>
  <sheetData>
    <row r="1" spans="1:13" ht="15.75" thickBot="1" x14ac:dyDescent="0.3">
      <c r="A1" s="19" t="str">
        <f>controller!D7</f>
        <v>Hi</v>
      </c>
      <c r="J1" t="s">
        <v>61</v>
      </c>
      <c r="K1" s="21">
        <v>0.05</v>
      </c>
      <c r="L1" s="21">
        <v>0.05</v>
      </c>
      <c r="M1" s="21">
        <v>0.05</v>
      </c>
    </row>
    <row r="2" spans="1:13" ht="15.75" thickTop="1" x14ac:dyDescent="0.25">
      <c r="J2" t="s">
        <v>60</v>
      </c>
      <c r="K2">
        <v>25</v>
      </c>
      <c r="L2">
        <v>37</v>
      </c>
      <c r="M2">
        <v>75</v>
      </c>
    </row>
    <row r="3" spans="1:13" x14ac:dyDescent="0.25">
      <c r="C3" t="s">
        <v>63</v>
      </c>
    </row>
    <row r="4" spans="1:13" x14ac:dyDescent="0.25">
      <c r="C4" t="s">
        <v>0</v>
      </c>
      <c r="D4" t="s">
        <v>57</v>
      </c>
      <c r="E4" t="s">
        <v>50</v>
      </c>
      <c r="F4" t="s">
        <v>1</v>
      </c>
    </row>
    <row r="5" spans="1:13" x14ac:dyDescent="0.25">
      <c r="C5" t="s">
        <v>58</v>
      </c>
      <c r="D5" t="s">
        <v>59</v>
      </c>
      <c r="E5">
        <v>2019</v>
      </c>
      <c r="F5">
        <v>0</v>
      </c>
      <c r="K5" t="s">
        <v>47</v>
      </c>
      <c r="L5" t="s">
        <v>55</v>
      </c>
      <c r="M5" t="s">
        <v>51</v>
      </c>
    </row>
    <row r="6" spans="1:13" x14ac:dyDescent="0.25">
      <c r="C6" t="s">
        <v>58</v>
      </c>
      <c r="D6" t="s">
        <v>59</v>
      </c>
      <c r="E6">
        <v>2020</v>
      </c>
      <c r="F6" s="18">
        <f ca="1">IFERROR(OFFSET(J6,0,MATCH($A$1,$K$5:$M$5,0))/1000,"")</f>
        <v>0.2</v>
      </c>
      <c r="J6">
        <f>E6</f>
        <v>2020</v>
      </c>
      <c r="K6">
        <v>75</v>
      </c>
      <c r="L6">
        <v>125</v>
      </c>
      <c r="M6">
        <v>200</v>
      </c>
    </row>
    <row r="7" spans="1:13" x14ac:dyDescent="0.25">
      <c r="C7" t="s">
        <v>58</v>
      </c>
      <c r="D7" t="s">
        <v>59</v>
      </c>
      <c r="E7">
        <v>2021</v>
      </c>
      <c r="F7" s="18">
        <f t="shared" ref="F7:F36" ca="1" si="0">IFERROR(OFFSET(J7,0,MATCH($A$1,$K$5:$M$5,0))/1000,"")</f>
        <v>0.21</v>
      </c>
      <c r="J7">
        <f t="shared" ref="J7:J36" si="1">E7</f>
        <v>2021</v>
      </c>
      <c r="K7" s="18">
        <f>K6*(1+K$1)</f>
        <v>78.75</v>
      </c>
      <c r="L7" s="18">
        <f>L6*(1+L$1)</f>
        <v>131.25</v>
      </c>
      <c r="M7" s="18">
        <f>M6*(1+M$1)</f>
        <v>210</v>
      </c>
    </row>
    <row r="8" spans="1:13" x14ac:dyDescent="0.25">
      <c r="C8" t="s">
        <v>58</v>
      </c>
      <c r="D8" t="s">
        <v>59</v>
      </c>
      <c r="E8">
        <v>2022</v>
      </c>
      <c r="F8" s="18">
        <f t="shared" ca="1" si="0"/>
        <v>0.2205</v>
      </c>
      <c r="J8">
        <f t="shared" si="1"/>
        <v>2022</v>
      </c>
      <c r="K8" s="18">
        <f t="shared" ref="K8:M36" si="2">K7*(1+K$1)</f>
        <v>82.6875</v>
      </c>
      <c r="L8" s="18">
        <f t="shared" si="2"/>
        <v>137.8125</v>
      </c>
      <c r="M8" s="18">
        <f t="shared" si="2"/>
        <v>220.5</v>
      </c>
    </row>
    <row r="9" spans="1:13" x14ac:dyDescent="0.25">
      <c r="C9" t="s">
        <v>58</v>
      </c>
      <c r="D9" t="s">
        <v>59</v>
      </c>
      <c r="E9">
        <v>2023</v>
      </c>
      <c r="F9" s="18">
        <f t="shared" ca="1" si="0"/>
        <v>0.23152500000000001</v>
      </c>
      <c r="J9">
        <f t="shared" si="1"/>
        <v>2023</v>
      </c>
      <c r="K9" s="18">
        <f t="shared" si="2"/>
        <v>86.821875000000006</v>
      </c>
      <c r="L9" s="18">
        <f t="shared" si="2"/>
        <v>144.703125</v>
      </c>
      <c r="M9" s="18">
        <f t="shared" si="2"/>
        <v>231.52500000000001</v>
      </c>
    </row>
    <row r="10" spans="1:13" x14ac:dyDescent="0.25">
      <c r="C10" t="s">
        <v>58</v>
      </c>
      <c r="D10" t="s">
        <v>59</v>
      </c>
      <c r="E10">
        <v>2024</v>
      </c>
      <c r="F10" s="18">
        <f t="shared" ca="1" si="0"/>
        <v>0.24310125000000002</v>
      </c>
      <c r="J10">
        <f t="shared" si="1"/>
        <v>2024</v>
      </c>
      <c r="K10" s="18">
        <f t="shared" si="2"/>
        <v>91.162968750000005</v>
      </c>
      <c r="L10" s="18">
        <f t="shared" si="2"/>
        <v>151.93828125000002</v>
      </c>
      <c r="M10" s="18">
        <f t="shared" si="2"/>
        <v>243.10125000000002</v>
      </c>
    </row>
    <row r="11" spans="1:13" x14ac:dyDescent="0.25">
      <c r="C11" t="s">
        <v>58</v>
      </c>
      <c r="D11" t="s">
        <v>59</v>
      </c>
      <c r="E11">
        <v>2025</v>
      </c>
      <c r="F11" s="18">
        <f t="shared" ca="1" si="0"/>
        <v>0.25525631250000003</v>
      </c>
      <c r="J11">
        <f t="shared" si="1"/>
        <v>2025</v>
      </c>
      <c r="K11" s="18">
        <f t="shared" si="2"/>
        <v>95.721117187500013</v>
      </c>
      <c r="L11" s="18">
        <f t="shared" si="2"/>
        <v>159.53519531250004</v>
      </c>
      <c r="M11" s="18">
        <f t="shared" si="2"/>
        <v>255.25631250000004</v>
      </c>
    </row>
    <row r="12" spans="1:13" x14ac:dyDescent="0.25">
      <c r="C12" t="s">
        <v>58</v>
      </c>
      <c r="D12" t="s">
        <v>59</v>
      </c>
      <c r="E12">
        <v>2026</v>
      </c>
      <c r="F12" s="18">
        <f t="shared" ca="1" si="0"/>
        <v>0.26801912812500006</v>
      </c>
      <c r="J12">
        <f t="shared" si="1"/>
        <v>2026</v>
      </c>
      <c r="K12" s="18">
        <f t="shared" si="2"/>
        <v>100.50717304687502</v>
      </c>
      <c r="L12" s="18">
        <f t="shared" si="2"/>
        <v>167.51195507812506</v>
      </c>
      <c r="M12" s="18">
        <f t="shared" si="2"/>
        <v>268.01912812500007</v>
      </c>
    </row>
    <row r="13" spans="1:13" x14ac:dyDescent="0.25">
      <c r="C13" t="s">
        <v>58</v>
      </c>
      <c r="D13" t="s">
        <v>59</v>
      </c>
      <c r="E13">
        <v>2027</v>
      </c>
      <c r="F13" s="18">
        <f t="shared" ca="1" si="0"/>
        <v>0.28142008453125011</v>
      </c>
      <c r="J13">
        <f t="shared" si="1"/>
        <v>2027</v>
      </c>
      <c r="K13" s="18">
        <f t="shared" si="2"/>
        <v>105.53253169921878</v>
      </c>
      <c r="L13" s="18">
        <f t="shared" si="2"/>
        <v>175.8875528320313</v>
      </c>
      <c r="M13" s="18">
        <f t="shared" si="2"/>
        <v>281.4200845312501</v>
      </c>
    </row>
    <row r="14" spans="1:13" x14ac:dyDescent="0.25">
      <c r="C14" t="s">
        <v>58</v>
      </c>
      <c r="D14" t="s">
        <v>59</v>
      </c>
      <c r="E14">
        <v>2028</v>
      </c>
      <c r="F14" s="18">
        <f t="shared" ca="1" si="0"/>
        <v>0.29549108875781266</v>
      </c>
      <c r="J14">
        <f t="shared" si="1"/>
        <v>2028</v>
      </c>
      <c r="K14" s="18">
        <f t="shared" si="2"/>
        <v>110.80915828417972</v>
      </c>
      <c r="L14" s="18">
        <f t="shared" si="2"/>
        <v>184.68193047363289</v>
      </c>
      <c r="M14" s="18">
        <f t="shared" si="2"/>
        <v>295.49108875781263</v>
      </c>
    </row>
    <row r="15" spans="1:13" x14ac:dyDescent="0.25">
      <c r="C15" t="s">
        <v>58</v>
      </c>
      <c r="D15" t="s">
        <v>59</v>
      </c>
      <c r="E15">
        <v>2029</v>
      </c>
      <c r="F15" s="18">
        <f t="shared" ca="1" si="0"/>
        <v>0.31026564319570327</v>
      </c>
      <c r="J15">
        <f t="shared" si="1"/>
        <v>2029</v>
      </c>
      <c r="K15" s="18">
        <f t="shared" si="2"/>
        <v>116.3496161983887</v>
      </c>
      <c r="L15" s="18">
        <f t="shared" si="2"/>
        <v>193.91602699731453</v>
      </c>
      <c r="M15" s="18">
        <f t="shared" si="2"/>
        <v>310.26564319570326</v>
      </c>
    </row>
    <row r="16" spans="1:13" x14ac:dyDescent="0.25">
      <c r="C16" t="s">
        <v>58</v>
      </c>
      <c r="D16" t="s">
        <v>59</v>
      </c>
      <c r="E16">
        <v>2030</v>
      </c>
      <c r="F16" s="18">
        <f t="shared" ca="1" si="0"/>
        <v>0.32577892535548841</v>
      </c>
      <c r="J16">
        <f t="shared" si="1"/>
        <v>2030</v>
      </c>
      <c r="K16" s="18">
        <f t="shared" si="2"/>
        <v>122.16709700830815</v>
      </c>
      <c r="L16" s="18">
        <f t="shared" si="2"/>
        <v>203.61182834718028</v>
      </c>
      <c r="M16" s="18">
        <f t="shared" si="2"/>
        <v>325.77892535548841</v>
      </c>
    </row>
    <row r="17" spans="3:13" x14ac:dyDescent="0.25">
      <c r="C17" t="s">
        <v>58</v>
      </c>
      <c r="D17" t="s">
        <v>59</v>
      </c>
      <c r="E17">
        <v>2031</v>
      </c>
      <c r="F17" s="18">
        <f t="shared" ca="1" si="0"/>
        <v>0.34206787162326285</v>
      </c>
      <c r="J17">
        <f t="shared" si="1"/>
        <v>2031</v>
      </c>
      <c r="K17" s="18">
        <f t="shared" si="2"/>
        <v>128.27545185872356</v>
      </c>
      <c r="L17" s="18">
        <f t="shared" si="2"/>
        <v>213.79241976453929</v>
      </c>
      <c r="M17" s="18">
        <f t="shared" si="2"/>
        <v>342.06787162326287</v>
      </c>
    </row>
    <row r="18" spans="3:13" x14ac:dyDescent="0.25">
      <c r="C18" t="s">
        <v>58</v>
      </c>
      <c r="D18" t="s">
        <v>59</v>
      </c>
      <c r="E18">
        <v>2032</v>
      </c>
      <c r="F18" s="18">
        <f t="shared" ca="1" si="0"/>
        <v>0.35917126520442605</v>
      </c>
      <c r="J18">
        <f t="shared" si="1"/>
        <v>2032</v>
      </c>
      <c r="K18" s="18">
        <f t="shared" si="2"/>
        <v>134.68922445165975</v>
      </c>
      <c r="L18" s="18">
        <f t="shared" si="2"/>
        <v>224.48204075276627</v>
      </c>
      <c r="M18" s="18">
        <f t="shared" si="2"/>
        <v>359.17126520442605</v>
      </c>
    </row>
    <row r="19" spans="3:13" x14ac:dyDescent="0.25">
      <c r="C19" t="s">
        <v>58</v>
      </c>
      <c r="D19" t="s">
        <v>59</v>
      </c>
      <c r="E19">
        <v>2033</v>
      </c>
      <c r="F19" s="18">
        <f t="shared" ca="1" si="0"/>
        <v>0.37712982846464732</v>
      </c>
      <c r="J19">
        <f t="shared" si="1"/>
        <v>2033</v>
      </c>
      <c r="K19" s="18">
        <f t="shared" si="2"/>
        <v>141.42368567424276</v>
      </c>
      <c r="L19" s="18">
        <f t="shared" si="2"/>
        <v>235.70614279040458</v>
      </c>
      <c r="M19" s="18">
        <f t="shared" si="2"/>
        <v>377.12982846464735</v>
      </c>
    </row>
    <row r="20" spans="3:13" x14ac:dyDescent="0.25">
      <c r="C20" t="s">
        <v>58</v>
      </c>
      <c r="D20" t="s">
        <v>59</v>
      </c>
      <c r="E20">
        <v>2034</v>
      </c>
      <c r="F20" s="18">
        <f t="shared" ca="1" si="0"/>
        <v>0.39598631988787975</v>
      </c>
      <c r="J20">
        <f t="shared" si="1"/>
        <v>2034</v>
      </c>
      <c r="K20" s="18">
        <f t="shared" si="2"/>
        <v>148.4948699579549</v>
      </c>
      <c r="L20" s="18">
        <f t="shared" si="2"/>
        <v>247.49144992992481</v>
      </c>
      <c r="M20" s="18">
        <f t="shared" si="2"/>
        <v>395.98631988787974</v>
      </c>
    </row>
    <row r="21" spans="3:13" x14ac:dyDescent="0.25">
      <c r="C21" t="s">
        <v>58</v>
      </c>
      <c r="D21" t="s">
        <v>59</v>
      </c>
      <c r="E21">
        <v>2035</v>
      </c>
      <c r="F21" s="18">
        <f t="shared" ca="1" si="0"/>
        <v>0.41578563588227374</v>
      </c>
      <c r="J21">
        <f t="shared" si="1"/>
        <v>2035</v>
      </c>
      <c r="K21" s="18">
        <f t="shared" si="2"/>
        <v>155.91961345585267</v>
      </c>
      <c r="L21" s="18">
        <f t="shared" si="2"/>
        <v>259.86602242642107</v>
      </c>
      <c r="M21" s="18">
        <f t="shared" si="2"/>
        <v>415.78563588227377</v>
      </c>
    </row>
    <row r="22" spans="3:13" x14ac:dyDescent="0.25">
      <c r="C22" t="s">
        <v>58</v>
      </c>
      <c r="D22" t="s">
        <v>59</v>
      </c>
      <c r="E22">
        <v>2036</v>
      </c>
      <c r="F22" s="18">
        <f t="shared" ca="1" si="0"/>
        <v>0.43657491767638751</v>
      </c>
      <c r="J22">
        <f t="shared" si="1"/>
        <v>2036</v>
      </c>
      <c r="K22" s="18">
        <f t="shared" si="2"/>
        <v>163.71559412864531</v>
      </c>
      <c r="L22" s="18">
        <f t="shared" si="2"/>
        <v>272.85932354774212</v>
      </c>
      <c r="M22" s="18">
        <f t="shared" si="2"/>
        <v>436.57491767638749</v>
      </c>
    </row>
    <row r="23" spans="3:13" x14ac:dyDescent="0.25">
      <c r="C23" t="s">
        <v>58</v>
      </c>
      <c r="D23" t="s">
        <v>59</v>
      </c>
      <c r="E23">
        <v>2037</v>
      </c>
      <c r="F23" s="18">
        <f t="shared" ca="1" si="0"/>
        <v>0.4584036635602069</v>
      </c>
      <c r="J23">
        <f t="shared" si="1"/>
        <v>2037</v>
      </c>
      <c r="K23" s="18">
        <f t="shared" si="2"/>
        <v>171.90137383507758</v>
      </c>
      <c r="L23" s="18">
        <f t="shared" si="2"/>
        <v>286.50228972512923</v>
      </c>
      <c r="M23" s="18">
        <f t="shared" si="2"/>
        <v>458.40366356020689</v>
      </c>
    </row>
    <row r="24" spans="3:13" x14ac:dyDescent="0.25">
      <c r="C24" t="s">
        <v>58</v>
      </c>
      <c r="D24" t="s">
        <v>59</v>
      </c>
      <c r="E24">
        <v>2038</v>
      </c>
      <c r="F24" s="18">
        <f t="shared" ca="1" si="0"/>
        <v>0.48132384673821726</v>
      </c>
      <c r="J24">
        <f t="shared" si="1"/>
        <v>2038</v>
      </c>
      <c r="K24" s="18">
        <f t="shared" si="2"/>
        <v>180.49644252683146</v>
      </c>
      <c r="L24" s="18">
        <f t="shared" si="2"/>
        <v>300.82740421138573</v>
      </c>
      <c r="M24" s="18">
        <f t="shared" si="2"/>
        <v>481.32384673821724</v>
      </c>
    </row>
    <row r="25" spans="3:13" x14ac:dyDescent="0.25">
      <c r="C25" t="s">
        <v>58</v>
      </c>
      <c r="D25" t="s">
        <v>59</v>
      </c>
      <c r="E25">
        <v>2039</v>
      </c>
      <c r="F25" s="18">
        <f t="shared" ca="1" si="0"/>
        <v>0.50539003907512814</v>
      </c>
      <c r="J25">
        <f t="shared" si="1"/>
        <v>2039</v>
      </c>
      <c r="K25" s="18">
        <f t="shared" si="2"/>
        <v>189.52126465317303</v>
      </c>
      <c r="L25" s="18">
        <f t="shared" si="2"/>
        <v>315.86877442195504</v>
      </c>
      <c r="M25" s="18">
        <f t="shared" si="2"/>
        <v>505.39003907512813</v>
      </c>
    </row>
    <row r="26" spans="3:13" x14ac:dyDescent="0.25">
      <c r="C26" t="s">
        <v>58</v>
      </c>
      <c r="D26" t="s">
        <v>59</v>
      </c>
      <c r="E26">
        <v>2040</v>
      </c>
      <c r="F26" s="18">
        <f t="shared" ca="1" si="0"/>
        <v>0.53065954102888457</v>
      </c>
      <c r="J26">
        <f t="shared" si="1"/>
        <v>2040</v>
      </c>
      <c r="K26" s="18">
        <f t="shared" si="2"/>
        <v>198.99732788583168</v>
      </c>
      <c r="L26" s="18">
        <f t="shared" si="2"/>
        <v>331.66221314305278</v>
      </c>
      <c r="M26" s="18">
        <f t="shared" si="2"/>
        <v>530.65954102888452</v>
      </c>
    </row>
    <row r="27" spans="3:13" x14ac:dyDescent="0.25">
      <c r="C27" t="s">
        <v>58</v>
      </c>
      <c r="D27" t="s">
        <v>59</v>
      </c>
      <c r="E27">
        <v>2041</v>
      </c>
      <c r="F27" s="18">
        <f t="shared" ca="1" si="0"/>
        <v>0.55719251808032877</v>
      </c>
      <c r="J27">
        <f t="shared" si="1"/>
        <v>2041</v>
      </c>
      <c r="K27" s="18">
        <f t="shared" si="2"/>
        <v>208.94719428012328</v>
      </c>
      <c r="L27" s="18">
        <f t="shared" si="2"/>
        <v>348.24532380020543</v>
      </c>
      <c r="M27" s="18">
        <f t="shared" si="2"/>
        <v>557.1925180803288</v>
      </c>
    </row>
    <row r="28" spans="3:13" x14ac:dyDescent="0.25">
      <c r="C28" t="s">
        <v>58</v>
      </c>
      <c r="D28" t="s">
        <v>59</v>
      </c>
      <c r="E28">
        <v>2042</v>
      </c>
      <c r="F28" s="18">
        <f t="shared" ca="1" si="0"/>
        <v>0.58505214398434524</v>
      </c>
      <c r="J28">
        <f t="shared" si="1"/>
        <v>2042</v>
      </c>
      <c r="K28" s="18">
        <f t="shared" si="2"/>
        <v>219.39455399412947</v>
      </c>
      <c r="L28" s="18">
        <f t="shared" si="2"/>
        <v>365.65758999021574</v>
      </c>
      <c r="M28" s="18">
        <f t="shared" si="2"/>
        <v>585.05214398434521</v>
      </c>
    </row>
    <row r="29" spans="3:13" x14ac:dyDescent="0.25">
      <c r="C29" t="s">
        <v>58</v>
      </c>
      <c r="D29" t="s">
        <v>59</v>
      </c>
      <c r="E29">
        <v>2043</v>
      </c>
      <c r="F29" s="18">
        <f t="shared" ca="1" si="0"/>
        <v>0.61430475118356254</v>
      </c>
      <c r="J29">
        <f t="shared" si="1"/>
        <v>2043</v>
      </c>
      <c r="K29" s="18">
        <f t="shared" si="2"/>
        <v>230.36428169383595</v>
      </c>
      <c r="L29" s="18">
        <f t="shared" si="2"/>
        <v>383.94046948972652</v>
      </c>
      <c r="M29" s="18">
        <f t="shared" si="2"/>
        <v>614.30475118356253</v>
      </c>
    </row>
    <row r="30" spans="3:13" x14ac:dyDescent="0.25">
      <c r="C30" t="s">
        <v>58</v>
      </c>
      <c r="D30" t="s">
        <v>59</v>
      </c>
      <c r="E30">
        <v>2044</v>
      </c>
      <c r="F30" s="18">
        <f t="shared" ca="1" si="0"/>
        <v>0.64501998874274069</v>
      </c>
      <c r="J30">
        <f t="shared" si="1"/>
        <v>2044</v>
      </c>
      <c r="K30" s="18">
        <f t="shared" si="2"/>
        <v>241.88249577852775</v>
      </c>
      <c r="L30" s="18">
        <f t="shared" si="2"/>
        <v>403.13749296421287</v>
      </c>
      <c r="M30" s="18">
        <f t="shared" si="2"/>
        <v>645.01998874274068</v>
      </c>
    </row>
    <row r="31" spans="3:13" x14ac:dyDescent="0.25">
      <c r="C31" t="s">
        <v>58</v>
      </c>
      <c r="D31" t="s">
        <v>59</v>
      </c>
      <c r="E31">
        <v>2045</v>
      </c>
      <c r="F31" s="18">
        <f t="shared" ca="1" si="0"/>
        <v>0.67727098817987774</v>
      </c>
      <c r="J31">
        <f t="shared" si="1"/>
        <v>2045</v>
      </c>
      <c r="K31" s="18">
        <f t="shared" si="2"/>
        <v>253.97662056745415</v>
      </c>
      <c r="L31" s="18">
        <f t="shared" si="2"/>
        <v>423.29436761242351</v>
      </c>
      <c r="M31" s="18">
        <f t="shared" si="2"/>
        <v>677.27098817987769</v>
      </c>
    </row>
    <row r="32" spans="3:13" x14ac:dyDescent="0.25">
      <c r="C32" t="s">
        <v>58</v>
      </c>
      <c r="D32" t="s">
        <v>59</v>
      </c>
      <c r="E32">
        <v>2046</v>
      </c>
      <c r="F32" s="18">
        <f t="shared" ca="1" si="0"/>
        <v>0.71113453758887157</v>
      </c>
      <c r="J32">
        <f t="shared" si="1"/>
        <v>2046</v>
      </c>
      <c r="K32" s="18">
        <f t="shared" si="2"/>
        <v>266.67545159582687</v>
      </c>
      <c r="L32" s="18">
        <f t="shared" si="2"/>
        <v>444.45908599304471</v>
      </c>
      <c r="M32" s="18">
        <f t="shared" si="2"/>
        <v>711.13453758887158</v>
      </c>
    </row>
    <row r="33" spans="3:13" x14ac:dyDescent="0.25">
      <c r="C33" t="s">
        <v>58</v>
      </c>
      <c r="D33" t="s">
        <v>59</v>
      </c>
      <c r="E33">
        <v>2047</v>
      </c>
      <c r="F33" s="18">
        <f t="shared" ca="1" si="0"/>
        <v>0.74669126446831524</v>
      </c>
      <c r="J33">
        <f t="shared" si="1"/>
        <v>2047</v>
      </c>
      <c r="K33" s="18">
        <f t="shared" si="2"/>
        <v>280.00922417561821</v>
      </c>
      <c r="L33" s="18">
        <f t="shared" si="2"/>
        <v>466.68204029269697</v>
      </c>
      <c r="M33" s="18">
        <f t="shared" si="2"/>
        <v>746.69126446831524</v>
      </c>
    </row>
    <row r="34" spans="3:13" x14ac:dyDescent="0.25">
      <c r="C34" t="s">
        <v>58</v>
      </c>
      <c r="D34" t="s">
        <v>59</v>
      </c>
      <c r="E34">
        <v>2048</v>
      </c>
      <c r="F34" s="18">
        <f t="shared" ca="1" si="0"/>
        <v>0.78402582769173101</v>
      </c>
      <c r="J34">
        <f t="shared" si="1"/>
        <v>2048</v>
      </c>
      <c r="K34" s="18">
        <f t="shared" si="2"/>
        <v>294.00968538439912</v>
      </c>
      <c r="L34" s="18">
        <f t="shared" si="2"/>
        <v>490.01614230733185</v>
      </c>
      <c r="M34" s="18">
        <f t="shared" si="2"/>
        <v>784.02582769173102</v>
      </c>
    </row>
    <row r="35" spans="3:13" x14ac:dyDescent="0.25">
      <c r="C35" t="s">
        <v>58</v>
      </c>
      <c r="D35" t="s">
        <v>59</v>
      </c>
      <c r="E35">
        <v>2049</v>
      </c>
      <c r="F35" s="18">
        <f t="shared" ca="1" si="0"/>
        <v>0.82322711907631763</v>
      </c>
      <c r="J35">
        <f t="shared" si="1"/>
        <v>2049</v>
      </c>
      <c r="K35" s="18">
        <f t="shared" si="2"/>
        <v>308.71016965361906</v>
      </c>
      <c r="L35" s="18">
        <f t="shared" si="2"/>
        <v>514.51694942269842</v>
      </c>
      <c r="M35" s="18">
        <f t="shared" si="2"/>
        <v>823.22711907631765</v>
      </c>
    </row>
    <row r="36" spans="3:13" x14ac:dyDescent="0.25">
      <c r="C36" t="s">
        <v>58</v>
      </c>
      <c r="D36" t="s">
        <v>59</v>
      </c>
      <c r="E36">
        <v>2050</v>
      </c>
      <c r="F36" s="18">
        <f t="shared" ca="1" si="0"/>
        <v>0.86438847503013361</v>
      </c>
      <c r="J36">
        <f t="shared" si="1"/>
        <v>2050</v>
      </c>
      <c r="K36" s="18">
        <f t="shared" si="2"/>
        <v>324.14567813630003</v>
      </c>
      <c r="L36" s="18">
        <f t="shared" si="2"/>
        <v>540.24279689383332</v>
      </c>
      <c r="M36" s="18">
        <f t="shared" si="2"/>
        <v>864.38847503013358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89C6-2671-4CDF-976F-11C9CFD30AE9}">
  <sheetPr codeName="Sheet4"/>
  <dimension ref="A1:AZ37"/>
  <sheetViews>
    <sheetView workbookViewId="0">
      <selection activeCell="A4" sqref="A4"/>
    </sheetView>
  </sheetViews>
  <sheetFormatPr defaultColWidth="8.85546875" defaultRowHeight="15" x14ac:dyDescent="0.25"/>
  <cols>
    <col min="3" max="3" width="11.140625" bestFit="1" customWidth="1"/>
    <col min="4" max="4" width="10" bestFit="1" customWidth="1"/>
    <col min="9" max="10" width="5" bestFit="1" customWidth="1"/>
    <col min="13" max="13" width="4" bestFit="1" customWidth="1"/>
    <col min="14" max="14" width="5" bestFit="1" customWidth="1"/>
  </cols>
  <sheetData>
    <row r="1" spans="1:52" ht="15.75" thickBot="1" x14ac:dyDescent="0.3">
      <c r="A1" s="19" t="str">
        <f>controller!$C$7</f>
        <v>Hi</v>
      </c>
      <c r="I1" s="8">
        <v>2015</v>
      </c>
      <c r="J1" s="8">
        <v>2050</v>
      </c>
    </row>
    <row r="2" spans="1:52" ht="15.75" thickTop="1" x14ac:dyDescent="0.25">
      <c r="I2" s="8">
        <v>1</v>
      </c>
      <c r="J2" s="8">
        <f>VLOOKUP(A1,$M$2:$N$4,2,FALSE)</f>
        <v>3</v>
      </c>
      <c r="M2" s="8" t="s">
        <v>51</v>
      </c>
      <c r="N2" s="8">
        <v>3</v>
      </c>
    </row>
    <row r="3" spans="1:52" x14ac:dyDescent="0.25">
      <c r="C3" t="str">
        <f>IF(A1="Ref","DeACT","~TFM_UPD")</f>
        <v>~TFM_UPD</v>
      </c>
      <c r="M3" s="8" t="s">
        <v>47</v>
      </c>
      <c r="N3" s="8">
        <v>2</v>
      </c>
    </row>
    <row r="4" spans="1:52" x14ac:dyDescent="0.25">
      <c r="C4" t="s">
        <v>4</v>
      </c>
      <c r="D4" t="s">
        <v>0</v>
      </c>
      <c r="E4" t="s">
        <v>43</v>
      </c>
      <c r="F4" t="s">
        <v>50</v>
      </c>
      <c r="G4" t="s">
        <v>1</v>
      </c>
      <c r="M4" s="8" t="s">
        <v>52</v>
      </c>
      <c r="N4" s="8">
        <v>2</v>
      </c>
      <c r="Q4">
        <v>2015</v>
      </c>
      <c r="R4">
        <v>2016</v>
      </c>
      <c r="S4">
        <v>2017</v>
      </c>
      <c r="T4">
        <v>2018</v>
      </c>
      <c r="U4">
        <v>2019</v>
      </c>
      <c r="V4">
        <v>2020</v>
      </c>
      <c r="W4">
        <v>2021</v>
      </c>
      <c r="X4">
        <v>2022</v>
      </c>
      <c r="Y4">
        <v>2023</v>
      </c>
      <c r="Z4">
        <v>2024</v>
      </c>
      <c r="AA4">
        <v>2025</v>
      </c>
      <c r="AB4">
        <v>2026</v>
      </c>
      <c r="AC4">
        <v>2027</v>
      </c>
      <c r="AD4">
        <v>2028</v>
      </c>
      <c r="AE4">
        <v>2029</v>
      </c>
      <c r="AF4">
        <v>2030</v>
      </c>
      <c r="AG4">
        <v>2031</v>
      </c>
      <c r="AH4">
        <v>2032</v>
      </c>
      <c r="AI4">
        <v>2033</v>
      </c>
      <c r="AJ4">
        <v>2034</v>
      </c>
      <c r="AK4">
        <v>2035</v>
      </c>
      <c r="AL4">
        <v>2036</v>
      </c>
      <c r="AM4">
        <v>2037</v>
      </c>
      <c r="AN4">
        <v>2038</v>
      </c>
      <c r="AO4">
        <v>2039</v>
      </c>
      <c r="AP4">
        <v>2040</v>
      </c>
      <c r="AQ4">
        <v>2041</v>
      </c>
      <c r="AR4">
        <v>2042</v>
      </c>
      <c r="AS4">
        <v>2043</v>
      </c>
      <c r="AT4">
        <v>2044</v>
      </c>
      <c r="AU4">
        <v>2045</v>
      </c>
      <c r="AV4">
        <v>2046</v>
      </c>
      <c r="AW4">
        <v>2047</v>
      </c>
      <c r="AX4">
        <v>2048</v>
      </c>
      <c r="AY4">
        <v>2049</v>
      </c>
      <c r="AZ4">
        <v>2050</v>
      </c>
    </row>
    <row r="5" spans="1:52" x14ac:dyDescent="0.25">
      <c r="C5" t="s">
        <v>64</v>
      </c>
      <c r="D5" t="s">
        <v>48</v>
      </c>
      <c r="E5" t="s">
        <v>49</v>
      </c>
      <c r="F5">
        <v>2018</v>
      </c>
      <c r="G5" t="str">
        <f>HLOOKUP(F5,$Q$4:$AZ$6,VLOOKUP($A$1,$M$2:$N$4,2,FALSE),FALSE)</f>
        <v>*0.95405973473104</v>
      </c>
      <c r="P5" t="s">
        <v>144</v>
      </c>
      <c r="Q5" t="s">
        <v>77</v>
      </c>
      <c r="R5" t="s">
        <v>77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105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</row>
    <row r="6" spans="1:52" x14ac:dyDescent="0.25">
      <c r="C6" t="s">
        <v>64</v>
      </c>
      <c r="D6" t="s">
        <v>48</v>
      </c>
      <c r="E6" t="s">
        <v>49</v>
      </c>
      <c r="F6">
        <v>2019</v>
      </c>
      <c r="G6" t="str">
        <f t="shared" ref="G6:G37" si="0">HLOOKUP(F6,$Q$4:$AZ$6,VLOOKUP($A$1,$M$2:$N$4,2,FALSE),FALSE)</f>
        <v>*0.965824749104333</v>
      </c>
      <c r="P6" t="s">
        <v>145</v>
      </c>
      <c r="Q6" t="s">
        <v>77</v>
      </c>
      <c r="R6" t="s">
        <v>77</v>
      </c>
      <c r="S6" t="s">
        <v>77</v>
      </c>
      <c r="T6" t="s">
        <v>111</v>
      </c>
      <c r="U6" t="s">
        <v>112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129</v>
      </c>
      <c r="AM6" t="s">
        <v>130</v>
      </c>
      <c r="AN6" t="s">
        <v>131</v>
      </c>
      <c r="AO6" t="s">
        <v>132</v>
      </c>
      <c r="AP6" t="s">
        <v>133</v>
      </c>
      <c r="AQ6" t="s">
        <v>134</v>
      </c>
      <c r="AR6" t="s">
        <v>135</v>
      </c>
      <c r="AS6" t="s">
        <v>136</v>
      </c>
      <c r="AT6" t="s">
        <v>137</v>
      </c>
      <c r="AU6" t="s">
        <v>138</v>
      </c>
      <c r="AV6" t="s">
        <v>139</v>
      </c>
      <c r="AW6" t="s">
        <v>140</v>
      </c>
      <c r="AX6" t="s">
        <v>141</v>
      </c>
      <c r="AY6" t="s">
        <v>142</v>
      </c>
      <c r="AZ6" t="s">
        <v>143</v>
      </c>
    </row>
    <row r="7" spans="1:52" x14ac:dyDescent="0.25">
      <c r="C7" t="s">
        <v>64</v>
      </c>
      <c r="D7" t="s">
        <v>48</v>
      </c>
      <c r="E7" t="s">
        <v>49</v>
      </c>
      <c r="F7">
        <v>2020</v>
      </c>
      <c r="G7" t="str">
        <f t="shared" si="0"/>
        <v>*1.42621699435605</v>
      </c>
    </row>
    <row r="8" spans="1:52" x14ac:dyDescent="0.25">
      <c r="C8" t="s">
        <v>64</v>
      </c>
      <c r="D8" t="s">
        <v>48</v>
      </c>
      <c r="E8" t="s">
        <v>49</v>
      </c>
      <c r="F8">
        <v>2021</v>
      </c>
      <c r="G8" t="str">
        <f t="shared" si="0"/>
        <v>*1.44714120110334</v>
      </c>
    </row>
    <row r="9" spans="1:52" x14ac:dyDescent="0.25">
      <c r="C9" t="s">
        <v>64</v>
      </c>
      <c r="D9" t="s">
        <v>48</v>
      </c>
      <c r="E9" t="s">
        <v>49</v>
      </c>
      <c r="F9">
        <v>2022</v>
      </c>
      <c r="G9" t="str">
        <f t="shared" si="0"/>
        <v>*1.51010788562888</v>
      </c>
    </row>
    <row r="10" spans="1:52" x14ac:dyDescent="0.25">
      <c r="C10" t="s">
        <v>64</v>
      </c>
      <c r="D10" t="s">
        <v>48</v>
      </c>
      <c r="E10" t="s">
        <v>49</v>
      </c>
      <c r="F10">
        <v>2023</v>
      </c>
      <c r="G10" t="str">
        <f t="shared" si="0"/>
        <v>*1.58415882759654</v>
      </c>
    </row>
    <row r="11" spans="1:52" x14ac:dyDescent="0.25">
      <c r="C11" t="s">
        <v>64</v>
      </c>
      <c r="D11" t="s">
        <v>48</v>
      </c>
      <c r="E11" t="s">
        <v>49</v>
      </c>
      <c r="F11">
        <v>2024</v>
      </c>
      <c r="G11" t="str">
        <f t="shared" si="0"/>
        <v>*1.60288395688783</v>
      </c>
    </row>
    <row r="12" spans="1:52" x14ac:dyDescent="0.25">
      <c r="C12" t="s">
        <v>64</v>
      </c>
      <c r="D12" t="s">
        <v>48</v>
      </c>
      <c r="E12" t="s">
        <v>49</v>
      </c>
      <c r="F12">
        <v>2025</v>
      </c>
      <c r="G12" t="str">
        <f t="shared" si="0"/>
        <v>*1.60208734544499</v>
      </c>
    </row>
    <row r="13" spans="1:52" x14ac:dyDescent="0.25">
      <c r="C13" t="s">
        <v>64</v>
      </c>
      <c r="D13" t="s">
        <v>48</v>
      </c>
      <c r="E13" t="s">
        <v>49</v>
      </c>
      <c r="F13">
        <v>2026</v>
      </c>
      <c r="G13" t="str">
        <f t="shared" si="0"/>
        <v>*1.55444925632777</v>
      </c>
    </row>
    <row r="14" spans="1:52" x14ac:dyDescent="0.25">
      <c r="C14" t="s">
        <v>64</v>
      </c>
      <c r="D14" t="s">
        <v>48</v>
      </c>
      <c r="E14" t="s">
        <v>49</v>
      </c>
      <c r="F14">
        <v>2027</v>
      </c>
      <c r="G14" t="str">
        <f t="shared" si="0"/>
        <v>*1.49773737793382</v>
      </c>
    </row>
    <row r="15" spans="1:52" x14ac:dyDescent="0.25">
      <c r="C15" t="s">
        <v>64</v>
      </c>
      <c r="D15" t="s">
        <v>48</v>
      </c>
      <c r="E15" t="s">
        <v>49</v>
      </c>
      <c r="F15">
        <v>2028</v>
      </c>
      <c r="G15" t="str">
        <f t="shared" si="0"/>
        <v>*1.45660272564172</v>
      </c>
    </row>
    <row r="16" spans="1:52" x14ac:dyDescent="0.25">
      <c r="C16" t="s">
        <v>64</v>
      </c>
      <c r="D16" t="s">
        <v>48</v>
      </c>
      <c r="E16" t="s">
        <v>49</v>
      </c>
      <c r="F16">
        <v>2029</v>
      </c>
      <c r="G16" t="str">
        <f t="shared" si="0"/>
        <v>*1.41460460380904</v>
      </c>
    </row>
    <row r="17" spans="3:7" x14ac:dyDescent="0.25">
      <c r="C17" t="s">
        <v>64</v>
      </c>
      <c r="D17" t="s">
        <v>48</v>
      </c>
      <c r="E17" t="s">
        <v>49</v>
      </c>
      <c r="F17">
        <v>2030</v>
      </c>
      <c r="G17" t="str">
        <f t="shared" si="0"/>
        <v>*1.36790852696526</v>
      </c>
    </row>
    <row r="18" spans="3:7" x14ac:dyDescent="0.25">
      <c r="C18" t="s">
        <v>64</v>
      </c>
      <c r="D18" t="s">
        <v>48</v>
      </c>
      <c r="E18" t="s">
        <v>49</v>
      </c>
      <c r="F18">
        <v>2031</v>
      </c>
      <c r="G18" t="str">
        <f t="shared" si="0"/>
        <v>*1.32721505196477</v>
      </c>
    </row>
    <row r="19" spans="3:7" x14ac:dyDescent="0.25">
      <c r="C19" t="s">
        <v>64</v>
      </c>
      <c r="D19" t="s">
        <v>48</v>
      </c>
      <c r="E19" t="s">
        <v>49</v>
      </c>
      <c r="F19">
        <v>2032</v>
      </c>
      <c r="G19" t="str">
        <f t="shared" si="0"/>
        <v>*1.26213081025743</v>
      </c>
    </row>
    <row r="20" spans="3:7" x14ac:dyDescent="0.25">
      <c r="C20" t="s">
        <v>64</v>
      </c>
      <c r="D20" t="s">
        <v>48</v>
      </c>
      <c r="E20" t="s">
        <v>49</v>
      </c>
      <c r="F20">
        <v>2033</v>
      </c>
      <c r="G20" t="str">
        <f t="shared" si="0"/>
        <v>*1.21902314813471</v>
      </c>
    </row>
    <row r="21" spans="3:7" x14ac:dyDescent="0.25">
      <c r="C21" t="s">
        <v>64</v>
      </c>
      <c r="D21" t="s">
        <v>48</v>
      </c>
      <c r="E21" t="s">
        <v>49</v>
      </c>
      <c r="F21">
        <v>2034</v>
      </c>
      <c r="G21" t="str">
        <f t="shared" si="0"/>
        <v>*1.17728843470502</v>
      </c>
    </row>
    <row r="22" spans="3:7" x14ac:dyDescent="0.25">
      <c r="C22" t="s">
        <v>64</v>
      </c>
      <c r="D22" t="s">
        <v>48</v>
      </c>
      <c r="E22" t="s">
        <v>49</v>
      </c>
      <c r="F22">
        <v>2035</v>
      </c>
      <c r="G22" t="str">
        <f t="shared" si="0"/>
        <v>*1.14350460082343</v>
      </c>
    </row>
    <row r="23" spans="3:7" x14ac:dyDescent="0.25">
      <c r="C23" t="s">
        <v>64</v>
      </c>
      <c r="D23" t="s">
        <v>48</v>
      </c>
      <c r="E23" t="s">
        <v>49</v>
      </c>
      <c r="F23">
        <v>2036</v>
      </c>
      <c r="G23" t="str">
        <f t="shared" si="0"/>
        <v>*1.12315878998893</v>
      </c>
    </row>
    <row r="24" spans="3:7" x14ac:dyDescent="0.25">
      <c r="C24" t="s">
        <v>64</v>
      </c>
      <c r="D24" t="s">
        <v>48</v>
      </c>
      <c r="E24" t="s">
        <v>49</v>
      </c>
      <c r="F24">
        <v>2037</v>
      </c>
      <c r="G24" t="str">
        <f t="shared" si="0"/>
        <v>*1.11701389805454</v>
      </c>
    </row>
    <row r="25" spans="3:7" x14ac:dyDescent="0.25">
      <c r="C25" t="s">
        <v>64</v>
      </c>
      <c r="D25" t="s">
        <v>48</v>
      </c>
      <c r="E25" t="s">
        <v>49</v>
      </c>
      <c r="F25">
        <v>2038</v>
      </c>
      <c r="G25" t="str">
        <f t="shared" si="0"/>
        <v>*1.10218767501199</v>
      </c>
    </row>
    <row r="26" spans="3:7" x14ac:dyDescent="0.25">
      <c r="C26" t="s">
        <v>64</v>
      </c>
      <c r="D26" t="s">
        <v>48</v>
      </c>
      <c r="E26" t="s">
        <v>49</v>
      </c>
      <c r="F26">
        <v>2039</v>
      </c>
      <c r="G26" t="str">
        <f t="shared" si="0"/>
        <v>*1.09572046138954</v>
      </c>
    </row>
    <row r="27" spans="3:7" x14ac:dyDescent="0.25">
      <c r="C27" t="s">
        <v>64</v>
      </c>
      <c r="D27" t="s">
        <v>48</v>
      </c>
      <c r="E27" t="s">
        <v>49</v>
      </c>
      <c r="F27">
        <v>2040</v>
      </c>
      <c r="G27" t="str">
        <f t="shared" si="0"/>
        <v>*1.09528004137033</v>
      </c>
    </row>
    <row r="28" spans="3:7" x14ac:dyDescent="0.25">
      <c r="C28" t="s">
        <v>64</v>
      </c>
      <c r="D28" t="s">
        <v>48</v>
      </c>
      <c r="E28" t="s">
        <v>49</v>
      </c>
      <c r="F28">
        <v>2041</v>
      </c>
      <c r="G28" t="str">
        <f t="shared" si="0"/>
        <v>*1.11061746808653</v>
      </c>
    </row>
    <row r="29" spans="3:7" x14ac:dyDescent="0.25">
      <c r="C29" t="s">
        <v>64</v>
      </c>
      <c r="D29" t="s">
        <v>48</v>
      </c>
      <c r="E29" t="s">
        <v>49</v>
      </c>
      <c r="F29">
        <v>2042</v>
      </c>
      <c r="G29" t="str">
        <f t="shared" si="0"/>
        <v>*1.11271499525458</v>
      </c>
    </row>
    <row r="30" spans="3:7" x14ac:dyDescent="0.25">
      <c r="C30" t="s">
        <v>64</v>
      </c>
      <c r="D30" t="s">
        <v>48</v>
      </c>
      <c r="E30" t="s">
        <v>49</v>
      </c>
      <c r="F30">
        <v>2043</v>
      </c>
      <c r="G30" t="str">
        <f t="shared" si="0"/>
        <v>*1.11320462013965</v>
      </c>
    </row>
    <row r="31" spans="3:7" x14ac:dyDescent="0.25">
      <c r="C31" t="s">
        <v>64</v>
      </c>
      <c r="D31" t="s">
        <v>48</v>
      </c>
      <c r="E31" t="s">
        <v>49</v>
      </c>
      <c r="F31">
        <v>2044</v>
      </c>
      <c r="G31" t="str">
        <f t="shared" si="0"/>
        <v>*1.11696836410708</v>
      </c>
    </row>
    <row r="32" spans="3:7" x14ac:dyDescent="0.25">
      <c r="C32" t="s">
        <v>64</v>
      </c>
      <c r="D32" t="s">
        <v>48</v>
      </c>
      <c r="E32" t="s">
        <v>49</v>
      </c>
      <c r="F32">
        <v>2045</v>
      </c>
      <c r="G32" t="str">
        <f t="shared" si="0"/>
        <v>*1.11505924506397</v>
      </c>
    </row>
    <row r="33" spans="3:7" x14ac:dyDescent="0.25">
      <c r="C33" t="s">
        <v>64</v>
      </c>
      <c r="D33" t="s">
        <v>48</v>
      </c>
      <c r="E33" t="s">
        <v>49</v>
      </c>
      <c r="F33">
        <v>2046</v>
      </c>
      <c r="G33" t="str">
        <f t="shared" si="0"/>
        <v>*1.10960694385015</v>
      </c>
    </row>
    <row r="34" spans="3:7" x14ac:dyDescent="0.25">
      <c r="C34" t="s">
        <v>64</v>
      </c>
      <c r="D34" t="s">
        <v>48</v>
      </c>
      <c r="E34" t="s">
        <v>49</v>
      </c>
      <c r="F34">
        <v>2047</v>
      </c>
      <c r="G34" t="str">
        <f t="shared" si="0"/>
        <v>*1.10395305584941</v>
      </c>
    </row>
    <row r="35" spans="3:7" x14ac:dyDescent="0.25">
      <c r="C35" t="s">
        <v>64</v>
      </c>
      <c r="D35" t="s">
        <v>48</v>
      </c>
      <c r="E35" t="s">
        <v>49</v>
      </c>
      <c r="F35">
        <v>2048</v>
      </c>
      <c r="G35" t="str">
        <f t="shared" si="0"/>
        <v>*1.09846262374728</v>
      </c>
    </row>
    <row r="36" spans="3:7" x14ac:dyDescent="0.25">
      <c r="C36" t="s">
        <v>64</v>
      </c>
      <c r="D36" t="s">
        <v>48</v>
      </c>
      <c r="E36" t="s">
        <v>49</v>
      </c>
      <c r="F36">
        <v>2049</v>
      </c>
      <c r="G36" t="str">
        <f t="shared" si="0"/>
        <v>*1.09231257134127</v>
      </c>
    </row>
    <row r="37" spans="3:7" x14ac:dyDescent="0.25">
      <c r="C37" t="s">
        <v>64</v>
      </c>
      <c r="D37" t="s">
        <v>48</v>
      </c>
      <c r="E37" t="s">
        <v>49</v>
      </c>
      <c r="F37">
        <v>2050</v>
      </c>
      <c r="G37" t="str">
        <f t="shared" si="0"/>
        <v>*1.08599277939943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5"/>
  <sheetViews>
    <sheetView tabSelected="1" zoomScaleNormal="100" workbookViewId="0"/>
  </sheetViews>
  <sheetFormatPr defaultColWidth="8.85546875" defaultRowHeight="15" x14ac:dyDescent="0.25"/>
  <cols>
    <col min="1" max="1" width="4" bestFit="1" customWidth="1"/>
    <col min="2" max="2" width="1.42578125" customWidth="1"/>
    <col min="3" max="3" width="6.140625" bestFit="1" customWidth="1"/>
    <col min="4" max="4" width="10.7109375" bestFit="1" customWidth="1"/>
    <col min="5" max="5" width="14.42578125" bestFit="1" customWidth="1"/>
    <col min="7" max="7" width="9.42578125" bestFit="1" customWidth="1"/>
    <col min="8" max="8" width="3" bestFit="1" customWidth="1"/>
    <col min="11" max="11" width="14.42578125" bestFit="1" customWidth="1"/>
    <col min="12" max="12" width="17.7109375" bestFit="1" customWidth="1"/>
    <col min="16" max="16" width="2.28515625" customWidth="1"/>
    <col min="17" max="17" width="1.85546875" customWidth="1"/>
    <col min="18" max="18" width="11.140625" bestFit="1" customWidth="1"/>
    <col min="20" max="20" width="5.85546875" bestFit="1" customWidth="1"/>
    <col min="21" max="21" width="10.42578125" bestFit="1" customWidth="1"/>
    <col min="22" max="22" width="8.7109375" bestFit="1" customWidth="1"/>
    <col min="25" max="25" width="4" bestFit="1" customWidth="1"/>
    <col min="26" max="26" width="3" bestFit="1" customWidth="1"/>
  </cols>
  <sheetData>
    <row r="1" spans="1:26" ht="15.75" thickBot="1" x14ac:dyDescent="0.3">
      <c r="A1" s="19" t="str">
        <f>controller!F7</f>
        <v>Lo</v>
      </c>
    </row>
    <row r="2" spans="1:26" ht="15.75" thickTop="1" x14ac:dyDescent="0.25">
      <c r="E2" s="1"/>
      <c r="N2" s="9">
        <f>VLOOKUP($A$1,$Y$2:$Z$4,2,FALSE)</f>
        <v>15</v>
      </c>
      <c r="R2" t="str">
        <f>IF(A1="Ref","DeACT","~TFM_MIG")</f>
        <v>~TFM_MIG</v>
      </c>
      <c r="Y2" s="8" t="s">
        <v>47</v>
      </c>
      <c r="Z2" s="8">
        <v>15</v>
      </c>
    </row>
    <row r="3" spans="1:26" ht="15.75" thickBot="1" x14ac:dyDescent="0.3">
      <c r="C3" s="2" t="s">
        <v>2</v>
      </c>
      <c r="D3" s="3" t="s">
        <v>1</v>
      </c>
      <c r="E3" s="4" t="s">
        <v>43</v>
      </c>
      <c r="J3" s="8">
        <v>1</v>
      </c>
      <c r="K3" s="8" t="s">
        <v>42</v>
      </c>
      <c r="L3" s="8" t="s">
        <v>26</v>
      </c>
      <c r="R3" t="s">
        <v>4</v>
      </c>
      <c r="S3" t="s">
        <v>0</v>
      </c>
      <c r="T3" t="s">
        <v>2</v>
      </c>
      <c r="U3" t="s">
        <v>1</v>
      </c>
      <c r="V3" t="s">
        <v>43</v>
      </c>
      <c r="Y3" s="8" t="s">
        <v>51</v>
      </c>
      <c r="Z3" s="8">
        <v>2</v>
      </c>
    </row>
    <row r="4" spans="1:26" x14ac:dyDescent="0.25">
      <c r="C4">
        <v>2017</v>
      </c>
      <c r="D4">
        <f>VLOOKUP($C4,'NEMS learning'!$A$2:$V$37,MATCH(VLOOKUP(RECost!H4,RECost!$J$3:$L$17,3,FALSE),'NEMS learning'!$A$1:$V$1,0))</f>
        <v>0.93799999999999994</v>
      </c>
      <c r="E4" t="str">
        <f t="shared" ref="E4:E27" si="0">VLOOKUP(H4,$J$3:$K$17,2,FALSE)</f>
        <v>E_SPV*</v>
      </c>
      <c r="G4" s="18">
        <f>TREND($C$30:$C$31,$B$30:$B$31,C4)</f>
        <v>0</v>
      </c>
      <c r="H4" s="8">
        <v>1</v>
      </c>
      <c r="J4" s="8">
        <v>2</v>
      </c>
      <c r="K4" s="8" t="s">
        <v>40</v>
      </c>
      <c r="L4" s="8" t="s">
        <v>22</v>
      </c>
      <c r="N4" s="10">
        <f t="shared" ref="N4:N20" si="1">ROUND(MIN(D4*(1+G4),1),3)</f>
        <v>0.93799999999999994</v>
      </c>
      <c r="R4" t="s">
        <v>6</v>
      </c>
      <c r="S4" t="s">
        <v>3</v>
      </c>
      <c r="T4">
        <v>2017</v>
      </c>
      <c r="U4" t="str">
        <f t="shared" ref="U4:U27" si="2">"*"&amp;N4</f>
        <v>*0.938</v>
      </c>
      <c r="V4" t="s">
        <v>42</v>
      </c>
      <c r="Y4" s="8" t="s">
        <v>52</v>
      </c>
      <c r="Z4" s="8">
        <v>1</v>
      </c>
    </row>
    <row r="5" spans="1:26" x14ac:dyDescent="0.25">
      <c r="C5">
        <v>2020</v>
      </c>
      <c r="D5">
        <f>VLOOKUP($C5,'NEMS learning'!$A$2:$V$37,MATCH(VLOOKUP(RECost!H5,RECost!$J$3:$L$17,3,FALSE),'NEMS learning'!$A$1:$V$1,0))</f>
        <v>0.80173399999999995</v>
      </c>
      <c r="E5" t="str">
        <f t="shared" si="0"/>
        <v>E_SPV*</v>
      </c>
      <c r="G5" s="18">
        <f t="shared" ref="G5:G27" si="3">TREND($C$30:$C$31,$B$30:$B$31,C5)</f>
        <v>-2.7272727272727337E-2</v>
      </c>
      <c r="H5" s="8">
        <v>1</v>
      </c>
      <c r="J5" s="8">
        <v>3</v>
      </c>
      <c r="K5" s="8" t="s">
        <v>41</v>
      </c>
      <c r="L5" s="8" t="s">
        <v>23</v>
      </c>
      <c r="N5" s="17">
        <f>IF($N$2=2,N4,ROUND(MIN(D5*(1+G5),1),3))</f>
        <v>0.78</v>
      </c>
      <c r="R5" t="s">
        <v>6</v>
      </c>
      <c r="S5" t="s">
        <v>3</v>
      </c>
      <c r="T5">
        <v>2020</v>
      </c>
      <c r="U5" t="str">
        <f t="shared" si="2"/>
        <v>*0.78</v>
      </c>
      <c r="V5" t="s">
        <v>42</v>
      </c>
    </row>
    <row r="6" spans="1:26" x14ac:dyDescent="0.25">
      <c r="C6">
        <v>2025</v>
      </c>
      <c r="D6">
        <f>VLOOKUP($C6,'NEMS learning'!$A$2:$V$37,MATCH(VLOOKUP(RECost!H6,RECost!$J$3:$L$17,3,FALSE),'NEMS learning'!$A$1:$V$1,0))</f>
        <v>0.72615799999999997</v>
      </c>
      <c r="E6" t="str">
        <f t="shared" si="0"/>
        <v>E_SPV*</v>
      </c>
      <c r="G6" s="18">
        <f t="shared" si="3"/>
        <v>-7.2727272727270531E-2</v>
      </c>
      <c r="H6" s="8">
        <v>1</v>
      </c>
      <c r="J6" s="8">
        <v>4</v>
      </c>
      <c r="K6" s="8" t="s">
        <v>29</v>
      </c>
      <c r="L6" s="8" t="s">
        <v>8</v>
      </c>
      <c r="N6" s="17">
        <f t="shared" ref="N6:N11" si="4">IF($N$2=2,N5,ROUND(MIN(D6*(1+G6),1),3))</f>
        <v>0.67300000000000004</v>
      </c>
      <c r="R6" t="s">
        <v>6</v>
      </c>
      <c r="S6" t="s">
        <v>3</v>
      </c>
      <c r="T6">
        <v>2025</v>
      </c>
      <c r="U6" t="str">
        <f t="shared" si="2"/>
        <v>*0.673</v>
      </c>
      <c r="V6" t="s">
        <v>42</v>
      </c>
    </row>
    <row r="7" spans="1:26" x14ac:dyDescent="0.25">
      <c r="C7">
        <f>C6+5</f>
        <v>2030</v>
      </c>
      <c r="D7">
        <f>VLOOKUP($C7,'NEMS learning'!$A$2:$V$37,MATCH(VLOOKUP(RECost!H7,RECost!$J$3:$L$17,3,FALSE),'NEMS learning'!$A$1:$V$1,0))</f>
        <v>0.71794100000000005</v>
      </c>
      <c r="E7" t="str">
        <f t="shared" si="0"/>
        <v>E_SPV*</v>
      </c>
      <c r="G7" s="18">
        <f t="shared" si="3"/>
        <v>-0.11818181818181728</v>
      </c>
      <c r="H7" s="8">
        <v>1</v>
      </c>
      <c r="J7" s="8">
        <v>5</v>
      </c>
      <c r="K7" s="8" t="s">
        <v>30</v>
      </c>
      <c r="L7" s="8" t="s">
        <v>8</v>
      </c>
      <c r="N7" s="17">
        <f t="shared" si="4"/>
        <v>0.63300000000000001</v>
      </c>
      <c r="R7" t="s">
        <v>6</v>
      </c>
      <c r="S7" t="s">
        <v>3</v>
      </c>
      <c r="T7">
        <v>2030</v>
      </c>
      <c r="U7" t="str">
        <f t="shared" si="2"/>
        <v>*0.633</v>
      </c>
      <c r="V7" t="s">
        <v>42</v>
      </c>
    </row>
    <row r="8" spans="1:26" x14ac:dyDescent="0.25">
      <c r="C8">
        <f>C7+5</f>
        <v>2035</v>
      </c>
      <c r="D8">
        <f>VLOOKUP($C8,'NEMS learning'!$A$2:$V$37,MATCH(VLOOKUP(RECost!H8,RECost!$J$3:$L$17,3,FALSE),'NEMS learning'!$A$1:$V$1,0))</f>
        <v>0.70494199999999996</v>
      </c>
      <c r="E8" t="str">
        <f t="shared" si="0"/>
        <v>E_SPV*</v>
      </c>
      <c r="G8" s="18">
        <f t="shared" si="3"/>
        <v>-0.16363636363636402</v>
      </c>
      <c r="H8" s="8">
        <v>1</v>
      </c>
      <c r="J8" s="8">
        <v>6</v>
      </c>
      <c r="K8" s="8" t="s">
        <v>31</v>
      </c>
      <c r="L8" s="8" t="s">
        <v>9</v>
      </c>
      <c r="N8" s="17">
        <f t="shared" si="4"/>
        <v>0.59</v>
      </c>
      <c r="R8" t="s">
        <v>6</v>
      </c>
      <c r="S8" t="s">
        <v>3</v>
      </c>
      <c r="T8">
        <v>2035</v>
      </c>
      <c r="U8" t="str">
        <f t="shared" si="2"/>
        <v>*0.59</v>
      </c>
      <c r="V8" t="s">
        <v>42</v>
      </c>
    </row>
    <row r="9" spans="1:26" x14ac:dyDescent="0.25">
      <c r="C9">
        <f>C8+5</f>
        <v>2040</v>
      </c>
      <c r="D9">
        <f>VLOOKUP($C9,'NEMS learning'!$A$2:$V$37,MATCH(VLOOKUP(RECost!H9,RECost!$J$3:$L$17,3,FALSE),'NEMS learning'!$A$1:$V$1,0))</f>
        <v>0.7</v>
      </c>
      <c r="E9" t="str">
        <f t="shared" si="0"/>
        <v>E_SPV*</v>
      </c>
      <c r="G9" s="18">
        <f t="shared" si="3"/>
        <v>-0.20909090909090722</v>
      </c>
      <c r="H9" s="8">
        <v>1</v>
      </c>
      <c r="J9" s="8">
        <v>7</v>
      </c>
      <c r="K9" s="8" t="s">
        <v>32</v>
      </c>
      <c r="L9" s="8" t="s">
        <v>14</v>
      </c>
      <c r="N9" s="17">
        <f t="shared" si="4"/>
        <v>0.55400000000000005</v>
      </c>
      <c r="R9" t="s">
        <v>6</v>
      </c>
      <c r="S9" t="s">
        <v>3</v>
      </c>
      <c r="T9">
        <v>2040</v>
      </c>
      <c r="U9" t="str">
        <f t="shared" si="2"/>
        <v>*0.554</v>
      </c>
      <c r="V9" t="s">
        <v>42</v>
      </c>
    </row>
    <row r="10" spans="1:26" x14ac:dyDescent="0.25">
      <c r="C10">
        <f>C9+5</f>
        <v>2045</v>
      </c>
      <c r="D10">
        <f>VLOOKUP($C10,'NEMS learning'!$A$2:$V$37,MATCH(VLOOKUP(RECost!H10,RECost!$J$3:$L$17,3,FALSE),'NEMS learning'!$A$1:$V$1,0))</f>
        <v>0.7</v>
      </c>
      <c r="E10" t="str">
        <f t="shared" si="0"/>
        <v>E_SPV*</v>
      </c>
      <c r="G10" s="18">
        <f t="shared" si="3"/>
        <v>-0.25454545454545396</v>
      </c>
      <c r="H10" s="8">
        <v>1</v>
      </c>
      <c r="J10" s="8">
        <v>8</v>
      </c>
      <c r="K10" s="8" t="s">
        <v>33</v>
      </c>
      <c r="L10" s="8" t="s">
        <v>13</v>
      </c>
      <c r="N10" s="17">
        <f t="shared" si="4"/>
        <v>0.52200000000000002</v>
      </c>
      <c r="R10" t="s">
        <v>6</v>
      </c>
      <c r="S10" t="s">
        <v>3</v>
      </c>
      <c r="T10">
        <v>2045</v>
      </c>
      <c r="U10" t="str">
        <f t="shared" si="2"/>
        <v>*0.522</v>
      </c>
      <c r="V10" t="s">
        <v>42</v>
      </c>
    </row>
    <row r="11" spans="1:26" x14ac:dyDescent="0.25">
      <c r="C11">
        <f>C10+5</f>
        <v>2050</v>
      </c>
      <c r="D11">
        <f>VLOOKUP($C11,'NEMS learning'!$A$2:$V$37,MATCH(VLOOKUP(RECost!H11,RECost!$J$3:$L$17,3,FALSE),'NEMS learning'!$A$1:$V$1,0))</f>
        <v>0.7</v>
      </c>
      <c r="E11" t="str">
        <f t="shared" si="0"/>
        <v>E_SPV*</v>
      </c>
      <c r="G11" s="18">
        <f t="shared" si="3"/>
        <v>-0.30000000000000071</v>
      </c>
      <c r="H11" s="8">
        <v>1</v>
      </c>
      <c r="J11" s="8">
        <v>9</v>
      </c>
      <c r="K11" s="8" t="s">
        <v>34</v>
      </c>
      <c r="L11" s="8" t="s">
        <v>12</v>
      </c>
      <c r="N11" s="17">
        <f t="shared" si="4"/>
        <v>0.49</v>
      </c>
      <c r="R11" t="s">
        <v>6</v>
      </c>
      <c r="S11" t="s">
        <v>3</v>
      </c>
      <c r="T11">
        <v>2050</v>
      </c>
      <c r="U11" t="str">
        <f t="shared" si="2"/>
        <v>*0.49</v>
      </c>
      <c r="V11" t="s">
        <v>42</v>
      </c>
    </row>
    <row r="12" spans="1:26" x14ac:dyDescent="0.25">
      <c r="C12">
        <f t="shared" ref="C12:C27" si="5">C4</f>
        <v>2017</v>
      </c>
      <c r="D12">
        <f>VLOOKUP($C12,'NEMS learning'!$A$2:$V$37,MATCH(VLOOKUP(RECost!H12,RECost!$J$3:$L$17,3,FALSE),'NEMS learning'!$A$1:$V$1,0))</f>
        <v>0.998</v>
      </c>
      <c r="E12" t="str">
        <f t="shared" si="0"/>
        <v>E_WON*</v>
      </c>
      <c r="G12" s="18">
        <f t="shared" si="3"/>
        <v>0</v>
      </c>
      <c r="H12" s="8">
        <f t="shared" ref="H12:H27" si="6">H4+1</f>
        <v>2</v>
      </c>
      <c r="J12" s="8">
        <v>10</v>
      </c>
      <c r="K12" s="8" t="s">
        <v>35</v>
      </c>
      <c r="L12" s="8" t="s">
        <v>11</v>
      </c>
      <c r="N12" s="10">
        <f t="shared" si="1"/>
        <v>0.998</v>
      </c>
      <c r="R12" t="s">
        <v>5</v>
      </c>
      <c r="S12" t="s">
        <v>3</v>
      </c>
      <c r="T12">
        <v>2017</v>
      </c>
      <c r="U12" t="str">
        <f t="shared" si="2"/>
        <v>*0.998</v>
      </c>
      <c r="V12" t="s">
        <v>40</v>
      </c>
    </row>
    <row r="13" spans="1:26" x14ac:dyDescent="0.25">
      <c r="C13">
        <f t="shared" si="5"/>
        <v>2020</v>
      </c>
      <c r="D13">
        <f>VLOOKUP($C13,'NEMS learning'!$A$2:$V$37,MATCH(VLOOKUP(RECost!H13,RECost!$J$3:$L$17,3,FALSE),'NEMS learning'!$A$1:$V$1,0))</f>
        <v>0.99</v>
      </c>
      <c r="E13" t="str">
        <f t="shared" si="0"/>
        <v>E_WON*</v>
      </c>
      <c r="G13" s="18">
        <f t="shared" si="3"/>
        <v>-2.7272727272727337E-2</v>
      </c>
      <c r="H13" s="8">
        <f t="shared" si="6"/>
        <v>2</v>
      </c>
      <c r="J13" s="8">
        <v>11</v>
      </c>
      <c r="K13" s="8" t="s">
        <v>36</v>
      </c>
      <c r="L13" s="8" t="s">
        <v>10</v>
      </c>
      <c r="N13" s="17">
        <f t="shared" ref="N13:N27" si="7">IF($N$2=2,N12,ROUND(MIN(D13*(1+G13),1),3))</f>
        <v>0.96299999999999997</v>
      </c>
      <c r="R13" t="s">
        <v>5</v>
      </c>
      <c r="S13" t="s">
        <v>3</v>
      </c>
      <c r="T13">
        <v>2020</v>
      </c>
      <c r="U13" t="str">
        <f t="shared" si="2"/>
        <v>*0.963</v>
      </c>
      <c r="V13" t="s">
        <v>40</v>
      </c>
    </row>
    <row r="14" spans="1:26" x14ac:dyDescent="0.25">
      <c r="C14">
        <f t="shared" si="5"/>
        <v>2025</v>
      </c>
      <c r="D14">
        <f>VLOOKUP($C14,'NEMS learning'!$A$2:$V$37,MATCH(VLOOKUP(RECost!H14,RECost!$J$3:$L$17,3,FALSE),'NEMS learning'!$A$1:$V$1,0))</f>
        <v>0.97750000000000004</v>
      </c>
      <c r="E14" t="str">
        <f t="shared" si="0"/>
        <v>E_WON*</v>
      </c>
      <c r="G14" s="18">
        <f t="shared" si="3"/>
        <v>-7.2727272727270531E-2</v>
      </c>
      <c r="H14" s="8">
        <f t="shared" si="6"/>
        <v>2</v>
      </c>
      <c r="J14" s="8">
        <v>12</v>
      </c>
      <c r="K14" s="8" t="s">
        <v>37</v>
      </c>
      <c r="L14" s="8" t="s">
        <v>17</v>
      </c>
      <c r="N14" s="17">
        <f t="shared" si="7"/>
        <v>0.90600000000000003</v>
      </c>
      <c r="R14" t="s">
        <v>5</v>
      </c>
      <c r="S14" t="s">
        <v>3</v>
      </c>
      <c r="T14">
        <v>2025</v>
      </c>
      <c r="U14" t="str">
        <f t="shared" si="2"/>
        <v>*0.906</v>
      </c>
      <c r="V14" t="s">
        <v>40</v>
      </c>
    </row>
    <row r="15" spans="1:26" x14ac:dyDescent="0.25">
      <c r="C15">
        <f t="shared" si="5"/>
        <v>2030</v>
      </c>
      <c r="D15">
        <f>VLOOKUP($C15,'NEMS learning'!$A$2:$V$37,MATCH(VLOOKUP(RECost!H15,RECost!$J$3:$L$17,3,FALSE),'NEMS learning'!$A$1:$V$1,0))</f>
        <v>0.96499999999999997</v>
      </c>
      <c r="E15" t="str">
        <f t="shared" si="0"/>
        <v>E_WON*</v>
      </c>
      <c r="G15" s="18">
        <f t="shared" si="3"/>
        <v>-0.11818181818181728</v>
      </c>
      <c r="H15" s="8">
        <f t="shared" si="6"/>
        <v>2</v>
      </c>
      <c r="J15" s="8">
        <v>13</v>
      </c>
      <c r="K15" s="8" t="s">
        <v>38</v>
      </c>
      <c r="L15" s="8" t="str">
        <f>L8</f>
        <v>Coal with 90% CCS</v>
      </c>
      <c r="N15" s="17">
        <f t="shared" si="7"/>
        <v>0.85099999999999998</v>
      </c>
      <c r="R15" t="s">
        <v>5</v>
      </c>
      <c r="S15" t="s">
        <v>3</v>
      </c>
      <c r="T15">
        <v>2030</v>
      </c>
      <c r="U15" t="str">
        <f t="shared" si="2"/>
        <v>*0.851</v>
      </c>
      <c r="V15" t="s">
        <v>40</v>
      </c>
    </row>
    <row r="16" spans="1:26" x14ac:dyDescent="0.25">
      <c r="C16">
        <f t="shared" si="5"/>
        <v>2035</v>
      </c>
      <c r="D16">
        <f>VLOOKUP($C16,'NEMS learning'!$A$2:$V$37,MATCH(VLOOKUP(RECost!H16,RECost!$J$3:$L$17,3,FALSE),'NEMS learning'!$A$1:$V$1,0))</f>
        <v>0.95250000000000001</v>
      </c>
      <c r="E16" t="str">
        <f t="shared" si="0"/>
        <v>E_WON*</v>
      </c>
      <c r="G16" s="18">
        <f t="shared" si="3"/>
        <v>-0.16363636363636402</v>
      </c>
      <c r="H16" s="8">
        <f t="shared" si="6"/>
        <v>2</v>
      </c>
      <c r="J16" s="8">
        <v>14</v>
      </c>
      <c r="K16" s="8" t="s">
        <v>39</v>
      </c>
      <c r="L16" s="8" t="str">
        <f>L12</f>
        <v>Adv. CT</v>
      </c>
      <c r="N16" s="17">
        <f t="shared" si="7"/>
        <v>0.79700000000000004</v>
      </c>
      <c r="R16" t="s">
        <v>5</v>
      </c>
      <c r="S16" t="s">
        <v>3</v>
      </c>
      <c r="T16">
        <v>2035</v>
      </c>
      <c r="U16" t="str">
        <f t="shared" si="2"/>
        <v>*0.797</v>
      </c>
      <c r="V16" t="s">
        <v>40</v>
      </c>
    </row>
    <row r="17" spans="2:22" x14ac:dyDescent="0.25">
      <c r="C17">
        <f t="shared" si="5"/>
        <v>2040</v>
      </c>
      <c r="D17">
        <f>VLOOKUP($C17,'NEMS learning'!$A$2:$V$37,MATCH(VLOOKUP(RECost!H17,RECost!$J$3:$L$17,3,FALSE),'NEMS learning'!$A$1:$V$1,0))</f>
        <v>0.94</v>
      </c>
      <c r="E17" t="str">
        <f t="shared" si="0"/>
        <v>E_WON*</v>
      </c>
      <c r="G17" s="18">
        <f t="shared" si="3"/>
        <v>-0.20909090909090722</v>
      </c>
      <c r="H17" s="8">
        <f t="shared" si="6"/>
        <v>2</v>
      </c>
      <c r="J17" s="8">
        <v>15</v>
      </c>
      <c r="K17" s="8" t="s">
        <v>44</v>
      </c>
      <c r="L17" s="8" t="s">
        <v>20</v>
      </c>
      <c r="N17" s="17">
        <f t="shared" si="7"/>
        <v>0.74299999999999999</v>
      </c>
      <c r="R17" t="s">
        <v>5</v>
      </c>
      <c r="S17" t="s">
        <v>3</v>
      </c>
      <c r="T17">
        <v>2040</v>
      </c>
      <c r="U17" t="str">
        <f t="shared" si="2"/>
        <v>*0.743</v>
      </c>
      <c r="V17" t="s">
        <v>40</v>
      </c>
    </row>
    <row r="18" spans="2:22" x14ac:dyDescent="0.25">
      <c r="C18">
        <f t="shared" si="5"/>
        <v>2045</v>
      </c>
      <c r="D18">
        <f>VLOOKUP($C18,'NEMS learning'!$A$2:$V$37,MATCH(VLOOKUP(RECost!H18,RECost!$J$3:$L$17,3,FALSE),'NEMS learning'!$A$1:$V$1,0))</f>
        <v>0.92749999999999999</v>
      </c>
      <c r="E18" t="str">
        <f t="shared" si="0"/>
        <v>E_WON*</v>
      </c>
      <c r="G18" s="18">
        <f t="shared" si="3"/>
        <v>-0.25454545454545396</v>
      </c>
      <c r="H18" s="8">
        <f t="shared" si="6"/>
        <v>2</v>
      </c>
      <c r="N18" s="17">
        <f t="shared" si="7"/>
        <v>0.69099999999999995</v>
      </c>
      <c r="R18" t="s">
        <v>5</v>
      </c>
      <c r="S18" t="s">
        <v>3</v>
      </c>
      <c r="T18">
        <v>2045</v>
      </c>
      <c r="U18" t="str">
        <f t="shared" si="2"/>
        <v>*0.691</v>
      </c>
      <c r="V18" t="s">
        <v>40</v>
      </c>
    </row>
    <row r="19" spans="2:22" x14ac:dyDescent="0.25">
      <c r="C19">
        <f t="shared" si="5"/>
        <v>2050</v>
      </c>
      <c r="D19">
        <f>VLOOKUP($C19,'NEMS learning'!$A$2:$V$37,MATCH(VLOOKUP(RECost!H19,RECost!$J$3:$L$17,3,FALSE),'NEMS learning'!$A$1:$V$1,0))</f>
        <v>0.91500000000000004</v>
      </c>
      <c r="E19" t="str">
        <f t="shared" si="0"/>
        <v>E_WON*</v>
      </c>
      <c r="G19" s="18">
        <f t="shared" si="3"/>
        <v>-0.30000000000000071</v>
      </c>
      <c r="H19" s="8">
        <f t="shared" si="6"/>
        <v>2</v>
      </c>
      <c r="N19" s="17">
        <f t="shared" si="7"/>
        <v>0.64</v>
      </c>
      <c r="R19" t="s">
        <v>5</v>
      </c>
      <c r="S19" t="s">
        <v>3</v>
      </c>
      <c r="T19">
        <v>2050</v>
      </c>
      <c r="U19" t="str">
        <f t="shared" si="2"/>
        <v>*0.64</v>
      </c>
      <c r="V19" t="s">
        <v>40</v>
      </c>
    </row>
    <row r="20" spans="2:22" x14ac:dyDescent="0.25">
      <c r="C20">
        <f t="shared" si="5"/>
        <v>2017</v>
      </c>
      <c r="D20">
        <f>VLOOKUP($C20,'NEMS learning'!$A$2:$V$37,MATCH(VLOOKUP(RECost!H20,RECost!$J$3:$L$17,3,FALSE),'NEMS learning'!$A$1:$V$1,0))</f>
        <v>0.99399999999999999</v>
      </c>
      <c r="E20" t="str">
        <f t="shared" si="0"/>
        <v>E_WOF*</v>
      </c>
      <c r="G20" s="18">
        <f t="shared" si="3"/>
        <v>0</v>
      </c>
      <c r="H20" s="8">
        <f t="shared" si="6"/>
        <v>3</v>
      </c>
      <c r="N20" s="10">
        <f t="shared" si="1"/>
        <v>0.99399999999999999</v>
      </c>
      <c r="R20" t="s">
        <v>5</v>
      </c>
      <c r="S20" t="s">
        <v>3</v>
      </c>
      <c r="T20">
        <v>2017</v>
      </c>
      <c r="U20" t="str">
        <f t="shared" si="2"/>
        <v>*0.994</v>
      </c>
      <c r="V20" t="s">
        <v>41</v>
      </c>
    </row>
    <row r="21" spans="2:22" ht="15.75" thickBot="1" x14ac:dyDescent="0.3">
      <c r="C21">
        <f t="shared" si="5"/>
        <v>2020</v>
      </c>
      <c r="D21">
        <f>VLOOKUP($C21,'NEMS learning'!$A$2:$V$37,MATCH(VLOOKUP(RECost!H21,RECost!$J$3:$L$17,3,FALSE),'NEMS learning'!$A$1:$V$1,0))</f>
        <v>0.97499999999999998</v>
      </c>
      <c r="E21" t="str">
        <f t="shared" si="0"/>
        <v>E_WOF*</v>
      </c>
      <c r="G21" s="18">
        <f t="shared" si="3"/>
        <v>-2.7272727272727337E-2</v>
      </c>
      <c r="H21" s="8">
        <f t="shared" si="6"/>
        <v>3</v>
      </c>
      <c r="N21" s="17">
        <f t="shared" si="7"/>
        <v>0.94799999999999995</v>
      </c>
      <c r="R21" t="s">
        <v>5</v>
      </c>
      <c r="S21" t="s">
        <v>3</v>
      </c>
      <c r="T21">
        <v>2020</v>
      </c>
      <c r="U21" t="str">
        <f t="shared" si="2"/>
        <v>*0.948</v>
      </c>
      <c r="V21" t="s">
        <v>41</v>
      </c>
    </row>
    <row r="22" spans="2:22" ht="73.5" thickBot="1" x14ac:dyDescent="0.3">
      <c r="C22">
        <f t="shared" si="5"/>
        <v>2025</v>
      </c>
      <c r="D22">
        <f>VLOOKUP($C22,'NEMS learning'!$A$2:$V$37,MATCH(VLOOKUP(RECost!H22,RECost!$J$3:$L$17,3,FALSE),'NEMS learning'!$A$1:$V$1,0))</f>
        <v>0.94374999999999998</v>
      </c>
      <c r="E22" t="str">
        <f t="shared" si="0"/>
        <v>E_WOF*</v>
      </c>
      <c r="G22" s="18">
        <f t="shared" si="3"/>
        <v>-7.2727272727270531E-2</v>
      </c>
      <c r="H22" s="8">
        <f t="shared" si="6"/>
        <v>3</v>
      </c>
      <c r="K22" s="15" t="s">
        <v>45</v>
      </c>
      <c r="L22" s="16" t="s">
        <v>46</v>
      </c>
      <c r="N22" s="17">
        <f t="shared" si="7"/>
        <v>0.875</v>
      </c>
      <c r="R22" t="s">
        <v>5</v>
      </c>
      <c r="S22" t="s">
        <v>3</v>
      </c>
      <c r="T22">
        <v>2025</v>
      </c>
      <c r="U22" t="str">
        <f t="shared" si="2"/>
        <v>*0.875</v>
      </c>
      <c r="V22" t="s">
        <v>41</v>
      </c>
    </row>
    <row r="23" spans="2:22" x14ac:dyDescent="0.25">
      <c r="C23">
        <f t="shared" si="5"/>
        <v>2030</v>
      </c>
      <c r="D23">
        <f>VLOOKUP($C23,'NEMS learning'!$A$2:$V$37,MATCH(VLOOKUP(RECost!H23,RECost!$J$3:$L$17,3,FALSE),'NEMS learning'!$A$1:$V$1,0))</f>
        <v>0.91249999999999998</v>
      </c>
      <c r="E23" t="str">
        <f t="shared" si="0"/>
        <v>E_WOF*</v>
      </c>
      <c r="G23" s="18">
        <f t="shared" si="3"/>
        <v>-0.11818181818181728</v>
      </c>
      <c r="H23" s="8">
        <f t="shared" si="6"/>
        <v>3</v>
      </c>
      <c r="K23" s="11">
        <v>1</v>
      </c>
      <c r="L23" s="12">
        <v>0</v>
      </c>
      <c r="N23" s="17">
        <f t="shared" si="7"/>
        <v>0.80500000000000005</v>
      </c>
      <c r="R23" t="s">
        <v>5</v>
      </c>
      <c r="S23" t="s">
        <v>3</v>
      </c>
      <c r="T23">
        <v>2030</v>
      </c>
      <c r="U23" t="str">
        <f t="shared" si="2"/>
        <v>*0.805</v>
      </c>
      <c r="V23" t="s">
        <v>41</v>
      </c>
    </row>
    <row r="24" spans="2:22" x14ac:dyDescent="0.25">
      <c r="C24">
        <f t="shared" si="5"/>
        <v>2035</v>
      </c>
      <c r="D24">
        <f>VLOOKUP($C24,'NEMS learning'!$A$2:$V$37,MATCH(VLOOKUP(RECost!H24,RECost!$J$3:$L$17,3,FALSE),'NEMS learning'!$A$1:$V$1,0))</f>
        <v>0.88124999999999998</v>
      </c>
      <c r="E24" t="str">
        <f t="shared" si="0"/>
        <v>E_WOF*</v>
      </c>
      <c r="G24" s="18">
        <f t="shared" si="3"/>
        <v>-0.16363636363636402</v>
      </c>
      <c r="H24" s="8">
        <f t="shared" si="6"/>
        <v>3</v>
      </c>
      <c r="K24" s="11">
        <v>2</v>
      </c>
      <c r="L24" s="12">
        <v>1</v>
      </c>
      <c r="N24" s="17">
        <f t="shared" si="7"/>
        <v>0.73699999999999999</v>
      </c>
      <c r="R24" t="s">
        <v>5</v>
      </c>
      <c r="S24" t="s">
        <v>3</v>
      </c>
      <c r="T24">
        <v>2035</v>
      </c>
      <c r="U24" t="str">
        <f t="shared" si="2"/>
        <v>*0.737</v>
      </c>
      <c r="V24" t="s">
        <v>41</v>
      </c>
    </row>
    <row r="25" spans="2:22" x14ac:dyDescent="0.25">
      <c r="C25">
        <f t="shared" si="5"/>
        <v>2040</v>
      </c>
      <c r="D25">
        <f>VLOOKUP($C25,'NEMS learning'!$A$2:$V$37,MATCH(VLOOKUP(RECost!H25,RECost!$J$3:$L$17,3,FALSE),'NEMS learning'!$A$1:$V$1,0))</f>
        <v>0.85</v>
      </c>
      <c r="E25" t="str">
        <f t="shared" si="0"/>
        <v>E_WOF*</v>
      </c>
      <c r="G25" s="18">
        <f t="shared" si="3"/>
        <v>-0.20909090909090722</v>
      </c>
      <c r="H25" s="8">
        <f t="shared" si="6"/>
        <v>3</v>
      </c>
      <c r="K25" s="11">
        <v>3</v>
      </c>
      <c r="L25" s="12">
        <f>L23+0.02</f>
        <v>0.02</v>
      </c>
      <c r="N25" s="17">
        <f t="shared" si="7"/>
        <v>0.67200000000000004</v>
      </c>
      <c r="R25" t="s">
        <v>5</v>
      </c>
      <c r="S25" t="s">
        <v>3</v>
      </c>
      <c r="T25">
        <v>2040</v>
      </c>
      <c r="U25" t="str">
        <f t="shared" si="2"/>
        <v>*0.672</v>
      </c>
      <c r="V25" t="s">
        <v>41</v>
      </c>
    </row>
    <row r="26" spans="2:22" x14ac:dyDescent="0.25">
      <c r="C26">
        <f t="shared" si="5"/>
        <v>2045</v>
      </c>
      <c r="D26">
        <f>VLOOKUP($C26,'NEMS learning'!$A$2:$V$37,MATCH(VLOOKUP(RECost!H26,RECost!$J$3:$L$17,3,FALSE),'NEMS learning'!$A$1:$V$1,0))</f>
        <v>0.81874999999999998</v>
      </c>
      <c r="E26" t="str">
        <f t="shared" si="0"/>
        <v>E_WOF*</v>
      </c>
      <c r="G26" s="18">
        <f t="shared" si="3"/>
        <v>-0.25454545454545396</v>
      </c>
      <c r="H26" s="8">
        <f t="shared" si="6"/>
        <v>3</v>
      </c>
      <c r="K26" s="11">
        <v>4</v>
      </c>
      <c r="L26" s="12">
        <f>L25+0.02</f>
        <v>0.04</v>
      </c>
      <c r="N26" s="17">
        <f t="shared" si="7"/>
        <v>0.61</v>
      </c>
      <c r="R26" t="s">
        <v>5</v>
      </c>
      <c r="S26" t="s">
        <v>3</v>
      </c>
      <c r="T26">
        <v>2045</v>
      </c>
      <c r="U26" t="str">
        <f t="shared" si="2"/>
        <v>*0.61</v>
      </c>
      <c r="V26" t="s">
        <v>41</v>
      </c>
    </row>
    <row r="27" spans="2:22" x14ac:dyDescent="0.25">
      <c r="C27">
        <f t="shared" si="5"/>
        <v>2050</v>
      </c>
      <c r="D27">
        <f>VLOOKUP($C27,'NEMS learning'!$A$2:$V$37,MATCH(VLOOKUP(RECost!H27,RECost!$J$3:$L$17,3,FALSE),'NEMS learning'!$A$1:$V$1,0))</f>
        <v>0.78749999999999998</v>
      </c>
      <c r="E27" t="str">
        <f t="shared" si="0"/>
        <v>E_WOF*</v>
      </c>
      <c r="G27" s="18">
        <f t="shared" si="3"/>
        <v>-0.30000000000000071</v>
      </c>
      <c r="H27" s="8">
        <f t="shared" si="6"/>
        <v>3</v>
      </c>
      <c r="K27" s="11">
        <v>5</v>
      </c>
      <c r="L27" s="12">
        <f t="shared" ref="L27:L34" si="8">L26+0.02</f>
        <v>0.06</v>
      </c>
      <c r="N27" s="17">
        <f t="shared" si="7"/>
        <v>0.55100000000000005</v>
      </c>
      <c r="R27" t="s">
        <v>5</v>
      </c>
      <c r="S27" t="s">
        <v>3</v>
      </c>
      <c r="T27">
        <v>2050</v>
      </c>
      <c r="U27" t="str">
        <f t="shared" si="2"/>
        <v>*0.551</v>
      </c>
      <c r="V27" t="s">
        <v>41</v>
      </c>
    </row>
    <row r="28" spans="2:22" x14ac:dyDescent="0.25">
      <c r="K28" s="11">
        <v>6</v>
      </c>
      <c r="L28" s="12">
        <f t="shared" si="8"/>
        <v>0.08</v>
      </c>
    </row>
    <row r="29" spans="2:22" x14ac:dyDescent="0.25">
      <c r="K29" s="11">
        <v>7</v>
      </c>
      <c r="L29" s="12">
        <f t="shared" si="8"/>
        <v>0.1</v>
      </c>
    </row>
    <row r="30" spans="2:22" x14ac:dyDescent="0.25">
      <c r="B30">
        <v>2017</v>
      </c>
      <c r="C30">
        <v>0</v>
      </c>
      <c r="K30" s="11">
        <v>8</v>
      </c>
      <c r="L30" s="12">
        <f t="shared" si="8"/>
        <v>0.12000000000000001</v>
      </c>
    </row>
    <row r="31" spans="2:22" x14ac:dyDescent="0.25">
      <c r="B31">
        <v>2050</v>
      </c>
      <c r="C31">
        <f>VLOOKUP(N2,$K$23:$L$36,2,FALSE)</f>
        <v>-0.3</v>
      </c>
      <c r="K31" s="11">
        <v>9</v>
      </c>
      <c r="L31" s="12">
        <f t="shared" si="8"/>
        <v>0.14000000000000001</v>
      </c>
    </row>
    <row r="32" spans="2:22" x14ac:dyDescent="0.25">
      <c r="K32" s="11">
        <v>10</v>
      </c>
      <c r="L32" s="12">
        <f t="shared" si="8"/>
        <v>0.16</v>
      </c>
    </row>
    <row r="33" spans="11:12" x14ac:dyDescent="0.25">
      <c r="K33" s="11">
        <v>11</v>
      </c>
      <c r="L33" s="12">
        <f t="shared" si="8"/>
        <v>0.18</v>
      </c>
    </row>
    <row r="34" spans="11:12" ht="15.75" thickBot="1" x14ac:dyDescent="0.3">
      <c r="K34" s="13">
        <v>12</v>
      </c>
      <c r="L34" s="14">
        <f t="shared" si="8"/>
        <v>0.19999999999999998</v>
      </c>
    </row>
    <row r="35" spans="11:12" x14ac:dyDescent="0.25">
      <c r="K35" s="11">
        <v>15</v>
      </c>
      <c r="L35">
        <v>-0.3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37"/>
  <sheetViews>
    <sheetView workbookViewId="0"/>
  </sheetViews>
  <sheetFormatPr defaultColWidth="8.85546875" defaultRowHeight="15" x14ac:dyDescent="0.25"/>
  <sheetData>
    <row r="1" spans="1:22" ht="4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</row>
    <row r="2" spans="1:22" x14ac:dyDescent="0.25">
      <c r="A2" s="5">
        <v>2015</v>
      </c>
      <c r="B2" s="5">
        <v>3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3</v>
      </c>
    </row>
    <row r="3" spans="1:22" x14ac:dyDescent="0.25">
      <c r="A3" s="5">
        <v>2016</v>
      </c>
      <c r="B3" s="5">
        <v>3</v>
      </c>
      <c r="C3" s="5">
        <v>3</v>
      </c>
      <c r="D3" s="5">
        <v>3</v>
      </c>
      <c r="E3" s="5">
        <v>3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5">
        <v>3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v>3</v>
      </c>
      <c r="T3" s="5">
        <v>3</v>
      </c>
      <c r="U3" s="5">
        <v>3</v>
      </c>
      <c r="V3" s="5">
        <v>3</v>
      </c>
    </row>
    <row r="4" spans="1:22" x14ac:dyDescent="0.25">
      <c r="A4" s="5">
        <v>2017</v>
      </c>
      <c r="B4" s="5">
        <v>0.996</v>
      </c>
      <c r="C4" s="5">
        <v>0.996</v>
      </c>
      <c r="D4" s="5">
        <v>0.997</v>
      </c>
      <c r="E4" s="5">
        <v>0.996</v>
      </c>
      <c r="F4" s="5">
        <v>0.998</v>
      </c>
      <c r="G4" s="5">
        <v>0.997</v>
      </c>
      <c r="H4" s="5">
        <v>0.99399999999999999</v>
      </c>
      <c r="I4" s="5">
        <v>0.99</v>
      </c>
      <c r="J4" s="5">
        <v>0.995</v>
      </c>
      <c r="K4" s="5">
        <v>0.996</v>
      </c>
      <c r="L4" s="5">
        <v>0.995</v>
      </c>
      <c r="M4" s="5">
        <v>0.997</v>
      </c>
      <c r="N4" s="5">
        <v>0.998</v>
      </c>
      <c r="O4" s="5">
        <v>0.99</v>
      </c>
      <c r="P4" s="5">
        <v>0.998</v>
      </c>
      <c r="Q4" s="5">
        <v>0.99399999999999999</v>
      </c>
      <c r="R4" s="5">
        <v>0.98799999999999999</v>
      </c>
      <c r="S4" s="5">
        <v>0.93799999999999994</v>
      </c>
      <c r="T4" s="5">
        <v>0.93799999999999994</v>
      </c>
      <c r="U4" s="5">
        <v>0.995</v>
      </c>
      <c r="V4" s="5">
        <v>0.995</v>
      </c>
    </row>
    <row r="5" spans="1:22" x14ac:dyDescent="0.25">
      <c r="A5" s="6">
        <v>2018</v>
      </c>
      <c r="B5" s="7">
        <v>0.99124999999999996</v>
      </c>
      <c r="C5" s="7">
        <v>0.99124999999999996</v>
      </c>
      <c r="D5" s="7">
        <v>0.995</v>
      </c>
      <c r="E5" s="7">
        <v>0.99250000000000005</v>
      </c>
      <c r="F5" s="7">
        <v>0.995</v>
      </c>
      <c r="G5" s="7">
        <v>0.99350000000000005</v>
      </c>
      <c r="H5" s="7">
        <v>0.98799999999999999</v>
      </c>
      <c r="I5" s="7">
        <v>0.96472899999999995</v>
      </c>
      <c r="J5" s="7">
        <v>0.99</v>
      </c>
      <c r="K5" s="7">
        <v>0.99250000000000005</v>
      </c>
      <c r="L5" s="7">
        <v>0.99</v>
      </c>
      <c r="M5" s="7">
        <v>0.995</v>
      </c>
      <c r="N5" s="7">
        <v>0.995</v>
      </c>
      <c r="O5" s="7">
        <v>0.98</v>
      </c>
      <c r="P5" s="7">
        <v>0.995</v>
      </c>
      <c r="Q5" s="7">
        <v>0.98750000000000004</v>
      </c>
      <c r="R5" s="7">
        <v>0.98271799999999998</v>
      </c>
      <c r="S5" s="7">
        <v>0.86216300000000001</v>
      </c>
      <c r="T5" s="7">
        <v>0.86216300000000001</v>
      </c>
      <c r="U5" s="7">
        <v>0.99</v>
      </c>
      <c r="V5" s="7">
        <v>0.99</v>
      </c>
    </row>
    <row r="6" spans="1:22" x14ac:dyDescent="0.25">
      <c r="A6" s="6">
        <v>2019</v>
      </c>
      <c r="B6" s="7">
        <v>0.98687499999999995</v>
      </c>
      <c r="C6" s="7">
        <v>0.98687499999999995</v>
      </c>
      <c r="D6" s="7">
        <v>0.99250000000000005</v>
      </c>
      <c r="E6" s="7">
        <v>0.98875000000000002</v>
      </c>
      <c r="F6" s="7">
        <v>0.99250000000000005</v>
      </c>
      <c r="G6" s="7">
        <v>0.99024999999999996</v>
      </c>
      <c r="H6" s="7">
        <v>0.98199999999999998</v>
      </c>
      <c r="I6" s="7">
        <v>0.95097399999999999</v>
      </c>
      <c r="J6" s="7">
        <v>0.98499999999999999</v>
      </c>
      <c r="K6" s="7">
        <v>0.98875000000000002</v>
      </c>
      <c r="L6" s="7">
        <v>0.98499999999999999</v>
      </c>
      <c r="M6" s="7">
        <v>0.99250000000000005</v>
      </c>
      <c r="N6" s="7">
        <v>0.99117</v>
      </c>
      <c r="O6" s="7">
        <v>0.97</v>
      </c>
      <c r="P6" s="7">
        <v>0.99250000000000005</v>
      </c>
      <c r="Q6" s="7">
        <v>0.98124999999999996</v>
      </c>
      <c r="R6" s="7">
        <v>0.97771799999999998</v>
      </c>
      <c r="S6" s="7">
        <v>0.82379100000000005</v>
      </c>
      <c r="T6" s="7">
        <v>0.82379100000000005</v>
      </c>
      <c r="U6" s="7">
        <v>0.98499999999999999</v>
      </c>
      <c r="V6" s="7">
        <v>0.98499999999999999</v>
      </c>
    </row>
    <row r="7" spans="1:22" x14ac:dyDescent="0.25">
      <c r="A7" s="6">
        <v>2020</v>
      </c>
      <c r="B7" s="7">
        <v>0.98250000000000004</v>
      </c>
      <c r="C7" s="7">
        <v>0.98250000000000004</v>
      </c>
      <c r="D7" s="7">
        <v>0.99</v>
      </c>
      <c r="E7" s="7">
        <v>0.98499999999999999</v>
      </c>
      <c r="F7" s="7">
        <v>0.99</v>
      </c>
      <c r="G7" s="7">
        <v>0.98699999999999999</v>
      </c>
      <c r="H7" s="7">
        <v>0.97599999999999998</v>
      </c>
      <c r="I7" s="7">
        <v>0.94097399999999998</v>
      </c>
      <c r="J7" s="7">
        <v>0.98</v>
      </c>
      <c r="K7" s="7">
        <v>0.98111899999999996</v>
      </c>
      <c r="L7" s="7">
        <v>0.98</v>
      </c>
      <c r="M7" s="7">
        <v>0.99</v>
      </c>
      <c r="N7" s="7">
        <v>0.98798200000000003</v>
      </c>
      <c r="O7" s="7">
        <v>0.96</v>
      </c>
      <c r="P7" s="7">
        <v>0.99</v>
      </c>
      <c r="Q7" s="7">
        <v>0.97499999999999998</v>
      </c>
      <c r="R7" s="7">
        <v>0.97271799999999997</v>
      </c>
      <c r="S7" s="7">
        <v>0.80173399999999995</v>
      </c>
      <c r="T7" s="7">
        <v>0.80173399999999995</v>
      </c>
      <c r="U7" s="7">
        <v>0.98</v>
      </c>
      <c r="V7" s="7">
        <v>0.98</v>
      </c>
    </row>
    <row r="8" spans="1:22" x14ac:dyDescent="0.25">
      <c r="A8" s="6">
        <v>2021</v>
      </c>
      <c r="B8" s="7">
        <v>0.97812500000000002</v>
      </c>
      <c r="C8" s="7">
        <v>0.97812500000000002</v>
      </c>
      <c r="D8" s="7">
        <v>0.98750000000000004</v>
      </c>
      <c r="E8" s="7">
        <v>0.98124999999999996</v>
      </c>
      <c r="F8" s="7">
        <v>0.98750000000000004</v>
      </c>
      <c r="G8" s="7">
        <v>0.98375000000000001</v>
      </c>
      <c r="H8" s="7">
        <v>0.97</v>
      </c>
      <c r="I8" s="7">
        <v>0.93097399999999997</v>
      </c>
      <c r="J8" s="7">
        <v>0.97499999999999998</v>
      </c>
      <c r="K8" s="7">
        <v>0.97299100000000005</v>
      </c>
      <c r="L8" s="7">
        <v>0.97499999999999998</v>
      </c>
      <c r="M8" s="7">
        <v>0.98750000000000004</v>
      </c>
      <c r="N8" s="7">
        <v>0.98548199999999997</v>
      </c>
      <c r="O8" s="7">
        <v>0.95</v>
      </c>
      <c r="P8" s="7">
        <v>0.98750000000000004</v>
      </c>
      <c r="Q8" s="7">
        <v>0.96875</v>
      </c>
      <c r="R8" s="7">
        <v>0.96771799999999997</v>
      </c>
      <c r="S8" s="7">
        <v>0.75608299999999995</v>
      </c>
      <c r="T8" s="7">
        <v>0.75608299999999995</v>
      </c>
      <c r="U8" s="7">
        <v>0.97499999999999998</v>
      </c>
      <c r="V8" s="7">
        <v>0.95</v>
      </c>
    </row>
    <row r="9" spans="1:22" x14ac:dyDescent="0.25">
      <c r="A9" s="6">
        <v>2022</v>
      </c>
      <c r="B9" s="7">
        <v>0.97375</v>
      </c>
      <c r="C9" s="7">
        <v>0.97375</v>
      </c>
      <c r="D9" s="7">
        <v>0.98499999999999999</v>
      </c>
      <c r="E9" s="7">
        <v>0.97626000000000002</v>
      </c>
      <c r="F9" s="7">
        <v>0.98499999999999999</v>
      </c>
      <c r="G9" s="7">
        <v>0.97975599999999996</v>
      </c>
      <c r="H9" s="7">
        <v>0.96350400000000003</v>
      </c>
      <c r="I9" s="7">
        <v>0.92097399999999996</v>
      </c>
      <c r="J9" s="7">
        <v>0.96439799999999998</v>
      </c>
      <c r="K9" s="7">
        <v>0.96924100000000002</v>
      </c>
      <c r="L9" s="7">
        <v>0.97</v>
      </c>
      <c r="M9" s="7">
        <v>0.98499999999999999</v>
      </c>
      <c r="N9" s="7">
        <v>0.98298200000000002</v>
      </c>
      <c r="O9" s="7">
        <v>0.94</v>
      </c>
      <c r="P9" s="7">
        <v>0.98499999999999999</v>
      </c>
      <c r="Q9" s="7">
        <v>0.96250000000000002</v>
      </c>
      <c r="R9" s="7">
        <v>0.96271799999999996</v>
      </c>
      <c r="S9" s="7">
        <v>0.74016000000000004</v>
      </c>
      <c r="T9" s="7">
        <v>0.74016000000000004</v>
      </c>
      <c r="U9" s="7">
        <v>0.97</v>
      </c>
      <c r="V9" s="7">
        <v>0.90249999999999997</v>
      </c>
    </row>
    <row r="10" spans="1:22" x14ac:dyDescent="0.25">
      <c r="A10" s="6">
        <v>2023</v>
      </c>
      <c r="B10" s="7">
        <v>0.96937499999999999</v>
      </c>
      <c r="C10" s="7">
        <v>0.96937499999999999</v>
      </c>
      <c r="D10" s="7">
        <v>0.98250000000000004</v>
      </c>
      <c r="E10" s="7">
        <v>0.96871399999999996</v>
      </c>
      <c r="F10" s="7">
        <v>0.98250000000000004</v>
      </c>
      <c r="G10" s="7">
        <v>0.97422900000000001</v>
      </c>
      <c r="H10" s="7">
        <v>0.955986</v>
      </c>
      <c r="I10" s="7">
        <v>0.91097399999999995</v>
      </c>
      <c r="J10" s="7">
        <v>0.95939799999999997</v>
      </c>
      <c r="K10" s="7">
        <v>0.96549099999999999</v>
      </c>
      <c r="L10" s="7">
        <v>0.94386400000000004</v>
      </c>
      <c r="M10" s="7">
        <v>0.98250000000000004</v>
      </c>
      <c r="N10" s="7">
        <v>0.98048199999999996</v>
      </c>
      <c r="O10" s="7">
        <v>0.93</v>
      </c>
      <c r="P10" s="7">
        <v>0.98250000000000004</v>
      </c>
      <c r="Q10" s="7">
        <v>0.95625000000000004</v>
      </c>
      <c r="R10" s="7">
        <v>0.95771799999999996</v>
      </c>
      <c r="S10" s="7">
        <v>0.729182</v>
      </c>
      <c r="T10" s="7">
        <v>0.729182</v>
      </c>
      <c r="U10" s="7">
        <v>0.96499999999999997</v>
      </c>
      <c r="V10" s="7">
        <v>0.857375</v>
      </c>
    </row>
    <row r="11" spans="1:22" x14ac:dyDescent="0.25">
      <c r="A11" s="6">
        <v>2024</v>
      </c>
      <c r="B11" s="7">
        <v>0.96499999999999997</v>
      </c>
      <c r="C11" s="7">
        <v>0.96499999999999997</v>
      </c>
      <c r="D11" s="7">
        <v>0.98</v>
      </c>
      <c r="E11" s="7">
        <v>0.95872100000000005</v>
      </c>
      <c r="F11" s="7">
        <v>0.98</v>
      </c>
      <c r="G11" s="7">
        <v>0.96723300000000001</v>
      </c>
      <c r="H11" s="7">
        <v>0.947488</v>
      </c>
      <c r="I11" s="7">
        <v>0.90097400000000005</v>
      </c>
      <c r="J11" s="7">
        <v>0.95439799999999997</v>
      </c>
      <c r="K11" s="7">
        <v>0.96174099999999996</v>
      </c>
      <c r="L11" s="7">
        <v>0.91039999999999999</v>
      </c>
      <c r="M11" s="7">
        <v>0.98</v>
      </c>
      <c r="N11" s="7">
        <v>0.97798200000000002</v>
      </c>
      <c r="O11" s="7">
        <v>0.92</v>
      </c>
      <c r="P11" s="7">
        <v>0.98</v>
      </c>
      <c r="Q11" s="7">
        <v>0.95</v>
      </c>
      <c r="R11" s="7">
        <v>0.95271799999999995</v>
      </c>
      <c r="S11" s="7">
        <v>0.72765800000000003</v>
      </c>
      <c r="T11" s="7">
        <v>0.72765800000000003</v>
      </c>
      <c r="U11" s="7">
        <v>0.96</v>
      </c>
      <c r="V11" s="7">
        <v>0.84808300000000003</v>
      </c>
    </row>
    <row r="12" spans="1:22" x14ac:dyDescent="0.25">
      <c r="A12" s="6">
        <v>2025</v>
      </c>
      <c r="B12" s="7">
        <v>0.96062499999999995</v>
      </c>
      <c r="C12" s="7">
        <v>0.96062499999999995</v>
      </c>
      <c r="D12" s="7">
        <v>0.97750000000000004</v>
      </c>
      <c r="E12" s="7">
        <v>0.94327799999999995</v>
      </c>
      <c r="F12" s="7">
        <v>0.97750000000000004</v>
      </c>
      <c r="G12" s="7">
        <v>0.95696700000000001</v>
      </c>
      <c r="H12" s="7">
        <v>0.93681099999999995</v>
      </c>
      <c r="I12" s="7">
        <v>0.89097400000000004</v>
      </c>
      <c r="J12" s="7">
        <v>0.94939799999999996</v>
      </c>
      <c r="K12" s="7">
        <v>0.95799100000000004</v>
      </c>
      <c r="L12" s="7">
        <v>0.88250600000000001</v>
      </c>
      <c r="M12" s="7">
        <v>0.97750000000000004</v>
      </c>
      <c r="N12" s="7">
        <v>0.97548199999999996</v>
      </c>
      <c r="O12" s="7">
        <v>0.91</v>
      </c>
      <c r="P12" s="7">
        <v>0.97750000000000004</v>
      </c>
      <c r="Q12" s="7">
        <v>0.94374999999999998</v>
      </c>
      <c r="R12" s="7">
        <v>0.94771899999999998</v>
      </c>
      <c r="S12" s="7">
        <v>0.72615799999999997</v>
      </c>
      <c r="T12" s="7">
        <v>0.72615799999999997</v>
      </c>
      <c r="U12" s="7">
        <v>0.95499999999999996</v>
      </c>
      <c r="V12" s="7">
        <v>0.83769300000000002</v>
      </c>
    </row>
    <row r="13" spans="1:22" x14ac:dyDescent="0.25">
      <c r="A13" s="6">
        <v>2026</v>
      </c>
      <c r="B13" s="7">
        <v>0.95625000000000004</v>
      </c>
      <c r="C13" s="7">
        <v>0.95625000000000004</v>
      </c>
      <c r="D13" s="7">
        <v>0.97499999999999998</v>
      </c>
      <c r="E13" s="7">
        <v>0.92911100000000002</v>
      </c>
      <c r="F13" s="7">
        <v>0.97499999999999998</v>
      </c>
      <c r="G13" s="7">
        <v>0.94746600000000003</v>
      </c>
      <c r="H13" s="7">
        <v>0.92664400000000002</v>
      </c>
      <c r="I13" s="7">
        <v>0.88097400000000003</v>
      </c>
      <c r="J13" s="7">
        <v>0.94439799999999996</v>
      </c>
      <c r="K13" s="7">
        <v>0.95424100000000001</v>
      </c>
      <c r="L13" s="7">
        <v>0.86380999999999997</v>
      </c>
      <c r="M13" s="7">
        <v>0.97499999999999998</v>
      </c>
      <c r="N13" s="7">
        <v>0.97298200000000001</v>
      </c>
      <c r="O13" s="7">
        <v>0.9</v>
      </c>
      <c r="P13" s="7">
        <v>0.97499999999999998</v>
      </c>
      <c r="Q13" s="7">
        <v>0.9375</v>
      </c>
      <c r="R13" s="7">
        <v>0.94271899999999997</v>
      </c>
      <c r="S13" s="7">
        <v>0.72465800000000002</v>
      </c>
      <c r="T13" s="7">
        <v>0.72465800000000002</v>
      </c>
      <c r="U13" s="7">
        <v>0.95</v>
      </c>
      <c r="V13" s="7">
        <v>0.829928</v>
      </c>
    </row>
    <row r="14" spans="1:22" x14ac:dyDescent="0.25">
      <c r="A14" s="6">
        <v>2027</v>
      </c>
      <c r="B14" s="7">
        <v>0.95187500000000003</v>
      </c>
      <c r="C14" s="7">
        <v>0.95187500000000003</v>
      </c>
      <c r="D14" s="7">
        <v>0.97250000000000003</v>
      </c>
      <c r="E14" s="7">
        <v>0.92075700000000005</v>
      </c>
      <c r="F14" s="7">
        <v>0.97250000000000003</v>
      </c>
      <c r="G14" s="7">
        <v>0.94145400000000001</v>
      </c>
      <c r="H14" s="7">
        <v>0.91880300000000004</v>
      </c>
      <c r="I14" s="7">
        <v>0.87097400000000003</v>
      </c>
      <c r="J14" s="7">
        <v>0.93939799999999996</v>
      </c>
      <c r="K14" s="7">
        <v>0.95049099999999997</v>
      </c>
      <c r="L14" s="7">
        <v>0.84991300000000003</v>
      </c>
      <c r="M14" s="7">
        <v>0.97250000000000003</v>
      </c>
      <c r="N14" s="7">
        <v>0.97048199999999996</v>
      </c>
      <c r="O14" s="7">
        <v>0.89</v>
      </c>
      <c r="P14" s="7">
        <v>0.97250000000000003</v>
      </c>
      <c r="Q14" s="7">
        <v>0.93125000000000002</v>
      </c>
      <c r="R14" s="7">
        <v>0.93771899999999997</v>
      </c>
      <c r="S14" s="7">
        <v>0.72315799999999997</v>
      </c>
      <c r="T14" s="7">
        <v>0.72315799999999997</v>
      </c>
      <c r="U14" s="7">
        <v>0.94434099999999999</v>
      </c>
      <c r="V14" s="7">
        <v>0.82319699999999996</v>
      </c>
    </row>
    <row r="15" spans="1:22" x14ac:dyDescent="0.25">
      <c r="A15" s="6">
        <v>2028</v>
      </c>
      <c r="B15" s="7">
        <v>0.94750000000000001</v>
      </c>
      <c r="C15" s="7">
        <v>0.94750000000000001</v>
      </c>
      <c r="D15" s="7">
        <v>0.97</v>
      </c>
      <c r="E15" s="7">
        <v>0.91053200000000001</v>
      </c>
      <c r="F15" s="7">
        <v>0.97</v>
      </c>
      <c r="G15" s="7">
        <v>0.93431900000000001</v>
      </c>
      <c r="H15" s="7">
        <v>0.91021300000000005</v>
      </c>
      <c r="I15" s="7">
        <v>0.86097400000000002</v>
      </c>
      <c r="J15" s="7">
        <v>0.93439799999999995</v>
      </c>
      <c r="K15" s="7">
        <v>0.94674100000000005</v>
      </c>
      <c r="L15" s="7">
        <v>0.83926400000000001</v>
      </c>
      <c r="M15" s="7">
        <v>0.97</v>
      </c>
      <c r="N15" s="7">
        <v>0.96798200000000001</v>
      </c>
      <c r="O15" s="7">
        <v>0.88</v>
      </c>
      <c r="P15" s="7">
        <v>0.97</v>
      </c>
      <c r="Q15" s="7">
        <v>0.92500000000000004</v>
      </c>
      <c r="R15" s="7">
        <v>0.93271899999999996</v>
      </c>
      <c r="S15" s="7">
        <v>0.72133899999999995</v>
      </c>
      <c r="T15" s="7">
        <v>0.72133899999999995</v>
      </c>
      <c r="U15" s="7">
        <v>0.93092399999999997</v>
      </c>
      <c r="V15" s="7">
        <v>0.81601800000000002</v>
      </c>
    </row>
    <row r="16" spans="1:22" x14ac:dyDescent="0.25">
      <c r="A16" s="6">
        <v>2029</v>
      </c>
      <c r="B16" s="7">
        <v>0.94312499999999999</v>
      </c>
      <c r="C16" s="7">
        <v>0.94312499999999999</v>
      </c>
      <c r="D16" s="7">
        <v>0.96750000000000003</v>
      </c>
      <c r="E16" s="7">
        <v>0.90470499999999998</v>
      </c>
      <c r="F16" s="7">
        <v>0.96750000000000003</v>
      </c>
      <c r="G16" s="7">
        <v>0.92982299999999996</v>
      </c>
      <c r="H16" s="7">
        <v>0.90338200000000002</v>
      </c>
      <c r="I16" s="7">
        <v>0.85097400000000001</v>
      </c>
      <c r="J16" s="7">
        <v>0.92939799999999995</v>
      </c>
      <c r="K16" s="7">
        <v>0.94299100000000002</v>
      </c>
      <c r="L16" s="7">
        <v>0.825963</v>
      </c>
      <c r="M16" s="7">
        <v>0.96750000000000003</v>
      </c>
      <c r="N16" s="7">
        <v>0.96548199999999995</v>
      </c>
      <c r="O16" s="7">
        <v>0.87</v>
      </c>
      <c r="P16" s="7">
        <v>0.96750000000000003</v>
      </c>
      <c r="Q16" s="7">
        <v>0.91874999999999996</v>
      </c>
      <c r="R16" s="7">
        <v>0.92771899999999996</v>
      </c>
      <c r="S16" s="7">
        <v>0.71960199999999996</v>
      </c>
      <c r="T16" s="7">
        <v>0.71960199999999996</v>
      </c>
      <c r="U16" s="7">
        <v>0.91943399999999997</v>
      </c>
      <c r="V16" s="7">
        <v>0.80863300000000005</v>
      </c>
    </row>
    <row r="17" spans="1:22" x14ac:dyDescent="0.25">
      <c r="A17" s="6">
        <v>2030</v>
      </c>
      <c r="B17" s="7">
        <v>0.93874999999999997</v>
      </c>
      <c r="C17" s="7">
        <v>0.93874999999999997</v>
      </c>
      <c r="D17" s="7">
        <v>0.96499999999999997</v>
      </c>
      <c r="E17" s="7">
        <v>0.89895000000000003</v>
      </c>
      <c r="F17" s="7">
        <v>0.96499999999999997</v>
      </c>
      <c r="G17" s="7">
        <v>0.92537000000000003</v>
      </c>
      <c r="H17" s="7">
        <v>0.89658000000000004</v>
      </c>
      <c r="I17" s="7">
        <v>0.840974</v>
      </c>
      <c r="J17" s="7">
        <v>0.92439800000000005</v>
      </c>
      <c r="K17" s="7">
        <v>0.93924099999999999</v>
      </c>
      <c r="L17" s="7">
        <v>0.81347199999999997</v>
      </c>
      <c r="M17" s="7">
        <v>0.96499999999999997</v>
      </c>
      <c r="N17" s="7">
        <v>0.962982</v>
      </c>
      <c r="O17" s="7">
        <v>0.86</v>
      </c>
      <c r="P17" s="7">
        <v>0.96499999999999997</v>
      </c>
      <c r="Q17" s="7">
        <v>0.91249999999999998</v>
      </c>
      <c r="R17" s="7">
        <v>0.92271899999999996</v>
      </c>
      <c r="S17" s="7">
        <v>0.71794100000000005</v>
      </c>
      <c r="T17" s="7">
        <v>0.71794100000000005</v>
      </c>
      <c r="U17" s="7">
        <v>0.90952</v>
      </c>
      <c r="V17" s="7">
        <v>0.801705</v>
      </c>
    </row>
    <row r="18" spans="1:22" x14ac:dyDescent="0.25">
      <c r="A18" s="6">
        <v>2031</v>
      </c>
      <c r="B18" s="7">
        <v>0.93437499999999996</v>
      </c>
      <c r="C18" s="7">
        <v>0.93437499999999996</v>
      </c>
      <c r="D18" s="7">
        <v>0.96250000000000002</v>
      </c>
      <c r="E18" s="7">
        <v>0.89300100000000004</v>
      </c>
      <c r="F18" s="7">
        <v>0.96250000000000002</v>
      </c>
      <c r="G18" s="7">
        <v>0.92080099999999998</v>
      </c>
      <c r="H18" s="7">
        <v>0.88970099999999996</v>
      </c>
      <c r="I18" s="7">
        <v>0.83097399999999999</v>
      </c>
      <c r="J18" s="7">
        <v>0.91939800000000005</v>
      </c>
      <c r="K18" s="7">
        <v>0.93549099999999996</v>
      </c>
      <c r="L18" s="7">
        <v>0.80277799999999999</v>
      </c>
      <c r="M18" s="7">
        <v>0.96250000000000002</v>
      </c>
      <c r="N18" s="7">
        <v>0.96048199999999995</v>
      </c>
      <c r="O18" s="7">
        <v>0.85</v>
      </c>
      <c r="P18" s="7">
        <v>0.96250000000000002</v>
      </c>
      <c r="Q18" s="7">
        <v>0.90625</v>
      </c>
      <c r="R18" s="7">
        <v>0.91771899999999995</v>
      </c>
      <c r="S18" s="7">
        <v>0.71596400000000004</v>
      </c>
      <c r="T18" s="7">
        <v>0.71596400000000004</v>
      </c>
      <c r="U18" s="7">
        <v>0.90059500000000003</v>
      </c>
      <c r="V18" s="7">
        <v>0.79532400000000003</v>
      </c>
    </row>
    <row r="19" spans="1:22" x14ac:dyDescent="0.25">
      <c r="A19" s="6">
        <v>2032</v>
      </c>
      <c r="B19" s="7">
        <v>0.93</v>
      </c>
      <c r="C19" s="7">
        <v>0.93</v>
      </c>
      <c r="D19" s="7">
        <v>0.96</v>
      </c>
      <c r="E19" s="7">
        <v>0.88655300000000004</v>
      </c>
      <c r="F19" s="7">
        <v>0.96</v>
      </c>
      <c r="G19" s="7">
        <v>0.91593199999999997</v>
      </c>
      <c r="H19" s="7">
        <v>0.88262099999999999</v>
      </c>
      <c r="I19" s="7">
        <v>0.82097399999999998</v>
      </c>
      <c r="J19" s="7">
        <v>0.91439800000000004</v>
      </c>
      <c r="K19" s="7">
        <v>0.93174100000000004</v>
      </c>
      <c r="L19" s="7">
        <v>0.79383899999999996</v>
      </c>
      <c r="M19" s="7">
        <v>0.96</v>
      </c>
      <c r="N19" s="7">
        <v>0.957982</v>
      </c>
      <c r="O19" s="7">
        <v>0.84</v>
      </c>
      <c r="P19" s="7">
        <v>0.96</v>
      </c>
      <c r="Q19" s="7">
        <v>0.9</v>
      </c>
      <c r="R19" s="7">
        <v>0.91271899999999995</v>
      </c>
      <c r="S19" s="7">
        <v>0.71320700000000004</v>
      </c>
      <c r="T19" s="7">
        <v>0.71320700000000004</v>
      </c>
      <c r="U19" s="7">
        <v>0.89297800000000005</v>
      </c>
      <c r="V19" s="7">
        <v>0.78999799999999998</v>
      </c>
    </row>
    <row r="20" spans="1:22" x14ac:dyDescent="0.25">
      <c r="A20" s="6">
        <v>2033</v>
      </c>
      <c r="B20" s="7">
        <v>0.92562500000000003</v>
      </c>
      <c r="C20" s="7">
        <v>0.92562500000000003</v>
      </c>
      <c r="D20" s="7">
        <v>0.95750000000000002</v>
      </c>
      <c r="E20" s="7">
        <v>0.88</v>
      </c>
      <c r="F20" s="7">
        <v>0.95750000000000002</v>
      </c>
      <c r="G20" s="7">
        <v>0.91100000000000003</v>
      </c>
      <c r="H20" s="7">
        <v>0.87549999999999994</v>
      </c>
      <c r="I20" s="7">
        <v>0.81097399999999997</v>
      </c>
      <c r="J20" s="7">
        <v>0.90939800000000004</v>
      </c>
      <c r="K20" s="7">
        <v>0.92799100000000001</v>
      </c>
      <c r="L20" s="7">
        <v>0.78474500000000003</v>
      </c>
      <c r="M20" s="7">
        <v>0.95750000000000002</v>
      </c>
      <c r="N20" s="7">
        <v>0.95548200000000005</v>
      </c>
      <c r="O20" s="7">
        <v>0.83</v>
      </c>
      <c r="P20" s="7">
        <v>0.95750000000000002</v>
      </c>
      <c r="Q20" s="7">
        <v>0.89375000000000004</v>
      </c>
      <c r="R20" s="7">
        <v>0.90771900000000005</v>
      </c>
      <c r="S20" s="7">
        <v>0.710453</v>
      </c>
      <c r="T20" s="7">
        <v>0.710453</v>
      </c>
      <c r="U20" s="7">
        <v>0.88534599999999997</v>
      </c>
      <c r="V20" s="7">
        <v>0.78394200000000003</v>
      </c>
    </row>
    <row r="21" spans="1:22" x14ac:dyDescent="0.25">
      <c r="A21" s="6">
        <v>2034</v>
      </c>
      <c r="B21" s="7">
        <v>0.92125000000000001</v>
      </c>
      <c r="C21" s="7">
        <v>0.92125000000000001</v>
      </c>
      <c r="D21" s="7">
        <v>0.95499999999999996</v>
      </c>
      <c r="E21" s="7">
        <v>0.87562399999999996</v>
      </c>
      <c r="F21" s="7">
        <v>0.95499999999999996</v>
      </c>
      <c r="G21" s="7">
        <v>0.90737500000000004</v>
      </c>
      <c r="H21" s="7">
        <v>0.86924999999999997</v>
      </c>
      <c r="I21" s="7">
        <v>0.80097399999999996</v>
      </c>
      <c r="J21" s="7">
        <v>0.90439800000000004</v>
      </c>
      <c r="K21" s="7">
        <v>0.92424099999999998</v>
      </c>
      <c r="L21" s="7">
        <v>0.77961599999999998</v>
      </c>
      <c r="M21" s="7">
        <v>0.95499999999999996</v>
      </c>
      <c r="N21" s="7">
        <v>0.952982</v>
      </c>
      <c r="O21" s="7">
        <v>0.82</v>
      </c>
      <c r="P21" s="7">
        <v>0.95499999999999996</v>
      </c>
      <c r="Q21" s="7">
        <v>0.88749999999999996</v>
      </c>
      <c r="R21" s="7">
        <v>0.90271900000000005</v>
      </c>
      <c r="S21" s="7">
        <v>0.70769700000000002</v>
      </c>
      <c r="T21" s="7">
        <v>0.70769700000000002</v>
      </c>
      <c r="U21" s="7">
        <v>0.87867899999999999</v>
      </c>
      <c r="V21" s="7">
        <v>0.77894200000000002</v>
      </c>
    </row>
    <row r="22" spans="1:22" x14ac:dyDescent="0.25">
      <c r="A22" s="6">
        <v>2035</v>
      </c>
      <c r="B22" s="7">
        <v>0.916875</v>
      </c>
      <c r="C22" s="7">
        <v>0.916875</v>
      </c>
      <c r="D22" s="7">
        <v>0.95250000000000001</v>
      </c>
      <c r="E22" s="7">
        <v>0.87165499999999996</v>
      </c>
      <c r="F22" s="7">
        <v>0.95250000000000001</v>
      </c>
      <c r="G22" s="7">
        <v>0.90399300000000005</v>
      </c>
      <c r="H22" s="7">
        <v>0.86316199999999998</v>
      </c>
      <c r="I22" s="7">
        <v>0.79097399999999995</v>
      </c>
      <c r="J22" s="7">
        <v>0.89939800000000003</v>
      </c>
      <c r="K22" s="7">
        <v>0.92049099999999995</v>
      </c>
      <c r="L22" s="7">
        <v>0.77461599999999997</v>
      </c>
      <c r="M22" s="7">
        <v>0.95250000000000001</v>
      </c>
      <c r="N22" s="7">
        <v>0.95048200000000005</v>
      </c>
      <c r="O22" s="7">
        <v>0.81</v>
      </c>
      <c r="P22" s="7">
        <v>0.95250000000000001</v>
      </c>
      <c r="Q22" s="7">
        <v>0.88124999999999998</v>
      </c>
      <c r="R22" s="7">
        <v>0.89771900000000004</v>
      </c>
      <c r="S22" s="7">
        <v>0.70494199999999996</v>
      </c>
      <c r="T22" s="7">
        <v>0.70494199999999996</v>
      </c>
      <c r="U22" s="7">
        <v>0.87235799999999997</v>
      </c>
      <c r="V22" s="7">
        <v>0.77394200000000002</v>
      </c>
    </row>
    <row r="23" spans="1:22" x14ac:dyDescent="0.25">
      <c r="A23" s="6">
        <v>2036</v>
      </c>
      <c r="B23" s="7">
        <v>0.91249999999999998</v>
      </c>
      <c r="C23" s="7">
        <v>0.91249999999999998</v>
      </c>
      <c r="D23" s="7">
        <v>0.95</v>
      </c>
      <c r="E23" s="7">
        <v>0.86756999999999995</v>
      </c>
      <c r="F23" s="7">
        <v>0.95</v>
      </c>
      <c r="G23" s="7">
        <v>0.90054199999999995</v>
      </c>
      <c r="H23" s="7">
        <v>0.85702800000000001</v>
      </c>
      <c r="I23" s="7">
        <v>0.78097399999999995</v>
      </c>
      <c r="J23" s="7">
        <v>0.89439800000000003</v>
      </c>
      <c r="K23" s="7">
        <v>0.91674100000000003</v>
      </c>
      <c r="L23" s="7">
        <v>0.76961599999999997</v>
      </c>
      <c r="M23" s="7">
        <v>0.95</v>
      </c>
      <c r="N23" s="7">
        <v>0.94798199999999999</v>
      </c>
      <c r="O23" s="7">
        <v>0.8</v>
      </c>
      <c r="P23" s="7">
        <v>0.95</v>
      </c>
      <c r="Q23" s="7">
        <v>0.875</v>
      </c>
      <c r="R23" s="7">
        <v>0.89271900000000004</v>
      </c>
      <c r="S23" s="7">
        <v>0.702179</v>
      </c>
      <c r="T23" s="7">
        <v>0.702179</v>
      </c>
      <c r="U23" s="7">
        <v>0.86614500000000005</v>
      </c>
      <c r="V23" s="7">
        <v>0.76894200000000001</v>
      </c>
    </row>
    <row r="24" spans="1:22" x14ac:dyDescent="0.25">
      <c r="A24" s="6">
        <v>2037</v>
      </c>
      <c r="B24" s="7">
        <v>0.90812499999999996</v>
      </c>
      <c r="C24" s="7">
        <v>0.90812499999999996</v>
      </c>
      <c r="D24" s="7">
        <v>0.94750000000000001</v>
      </c>
      <c r="E24" s="7">
        <v>0.86373500000000003</v>
      </c>
      <c r="F24" s="7">
        <v>0.94750000000000001</v>
      </c>
      <c r="G24" s="7">
        <v>0.89724099999999996</v>
      </c>
      <c r="H24" s="7">
        <v>0.85099400000000003</v>
      </c>
      <c r="I24" s="7">
        <v>0.77097400000000005</v>
      </c>
      <c r="J24" s="7">
        <v>0.88939800000000002</v>
      </c>
      <c r="K24" s="7">
        <v>0.912991</v>
      </c>
      <c r="L24" s="7">
        <v>0.76461599999999996</v>
      </c>
      <c r="M24" s="7">
        <v>0.94750000000000001</v>
      </c>
      <c r="N24" s="7">
        <v>0.94548200000000004</v>
      </c>
      <c r="O24" s="7">
        <v>0.79</v>
      </c>
      <c r="P24" s="7">
        <v>0.94750000000000001</v>
      </c>
      <c r="Q24" s="7">
        <v>0.86875000000000002</v>
      </c>
      <c r="R24" s="7">
        <v>0.88771900000000004</v>
      </c>
      <c r="S24" s="7">
        <v>0.7</v>
      </c>
      <c r="T24" s="7">
        <v>0.7</v>
      </c>
      <c r="U24" s="7">
        <v>0.86004899999999995</v>
      </c>
      <c r="V24" s="7">
        <v>0.76394200000000001</v>
      </c>
    </row>
    <row r="25" spans="1:22" x14ac:dyDescent="0.25">
      <c r="A25" s="6">
        <v>2038</v>
      </c>
      <c r="B25" s="7">
        <v>0.90375000000000005</v>
      </c>
      <c r="C25" s="7">
        <v>0.90375000000000005</v>
      </c>
      <c r="D25" s="7">
        <v>0.94499999999999995</v>
      </c>
      <c r="E25" s="7">
        <v>0.85882700000000001</v>
      </c>
      <c r="F25" s="7">
        <v>0.94499999999999995</v>
      </c>
      <c r="G25" s="7">
        <v>0.89329700000000001</v>
      </c>
      <c r="H25" s="7">
        <v>0.84453100000000003</v>
      </c>
      <c r="I25" s="7">
        <v>0.76097400000000004</v>
      </c>
      <c r="J25" s="7">
        <v>0.88439800000000002</v>
      </c>
      <c r="K25" s="7">
        <v>0.90924099999999997</v>
      </c>
      <c r="L25" s="7">
        <v>0.75961599999999996</v>
      </c>
      <c r="M25" s="7">
        <v>0.94499999999999995</v>
      </c>
      <c r="N25" s="7">
        <v>0.94298199999999999</v>
      </c>
      <c r="O25" s="7">
        <v>0.78</v>
      </c>
      <c r="P25" s="7">
        <v>0.94499999999999995</v>
      </c>
      <c r="Q25" s="7">
        <v>0.86250000000000004</v>
      </c>
      <c r="R25" s="7">
        <v>0.88271900000000003</v>
      </c>
      <c r="S25" s="7">
        <v>0.7</v>
      </c>
      <c r="T25" s="7">
        <v>0.7</v>
      </c>
      <c r="U25" s="7">
        <v>0.85504899999999995</v>
      </c>
      <c r="V25" s="7">
        <v>0.75894200000000001</v>
      </c>
    </row>
    <row r="26" spans="1:22" x14ac:dyDescent="0.25">
      <c r="A26" s="6">
        <v>2039</v>
      </c>
      <c r="B26" s="7">
        <v>0.89937500000000004</v>
      </c>
      <c r="C26" s="7">
        <v>0.89937500000000004</v>
      </c>
      <c r="D26" s="7">
        <v>0.9425</v>
      </c>
      <c r="E26" s="7">
        <v>0.85410799999999998</v>
      </c>
      <c r="F26" s="7">
        <v>0.9425</v>
      </c>
      <c r="G26" s="7">
        <v>0.88946499999999995</v>
      </c>
      <c r="H26" s="7">
        <v>0.83814299999999997</v>
      </c>
      <c r="I26" s="7">
        <v>0.75097400000000003</v>
      </c>
      <c r="J26" s="7">
        <v>0.87939800000000001</v>
      </c>
      <c r="K26" s="7">
        <v>0.90549100000000005</v>
      </c>
      <c r="L26" s="7">
        <v>0.75461599999999995</v>
      </c>
      <c r="M26" s="7">
        <v>0.9425</v>
      </c>
      <c r="N26" s="7">
        <v>0.94048200000000004</v>
      </c>
      <c r="O26" s="7">
        <v>0.77</v>
      </c>
      <c r="P26" s="7">
        <v>0.9425</v>
      </c>
      <c r="Q26" s="7">
        <v>0.85624999999999996</v>
      </c>
      <c r="R26" s="7">
        <v>0.87771900000000003</v>
      </c>
      <c r="S26" s="7">
        <v>0.7</v>
      </c>
      <c r="T26" s="7">
        <v>0.7</v>
      </c>
      <c r="U26" s="7">
        <v>0.85004900000000005</v>
      </c>
      <c r="V26" s="7">
        <v>0.753942</v>
      </c>
    </row>
    <row r="27" spans="1:22" x14ac:dyDescent="0.25">
      <c r="A27" s="6">
        <v>2040</v>
      </c>
      <c r="B27" s="7">
        <v>0.89500000000000002</v>
      </c>
      <c r="C27" s="7">
        <v>0.89500000000000002</v>
      </c>
      <c r="D27" s="7">
        <v>0.94</v>
      </c>
      <c r="E27" s="7">
        <v>0.849221</v>
      </c>
      <c r="F27" s="7">
        <v>0.94</v>
      </c>
      <c r="G27" s="7">
        <v>0.88553300000000001</v>
      </c>
      <c r="H27" s="7">
        <v>0.83168900000000001</v>
      </c>
      <c r="I27" s="7">
        <v>0.74097400000000002</v>
      </c>
      <c r="J27" s="7">
        <v>0.87439800000000001</v>
      </c>
      <c r="K27" s="7">
        <v>0.90174100000000001</v>
      </c>
      <c r="L27" s="7">
        <v>0.74961699999999998</v>
      </c>
      <c r="M27" s="7">
        <v>0.94</v>
      </c>
      <c r="N27" s="7">
        <v>0.93798199999999998</v>
      </c>
      <c r="O27" s="7">
        <v>0.76</v>
      </c>
      <c r="P27" s="7">
        <v>0.94</v>
      </c>
      <c r="Q27" s="7">
        <v>0.85</v>
      </c>
      <c r="R27" s="7">
        <v>0.87271900000000002</v>
      </c>
      <c r="S27" s="7">
        <v>0.7</v>
      </c>
      <c r="T27" s="7">
        <v>0.7</v>
      </c>
      <c r="U27" s="7">
        <v>0.84504900000000005</v>
      </c>
      <c r="V27" s="7">
        <v>0.748942</v>
      </c>
    </row>
    <row r="28" spans="1:22" x14ac:dyDescent="0.25">
      <c r="A28" s="6">
        <v>2041</v>
      </c>
      <c r="B28" s="7">
        <v>0.890625</v>
      </c>
      <c r="C28" s="7">
        <v>0.890625</v>
      </c>
      <c r="D28" s="7">
        <v>0.9375</v>
      </c>
      <c r="E28" s="7">
        <v>0.84452799999999995</v>
      </c>
      <c r="F28" s="7">
        <v>0.9375</v>
      </c>
      <c r="G28" s="7">
        <v>0.88171699999999997</v>
      </c>
      <c r="H28" s="7">
        <v>0.82531100000000002</v>
      </c>
      <c r="I28" s="7">
        <v>0.73097400000000001</v>
      </c>
      <c r="J28" s="7">
        <v>0.869398</v>
      </c>
      <c r="K28" s="7">
        <v>0.89799099999999998</v>
      </c>
      <c r="L28" s="7">
        <v>0.74461699999999997</v>
      </c>
      <c r="M28" s="7">
        <v>0.9375</v>
      </c>
      <c r="N28" s="7">
        <v>0.93548200000000004</v>
      </c>
      <c r="O28" s="7">
        <v>0.75</v>
      </c>
      <c r="P28" s="7">
        <v>0.9375</v>
      </c>
      <c r="Q28" s="7">
        <v>0.84375</v>
      </c>
      <c r="R28" s="7">
        <v>0.86771900000000002</v>
      </c>
      <c r="S28" s="7">
        <v>0.7</v>
      </c>
      <c r="T28" s="7">
        <v>0.7</v>
      </c>
      <c r="U28" s="7">
        <v>0.84004900000000005</v>
      </c>
      <c r="V28" s="7">
        <v>0.74394199999999999</v>
      </c>
    </row>
    <row r="29" spans="1:22" x14ac:dyDescent="0.25">
      <c r="A29" s="6">
        <v>2042</v>
      </c>
      <c r="B29" s="7">
        <v>0.88624999999999998</v>
      </c>
      <c r="C29" s="7">
        <v>0.88624999999999998</v>
      </c>
      <c r="D29" s="7">
        <v>0.93500000000000005</v>
      </c>
      <c r="E29" s="7">
        <v>0.84018199999999998</v>
      </c>
      <c r="F29" s="7">
        <v>0.93500000000000005</v>
      </c>
      <c r="G29" s="7">
        <v>0.87810999999999995</v>
      </c>
      <c r="H29" s="7">
        <v>0.81907300000000005</v>
      </c>
      <c r="I29" s="7">
        <v>0.720974</v>
      </c>
      <c r="J29" s="7">
        <v>0.864398</v>
      </c>
      <c r="K29" s="7">
        <v>0.89424099999999995</v>
      </c>
      <c r="L29" s="7">
        <v>0.73961699999999997</v>
      </c>
      <c r="M29" s="7">
        <v>0.93500000000000005</v>
      </c>
      <c r="N29" s="7">
        <v>0.93298199999999998</v>
      </c>
      <c r="O29" s="7">
        <v>0.74</v>
      </c>
      <c r="P29" s="7">
        <v>0.93500000000000005</v>
      </c>
      <c r="Q29" s="7">
        <v>0.83750000000000002</v>
      </c>
      <c r="R29" s="7">
        <v>0.86271900000000001</v>
      </c>
      <c r="S29" s="7">
        <v>0.7</v>
      </c>
      <c r="T29" s="7">
        <v>0.7</v>
      </c>
      <c r="U29" s="7">
        <v>0.83504900000000004</v>
      </c>
      <c r="V29" s="7">
        <v>0.73894199999999999</v>
      </c>
    </row>
    <row r="30" spans="1:22" x14ac:dyDescent="0.25">
      <c r="A30" s="6">
        <v>2043</v>
      </c>
      <c r="B30" s="7">
        <v>0.88187499999999996</v>
      </c>
      <c r="C30" s="7">
        <v>0.88187499999999996</v>
      </c>
      <c r="D30" s="7">
        <v>0.9325</v>
      </c>
      <c r="E30" s="7">
        <v>0.83540499999999995</v>
      </c>
      <c r="F30" s="7">
        <v>0.9325</v>
      </c>
      <c r="G30" s="7">
        <v>0.87424299999999999</v>
      </c>
      <c r="H30" s="7">
        <v>0.812662</v>
      </c>
      <c r="I30" s="7">
        <v>0.71097399999999999</v>
      </c>
      <c r="J30" s="7">
        <v>0.859398</v>
      </c>
      <c r="K30" s="7">
        <v>0.89049100000000003</v>
      </c>
      <c r="L30" s="7">
        <v>0.73461699999999996</v>
      </c>
      <c r="M30" s="7">
        <v>0.9325</v>
      </c>
      <c r="N30" s="7">
        <v>0.93048200000000003</v>
      </c>
      <c r="O30" s="7">
        <v>0.73</v>
      </c>
      <c r="P30" s="7">
        <v>0.9325</v>
      </c>
      <c r="Q30" s="7">
        <v>0.83125000000000004</v>
      </c>
      <c r="R30" s="7">
        <v>0.85771900000000001</v>
      </c>
      <c r="S30" s="7">
        <v>0.7</v>
      </c>
      <c r="T30" s="7">
        <v>0.7</v>
      </c>
      <c r="U30" s="7">
        <v>0.83004900000000004</v>
      </c>
      <c r="V30" s="7">
        <v>0.73394199999999998</v>
      </c>
    </row>
    <row r="31" spans="1:22" x14ac:dyDescent="0.25">
      <c r="A31" s="6">
        <v>2044</v>
      </c>
      <c r="B31" s="7">
        <v>0.87749999999999995</v>
      </c>
      <c r="C31" s="7">
        <v>0.87749999999999995</v>
      </c>
      <c r="D31" s="7">
        <v>0.93</v>
      </c>
      <c r="E31" s="7">
        <v>0.82958399999999999</v>
      </c>
      <c r="F31" s="7">
        <v>0.93</v>
      </c>
      <c r="G31" s="7">
        <v>0.86975000000000002</v>
      </c>
      <c r="H31" s="7">
        <v>0.80583400000000005</v>
      </c>
      <c r="I31" s="7">
        <v>0.70097399999999999</v>
      </c>
      <c r="J31" s="7">
        <v>0.85439799999999999</v>
      </c>
      <c r="K31" s="7">
        <v>0.886741</v>
      </c>
      <c r="L31" s="7">
        <v>0.72961699999999996</v>
      </c>
      <c r="M31" s="7">
        <v>0.93</v>
      </c>
      <c r="N31" s="7">
        <v>0.92798199999999997</v>
      </c>
      <c r="O31" s="7">
        <v>0.72</v>
      </c>
      <c r="P31" s="7">
        <v>0.93</v>
      </c>
      <c r="Q31" s="7">
        <v>0.82499999999999996</v>
      </c>
      <c r="R31" s="7">
        <v>0.852719</v>
      </c>
      <c r="S31" s="7">
        <v>0.7</v>
      </c>
      <c r="T31" s="7">
        <v>0.7</v>
      </c>
      <c r="U31" s="7">
        <v>0.82504900000000003</v>
      </c>
      <c r="V31" s="7">
        <v>0.72894199999999998</v>
      </c>
    </row>
    <row r="32" spans="1:22" x14ac:dyDescent="0.25">
      <c r="A32" s="6">
        <v>2045</v>
      </c>
      <c r="B32" s="7">
        <v>0.87312500000000004</v>
      </c>
      <c r="C32" s="7">
        <v>0.87312500000000004</v>
      </c>
      <c r="D32" s="7">
        <v>0.92749999999999999</v>
      </c>
      <c r="E32" s="7">
        <v>0.82469999999999999</v>
      </c>
      <c r="F32" s="7">
        <v>0.92749999999999999</v>
      </c>
      <c r="G32" s="7">
        <v>0.86582000000000003</v>
      </c>
      <c r="H32" s="7">
        <v>0.79937999999999998</v>
      </c>
      <c r="I32" s="7">
        <v>0.69097399999999998</v>
      </c>
      <c r="J32" s="7">
        <v>0.84939799999999999</v>
      </c>
      <c r="K32" s="7">
        <v>0.88299099999999997</v>
      </c>
      <c r="L32" s="7">
        <v>0.72461699999999996</v>
      </c>
      <c r="M32" s="7">
        <v>0.92749999999999999</v>
      </c>
      <c r="N32" s="7">
        <v>0.92548200000000003</v>
      </c>
      <c r="O32" s="7">
        <v>0.71</v>
      </c>
      <c r="P32" s="7">
        <v>0.92749999999999999</v>
      </c>
      <c r="Q32" s="7">
        <v>0.81874999999999998</v>
      </c>
      <c r="R32" s="7">
        <v>0.847719</v>
      </c>
      <c r="S32" s="7">
        <v>0.7</v>
      </c>
      <c r="T32" s="7">
        <v>0.7</v>
      </c>
      <c r="U32" s="7">
        <v>0.82004900000000003</v>
      </c>
      <c r="V32" s="7">
        <v>0.72394199999999997</v>
      </c>
    </row>
    <row r="33" spans="1:22" x14ac:dyDescent="0.25">
      <c r="A33" s="6">
        <v>2046</v>
      </c>
      <c r="B33" s="7">
        <v>0.86875000000000002</v>
      </c>
      <c r="C33" s="7">
        <v>0.86875000000000002</v>
      </c>
      <c r="D33" s="7">
        <v>0.92500000000000004</v>
      </c>
      <c r="E33" s="7">
        <v>0.818712</v>
      </c>
      <c r="F33" s="7">
        <v>0.92500000000000004</v>
      </c>
      <c r="G33" s="7">
        <v>0.86122699999999996</v>
      </c>
      <c r="H33" s="7">
        <v>0.79248499999999999</v>
      </c>
      <c r="I33" s="7">
        <v>0.68097399999999997</v>
      </c>
      <c r="J33" s="7">
        <v>0.84439799999999998</v>
      </c>
      <c r="K33" s="7">
        <v>0.87924100000000005</v>
      </c>
      <c r="L33" s="7">
        <v>0.71961699999999995</v>
      </c>
      <c r="M33" s="7">
        <v>0.92500000000000004</v>
      </c>
      <c r="N33" s="7">
        <v>0.92298199999999997</v>
      </c>
      <c r="O33" s="7">
        <v>0.7</v>
      </c>
      <c r="P33" s="7">
        <v>0.92500000000000004</v>
      </c>
      <c r="Q33" s="7">
        <v>0.8125</v>
      </c>
      <c r="R33" s="7">
        <v>0.842719</v>
      </c>
      <c r="S33" s="7">
        <v>0.7</v>
      </c>
      <c r="T33" s="7">
        <v>0.7</v>
      </c>
      <c r="U33" s="7">
        <v>0.81504900000000002</v>
      </c>
      <c r="V33" s="7">
        <v>0.71894199999999997</v>
      </c>
    </row>
    <row r="34" spans="1:22" x14ac:dyDescent="0.25">
      <c r="A34" s="6">
        <v>2047</v>
      </c>
      <c r="B34" s="7">
        <v>0.864375</v>
      </c>
      <c r="C34" s="7">
        <v>0.864375</v>
      </c>
      <c r="D34" s="7">
        <v>0.92249999999999999</v>
      </c>
      <c r="E34" s="7">
        <v>0.81254499999999996</v>
      </c>
      <c r="F34" s="7">
        <v>0.92249999999999999</v>
      </c>
      <c r="G34" s="7">
        <v>0.85652700000000004</v>
      </c>
      <c r="H34" s="7">
        <v>0.78551800000000005</v>
      </c>
      <c r="I34" s="7">
        <v>0.67097399999999996</v>
      </c>
      <c r="J34" s="7">
        <v>0.83939799999999998</v>
      </c>
      <c r="K34" s="7">
        <v>0.87549100000000002</v>
      </c>
      <c r="L34" s="7">
        <v>0.71461699999999995</v>
      </c>
      <c r="M34" s="7">
        <v>0.92249999999999999</v>
      </c>
      <c r="N34" s="7">
        <v>0.92048200000000002</v>
      </c>
      <c r="O34" s="7">
        <v>0.69</v>
      </c>
      <c r="P34" s="7">
        <v>0.92249999999999999</v>
      </c>
      <c r="Q34" s="7">
        <v>0.80625000000000002</v>
      </c>
      <c r="R34" s="7">
        <v>0.83771899999999999</v>
      </c>
      <c r="S34" s="7">
        <v>0.7</v>
      </c>
      <c r="T34" s="7">
        <v>0.7</v>
      </c>
      <c r="U34" s="7">
        <v>0.81004900000000002</v>
      </c>
      <c r="V34" s="7">
        <v>0.71394199999999997</v>
      </c>
    </row>
    <row r="35" spans="1:22" x14ac:dyDescent="0.25">
      <c r="A35" s="6">
        <v>2048</v>
      </c>
      <c r="B35" s="7">
        <v>0.86</v>
      </c>
      <c r="C35" s="7">
        <v>0.86</v>
      </c>
      <c r="D35" s="7">
        <v>0.92</v>
      </c>
      <c r="E35" s="7">
        <v>0.81</v>
      </c>
      <c r="F35" s="7">
        <v>0.92</v>
      </c>
      <c r="G35" s="7">
        <v>0.85399999999999998</v>
      </c>
      <c r="H35" s="7">
        <v>0.78</v>
      </c>
      <c r="I35" s="7">
        <v>0.66097399999999995</v>
      </c>
      <c r="J35" s="7">
        <v>0.83439799999999997</v>
      </c>
      <c r="K35" s="7">
        <v>0.87174099999999999</v>
      </c>
      <c r="L35" s="7">
        <v>0.70961700000000005</v>
      </c>
      <c r="M35" s="7">
        <v>0.92</v>
      </c>
      <c r="N35" s="7">
        <v>0.91798199999999996</v>
      </c>
      <c r="O35" s="7">
        <v>0.68</v>
      </c>
      <c r="P35" s="7">
        <v>0.92</v>
      </c>
      <c r="Q35" s="7">
        <v>0.8</v>
      </c>
      <c r="R35" s="7">
        <v>0.83271899999999999</v>
      </c>
      <c r="S35" s="7">
        <v>0.7</v>
      </c>
      <c r="T35" s="7">
        <v>0.7</v>
      </c>
      <c r="U35" s="7">
        <v>0.80504900000000001</v>
      </c>
      <c r="V35" s="7">
        <v>0.70894199999999996</v>
      </c>
    </row>
    <row r="36" spans="1:22" x14ac:dyDescent="0.25">
      <c r="A36" s="6">
        <v>2049</v>
      </c>
      <c r="B36" s="7">
        <v>0.85562499999999997</v>
      </c>
      <c r="C36" s="7">
        <v>0.85562499999999997</v>
      </c>
      <c r="D36" s="7">
        <v>0.91749999999999998</v>
      </c>
      <c r="E36" s="7">
        <v>0.80874999999999997</v>
      </c>
      <c r="F36" s="7">
        <v>0.91749999999999998</v>
      </c>
      <c r="G36" s="7">
        <v>0.85224999999999995</v>
      </c>
      <c r="H36" s="7">
        <v>0.77500000000000002</v>
      </c>
      <c r="I36" s="7">
        <v>0.65097400000000005</v>
      </c>
      <c r="J36" s="7">
        <v>0.82939799999999997</v>
      </c>
      <c r="K36" s="7">
        <v>0.86799099999999996</v>
      </c>
      <c r="L36" s="7">
        <v>0.70461700000000005</v>
      </c>
      <c r="M36" s="7">
        <v>0.91749999999999998</v>
      </c>
      <c r="N36" s="7">
        <v>0.91548200000000002</v>
      </c>
      <c r="O36" s="7">
        <v>0.67</v>
      </c>
      <c r="P36" s="7">
        <v>0.91749999999999998</v>
      </c>
      <c r="Q36" s="7">
        <v>0.79374999999999996</v>
      </c>
      <c r="R36" s="7">
        <v>0.82771899999999998</v>
      </c>
      <c r="S36" s="7">
        <v>0.7</v>
      </c>
      <c r="T36" s="7">
        <v>0.7</v>
      </c>
      <c r="U36" s="7">
        <v>0.80004900000000001</v>
      </c>
      <c r="V36" s="7">
        <v>0.70394199999999996</v>
      </c>
    </row>
    <row r="37" spans="1:22" x14ac:dyDescent="0.25">
      <c r="A37" s="6">
        <v>2050</v>
      </c>
      <c r="B37" s="7">
        <v>0.85124999999999995</v>
      </c>
      <c r="C37" s="7">
        <v>0.85124999999999995</v>
      </c>
      <c r="D37" s="7">
        <v>0.91500000000000004</v>
      </c>
      <c r="E37" s="7">
        <v>0.8075</v>
      </c>
      <c r="F37" s="7">
        <v>0.91500000000000004</v>
      </c>
      <c r="G37" s="7">
        <v>0.85050000000000003</v>
      </c>
      <c r="H37" s="7">
        <v>0.77</v>
      </c>
      <c r="I37" s="7">
        <v>0.64097400000000004</v>
      </c>
      <c r="J37" s="7">
        <v>0.82439799999999996</v>
      </c>
      <c r="K37" s="7">
        <v>0.86424100000000004</v>
      </c>
      <c r="L37" s="7">
        <v>0.7</v>
      </c>
      <c r="M37" s="7">
        <v>0.91500000000000004</v>
      </c>
      <c r="N37" s="7">
        <v>0.91298199999999996</v>
      </c>
      <c r="O37" s="7">
        <v>0.66</v>
      </c>
      <c r="P37" s="7">
        <v>0.91500000000000004</v>
      </c>
      <c r="Q37" s="7">
        <v>0.78749999999999998</v>
      </c>
      <c r="R37" s="7">
        <v>0.82271899999999998</v>
      </c>
      <c r="S37" s="7">
        <v>0.7</v>
      </c>
      <c r="T37" s="7">
        <v>0.7</v>
      </c>
      <c r="U37" s="7">
        <v>0.79504900000000001</v>
      </c>
      <c r="V37" s="7">
        <v>0.7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forScenList</vt:lpstr>
      <vt:lpstr>controller</vt:lpstr>
      <vt:lpstr>Nuc_O-M</vt:lpstr>
      <vt:lpstr>Storage</vt:lpstr>
      <vt:lpstr>REGridCost</vt:lpstr>
      <vt:lpstr>CO2Price</vt:lpstr>
      <vt:lpstr>GasPrice</vt:lpstr>
      <vt:lpstr>RECost</vt:lpstr>
      <vt:lpstr>NEMS learning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2009-05-27T15:40:55Z</dcterms:created>
  <dcterms:modified xsi:type="dcterms:W3CDTF">2021-10-29T10:37:10Z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50243556499481</vt:r8>
  </property>
</Properties>
</file>