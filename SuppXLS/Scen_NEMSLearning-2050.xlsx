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EMM\IEMM_MIG\IEMM_VEDA_MIG_Template\SuppXLS\"/>
    </mc:Choice>
  </mc:AlternateContent>
  <xr:revisionPtr revIDLastSave="0" documentId="13_ncr:1_{1937A2F9-C80C-4DBD-AE88-885A39A1EBA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0" r:id="rId1"/>
    <sheet name="INS" sheetId="2" r:id="rId2"/>
    <sheet name="NEMS learning" sheetId="8" r:id="rId3"/>
    <sheet name="Sheet9" sheetId="9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2" l="1"/>
  <c r="R22" i="2"/>
  <c r="R21" i="2"/>
  <c r="R20" i="2"/>
  <c r="R19" i="2"/>
  <c r="R18" i="2"/>
  <c r="Q18" i="2"/>
  <c r="R17" i="2"/>
  <c r="Q17" i="2"/>
  <c r="R16" i="2"/>
  <c r="Q16" i="2"/>
  <c r="Q15" i="2"/>
  <c r="Q14" i="2"/>
  <c r="R13" i="2"/>
  <c r="R12" i="2"/>
  <c r="R11" i="2"/>
  <c r="R10" i="2"/>
  <c r="Q10" i="2"/>
  <c r="Q20" i="2" s="1"/>
  <c r="R9" i="2"/>
  <c r="Q9" i="2"/>
  <c r="Q19" i="2" s="1"/>
  <c r="R8" i="2"/>
  <c r="R7" i="2"/>
  <c r="R6" i="2"/>
  <c r="E23" i="2"/>
  <c r="E22" i="2"/>
  <c r="E21" i="2"/>
  <c r="E20" i="2"/>
  <c r="E19" i="2"/>
  <c r="E18" i="2"/>
  <c r="E17" i="2"/>
  <c r="E16" i="2"/>
  <c r="E13" i="2"/>
  <c r="E12" i="2"/>
  <c r="E11" i="2"/>
  <c r="E10" i="2"/>
  <c r="E9" i="2"/>
  <c r="E8" i="2"/>
  <c r="E7" i="2"/>
  <c r="E6" i="2"/>
  <c r="Q11" i="2" l="1"/>
  <c r="D15" i="2"/>
  <c r="D25" i="2" s="1"/>
  <c r="D35" i="2" s="1"/>
  <c r="D45" i="2" s="1"/>
  <c r="D16" i="2"/>
  <c r="D17" i="2"/>
  <c r="D27" i="2"/>
  <c r="D18" i="2"/>
  <c r="D28" i="2" s="1"/>
  <c r="D26" i="2"/>
  <c r="D14" i="2"/>
  <c r="H15" i="2"/>
  <c r="H25" i="2"/>
  <c r="H35" i="2" s="1"/>
  <c r="H16" i="2"/>
  <c r="H26" i="2"/>
  <c r="F26" i="2" s="1"/>
  <c r="H17" i="2"/>
  <c r="H27" i="2" s="1"/>
  <c r="H18" i="2"/>
  <c r="H28" i="2"/>
  <c r="H38" i="2" s="1"/>
  <c r="H19" i="2"/>
  <c r="F19" i="2" s="1"/>
  <c r="H20" i="2"/>
  <c r="F20" i="2" s="1"/>
  <c r="H30" i="2"/>
  <c r="F30" i="2" s="1"/>
  <c r="H21" i="2"/>
  <c r="H31" i="2"/>
  <c r="H41" i="2" s="1"/>
  <c r="F31" i="2"/>
  <c r="H22" i="2"/>
  <c r="H32" i="2" s="1"/>
  <c r="H23" i="2"/>
  <c r="H33" i="2" s="1"/>
  <c r="F23" i="2"/>
  <c r="H14" i="2"/>
  <c r="H24" i="2"/>
  <c r="D9" i="2"/>
  <c r="D19" i="2" s="1"/>
  <c r="F5" i="2"/>
  <c r="F6" i="2"/>
  <c r="F7" i="2"/>
  <c r="F8" i="2"/>
  <c r="F9" i="2"/>
  <c r="F10" i="2"/>
  <c r="F4" i="2"/>
  <c r="F12" i="2"/>
  <c r="F13" i="2"/>
  <c r="F21" i="2"/>
  <c r="F11" i="2"/>
  <c r="L16" i="2"/>
  <c r="L15" i="2"/>
  <c r="F15" i="2"/>
  <c r="F25" i="2"/>
  <c r="F14" i="2"/>
  <c r="F18" i="2"/>
  <c r="F28" i="2"/>
  <c r="D24" i="2"/>
  <c r="D34" i="2" s="1"/>
  <c r="D44" i="2" s="1"/>
  <c r="H34" i="2"/>
  <c r="F24" i="2"/>
  <c r="F17" i="2"/>
  <c r="F16" i="2"/>
  <c r="D36" i="2"/>
  <c r="D46" i="2" s="1"/>
  <c r="D37" i="2"/>
  <c r="D47" i="2"/>
  <c r="H44" i="2"/>
  <c r="F44" i="2"/>
  <c r="F34" i="2"/>
  <c r="Q21" i="2" l="1"/>
  <c r="Q12" i="2"/>
  <c r="F38" i="2"/>
  <c r="H48" i="2"/>
  <c r="F48" i="2" s="1"/>
  <c r="H43" i="2"/>
  <c r="F33" i="2"/>
  <c r="H42" i="2"/>
  <c r="F32" i="2"/>
  <c r="D38" i="2"/>
  <c r="E28" i="2"/>
  <c r="F27" i="2"/>
  <c r="H37" i="2"/>
  <c r="E27" i="2"/>
  <c r="H51" i="2"/>
  <c r="F51" i="2" s="1"/>
  <c r="F41" i="2"/>
  <c r="D29" i="2"/>
  <c r="F35" i="2"/>
  <c r="H45" i="2"/>
  <c r="F45" i="2" s="1"/>
  <c r="D10" i="2"/>
  <c r="F22" i="2"/>
  <c r="H29" i="2"/>
  <c r="H36" i="2"/>
  <c r="H40" i="2"/>
  <c r="E26" i="2"/>
  <c r="Q22" i="2" l="1"/>
  <c r="Q13" i="2"/>
  <c r="Q23" i="2" s="1"/>
  <c r="F29" i="2"/>
  <c r="H39" i="2"/>
  <c r="D39" i="2"/>
  <c r="E29" i="2"/>
  <c r="E38" i="2"/>
  <c r="D48" i="2"/>
  <c r="E48" i="2" s="1"/>
  <c r="D11" i="2"/>
  <c r="D20" i="2"/>
  <c r="H52" i="2"/>
  <c r="F52" i="2" s="1"/>
  <c r="F42" i="2"/>
  <c r="F43" i="2"/>
  <c r="H53" i="2"/>
  <c r="F53" i="2" s="1"/>
  <c r="H47" i="2"/>
  <c r="F37" i="2"/>
  <c r="E37" i="2"/>
  <c r="H50" i="2"/>
  <c r="F50" i="2" s="1"/>
  <c r="F40" i="2"/>
  <c r="F36" i="2"/>
  <c r="H46" i="2"/>
  <c r="E36" i="2"/>
  <c r="D12" i="2" l="1"/>
  <c r="D21" i="2"/>
  <c r="D30" i="2"/>
  <c r="E47" i="2"/>
  <c r="F47" i="2"/>
  <c r="E39" i="2"/>
  <c r="D49" i="2"/>
  <c r="E49" i="2" s="1"/>
  <c r="F46" i="2"/>
  <c r="E46" i="2"/>
  <c r="H49" i="2"/>
  <c r="F49" i="2" s="1"/>
  <c r="F39" i="2"/>
  <c r="D40" i="2" l="1"/>
  <c r="E30" i="2"/>
  <c r="D31" i="2"/>
  <c r="D13" i="2"/>
  <c r="D22" i="2"/>
  <c r="D32" i="2" l="1"/>
  <c r="D23" i="2"/>
  <c r="E31" i="2"/>
  <c r="D41" i="2"/>
  <c r="E40" i="2"/>
  <c r="D50" i="2"/>
  <c r="E50" i="2" s="1"/>
  <c r="E41" i="2" l="1"/>
  <c r="D51" i="2"/>
  <c r="E51" i="2" s="1"/>
  <c r="D33" i="2"/>
  <c r="E32" i="2"/>
  <c r="D42" i="2"/>
  <c r="D52" i="2" l="1"/>
  <c r="E52" i="2" s="1"/>
  <c r="E42" i="2"/>
  <c r="D43" i="2"/>
  <c r="E33" i="2"/>
  <c r="D53" i="2" l="1"/>
  <c r="E53" i="2" s="1"/>
  <c r="E43" i="2"/>
</calcChain>
</file>

<file path=xl/sharedStrings.xml><?xml version="1.0" encoding="utf-8"?>
<sst xmlns="http://schemas.openxmlformats.org/spreadsheetml/2006/main" count="204" uniqueCount="55">
  <si>
    <t>Attribute</t>
  </si>
  <si>
    <t>AllRegions</t>
  </si>
  <si>
    <t>~TFM_MIG</t>
  </si>
  <si>
    <t>Year2</t>
  </si>
  <si>
    <t>INVCOST</t>
  </si>
  <si>
    <t>SourceScen</t>
  </si>
  <si>
    <t>Online Year</t>
  </si>
  <si>
    <t>Coal with 30% CCS</t>
  </si>
  <si>
    <t>Coal with 90% CCS</t>
  </si>
  <si>
    <t>Comb. Turb</t>
  </si>
  <si>
    <t>Adv. CT</t>
  </si>
  <si>
    <t>Comb. Cyc</t>
  </si>
  <si>
    <t>Adv CC</t>
  </si>
  <si>
    <t>Adv CC w/seq</t>
  </si>
  <si>
    <t>Fuel Cell</t>
  </si>
  <si>
    <t>Nuclear</t>
  </si>
  <si>
    <t>Biomass</t>
  </si>
  <si>
    <t>Geothermal</t>
  </si>
  <si>
    <t>Landfill Gas</t>
  </si>
  <si>
    <t>Hydro</t>
  </si>
  <si>
    <t>Battery Storage</t>
  </si>
  <si>
    <t>Wind</t>
  </si>
  <si>
    <t>Offshore Wind</t>
  </si>
  <si>
    <t>Solar Thermal</t>
  </si>
  <si>
    <t>Solar PV - tracking</t>
  </si>
  <si>
    <t>Solar PV - fixed tilt</t>
  </si>
  <si>
    <t>Dist. Gen Base</t>
  </si>
  <si>
    <t>Dist Gen Peak</t>
  </si>
  <si>
    <t>EN_COAPUL</t>
  </si>
  <si>
    <t>EN_COAIGCC</t>
  </si>
  <si>
    <t>EN_ZCOAIGCC</t>
  </si>
  <si>
    <t>EN_ZGasCCAdv</t>
  </si>
  <si>
    <t>EN_GasCCAdv</t>
  </si>
  <si>
    <t>EN_GasCC</t>
  </si>
  <si>
    <t>EN_GasCTAdv</t>
  </si>
  <si>
    <t>EN_GasCT</t>
  </si>
  <si>
    <t>EN_Biomass</t>
  </si>
  <si>
    <t>EN_ZBiomass</t>
  </si>
  <si>
    <t>EN_OilCCAdv</t>
  </si>
  <si>
    <t>E_WON*</t>
  </si>
  <si>
    <t>E_WOF*</t>
  </si>
  <si>
    <t>E_SPV*</t>
  </si>
  <si>
    <t>PSET_PN</t>
  </si>
  <si>
    <t>EN_Hydro*</t>
  </si>
  <si>
    <t>Workbook purpose:</t>
  </si>
  <si>
    <t>Data source:</t>
  </si>
  <si>
    <t>User-modifiable?</t>
  </si>
  <si>
    <t>Creates time series for capital cost decline over time</t>
  </si>
  <si>
    <r>
      <t xml:space="preserve">Learning rates on </t>
    </r>
    <r>
      <rPr>
        <i/>
        <sz val="11"/>
        <color indexed="8"/>
        <rFont val="Calibri"/>
        <family val="2"/>
      </rPr>
      <t>NEMS learning</t>
    </r>
    <r>
      <rPr>
        <sz val="11"/>
        <color theme="1"/>
        <rFont val="Calibri"/>
        <family val="2"/>
        <scheme val="minor"/>
      </rPr>
      <t xml:space="preserve"> can be modified, replaced with a new AEO or with trajectories derived from ETL runs. Note VLOOKUP structure driven by columns J-L on </t>
    </r>
    <r>
      <rPr>
        <i/>
        <sz val="11"/>
        <color indexed="8"/>
        <rFont val="Calibri"/>
        <family val="2"/>
      </rPr>
      <t>INS</t>
    </r>
    <r>
      <rPr>
        <sz val="11"/>
        <color theme="1"/>
        <rFont val="Calibri"/>
        <family val="2"/>
        <scheme val="minor"/>
      </rPr>
      <t xml:space="preserve"> sheet.</t>
    </r>
  </si>
  <si>
    <r>
      <t>AEO Reference case costs (</t>
    </r>
    <r>
      <rPr>
        <i/>
        <sz val="11"/>
        <color indexed="8"/>
        <rFont val="Calibri"/>
        <family val="2"/>
      </rPr>
      <t>NEMS learning sheet</t>
    </r>
    <r>
      <rPr>
        <sz val="11"/>
        <color theme="1"/>
        <rFont val="Calibri"/>
        <family val="2"/>
        <scheme val="minor"/>
      </rPr>
      <t>)</t>
    </r>
  </si>
  <si>
    <t>BehaviourControl</t>
  </si>
  <si>
    <t>EBldRateStep*SOL*</t>
  </si>
  <si>
    <t>EBldRateStep*WIN*</t>
  </si>
  <si>
    <t>Solar-EIA-c,Solar-StateLev</t>
  </si>
  <si>
    <t>BaseExtra,Wind-StateLev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</si>
</sst>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4" borderId="0" applyNumberFormat="0" applyBorder="0" applyAlignment="0" applyProtection="0"/>
    <xf numFmtId="0" fontId="4" fillId="0" borderId="0"/>
    <xf numFmtId="0" fontId="5" fillId="0" borderId="0"/>
    <xf numFmtId="0" fontId="2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3" fillId="2" borderId="2" xfId="0" applyFont="1" applyFill="1" applyBorder="1"/>
    <xf numFmtId="0" fontId="3" fillId="3" borderId="2" xfId="0" applyFont="1" applyFill="1" applyBorder="1"/>
    <xf numFmtId="0" fontId="4" fillId="2" borderId="2" xfId="0" applyFont="1" applyFill="1" applyBorder="1"/>
    <xf numFmtId="0" fontId="0" fillId="0" borderId="0" xfId="0" applyAlignment="1">
      <alignment wrapText="1"/>
    </xf>
    <xf numFmtId="0" fontId="1" fillId="0" borderId="1" xfId="3" applyFont="1" applyBorder="1" applyAlignment="1">
      <alignment horizontal="right" wrapText="1"/>
    </xf>
    <xf numFmtId="164" fontId="1" fillId="0" borderId="1" xfId="3" applyNumberFormat="1" applyFont="1" applyBorder="1" applyAlignment="1">
      <alignment horizontal="right" wrapText="1"/>
    </xf>
    <xf numFmtId="0" fontId="7" fillId="4" borderId="0" xfId="1"/>
    <xf numFmtId="0" fontId="8" fillId="0" borderId="0" xfId="0" applyFont="1"/>
  </cellXfs>
  <cellStyles count="5">
    <cellStyle name="Neutral" xfId="1" builtinId="28"/>
    <cellStyle name="Normal" xfId="0" builtinId="0"/>
    <cellStyle name="Normal 10" xfId="2" xr:uid="{00000000-0005-0000-0000-000002000000}"/>
    <cellStyle name="Normal_Sheet1" xfId="3" xr:uid="{00000000-0005-0000-0000-000003000000}"/>
    <cellStyle name="Normale_Scen_UC_IND-StrucConst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256" width="11.42578125" customWidth="1"/>
  </cols>
  <sheetData>
    <row r="1" spans="1:1" x14ac:dyDescent="0.25">
      <c r="A1" s="9" t="s">
        <v>44</v>
      </c>
    </row>
    <row r="2" spans="1:1" x14ac:dyDescent="0.25">
      <c r="A2" t="s">
        <v>47</v>
      </c>
    </row>
    <row r="4" spans="1:1" x14ac:dyDescent="0.25">
      <c r="A4" s="9" t="s">
        <v>45</v>
      </c>
    </row>
    <row r="5" spans="1:1" x14ac:dyDescent="0.25">
      <c r="A5" t="s">
        <v>49</v>
      </c>
    </row>
    <row r="7" spans="1:1" x14ac:dyDescent="0.25">
      <c r="A7" s="9" t="s">
        <v>46</v>
      </c>
    </row>
    <row r="8" spans="1:1" x14ac:dyDescent="0.25">
      <c r="A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3"/>
  <sheetViews>
    <sheetView tabSelected="1" workbookViewId="0">
      <selection activeCell="D15" sqref="D15"/>
    </sheetView>
  </sheetViews>
  <sheetFormatPr defaultColWidth="8.85546875" defaultRowHeight="15" x14ac:dyDescent="0.25"/>
  <cols>
    <col min="1" max="1" width="8.85546875" customWidth="1"/>
    <col min="2" max="2" width="24.28515625" bestFit="1" customWidth="1"/>
    <col min="3" max="3" width="8.85546875" bestFit="1" customWidth="1"/>
    <col min="4" max="4" width="6.140625" bestFit="1" customWidth="1"/>
    <col min="5" max="5" width="10.7109375" bestFit="1" customWidth="1"/>
    <col min="6" max="6" width="14.42578125" bestFit="1" customWidth="1"/>
    <col min="7" max="7" width="8.85546875" customWidth="1"/>
    <col min="8" max="8" width="3" bestFit="1" customWidth="1"/>
    <col min="9" max="10" width="8.85546875" customWidth="1"/>
    <col min="11" max="11" width="14.42578125" bestFit="1" customWidth="1"/>
    <col min="12" max="12" width="17.7109375" bestFit="1" customWidth="1"/>
    <col min="15" max="15" width="16.7109375" bestFit="1" customWidth="1"/>
    <col min="18" max="18" width="10.7109375" bestFit="1" customWidth="1"/>
    <col min="19" max="19" width="19" bestFit="1" customWidth="1"/>
  </cols>
  <sheetData>
    <row r="2" spans="2:19" x14ac:dyDescent="0.25">
      <c r="B2" t="s">
        <v>2</v>
      </c>
      <c r="F2" s="1"/>
      <c r="O2" t="s">
        <v>2</v>
      </c>
      <c r="S2" s="1"/>
    </row>
    <row r="3" spans="2:19" ht="15.75" thickBot="1" x14ac:dyDescent="0.3">
      <c r="B3" s="2" t="s">
        <v>5</v>
      </c>
      <c r="C3" s="2" t="s">
        <v>0</v>
      </c>
      <c r="D3" s="2" t="s">
        <v>3</v>
      </c>
      <c r="E3" s="3" t="s">
        <v>1</v>
      </c>
      <c r="F3" s="4" t="s">
        <v>42</v>
      </c>
      <c r="J3" s="8">
        <v>1</v>
      </c>
      <c r="K3" s="8" t="s">
        <v>41</v>
      </c>
      <c r="L3" s="8" t="s">
        <v>25</v>
      </c>
      <c r="O3" s="2" t="s">
        <v>5</v>
      </c>
      <c r="P3" s="2" t="s">
        <v>0</v>
      </c>
      <c r="Q3" s="2" t="s">
        <v>3</v>
      </c>
      <c r="R3" s="3" t="s">
        <v>1</v>
      </c>
      <c r="S3" s="4" t="s">
        <v>42</v>
      </c>
    </row>
    <row r="4" spans="2:19" x14ac:dyDescent="0.25">
      <c r="B4" t="s">
        <v>53</v>
      </c>
      <c r="C4" t="s">
        <v>4</v>
      </c>
      <c r="D4">
        <v>2015</v>
      </c>
      <c r="F4" t="str">
        <f>VLOOKUP(H4,$J$3:$K$17,2,FALSE)</f>
        <v>E_SPV*</v>
      </c>
      <c r="H4" s="8">
        <v>1</v>
      </c>
      <c r="J4" s="8">
        <v>2</v>
      </c>
      <c r="K4" s="8" t="s">
        <v>39</v>
      </c>
      <c r="L4" s="8" t="s">
        <v>21</v>
      </c>
      <c r="O4" t="s">
        <v>50</v>
      </c>
      <c r="P4" t="s">
        <v>4</v>
      </c>
      <c r="Q4">
        <v>2015</v>
      </c>
    </row>
    <row r="5" spans="2:19" x14ac:dyDescent="0.25">
      <c r="B5" t="s">
        <v>53</v>
      </c>
      <c r="C5" t="s">
        <v>4</v>
      </c>
      <c r="D5">
        <v>2016</v>
      </c>
      <c r="F5" t="str">
        <f t="shared" ref="F5:F33" si="0">VLOOKUP(H5,$J$3:$K$17,2,FALSE)</f>
        <v>E_SPV*</v>
      </c>
      <c r="H5" s="8">
        <v>1</v>
      </c>
      <c r="J5" s="8">
        <v>3</v>
      </c>
      <c r="K5" s="8" t="s">
        <v>40</v>
      </c>
      <c r="L5" s="8" t="s">
        <v>22</v>
      </c>
      <c r="O5" t="s">
        <v>50</v>
      </c>
      <c r="P5" t="s">
        <v>4</v>
      </c>
      <c r="Q5">
        <v>2016</v>
      </c>
    </row>
    <row r="6" spans="2:19" x14ac:dyDescent="0.25">
      <c r="B6" t="s">
        <v>53</v>
      </c>
      <c r="C6" t="s">
        <v>4</v>
      </c>
      <c r="D6">
        <v>2017</v>
      </c>
      <c r="E6" t="str">
        <f>"*"&amp;VLOOKUP($D6,'NEMS learning'!$A$2:$V$37,MATCH(VLOOKUP(INS!$H6,INS!$J$3:$L$17,3,FALSE),'NEMS learning'!$A$1:$V$1,0))</f>
        <v>*0.938</v>
      </c>
      <c r="F6" t="str">
        <f t="shared" si="0"/>
        <v>E_SPV*</v>
      </c>
      <c r="H6" s="8">
        <v>1</v>
      </c>
      <c r="J6" s="8">
        <v>4</v>
      </c>
      <c r="K6" s="8" t="s">
        <v>28</v>
      </c>
      <c r="L6" s="8" t="s">
        <v>7</v>
      </c>
      <c r="O6" t="s">
        <v>50</v>
      </c>
      <c r="P6" t="s">
        <v>4</v>
      </c>
      <c r="Q6">
        <v>2017</v>
      </c>
      <c r="R6" t="str">
        <f>"*"&amp;VLOOKUP($D6,'NEMS learning'!$A$2:$V$37,MATCH(VLOOKUP(INS!$H6,INS!$J$3:$L$17,3,FALSE),'NEMS learning'!$A$1:$V$1,0))</f>
        <v>*0.938</v>
      </c>
      <c r="S6" t="s">
        <v>51</v>
      </c>
    </row>
    <row r="7" spans="2:19" x14ac:dyDescent="0.25">
      <c r="B7" t="s">
        <v>53</v>
      </c>
      <c r="C7" t="s">
        <v>4</v>
      </c>
      <c r="D7">
        <v>2020</v>
      </c>
      <c r="E7" t="str">
        <f>"*"&amp;VLOOKUP($D7,'NEMS learning'!$A$2:$V$37,MATCH(VLOOKUP(INS!$H7,INS!$J$3:$L$17,3,FALSE),'NEMS learning'!$A$1:$V$1,0))</f>
        <v>*0.801734</v>
      </c>
      <c r="F7" t="str">
        <f t="shared" si="0"/>
        <v>E_SPV*</v>
      </c>
      <c r="H7" s="8">
        <v>1</v>
      </c>
      <c r="J7" s="8">
        <v>5</v>
      </c>
      <c r="K7" s="8" t="s">
        <v>29</v>
      </c>
      <c r="L7" s="8" t="s">
        <v>7</v>
      </c>
      <c r="O7" t="s">
        <v>50</v>
      </c>
      <c r="P7" t="s">
        <v>4</v>
      </c>
      <c r="Q7">
        <v>2020</v>
      </c>
      <c r="R7" t="str">
        <f>"*"&amp;VLOOKUP($D7,'NEMS learning'!$A$2:$V$37,MATCH(VLOOKUP(INS!$H7,INS!$J$3:$L$17,3,FALSE),'NEMS learning'!$A$1:$V$1,0))</f>
        <v>*0.801734</v>
      </c>
      <c r="S7" t="s">
        <v>51</v>
      </c>
    </row>
    <row r="8" spans="2:19" x14ac:dyDescent="0.25">
      <c r="B8" t="s">
        <v>53</v>
      </c>
      <c r="C8" t="s">
        <v>4</v>
      </c>
      <c r="D8">
        <v>2025</v>
      </c>
      <c r="E8" t="str">
        <f>"*"&amp;VLOOKUP($D8,'NEMS learning'!$A$2:$V$37,MATCH(VLOOKUP(INS!$H8,INS!$J$3:$L$17,3,FALSE),'NEMS learning'!$A$1:$V$1,0))</f>
        <v>*0.726158</v>
      </c>
      <c r="F8" t="str">
        <f t="shared" si="0"/>
        <v>E_SPV*</v>
      </c>
      <c r="H8" s="8">
        <v>1</v>
      </c>
      <c r="J8" s="8">
        <v>6</v>
      </c>
      <c r="K8" s="8" t="s">
        <v>30</v>
      </c>
      <c r="L8" s="8" t="s">
        <v>8</v>
      </c>
      <c r="O8" t="s">
        <v>50</v>
      </c>
      <c r="P8" t="s">
        <v>4</v>
      </c>
      <c r="Q8">
        <v>2025</v>
      </c>
      <c r="R8" t="str">
        <f>"*"&amp;VLOOKUP($D8,'NEMS learning'!$A$2:$V$37,MATCH(VLOOKUP(INS!$H8,INS!$J$3:$L$17,3,FALSE),'NEMS learning'!$A$1:$V$1,0))</f>
        <v>*0.726158</v>
      </c>
      <c r="S8" t="s">
        <v>51</v>
      </c>
    </row>
    <row r="9" spans="2:19" x14ac:dyDescent="0.25">
      <c r="B9" t="s">
        <v>53</v>
      </c>
      <c r="C9" t="s">
        <v>4</v>
      </c>
      <c r="D9">
        <f>D8+5</f>
        <v>2030</v>
      </c>
      <c r="E9" t="str">
        <f>"*"&amp;VLOOKUP($D9,'NEMS learning'!$A$2:$V$37,MATCH(VLOOKUP(INS!$H9,INS!$J$3:$L$17,3,FALSE),'NEMS learning'!$A$1:$V$1,0))</f>
        <v>*0.717941</v>
      </c>
      <c r="F9" t="str">
        <f t="shared" si="0"/>
        <v>E_SPV*</v>
      </c>
      <c r="H9" s="8">
        <v>1</v>
      </c>
      <c r="J9" s="8">
        <v>7</v>
      </c>
      <c r="K9" s="8" t="s">
        <v>31</v>
      </c>
      <c r="L9" s="8" t="s">
        <v>13</v>
      </c>
      <c r="O9" t="s">
        <v>50</v>
      </c>
      <c r="P9" t="s">
        <v>4</v>
      </c>
      <c r="Q9">
        <f>Q8+5</f>
        <v>2030</v>
      </c>
      <c r="R9" t="str">
        <f>"*"&amp;VLOOKUP($D9,'NEMS learning'!$A$2:$V$37,MATCH(VLOOKUP(INS!$H9,INS!$J$3:$L$17,3,FALSE),'NEMS learning'!$A$1:$V$1,0))</f>
        <v>*0.717941</v>
      </c>
      <c r="S9" t="s">
        <v>51</v>
      </c>
    </row>
    <row r="10" spans="2:19" x14ac:dyDescent="0.25">
      <c r="B10" t="s">
        <v>53</v>
      </c>
      <c r="C10" t="s">
        <v>4</v>
      </c>
      <c r="D10">
        <f>D9+5</f>
        <v>2035</v>
      </c>
      <c r="E10" t="str">
        <f>"*"&amp;VLOOKUP($D10,'NEMS learning'!$A$2:$V$37,MATCH(VLOOKUP(INS!$H10,INS!$J$3:$L$17,3,FALSE),'NEMS learning'!$A$1:$V$1,0))</f>
        <v>*0.704942</v>
      </c>
      <c r="F10" t="str">
        <f t="shared" si="0"/>
        <v>E_SPV*</v>
      </c>
      <c r="H10" s="8">
        <v>1</v>
      </c>
      <c r="J10" s="8">
        <v>8</v>
      </c>
      <c r="K10" s="8" t="s">
        <v>32</v>
      </c>
      <c r="L10" s="8" t="s">
        <v>12</v>
      </c>
      <c r="O10" t="s">
        <v>50</v>
      </c>
      <c r="P10" t="s">
        <v>4</v>
      </c>
      <c r="Q10">
        <f>Q9+5</f>
        <v>2035</v>
      </c>
      <c r="R10" t="str">
        <f>"*"&amp;VLOOKUP($D10,'NEMS learning'!$A$2:$V$37,MATCH(VLOOKUP(INS!$H10,INS!$J$3:$L$17,3,FALSE),'NEMS learning'!$A$1:$V$1,0))</f>
        <v>*0.704942</v>
      </c>
      <c r="S10" t="s">
        <v>51</v>
      </c>
    </row>
    <row r="11" spans="2:19" x14ac:dyDescent="0.25">
      <c r="B11" t="s">
        <v>53</v>
      </c>
      <c r="C11" t="s">
        <v>4</v>
      </c>
      <c r="D11">
        <f>D10+5</f>
        <v>2040</v>
      </c>
      <c r="E11" t="str">
        <f>"*"&amp;VLOOKUP($D11,'NEMS learning'!$A$2:$V$37,MATCH(VLOOKUP(INS!$H11,INS!$J$3:$L$17,3,FALSE),'NEMS learning'!$A$1:$V$1,0))</f>
        <v>*0.7</v>
      </c>
      <c r="F11" t="str">
        <f t="shared" si="0"/>
        <v>E_SPV*</v>
      </c>
      <c r="H11" s="8">
        <v>1</v>
      </c>
      <c r="J11" s="8">
        <v>9</v>
      </c>
      <c r="K11" s="8" t="s">
        <v>33</v>
      </c>
      <c r="L11" s="8" t="s">
        <v>11</v>
      </c>
      <c r="O11" t="s">
        <v>50</v>
      </c>
      <c r="P11" t="s">
        <v>4</v>
      </c>
      <c r="Q11">
        <f>Q10+5</f>
        <v>2040</v>
      </c>
      <c r="R11" t="str">
        <f>"*"&amp;VLOOKUP($D11,'NEMS learning'!$A$2:$V$37,MATCH(VLOOKUP(INS!$H11,INS!$J$3:$L$17,3,FALSE),'NEMS learning'!$A$1:$V$1,0))</f>
        <v>*0.7</v>
      </c>
      <c r="S11" t="s">
        <v>51</v>
      </c>
    </row>
    <row r="12" spans="2:19" x14ac:dyDescent="0.25">
      <c r="B12" t="s">
        <v>53</v>
      </c>
      <c r="C12" t="s">
        <v>4</v>
      </c>
      <c r="D12">
        <f>D11+5</f>
        <v>2045</v>
      </c>
      <c r="E12" t="str">
        <f>"*"&amp;VLOOKUP($D12,'NEMS learning'!$A$2:$V$37,MATCH(VLOOKUP(INS!$H12,INS!$J$3:$L$17,3,FALSE),'NEMS learning'!$A$1:$V$1,0))</f>
        <v>*0.7</v>
      </c>
      <c r="F12" t="str">
        <f t="shared" si="0"/>
        <v>E_SPV*</v>
      </c>
      <c r="H12" s="8">
        <v>1</v>
      </c>
      <c r="J12" s="8">
        <v>10</v>
      </c>
      <c r="K12" s="8" t="s">
        <v>34</v>
      </c>
      <c r="L12" s="8" t="s">
        <v>10</v>
      </c>
      <c r="O12" t="s">
        <v>50</v>
      </c>
      <c r="P12" t="s">
        <v>4</v>
      </c>
      <c r="Q12">
        <f>Q11+5</f>
        <v>2045</v>
      </c>
      <c r="R12" t="str">
        <f>"*"&amp;VLOOKUP($D12,'NEMS learning'!$A$2:$V$37,MATCH(VLOOKUP(INS!$H12,INS!$J$3:$L$17,3,FALSE),'NEMS learning'!$A$1:$V$1,0))</f>
        <v>*0.7</v>
      </c>
      <c r="S12" t="s">
        <v>51</v>
      </c>
    </row>
    <row r="13" spans="2:19" x14ac:dyDescent="0.25">
      <c r="B13" t="s">
        <v>53</v>
      </c>
      <c r="C13" t="s">
        <v>4</v>
      </c>
      <c r="D13">
        <f>D12+5</f>
        <v>2050</v>
      </c>
      <c r="E13" t="str">
        <f>"*"&amp;VLOOKUP($D13,'NEMS learning'!$A$2:$V$37,MATCH(VLOOKUP(INS!$H13,INS!$J$3:$L$17,3,FALSE),'NEMS learning'!$A$1:$V$1,0))</f>
        <v>*0.7</v>
      </c>
      <c r="F13" t="str">
        <f t="shared" si="0"/>
        <v>E_SPV*</v>
      </c>
      <c r="H13" s="8">
        <v>1</v>
      </c>
      <c r="J13" s="8">
        <v>11</v>
      </c>
      <c r="K13" s="8" t="s">
        <v>35</v>
      </c>
      <c r="L13" s="8" t="s">
        <v>9</v>
      </c>
      <c r="O13" t="s">
        <v>50</v>
      </c>
      <c r="P13" t="s">
        <v>4</v>
      </c>
      <c r="Q13">
        <f>Q12+5</f>
        <v>2050</v>
      </c>
      <c r="R13" t="str">
        <f>"*"&amp;VLOOKUP($D13,'NEMS learning'!$A$2:$V$37,MATCH(VLOOKUP(INS!$H13,INS!$J$3:$L$17,3,FALSE),'NEMS learning'!$A$1:$V$1,0))</f>
        <v>*0.7</v>
      </c>
      <c r="S13" t="s">
        <v>51</v>
      </c>
    </row>
    <row r="14" spans="2:19" x14ac:dyDescent="0.25">
      <c r="B14" t="s">
        <v>54</v>
      </c>
      <c r="C14" t="s">
        <v>4</v>
      </c>
      <c r="D14">
        <f>D4</f>
        <v>2015</v>
      </c>
      <c r="F14" t="str">
        <f t="shared" si="0"/>
        <v>E_WON*</v>
      </c>
      <c r="H14" s="8">
        <f>H4+1</f>
        <v>2</v>
      </c>
      <c r="J14" s="8">
        <v>12</v>
      </c>
      <c r="K14" s="8" t="s">
        <v>36</v>
      </c>
      <c r="L14" s="8" t="s">
        <v>16</v>
      </c>
      <c r="O14" t="s">
        <v>50</v>
      </c>
      <c r="P14" t="s">
        <v>4</v>
      </c>
      <c r="Q14">
        <f>Q4</f>
        <v>2015</v>
      </c>
    </row>
    <row r="15" spans="2:19" x14ac:dyDescent="0.25">
      <c r="B15" t="s">
        <v>54</v>
      </c>
      <c r="C15" t="s">
        <v>4</v>
      </c>
      <c r="D15">
        <f t="shared" ref="D15:D53" si="1">D5</f>
        <v>2016</v>
      </c>
      <c r="F15" t="str">
        <f t="shared" si="0"/>
        <v>E_WON*</v>
      </c>
      <c r="H15" s="8">
        <f t="shared" ref="H15:H53" si="2">H5+1</f>
        <v>2</v>
      </c>
      <c r="J15" s="8">
        <v>13</v>
      </c>
      <c r="K15" s="8" t="s">
        <v>37</v>
      </c>
      <c r="L15" s="8" t="str">
        <f>L8</f>
        <v>Coal with 90% CCS</v>
      </c>
      <c r="O15" t="s">
        <v>50</v>
      </c>
      <c r="P15" t="s">
        <v>4</v>
      </c>
      <c r="Q15">
        <f t="shared" ref="Q15:Q23" si="3">Q5</f>
        <v>2016</v>
      </c>
    </row>
    <row r="16" spans="2:19" x14ac:dyDescent="0.25">
      <c r="B16" t="s">
        <v>54</v>
      </c>
      <c r="C16" t="s">
        <v>4</v>
      </c>
      <c r="D16">
        <f t="shared" si="1"/>
        <v>2017</v>
      </c>
      <c r="E16" t="str">
        <f>"*"&amp;VLOOKUP($D16,'NEMS learning'!$A$2:$V$37,MATCH(VLOOKUP(INS!$H16,INS!$J$3:$L$17,3,FALSE),'NEMS learning'!$A$1:$V$1,0))</f>
        <v>*0.998</v>
      </c>
      <c r="F16" t="str">
        <f t="shared" si="0"/>
        <v>E_WON*</v>
      </c>
      <c r="H16" s="8">
        <f t="shared" si="2"/>
        <v>2</v>
      </c>
      <c r="J16" s="8">
        <v>14</v>
      </c>
      <c r="K16" s="8" t="s">
        <v>38</v>
      </c>
      <c r="L16" s="8" t="str">
        <f>L12</f>
        <v>Adv. CT</v>
      </c>
      <c r="O16" t="s">
        <v>50</v>
      </c>
      <c r="P16" t="s">
        <v>4</v>
      </c>
      <c r="Q16">
        <f t="shared" si="3"/>
        <v>2017</v>
      </c>
      <c r="R16" t="str">
        <f>"*"&amp;VLOOKUP($D16,'NEMS learning'!$A$2:$V$37,MATCH(VLOOKUP(INS!$H16,INS!$J$3:$L$17,3,FALSE),'NEMS learning'!$A$1:$V$1,0))</f>
        <v>*0.998</v>
      </c>
      <c r="S16" t="s">
        <v>52</v>
      </c>
    </row>
    <row r="17" spans="2:19" x14ac:dyDescent="0.25">
      <c r="B17" t="s">
        <v>54</v>
      </c>
      <c r="C17" t="s">
        <v>4</v>
      </c>
      <c r="D17">
        <f t="shared" si="1"/>
        <v>2020</v>
      </c>
      <c r="E17" t="str">
        <f>"*"&amp;VLOOKUP($D17,'NEMS learning'!$A$2:$V$37,MATCH(VLOOKUP(INS!$H17,INS!$J$3:$L$17,3,FALSE),'NEMS learning'!$A$1:$V$1,0))</f>
        <v>*0.99</v>
      </c>
      <c r="F17" t="str">
        <f t="shared" si="0"/>
        <v>E_WON*</v>
      </c>
      <c r="H17" s="8">
        <f t="shared" si="2"/>
        <v>2</v>
      </c>
      <c r="J17" s="8">
        <v>15</v>
      </c>
      <c r="K17" s="8" t="s">
        <v>43</v>
      </c>
      <c r="L17" s="8" t="s">
        <v>19</v>
      </c>
      <c r="O17" t="s">
        <v>50</v>
      </c>
      <c r="P17" t="s">
        <v>4</v>
      </c>
      <c r="Q17">
        <f t="shared" si="3"/>
        <v>2020</v>
      </c>
      <c r="R17" t="str">
        <f>"*"&amp;VLOOKUP($D17,'NEMS learning'!$A$2:$V$37,MATCH(VLOOKUP(INS!$H17,INS!$J$3:$L$17,3,FALSE),'NEMS learning'!$A$1:$V$1,0))</f>
        <v>*0.99</v>
      </c>
      <c r="S17" t="s">
        <v>52</v>
      </c>
    </row>
    <row r="18" spans="2:19" x14ac:dyDescent="0.25">
      <c r="B18" t="s">
        <v>54</v>
      </c>
      <c r="C18" t="s">
        <v>4</v>
      </c>
      <c r="D18">
        <f t="shared" si="1"/>
        <v>2025</v>
      </c>
      <c r="E18" t="str">
        <f>"*"&amp;VLOOKUP($D18,'NEMS learning'!$A$2:$V$37,MATCH(VLOOKUP(INS!$H18,INS!$J$3:$L$17,3,FALSE),'NEMS learning'!$A$1:$V$1,0))</f>
        <v>*0.9775</v>
      </c>
      <c r="F18" t="str">
        <f t="shared" si="0"/>
        <v>E_WON*</v>
      </c>
      <c r="H18" s="8">
        <f t="shared" si="2"/>
        <v>2</v>
      </c>
      <c r="O18" t="s">
        <v>50</v>
      </c>
      <c r="P18" t="s">
        <v>4</v>
      </c>
      <c r="Q18">
        <f t="shared" si="3"/>
        <v>2025</v>
      </c>
      <c r="R18" t="str">
        <f>"*"&amp;VLOOKUP($D18,'NEMS learning'!$A$2:$V$37,MATCH(VLOOKUP(INS!$H18,INS!$J$3:$L$17,3,FALSE),'NEMS learning'!$A$1:$V$1,0))</f>
        <v>*0.9775</v>
      </c>
      <c r="S18" t="s">
        <v>52</v>
      </c>
    </row>
    <row r="19" spans="2:19" x14ac:dyDescent="0.25">
      <c r="B19" t="s">
        <v>54</v>
      </c>
      <c r="C19" t="s">
        <v>4</v>
      </c>
      <c r="D19">
        <f t="shared" si="1"/>
        <v>2030</v>
      </c>
      <c r="E19" t="str">
        <f>"*"&amp;VLOOKUP($D19,'NEMS learning'!$A$2:$V$37,MATCH(VLOOKUP(INS!$H19,INS!$J$3:$L$17,3,FALSE),'NEMS learning'!$A$1:$V$1,0))</f>
        <v>*0.965</v>
      </c>
      <c r="F19" t="str">
        <f t="shared" si="0"/>
        <v>E_WON*</v>
      </c>
      <c r="H19" s="8">
        <f t="shared" si="2"/>
        <v>2</v>
      </c>
      <c r="O19" t="s">
        <v>50</v>
      </c>
      <c r="P19" t="s">
        <v>4</v>
      </c>
      <c r="Q19">
        <f t="shared" si="3"/>
        <v>2030</v>
      </c>
      <c r="R19" t="str">
        <f>"*"&amp;VLOOKUP($D19,'NEMS learning'!$A$2:$V$37,MATCH(VLOOKUP(INS!$H19,INS!$J$3:$L$17,3,FALSE),'NEMS learning'!$A$1:$V$1,0))</f>
        <v>*0.965</v>
      </c>
      <c r="S19" t="s">
        <v>52</v>
      </c>
    </row>
    <row r="20" spans="2:19" x14ac:dyDescent="0.25">
      <c r="B20" t="s">
        <v>54</v>
      </c>
      <c r="C20" t="s">
        <v>4</v>
      </c>
      <c r="D20">
        <f t="shared" si="1"/>
        <v>2035</v>
      </c>
      <c r="E20" t="str">
        <f>"*"&amp;VLOOKUP($D20,'NEMS learning'!$A$2:$V$37,MATCH(VLOOKUP(INS!$H20,INS!$J$3:$L$17,3,FALSE),'NEMS learning'!$A$1:$V$1,0))</f>
        <v>*0.9525</v>
      </c>
      <c r="F20" t="str">
        <f t="shared" si="0"/>
        <v>E_WON*</v>
      </c>
      <c r="H20" s="8">
        <f t="shared" si="2"/>
        <v>2</v>
      </c>
      <c r="O20" t="s">
        <v>50</v>
      </c>
      <c r="P20" t="s">
        <v>4</v>
      </c>
      <c r="Q20">
        <f t="shared" si="3"/>
        <v>2035</v>
      </c>
      <c r="R20" t="str">
        <f>"*"&amp;VLOOKUP($D20,'NEMS learning'!$A$2:$V$37,MATCH(VLOOKUP(INS!$H20,INS!$J$3:$L$17,3,FALSE),'NEMS learning'!$A$1:$V$1,0))</f>
        <v>*0.9525</v>
      </c>
      <c r="S20" t="s">
        <v>52</v>
      </c>
    </row>
    <row r="21" spans="2:19" x14ac:dyDescent="0.25">
      <c r="B21" t="s">
        <v>54</v>
      </c>
      <c r="C21" t="s">
        <v>4</v>
      </c>
      <c r="D21">
        <f t="shared" si="1"/>
        <v>2040</v>
      </c>
      <c r="E21" t="str">
        <f>"*"&amp;VLOOKUP($D21,'NEMS learning'!$A$2:$V$37,MATCH(VLOOKUP(INS!$H21,INS!$J$3:$L$17,3,FALSE),'NEMS learning'!$A$1:$V$1,0))</f>
        <v>*0.94</v>
      </c>
      <c r="F21" t="str">
        <f t="shared" si="0"/>
        <v>E_WON*</v>
      </c>
      <c r="H21" s="8">
        <f t="shared" si="2"/>
        <v>2</v>
      </c>
      <c r="O21" t="s">
        <v>50</v>
      </c>
      <c r="P21" t="s">
        <v>4</v>
      </c>
      <c r="Q21">
        <f t="shared" si="3"/>
        <v>2040</v>
      </c>
      <c r="R21" t="str">
        <f>"*"&amp;VLOOKUP($D21,'NEMS learning'!$A$2:$V$37,MATCH(VLOOKUP(INS!$H21,INS!$J$3:$L$17,3,FALSE),'NEMS learning'!$A$1:$V$1,0))</f>
        <v>*0.94</v>
      </c>
      <c r="S21" t="s">
        <v>52</v>
      </c>
    </row>
    <row r="22" spans="2:19" x14ac:dyDescent="0.25">
      <c r="B22" t="s">
        <v>54</v>
      </c>
      <c r="C22" t="s">
        <v>4</v>
      </c>
      <c r="D22">
        <f t="shared" si="1"/>
        <v>2045</v>
      </c>
      <c r="E22" t="str">
        <f>"*"&amp;VLOOKUP($D22,'NEMS learning'!$A$2:$V$37,MATCH(VLOOKUP(INS!$H22,INS!$J$3:$L$17,3,FALSE),'NEMS learning'!$A$1:$V$1,0))</f>
        <v>*0.9275</v>
      </c>
      <c r="F22" t="str">
        <f t="shared" si="0"/>
        <v>E_WON*</v>
      </c>
      <c r="H22" s="8">
        <f t="shared" si="2"/>
        <v>2</v>
      </c>
      <c r="O22" t="s">
        <v>50</v>
      </c>
      <c r="P22" t="s">
        <v>4</v>
      </c>
      <c r="Q22">
        <f t="shared" si="3"/>
        <v>2045</v>
      </c>
      <c r="R22" t="str">
        <f>"*"&amp;VLOOKUP($D22,'NEMS learning'!$A$2:$V$37,MATCH(VLOOKUP(INS!$H22,INS!$J$3:$L$17,3,FALSE),'NEMS learning'!$A$1:$V$1,0))</f>
        <v>*0.9275</v>
      </c>
      <c r="S22" t="s">
        <v>52</v>
      </c>
    </row>
    <row r="23" spans="2:19" x14ac:dyDescent="0.25">
      <c r="B23" t="s">
        <v>54</v>
      </c>
      <c r="C23" t="s">
        <v>4</v>
      </c>
      <c r="D23">
        <f t="shared" si="1"/>
        <v>2050</v>
      </c>
      <c r="E23" t="str">
        <f>"*"&amp;VLOOKUP($D23,'NEMS learning'!$A$2:$V$37,MATCH(VLOOKUP(INS!$H23,INS!$J$3:$L$17,3,FALSE),'NEMS learning'!$A$1:$V$1,0))</f>
        <v>*0.915</v>
      </c>
      <c r="F23" t="str">
        <f t="shared" si="0"/>
        <v>E_WON*</v>
      </c>
      <c r="H23" s="8">
        <f t="shared" si="2"/>
        <v>2</v>
      </c>
      <c r="O23" t="s">
        <v>50</v>
      </c>
      <c r="P23" t="s">
        <v>4</v>
      </c>
      <c r="Q23">
        <f t="shared" si="3"/>
        <v>2050</v>
      </c>
      <c r="R23" t="str">
        <f>"*"&amp;VLOOKUP($D23,'NEMS learning'!$A$2:$V$37,MATCH(VLOOKUP(INS!$H23,INS!$J$3:$L$17,3,FALSE),'NEMS learning'!$A$1:$V$1,0))</f>
        <v>*0.915</v>
      </c>
      <c r="S23" t="s">
        <v>52</v>
      </c>
    </row>
    <row r="24" spans="2:19" x14ac:dyDescent="0.25">
      <c r="B24" t="s">
        <v>54</v>
      </c>
      <c r="C24" t="s">
        <v>4</v>
      </c>
      <c r="D24">
        <f t="shared" si="1"/>
        <v>2015</v>
      </c>
      <c r="F24" t="str">
        <f t="shared" si="0"/>
        <v>E_WOF*</v>
      </c>
      <c r="H24" s="8">
        <f t="shared" si="2"/>
        <v>3</v>
      </c>
    </row>
    <row r="25" spans="2:19" x14ac:dyDescent="0.25">
      <c r="B25" t="s">
        <v>54</v>
      </c>
      <c r="C25" t="s">
        <v>4</v>
      </c>
      <c r="D25">
        <f t="shared" si="1"/>
        <v>2016</v>
      </c>
      <c r="F25" t="str">
        <f t="shared" si="0"/>
        <v>E_WOF*</v>
      </c>
      <c r="H25" s="8">
        <f t="shared" si="2"/>
        <v>3</v>
      </c>
    </row>
    <row r="26" spans="2:19" x14ac:dyDescent="0.25">
      <c r="B26" t="s">
        <v>54</v>
      </c>
      <c r="C26" t="s">
        <v>4</v>
      </c>
      <c r="D26">
        <f t="shared" si="1"/>
        <v>2017</v>
      </c>
      <c r="E26" t="str">
        <f>"*"&amp;VLOOKUP($D26,'NEMS learning'!$A$2:$V$37,MATCH(VLOOKUP(INS!H26,INS!$J$3:$L$17,3,FALSE),'NEMS learning'!$A$1:$V$1,0))</f>
        <v>*0.994</v>
      </c>
      <c r="F26" t="str">
        <f t="shared" si="0"/>
        <v>E_WOF*</v>
      </c>
      <c r="H26" s="8">
        <f t="shared" si="2"/>
        <v>3</v>
      </c>
    </row>
    <row r="27" spans="2:19" x14ac:dyDescent="0.25">
      <c r="B27" t="s">
        <v>54</v>
      </c>
      <c r="C27" t="s">
        <v>4</v>
      </c>
      <c r="D27">
        <f t="shared" si="1"/>
        <v>2020</v>
      </c>
      <c r="E27" t="str">
        <f>"*"&amp;VLOOKUP($D27,'NEMS learning'!$A$2:$V$37,MATCH(VLOOKUP(INS!H27,INS!$J$3:$L$17,3,FALSE),'NEMS learning'!$A$1:$V$1,0))</f>
        <v>*0.975</v>
      </c>
      <c r="F27" t="str">
        <f t="shared" si="0"/>
        <v>E_WOF*</v>
      </c>
      <c r="H27" s="8">
        <f t="shared" si="2"/>
        <v>3</v>
      </c>
    </row>
    <row r="28" spans="2:19" x14ac:dyDescent="0.25">
      <c r="B28" t="s">
        <v>54</v>
      </c>
      <c r="C28" t="s">
        <v>4</v>
      </c>
      <c r="D28">
        <f t="shared" si="1"/>
        <v>2025</v>
      </c>
      <c r="E28" t="str">
        <f>"*"&amp;VLOOKUP($D28,'NEMS learning'!$A$2:$V$37,MATCH(VLOOKUP(INS!H28,INS!$J$3:$L$17,3,FALSE),'NEMS learning'!$A$1:$V$1,0))</f>
        <v>*0.94375</v>
      </c>
      <c r="F28" t="str">
        <f t="shared" si="0"/>
        <v>E_WOF*</v>
      </c>
      <c r="H28" s="8">
        <f t="shared" si="2"/>
        <v>3</v>
      </c>
    </row>
    <row r="29" spans="2:19" x14ac:dyDescent="0.25">
      <c r="B29" t="s">
        <v>54</v>
      </c>
      <c r="C29" t="s">
        <v>4</v>
      </c>
      <c r="D29">
        <f t="shared" si="1"/>
        <v>2030</v>
      </c>
      <c r="E29" t="str">
        <f>"*"&amp;VLOOKUP($D29,'NEMS learning'!$A$2:$V$37,MATCH(VLOOKUP(INS!H29,INS!$J$3:$L$17,3,FALSE),'NEMS learning'!$A$1:$V$1,0))</f>
        <v>*0.9125</v>
      </c>
      <c r="F29" t="str">
        <f t="shared" si="0"/>
        <v>E_WOF*</v>
      </c>
      <c r="H29" s="8">
        <f t="shared" si="2"/>
        <v>3</v>
      </c>
    </row>
    <row r="30" spans="2:19" x14ac:dyDescent="0.25">
      <c r="B30" t="s">
        <v>54</v>
      </c>
      <c r="C30" t="s">
        <v>4</v>
      </c>
      <c r="D30">
        <f t="shared" si="1"/>
        <v>2035</v>
      </c>
      <c r="E30" t="str">
        <f>"*"&amp;VLOOKUP($D30,'NEMS learning'!$A$2:$V$37,MATCH(VLOOKUP(INS!H30,INS!$J$3:$L$17,3,FALSE),'NEMS learning'!$A$1:$V$1,0))</f>
        <v>*0.88125</v>
      </c>
      <c r="F30" t="str">
        <f t="shared" si="0"/>
        <v>E_WOF*</v>
      </c>
      <c r="H30" s="8">
        <f t="shared" si="2"/>
        <v>3</v>
      </c>
    </row>
    <row r="31" spans="2:19" x14ac:dyDescent="0.25">
      <c r="B31" t="s">
        <v>54</v>
      </c>
      <c r="C31" t="s">
        <v>4</v>
      </c>
      <c r="D31">
        <f t="shared" si="1"/>
        <v>2040</v>
      </c>
      <c r="E31" t="str">
        <f>"*"&amp;VLOOKUP($D31,'NEMS learning'!$A$2:$V$37,MATCH(VLOOKUP(INS!H31,INS!$J$3:$L$17,3,FALSE),'NEMS learning'!$A$1:$V$1,0))</f>
        <v>*0.85</v>
      </c>
      <c r="F31" t="str">
        <f t="shared" si="0"/>
        <v>E_WOF*</v>
      </c>
      <c r="H31" s="8">
        <f t="shared" si="2"/>
        <v>3</v>
      </c>
    </row>
    <row r="32" spans="2:19" x14ac:dyDescent="0.25">
      <c r="B32" t="s">
        <v>54</v>
      </c>
      <c r="C32" t="s">
        <v>4</v>
      </c>
      <c r="D32">
        <f t="shared" si="1"/>
        <v>2045</v>
      </c>
      <c r="E32" t="str">
        <f>"*"&amp;VLOOKUP($D32,'NEMS learning'!$A$2:$V$37,MATCH(VLOOKUP(INS!H32,INS!$J$3:$L$17,3,FALSE),'NEMS learning'!$A$1:$V$1,0))</f>
        <v>*0.81875</v>
      </c>
      <c r="F32" t="str">
        <f t="shared" si="0"/>
        <v>E_WOF*</v>
      </c>
      <c r="H32" s="8">
        <f t="shared" si="2"/>
        <v>3</v>
      </c>
    </row>
    <row r="33" spans="2:8" x14ac:dyDescent="0.25">
      <c r="B33" t="s">
        <v>54</v>
      </c>
      <c r="C33" t="s">
        <v>4</v>
      </c>
      <c r="D33">
        <f t="shared" si="1"/>
        <v>2050</v>
      </c>
      <c r="E33" t="str">
        <f>"*"&amp;VLOOKUP($D33,'NEMS learning'!$A$2:$V$37,MATCH(VLOOKUP(INS!H33,INS!$J$3:$L$17,3,FALSE),'NEMS learning'!$A$1:$V$1,0))</f>
        <v>*0.7875</v>
      </c>
      <c r="F33" t="str">
        <f t="shared" si="0"/>
        <v>E_WOF*</v>
      </c>
      <c r="H33" s="8">
        <f t="shared" si="2"/>
        <v>3</v>
      </c>
    </row>
    <row r="34" spans="2:8" x14ac:dyDescent="0.25">
      <c r="C34" t="s">
        <v>4</v>
      </c>
      <c r="D34">
        <f t="shared" si="1"/>
        <v>2015</v>
      </c>
      <c r="F34" t="str">
        <f t="shared" ref="F34:F53" si="4">VLOOKUP(H34,$J$3:$K$17,2,FALSE)</f>
        <v>EN_COAPUL</v>
      </c>
      <c r="H34" s="8">
        <f t="shared" si="2"/>
        <v>4</v>
      </c>
    </row>
    <row r="35" spans="2:8" x14ac:dyDescent="0.25">
      <c r="C35" t="s">
        <v>4</v>
      </c>
      <c r="D35">
        <f t="shared" si="1"/>
        <v>2016</v>
      </c>
      <c r="F35" t="str">
        <f t="shared" si="4"/>
        <v>EN_COAPUL</v>
      </c>
      <c r="H35" s="8">
        <f t="shared" si="2"/>
        <v>4</v>
      </c>
    </row>
    <row r="36" spans="2:8" x14ac:dyDescent="0.25">
      <c r="C36" t="s">
        <v>4</v>
      </c>
      <c r="D36">
        <f t="shared" si="1"/>
        <v>2017</v>
      </c>
      <c r="E36" t="str">
        <f>"*"&amp;VLOOKUP($D36,'NEMS learning'!$A$2:$V$37,MATCH(VLOOKUP(INS!H36,INS!$J$3:$L$17,3,FALSE),'NEMS learning'!$A$1:$V$1,0))</f>
        <v>*0.996</v>
      </c>
      <c r="F36" t="str">
        <f t="shared" si="4"/>
        <v>EN_COAPUL</v>
      </c>
      <c r="H36" s="8">
        <f t="shared" si="2"/>
        <v>4</v>
      </c>
    </row>
    <row r="37" spans="2:8" x14ac:dyDescent="0.25">
      <c r="C37" t="s">
        <v>4</v>
      </c>
      <c r="D37">
        <f t="shared" si="1"/>
        <v>2020</v>
      </c>
      <c r="E37" t="str">
        <f>"*"&amp;VLOOKUP($D37,'NEMS learning'!$A$2:$V$37,MATCH(VLOOKUP(INS!H37,INS!$J$3:$L$17,3,FALSE),'NEMS learning'!$A$1:$V$1,0))</f>
        <v>*0.9825</v>
      </c>
      <c r="F37" t="str">
        <f t="shared" si="4"/>
        <v>EN_COAPUL</v>
      </c>
      <c r="H37" s="8">
        <f t="shared" si="2"/>
        <v>4</v>
      </c>
    </row>
    <row r="38" spans="2:8" x14ac:dyDescent="0.25">
      <c r="C38" t="s">
        <v>4</v>
      </c>
      <c r="D38">
        <f t="shared" si="1"/>
        <v>2025</v>
      </c>
      <c r="E38" t="str">
        <f>"*"&amp;VLOOKUP($D38,'NEMS learning'!$A$2:$V$37,MATCH(VLOOKUP(INS!H38,INS!$J$3:$L$17,3,FALSE),'NEMS learning'!$A$1:$V$1,0))</f>
        <v>*0.960625</v>
      </c>
      <c r="F38" t="str">
        <f t="shared" si="4"/>
        <v>EN_COAPUL</v>
      </c>
      <c r="H38" s="8">
        <f t="shared" si="2"/>
        <v>4</v>
      </c>
    </row>
    <row r="39" spans="2:8" x14ac:dyDescent="0.25">
      <c r="C39" t="s">
        <v>4</v>
      </c>
      <c r="D39">
        <f t="shared" si="1"/>
        <v>2030</v>
      </c>
      <c r="E39" t="str">
        <f>"*"&amp;VLOOKUP($D39,'NEMS learning'!$A$2:$V$37,MATCH(VLOOKUP(INS!H39,INS!$J$3:$L$17,3,FALSE),'NEMS learning'!$A$1:$V$1,0))</f>
        <v>*0.93875</v>
      </c>
      <c r="F39" t="str">
        <f t="shared" si="4"/>
        <v>EN_COAPUL</v>
      </c>
      <c r="H39" s="8">
        <f t="shared" si="2"/>
        <v>4</v>
      </c>
    </row>
    <row r="40" spans="2:8" x14ac:dyDescent="0.25">
      <c r="C40" t="s">
        <v>4</v>
      </c>
      <c r="D40">
        <f t="shared" si="1"/>
        <v>2035</v>
      </c>
      <c r="E40" t="str">
        <f>"*"&amp;VLOOKUP($D40,'NEMS learning'!$A$2:$V$37,MATCH(VLOOKUP(INS!H40,INS!$J$3:$L$17,3,FALSE),'NEMS learning'!$A$1:$V$1,0))</f>
        <v>*0.916875</v>
      </c>
      <c r="F40" t="str">
        <f t="shared" si="4"/>
        <v>EN_COAPUL</v>
      </c>
      <c r="H40" s="8">
        <f t="shared" si="2"/>
        <v>4</v>
      </c>
    </row>
    <row r="41" spans="2:8" x14ac:dyDescent="0.25">
      <c r="C41" t="s">
        <v>4</v>
      </c>
      <c r="D41">
        <f t="shared" si="1"/>
        <v>2040</v>
      </c>
      <c r="E41" t="str">
        <f>"*"&amp;VLOOKUP($D41,'NEMS learning'!$A$2:$V$37,MATCH(VLOOKUP(INS!H41,INS!$J$3:$L$17,3,FALSE),'NEMS learning'!$A$1:$V$1,0))</f>
        <v>*0.895</v>
      </c>
      <c r="F41" t="str">
        <f t="shared" si="4"/>
        <v>EN_COAPUL</v>
      </c>
      <c r="H41" s="8">
        <f t="shared" si="2"/>
        <v>4</v>
      </c>
    </row>
    <row r="42" spans="2:8" x14ac:dyDescent="0.25">
      <c r="C42" t="s">
        <v>4</v>
      </c>
      <c r="D42">
        <f t="shared" si="1"/>
        <v>2045</v>
      </c>
      <c r="E42" t="str">
        <f>"*"&amp;VLOOKUP($D42,'NEMS learning'!$A$2:$V$37,MATCH(VLOOKUP(INS!H42,INS!$J$3:$L$17,3,FALSE),'NEMS learning'!$A$1:$V$1,0))</f>
        <v>*0.873125</v>
      </c>
      <c r="F42" t="str">
        <f t="shared" si="4"/>
        <v>EN_COAPUL</v>
      </c>
      <c r="H42" s="8">
        <f t="shared" si="2"/>
        <v>4</v>
      </c>
    </row>
    <row r="43" spans="2:8" x14ac:dyDescent="0.25">
      <c r="C43" t="s">
        <v>4</v>
      </c>
      <c r="D43">
        <f t="shared" si="1"/>
        <v>2050</v>
      </c>
      <c r="E43" t="str">
        <f>"*"&amp;VLOOKUP($D43,'NEMS learning'!$A$2:$V$37,MATCH(VLOOKUP(INS!H43,INS!$J$3:$L$17,3,FALSE),'NEMS learning'!$A$1:$V$1,0))</f>
        <v>*0.85125</v>
      </c>
      <c r="F43" t="str">
        <f t="shared" si="4"/>
        <v>EN_COAPUL</v>
      </c>
      <c r="H43" s="8">
        <f t="shared" si="2"/>
        <v>4</v>
      </c>
    </row>
    <row r="44" spans="2:8" x14ac:dyDescent="0.25">
      <c r="C44" t="s">
        <v>4</v>
      </c>
      <c r="D44">
        <f t="shared" si="1"/>
        <v>2015</v>
      </c>
      <c r="F44" t="str">
        <f t="shared" si="4"/>
        <v>EN_COAIGCC</v>
      </c>
      <c r="H44" s="8">
        <f t="shared" si="2"/>
        <v>5</v>
      </c>
    </row>
    <row r="45" spans="2:8" x14ac:dyDescent="0.25">
      <c r="C45" t="s">
        <v>4</v>
      </c>
      <c r="D45">
        <f t="shared" si="1"/>
        <v>2016</v>
      </c>
      <c r="F45" t="str">
        <f t="shared" si="4"/>
        <v>EN_COAIGCC</v>
      </c>
      <c r="H45" s="8">
        <f t="shared" si="2"/>
        <v>5</v>
      </c>
    </row>
    <row r="46" spans="2:8" x14ac:dyDescent="0.25">
      <c r="C46" t="s">
        <v>4</v>
      </c>
      <c r="D46">
        <f t="shared" si="1"/>
        <v>2017</v>
      </c>
      <c r="E46" t="str">
        <f>"*"&amp;VLOOKUP($D46,'NEMS learning'!$A$2:$V$37,MATCH(VLOOKUP(INS!H46,INS!$J$3:$L$17,3,FALSE),'NEMS learning'!$A$1:$V$1,0))</f>
        <v>*0.996</v>
      </c>
      <c r="F46" t="str">
        <f t="shared" si="4"/>
        <v>EN_COAIGCC</v>
      </c>
      <c r="H46" s="8">
        <f t="shared" si="2"/>
        <v>5</v>
      </c>
    </row>
    <row r="47" spans="2:8" x14ac:dyDescent="0.25">
      <c r="C47" t="s">
        <v>4</v>
      </c>
      <c r="D47">
        <f t="shared" si="1"/>
        <v>2020</v>
      </c>
      <c r="E47" t="str">
        <f>"*"&amp;VLOOKUP($D47,'NEMS learning'!$A$2:$V$37,MATCH(VLOOKUP(INS!H47,INS!$J$3:$L$17,3,FALSE),'NEMS learning'!$A$1:$V$1,0))</f>
        <v>*0.9825</v>
      </c>
      <c r="F47" t="str">
        <f t="shared" si="4"/>
        <v>EN_COAIGCC</v>
      </c>
      <c r="H47" s="8">
        <f t="shared" si="2"/>
        <v>5</v>
      </c>
    </row>
    <row r="48" spans="2:8" x14ac:dyDescent="0.25">
      <c r="C48" t="s">
        <v>4</v>
      </c>
      <c r="D48">
        <f t="shared" si="1"/>
        <v>2025</v>
      </c>
      <c r="E48" t="str">
        <f>"*"&amp;VLOOKUP($D48,'NEMS learning'!$A$2:$V$37,MATCH(VLOOKUP(INS!H48,INS!$J$3:$L$17,3,FALSE),'NEMS learning'!$A$1:$V$1,0))</f>
        <v>*0.960625</v>
      </c>
      <c r="F48" t="str">
        <f t="shared" si="4"/>
        <v>EN_COAIGCC</v>
      </c>
      <c r="H48" s="8">
        <f t="shared" si="2"/>
        <v>5</v>
      </c>
    </row>
    <row r="49" spans="3:8" x14ac:dyDescent="0.25">
      <c r="C49" t="s">
        <v>4</v>
      </c>
      <c r="D49">
        <f t="shared" si="1"/>
        <v>2030</v>
      </c>
      <c r="E49" t="str">
        <f>"*"&amp;VLOOKUP($D49,'NEMS learning'!$A$2:$V$37,MATCH(VLOOKUP(INS!H49,INS!$J$3:$L$17,3,FALSE),'NEMS learning'!$A$1:$V$1,0))</f>
        <v>*0.93875</v>
      </c>
      <c r="F49" t="str">
        <f t="shared" si="4"/>
        <v>EN_COAIGCC</v>
      </c>
      <c r="H49" s="8">
        <f t="shared" si="2"/>
        <v>5</v>
      </c>
    </row>
    <row r="50" spans="3:8" x14ac:dyDescent="0.25">
      <c r="C50" t="s">
        <v>4</v>
      </c>
      <c r="D50">
        <f t="shared" si="1"/>
        <v>2035</v>
      </c>
      <c r="E50" t="str">
        <f>"*"&amp;VLOOKUP($D50,'NEMS learning'!$A$2:$V$37,MATCH(VLOOKUP(INS!H50,INS!$J$3:$L$17,3,FALSE),'NEMS learning'!$A$1:$V$1,0))</f>
        <v>*0.916875</v>
      </c>
      <c r="F50" t="str">
        <f t="shared" si="4"/>
        <v>EN_COAIGCC</v>
      </c>
      <c r="H50" s="8">
        <f t="shared" si="2"/>
        <v>5</v>
      </c>
    </row>
    <row r="51" spans="3:8" x14ac:dyDescent="0.25">
      <c r="C51" t="s">
        <v>4</v>
      </c>
      <c r="D51">
        <f t="shared" si="1"/>
        <v>2040</v>
      </c>
      <c r="E51" t="str">
        <f>"*"&amp;VLOOKUP($D51,'NEMS learning'!$A$2:$V$37,MATCH(VLOOKUP(INS!H51,INS!$J$3:$L$17,3,FALSE),'NEMS learning'!$A$1:$V$1,0))</f>
        <v>*0.895</v>
      </c>
      <c r="F51" t="str">
        <f t="shared" si="4"/>
        <v>EN_COAIGCC</v>
      </c>
      <c r="H51" s="8">
        <f t="shared" si="2"/>
        <v>5</v>
      </c>
    </row>
    <row r="52" spans="3:8" x14ac:dyDescent="0.25">
      <c r="C52" t="s">
        <v>4</v>
      </c>
      <c r="D52">
        <f t="shared" si="1"/>
        <v>2045</v>
      </c>
      <c r="E52" t="str">
        <f>"*"&amp;VLOOKUP($D52,'NEMS learning'!$A$2:$V$37,MATCH(VLOOKUP(INS!H52,INS!$J$3:$L$17,3,FALSE),'NEMS learning'!$A$1:$V$1,0))</f>
        <v>*0.873125</v>
      </c>
      <c r="F52" t="str">
        <f t="shared" si="4"/>
        <v>EN_COAIGCC</v>
      </c>
      <c r="H52" s="8">
        <f t="shared" si="2"/>
        <v>5</v>
      </c>
    </row>
    <row r="53" spans="3:8" x14ac:dyDescent="0.25">
      <c r="C53" t="s">
        <v>4</v>
      </c>
      <c r="D53">
        <f t="shared" si="1"/>
        <v>2050</v>
      </c>
      <c r="E53" t="str">
        <f>"*"&amp;VLOOKUP($D53,'NEMS learning'!$A$2:$V$37,MATCH(VLOOKUP(INS!H53,INS!$J$3:$L$17,3,FALSE),'NEMS learning'!$A$1:$V$1,0))</f>
        <v>*0.85125</v>
      </c>
      <c r="F53" t="str">
        <f t="shared" si="4"/>
        <v>EN_COAIGCC</v>
      </c>
      <c r="H53" s="8">
        <f t="shared" si="2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"/>
  <sheetViews>
    <sheetView workbookViewId="0">
      <selection activeCell="L6" sqref="L6"/>
    </sheetView>
  </sheetViews>
  <sheetFormatPr defaultColWidth="8.85546875" defaultRowHeight="15" x14ac:dyDescent="0.25"/>
  <sheetData>
    <row r="1" spans="1:22" ht="45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</row>
    <row r="2" spans="1:22" x14ac:dyDescent="0.25">
      <c r="A2" s="5">
        <v>2015</v>
      </c>
      <c r="B2" s="5">
        <v>3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3</v>
      </c>
    </row>
    <row r="3" spans="1:22" x14ac:dyDescent="0.25">
      <c r="A3" s="5">
        <v>2016</v>
      </c>
      <c r="B3" s="5">
        <v>3</v>
      </c>
      <c r="C3" s="5">
        <v>3</v>
      </c>
      <c r="D3" s="5">
        <v>3</v>
      </c>
      <c r="E3" s="5">
        <v>3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5">
        <v>3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v>3</v>
      </c>
      <c r="T3" s="5">
        <v>3</v>
      </c>
      <c r="U3" s="5">
        <v>3</v>
      </c>
      <c r="V3" s="5">
        <v>3</v>
      </c>
    </row>
    <row r="4" spans="1:22" x14ac:dyDescent="0.25">
      <c r="A4" s="5">
        <v>2017</v>
      </c>
      <c r="B4" s="5">
        <v>0.996</v>
      </c>
      <c r="C4" s="5">
        <v>0.996</v>
      </c>
      <c r="D4" s="5">
        <v>0.997</v>
      </c>
      <c r="E4" s="5">
        <v>0.996</v>
      </c>
      <c r="F4" s="5">
        <v>0.998</v>
      </c>
      <c r="G4" s="5">
        <v>0.997</v>
      </c>
      <c r="H4" s="5">
        <v>0.99399999999999999</v>
      </c>
      <c r="I4" s="5">
        <v>0.99</v>
      </c>
      <c r="J4" s="5">
        <v>0.995</v>
      </c>
      <c r="K4" s="5">
        <v>0.996</v>
      </c>
      <c r="L4" s="5">
        <v>0.995</v>
      </c>
      <c r="M4" s="5">
        <v>0.997</v>
      </c>
      <c r="N4" s="5">
        <v>0.998</v>
      </c>
      <c r="O4" s="5">
        <v>0.99</v>
      </c>
      <c r="P4" s="5">
        <v>0.998</v>
      </c>
      <c r="Q4" s="5">
        <v>0.99399999999999999</v>
      </c>
      <c r="R4" s="5">
        <v>0.98799999999999999</v>
      </c>
      <c r="S4" s="5">
        <v>0.93799999999999994</v>
      </c>
      <c r="T4" s="5">
        <v>0.93799999999999994</v>
      </c>
      <c r="U4" s="5">
        <v>0.995</v>
      </c>
      <c r="V4" s="5">
        <v>0.995</v>
      </c>
    </row>
    <row r="5" spans="1:22" x14ac:dyDescent="0.25">
      <c r="A5" s="6">
        <v>2018</v>
      </c>
      <c r="B5" s="7">
        <v>0.99124999999999996</v>
      </c>
      <c r="C5" s="7">
        <v>0.99124999999999996</v>
      </c>
      <c r="D5" s="7">
        <v>0.995</v>
      </c>
      <c r="E5" s="7">
        <v>0.99250000000000005</v>
      </c>
      <c r="F5" s="7">
        <v>0.995</v>
      </c>
      <c r="G5" s="7">
        <v>0.99350000000000005</v>
      </c>
      <c r="H5" s="7">
        <v>0.98799999999999999</v>
      </c>
      <c r="I5" s="7">
        <v>0.96472899999999995</v>
      </c>
      <c r="J5" s="7">
        <v>0.99</v>
      </c>
      <c r="K5" s="7">
        <v>0.99250000000000005</v>
      </c>
      <c r="L5" s="7">
        <v>0.99</v>
      </c>
      <c r="M5" s="7">
        <v>0.995</v>
      </c>
      <c r="N5" s="7">
        <v>0.995</v>
      </c>
      <c r="O5" s="7">
        <v>0.98</v>
      </c>
      <c r="P5" s="7">
        <v>0.995</v>
      </c>
      <c r="Q5" s="7">
        <v>0.98750000000000004</v>
      </c>
      <c r="R5" s="7">
        <v>0.98271799999999998</v>
      </c>
      <c r="S5" s="7">
        <v>0.86216300000000001</v>
      </c>
      <c r="T5" s="7">
        <v>0.86216300000000001</v>
      </c>
      <c r="U5" s="7">
        <v>0.99</v>
      </c>
      <c r="V5" s="7">
        <v>0.99</v>
      </c>
    </row>
    <row r="6" spans="1:22" x14ac:dyDescent="0.25">
      <c r="A6" s="6">
        <v>2019</v>
      </c>
      <c r="B6" s="7">
        <v>0.98687499999999995</v>
      </c>
      <c r="C6" s="7">
        <v>0.98687499999999995</v>
      </c>
      <c r="D6" s="7">
        <v>0.99250000000000005</v>
      </c>
      <c r="E6" s="7">
        <v>0.98875000000000002</v>
      </c>
      <c r="F6" s="7">
        <v>0.99250000000000005</v>
      </c>
      <c r="G6" s="7">
        <v>0.99024999999999996</v>
      </c>
      <c r="H6" s="7">
        <v>0.98199999999999998</v>
      </c>
      <c r="I6" s="7">
        <v>0.95097399999999999</v>
      </c>
      <c r="J6" s="7">
        <v>0.98499999999999999</v>
      </c>
      <c r="K6" s="7">
        <v>0.98875000000000002</v>
      </c>
      <c r="L6" s="7">
        <v>0.98499999999999999</v>
      </c>
      <c r="M6" s="7">
        <v>0.99250000000000005</v>
      </c>
      <c r="N6" s="7">
        <v>0.99117</v>
      </c>
      <c r="O6" s="7">
        <v>0.97</v>
      </c>
      <c r="P6" s="7">
        <v>0.99250000000000005</v>
      </c>
      <c r="Q6" s="7">
        <v>0.98124999999999996</v>
      </c>
      <c r="R6" s="7">
        <v>0.97771799999999998</v>
      </c>
      <c r="S6" s="7">
        <v>0.82379100000000005</v>
      </c>
      <c r="T6" s="7">
        <v>0.82379100000000005</v>
      </c>
      <c r="U6" s="7">
        <v>0.98499999999999999</v>
      </c>
      <c r="V6" s="7">
        <v>0.98499999999999999</v>
      </c>
    </row>
    <row r="7" spans="1:22" x14ac:dyDescent="0.25">
      <c r="A7" s="6">
        <v>2020</v>
      </c>
      <c r="B7" s="7">
        <v>0.98250000000000004</v>
      </c>
      <c r="C7" s="7">
        <v>0.98250000000000004</v>
      </c>
      <c r="D7" s="7">
        <v>0.99</v>
      </c>
      <c r="E7" s="7">
        <v>0.98499999999999999</v>
      </c>
      <c r="F7" s="7">
        <v>0.99</v>
      </c>
      <c r="G7" s="7">
        <v>0.98699999999999999</v>
      </c>
      <c r="H7" s="7">
        <v>0.97599999999999998</v>
      </c>
      <c r="I7" s="7">
        <v>0.94097399999999998</v>
      </c>
      <c r="J7" s="7">
        <v>0.98</v>
      </c>
      <c r="K7" s="7">
        <v>0.98111899999999996</v>
      </c>
      <c r="L7" s="7">
        <v>0.98</v>
      </c>
      <c r="M7" s="7">
        <v>0.99</v>
      </c>
      <c r="N7" s="7">
        <v>0.98798200000000003</v>
      </c>
      <c r="O7" s="7">
        <v>0.96</v>
      </c>
      <c r="P7" s="7">
        <v>0.99</v>
      </c>
      <c r="Q7" s="7">
        <v>0.97499999999999998</v>
      </c>
      <c r="R7" s="7">
        <v>0.97271799999999997</v>
      </c>
      <c r="S7" s="7">
        <v>0.80173399999999995</v>
      </c>
      <c r="T7" s="7">
        <v>0.80173399999999995</v>
      </c>
      <c r="U7" s="7">
        <v>0.98</v>
      </c>
      <c r="V7" s="7">
        <v>0.98</v>
      </c>
    </row>
    <row r="8" spans="1:22" x14ac:dyDescent="0.25">
      <c r="A8" s="6">
        <v>2021</v>
      </c>
      <c r="B8" s="7">
        <v>0.97812500000000002</v>
      </c>
      <c r="C8" s="7">
        <v>0.97812500000000002</v>
      </c>
      <c r="D8" s="7">
        <v>0.98750000000000004</v>
      </c>
      <c r="E8" s="7">
        <v>0.98124999999999996</v>
      </c>
      <c r="F8" s="7">
        <v>0.98750000000000004</v>
      </c>
      <c r="G8" s="7">
        <v>0.98375000000000001</v>
      </c>
      <c r="H8" s="7">
        <v>0.97</v>
      </c>
      <c r="I8" s="7">
        <v>0.93097399999999997</v>
      </c>
      <c r="J8" s="7">
        <v>0.97499999999999998</v>
      </c>
      <c r="K8" s="7">
        <v>0.97299100000000005</v>
      </c>
      <c r="L8" s="7">
        <v>0.97499999999999998</v>
      </c>
      <c r="M8" s="7">
        <v>0.98750000000000004</v>
      </c>
      <c r="N8" s="7">
        <v>0.98548199999999997</v>
      </c>
      <c r="O8" s="7">
        <v>0.95</v>
      </c>
      <c r="P8" s="7">
        <v>0.98750000000000004</v>
      </c>
      <c r="Q8" s="7">
        <v>0.96875</v>
      </c>
      <c r="R8" s="7">
        <v>0.96771799999999997</v>
      </c>
      <c r="S8" s="7">
        <v>0.75608299999999995</v>
      </c>
      <c r="T8" s="7">
        <v>0.75608299999999995</v>
      </c>
      <c r="U8" s="7">
        <v>0.97499999999999998</v>
      </c>
      <c r="V8" s="7">
        <v>0.95</v>
      </c>
    </row>
    <row r="9" spans="1:22" x14ac:dyDescent="0.25">
      <c r="A9" s="6">
        <v>2022</v>
      </c>
      <c r="B9" s="7">
        <v>0.97375</v>
      </c>
      <c r="C9" s="7">
        <v>0.97375</v>
      </c>
      <c r="D9" s="7">
        <v>0.98499999999999999</v>
      </c>
      <c r="E9" s="7">
        <v>0.97626000000000002</v>
      </c>
      <c r="F9" s="7">
        <v>0.98499999999999999</v>
      </c>
      <c r="G9" s="7">
        <v>0.97975599999999996</v>
      </c>
      <c r="H9" s="7">
        <v>0.96350400000000003</v>
      </c>
      <c r="I9" s="7">
        <v>0.92097399999999996</v>
      </c>
      <c r="J9" s="7">
        <v>0.96439799999999998</v>
      </c>
      <c r="K9" s="7">
        <v>0.96924100000000002</v>
      </c>
      <c r="L9" s="7">
        <v>0.97</v>
      </c>
      <c r="M9" s="7">
        <v>0.98499999999999999</v>
      </c>
      <c r="N9" s="7">
        <v>0.98298200000000002</v>
      </c>
      <c r="O9" s="7">
        <v>0.94</v>
      </c>
      <c r="P9" s="7">
        <v>0.98499999999999999</v>
      </c>
      <c r="Q9" s="7">
        <v>0.96250000000000002</v>
      </c>
      <c r="R9" s="7">
        <v>0.96271799999999996</v>
      </c>
      <c r="S9" s="7">
        <v>0.74016000000000004</v>
      </c>
      <c r="T9" s="7">
        <v>0.74016000000000004</v>
      </c>
      <c r="U9" s="7">
        <v>0.97</v>
      </c>
      <c r="V9" s="7">
        <v>0.90249999999999997</v>
      </c>
    </row>
    <row r="10" spans="1:22" x14ac:dyDescent="0.25">
      <c r="A10" s="6">
        <v>2023</v>
      </c>
      <c r="B10" s="7">
        <v>0.96937499999999999</v>
      </c>
      <c r="C10" s="7">
        <v>0.96937499999999999</v>
      </c>
      <c r="D10" s="7">
        <v>0.98250000000000004</v>
      </c>
      <c r="E10" s="7">
        <v>0.96871399999999996</v>
      </c>
      <c r="F10" s="7">
        <v>0.98250000000000004</v>
      </c>
      <c r="G10" s="7">
        <v>0.97422900000000001</v>
      </c>
      <c r="H10" s="7">
        <v>0.955986</v>
      </c>
      <c r="I10" s="7">
        <v>0.91097399999999995</v>
      </c>
      <c r="J10" s="7">
        <v>0.95939799999999997</v>
      </c>
      <c r="K10" s="7">
        <v>0.96549099999999999</v>
      </c>
      <c r="L10" s="7">
        <v>0.94386400000000004</v>
      </c>
      <c r="M10" s="7">
        <v>0.98250000000000004</v>
      </c>
      <c r="N10" s="7">
        <v>0.98048199999999996</v>
      </c>
      <c r="O10" s="7">
        <v>0.93</v>
      </c>
      <c r="P10" s="7">
        <v>0.98250000000000004</v>
      </c>
      <c r="Q10" s="7">
        <v>0.95625000000000004</v>
      </c>
      <c r="R10" s="7">
        <v>0.95771799999999996</v>
      </c>
      <c r="S10" s="7">
        <v>0.729182</v>
      </c>
      <c r="T10" s="7">
        <v>0.729182</v>
      </c>
      <c r="U10" s="7">
        <v>0.96499999999999997</v>
      </c>
      <c r="V10" s="7">
        <v>0.857375</v>
      </c>
    </row>
    <row r="11" spans="1:22" x14ac:dyDescent="0.25">
      <c r="A11" s="6">
        <v>2024</v>
      </c>
      <c r="B11" s="7">
        <v>0.96499999999999997</v>
      </c>
      <c r="C11" s="7">
        <v>0.96499999999999997</v>
      </c>
      <c r="D11" s="7">
        <v>0.98</v>
      </c>
      <c r="E11" s="7">
        <v>0.95872100000000005</v>
      </c>
      <c r="F11" s="7">
        <v>0.98</v>
      </c>
      <c r="G11" s="7">
        <v>0.96723300000000001</v>
      </c>
      <c r="H11" s="7">
        <v>0.947488</v>
      </c>
      <c r="I11" s="7">
        <v>0.90097400000000005</v>
      </c>
      <c r="J11" s="7">
        <v>0.95439799999999997</v>
      </c>
      <c r="K11" s="7">
        <v>0.96174099999999996</v>
      </c>
      <c r="L11" s="7">
        <v>0.91039999999999999</v>
      </c>
      <c r="M11" s="7">
        <v>0.98</v>
      </c>
      <c r="N11" s="7">
        <v>0.97798200000000002</v>
      </c>
      <c r="O11" s="7">
        <v>0.92</v>
      </c>
      <c r="P11" s="7">
        <v>0.98</v>
      </c>
      <c r="Q11" s="7">
        <v>0.95</v>
      </c>
      <c r="R11" s="7">
        <v>0.95271799999999995</v>
      </c>
      <c r="S11" s="7">
        <v>0.72765800000000003</v>
      </c>
      <c r="T11" s="7">
        <v>0.72765800000000003</v>
      </c>
      <c r="U11" s="7">
        <v>0.96</v>
      </c>
      <c r="V11" s="7">
        <v>0.84808300000000003</v>
      </c>
    </row>
    <row r="12" spans="1:22" x14ac:dyDescent="0.25">
      <c r="A12" s="6">
        <v>2025</v>
      </c>
      <c r="B12" s="7">
        <v>0.96062499999999995</v>
      </c>
      <c r="C12" s="7">
        <v>0.96062499999999995</v>
      </c>
      <c r="D12" s="7">
        <v>0.97750000000000004</v>
      </c>
      <c r="E12" s="7">
        <v>0.94327799999999995</v>
      </c>
      <c r="F12" s="7">
        <v>0.97750000000000004</v>
      </c>
      <c r="G12" s="7">
        <v>0.95696700000000001</v>
      </c>
      <c r="H12" s="7">
        <v>0.93681099999999995</v>
      </c>
      <c r="I12" s="7">
        <v>0.89097400000000004</v>
      </c>
      <c r="J12" s="7">
        <v>0.94939799999999996</v>
      </c>
      <c r="K12" s="7">
        <v>0.95799100000000004</v>
      </c>
      <c r="L12" s="7">
        <v>0.88250600000000001</v>
      </c>
      <c r="M12" s="7">
        <v>0.97750000000000004</v>
      </c>
      <c r="N12" s="7">
        <v>0.97548199999999996</v>
      </c>
      <c r="O12" s="7">
        <v>0.91</v>
      </c>
      <c r="P12" s="7">
        <v>0.97750000000000004</v>
      </c>
      <c r="Q12" s="7">
        <v>0.94374999999999998</v>
      </c>
      <c r="R12" s="7">
        <v>0.94771899999999998</v>
      </c>
      <c r="S12" s="7">
        <v>0.72615799999999997</v>
      </c>
      <c r="T12" s="7">
        <v>0.72615799999999997</v>
      </c>
      <c r="U12" s="7">
        <v>0.95499999999999996</v>
      </c>
      <c r="V12" s="7">
        <v>0.83769300000000002</v>
      </c>
    </row>
    <row r="13" spans="1:22" x14ac:dyDescent="0.25">
      <c r="A13" s="6">
        <v>2026</v>
      </c>
      <c r="B13" s="7">
        <v>0.95625000000000004</v>
      </c>
      <c r="C13" s="7">
        <v>0.95625000000000004</v>
      </c>
      <c r="D13" s="7">
        <v>0.97499999999999998</v>
      </c>
      <c r="E13" s="7">
        <v>0.92911100000000002</v>
      </c>
      <c r="F13" s="7">
        <v>0.97499999999999998</v>
      </c>
      <c r="G13" s="7">
        <v>0.94746600000000003</v>
      </c>
      <c r="H13" s="7">
        <v>0.92664400000000002</v>
      </c>
      <c r="I13" s="7">
        <v>0.88097400000000003</v>
      </c>
      <c r="J13" s="7">
        <v>0.94439799999999996</v>
      </c>
      <c r="K13" s="7">
        <v>0.95424100000000001</v>
      </c>
      <c r="L13" s="7">
        <v>0.86380999999999997</v>
      </c>
      <c r="M13" s="7">
        <v>0.97499999999999998</v>
      </c>
      <c r="N13" s="7">
        <v>0.97298200000000001</v>
      </c>
      <c r="O13" s="7">
        <v>0.9</v>
      </c>
      <c r="P13" s="7">
        <v>0.97499999999999998</v>
      </c>
      <c r="Q13" s="7">
        <v>0.9375</v>
      </c>
      <c r="R13" s="7">
        <v>0.94271899999999997</v>
      </c>
      <c r="S13" s="7">
        <v>0.72465800000000002</v>
      </c>
      <c r="T13" s="7">
        <v>0.72465800000000002</v>
      </c>
      <c r="U13" s="7">
        <v>0.95</v>
      </c>
      <c r="V13" s="7">
        <v>0.829928</v>
      </c>
    </row>
    <row r="14" spans="1:22" x14ac:dyDescent="0.25">
      <c r="A14" s="6">
        <v>2027</v>
      </c>
      <c r="B14" s="7">
        <v>0.95187500000000003</v>
      </c>
      <c r="C14" s="7">
        <v>0.95187500000000003</v>
      </c>
      <c r="D14" s="7">
        <v>0.97250000000000003</v>
      </c>
      <c r="E14" s="7">
        <v>0.92075700000000005</v>
      </c>
      <c r="F14" s="7">
        <v>0.97250000000000003</v>
      </c>
      <c r="G14" s="7">
        <v>0.94145400000000001</v>
      </c>
      <c r="H14" s="7">
        <v>0.91880300000000004</v>
      </c>
      <c r="I14" s="7">
        <v>0.87097400000000003</v>
      </c>
      <c r="J14" s="7">
        <v>0.93939799999999996</v>
      </c>
      <c r="K14" s="7">
        <v>0.95049099999999997</v>
      </c>
      <c r="L14" s="7">
        <v>0.84991300000000003</v>
      </c>
      <c r="M14" s="7">
        <v>0.97250000000000003</v>
      </c>
      <c r="N14" s="7">
        <v>0.97048199999999996</v>
      </c>
      <c r="O14" s="7">
        <v>0.89</v>
      </c>
      <c r="P14" s="7">
        <v>0.97250000000000003</v>
      </c>
      <c r="Q14" s="7">
        <v>0.93125000000000002</v>
      </c>
      <c r="R14" s="7">
        <v>0.93771899999999997</v>
      </c>
      <c r="S14" s="7">
        <v>0.72315799999999997</v>
      </c>
      <c r="T14" s="7">
        <v>0.72315799999999997</v>
      </c>
      <c r="U14" s="7">
        <v>0.94434099999999999</v>
      </c>
      <c r="V14" s="7">
        <v>0.82319699999999996</v>
      </c>
    </row>
    <row r="15" spans="1:22" x14ac:dyDescent="0.25">
      <c r="A15" s="6">
        <v>2028</v>
      </c>
      <c r="B15" s="7">
        <v>0.94750000000000001</v>
      </c>
      <c r="C15" s="7">
        <v>0.94750000000000001</v>
      </c>
      <c r="D15" s="7">
        <v>0.97</v>
      </c>
      <c r="E15" s="7">
        <v>0.91053200000000001</v>
      </c>
      <c r="F15" s="7">
        <v>0.97</v>
      </c>
      <c r="G15" s="7">
        <v>0.93431900000000001</v>
      </c>
      <c r="H15" s="7">
        <v>0.91021300000000005</v>
      </c>
      <c r="I15" s="7">
        <v>0.86097400000000002</v>
      </c>
      <c r="J15" s="7">
        <v>0.93439799999999995</v>
      </c>
      <c r="K15" s="7">
        <v>0.94674100000000005</v>
      </c>
      <c r="L15" s="7">
        <v>0.83926400000000001</v>
      </c>
      <c r="M15" s="7">
        <v>0.97</v>
      </c>
      <c r="N15" s="7">
        <v>0.96798200000000001</v>
      </c>
      <c r="O15" s="7">
        <v>0.88</v>
      </c>
      <c r="P15" s="7">
        <v>0.97</v>
      </c>
      <c r="Q15" s="7">
        <v>0.92500000000000004</v>
      </c>
      <c r="R15" s="7">
        <v>0.93271899999999996</v>
      </c>
      <c r="S15" s="7">
        <v>0.72133899999999995</v>
      </c>
      <c r="T15" s="7">
        <v>0.72133899999999995</v>
      </c>
      <c r="U15" s="7">
        <v>0.93092399999999997</v>
      </c>
      <c r="V15" s="7">
        <v>0.81601800000000002</v>
      </c>
    </row>
    <row r="16" spans="1:22" x14ac:dyDescent="0.25">
      <c r="A16" s="6">
        <v>2029</v>
      </c>
      <c r="B16" s="7">
        <v>0.94312499999999999</v>
      </c>
      <c r="C16" s="7">
        <v>0.94312499999999999</v>
      </c>
      <c r="D16" s="7">
        <v>0.96750000000000003</v>
      </c>
      <c r="E16" s="7">
        <v>0.90470499999999998</v>
      </c>
      <c r="F16" s="7">
        <v>0.96750000000000003</v>
      </c>
      <c r="G16" s="7">
        <v>0.92982299999999996</v>
      </c>
      <c r="H16" s="7">
        <v>0.90338200000000002</v>
      </c>
      <c r="I16" s="7">
        <v>0.85097400000000001</v>
      </c>
      <c r="J16" s="7">
        <v>0.92939799999999995</v>
      </c>
      <c r="K16" s="7">
        <v>0.94299100000000002</v>
      </c>
      <c r="L16" s="7">
        <v>0.825963</v>
      </c>
      <c r="M16" s="7">
        <v>0.96750000000000003</v>
      </c>
      <c r="N16" s="7">
        <v>0.96548199999999995</v>
      </c>
      <c r="O16" s="7">
        <v>0.87</v>
      </c>
      <c r="P16" s="7">
        <v>0.96750000000000003</v>
      </c>
      <c r="Q16" s="7">
        <v>0.91874999999999996</v>
      </c>
      <c r="R16" s="7">
        <v>0.92771899999999996</v>
      </c>
      <c r="S16" s="7">
        <v>0.71960199999999996</v>
      </c>
      <c r="T16" s="7">
        <v>0.71960199999999996</v>
      </c>
      <c r="U16" s="7">
        <v>0.91943399999999997</v>
      </c>
      <c r="V16" s="7">
        <v>0.80863300000000005</v>
      </c>
    </row>
    <row r="17" spans="1:22" x14ac:dyDescent="0.25">
      <c r="A17" s="6">
        <v>2030</v>
      </c>
      <c r="B17" s="7">
        <v>0.93874999999999997</v>
      </c>
      <c r="C17" s="7">
        <v>0.93874999999999997</v>
      </c>
      <c r="D17" s="7">
        <v>0.96499999999999997</v>
      </c>
      <c r="E17" s="7">
        <v>0.89895000000000003</v>
      </c>
      <c r="F17" s="7">
        <v>0.96499999999999997</v>
      </c>
      <c r="G17" s="7">
        <v>0.92537000000000003</v>
      </c>
      <c r="H17" s="7">
        <v>0.89658000000000004</v>
      </c>
      <c r="I17" s="7">
        <v>0.840974</v>
      </c>
      <c r="J17" s="7">
        <v>0.92439800000000005</v>
      </c>
      <c r="K17" s="7">
        <v>0.93924099999999999</v>
      </c>
      <c r="L17" s="7">
        <v>0.81347199999999997</v>
      </c>
      <c r="M17" s="7">
        <v>0.96499999999999997</v>
      </c>
      <c r="N17" s="7">
        <v>0.962982</v>
      </c>
      <c r="O17" s="7">
        <v>0.86</v>
      </c>
      <c r="P17" s="7">
        <v>0.96499999999999997</v>
      </c>
      <c r="Q17" s="7">
        <v>0.91249999999999998</v>
      </c>
      <c r="R17" s="7">
        <v>0.92271899999999996</v>
      </c>
      <c r="S17" s="7">
        <v>0.71794100000000005</v>
      </c>
      <c r="T17" s="7">
        <v>0.71794100000000005</v>
      </c>
      <c r="U17" s="7">
        <v>0.90952</v>
      </c>
      <c r="V17" s="7">
        <v>0.801705</v>
      </c>
    </row>
    <row r="18" spans="1:22" x14ac:dyDescent="0.25">
      <c r="A18" s="6">
        <v>2031</v>
      </c>
      <c r="B18" s="7">
        <v>0.93437499999999996</v>
      </c>
      <c r="C18" s="7">
        <v>0.93437499999999996</v>
      </c>
      <c r="D18" s="7">
        <v>0.96250000000000002</v>
      </c>
      <c r="E18" s="7">
        <v>0.89300100000000004</v>
      </c>
      <c r="F18" s="7">
        <v>0.96250000000000002</v>
      </c>
      <c r="G18" s="7">
        <v>0.92080099999999998</v>
      </c>
      <c r="H18" s="7">
        <v>0.88970099999999996</v>
      </c>
      <c r="I18" s="7">
        <v>0.83097399999999999</v>
      </c>
      <c r="J18" s="7">
        <v>0.91939800000000005</v>
      </c>
      <c r="K18" s="7">
        <v>0.93549099999999996</v>
      </c>
      <c r="L18" s="7">
        <v>0.80277799999999999</v>
      </c>
      <c r="M18" s="7">
        <v>0.96250000000000002</v>
      </c>
      <c r="N18" s="7">
        <v>0.96048199999999995</v>
      </c>
      <c r="O18" s="7">
        <v>0.85</v>
      </c>
      <c r="P18" s="7">
        <v>0.96250000000000002</v>
      </c>
      <c r="Q18" s="7">
        <v>0.90625</v>
      </c>
      <c r="R18" s="7">
        <v>0.91771899999999995</v>
      </c>
      <c r="S18" s="7">
        <v>0.71596400000000004</v>
      </c>
      <c r="T18" s="7">
        <v>0.71596400000000004</v>
      </c>
      <c r="U18" s="7">
        <v>0.90059500000000003</v>
      </c>
      <c r="V18" s="7">
        <v>0.79532400000000003</v>
      </c>
    </row>
    <row r="19" spans="1:22" x14ac:dyDescent="0.25">
      <c r="A19" s="6">
        <v>2032</v>
      </c>
      <c r="B19" s="7">
        <v>0.93</v>
      </c>
      <c r="C19" s="7">
        <v>0.93</v>
      </c>
      <c r="D19" s="7">
        <v>0.96</v>
      </c>
      <c r="E19" s="7">
        <v>0.88655300000000004</v>
      </c>
      <c r="F19" s="7">
        <v>0.96</v>
      </c>
      <c r="G19" s="7">
        <v>0.91593199999999997</v>
      </c>
      <c r="H19" s="7">
        <v>0.88262099999999999</v>
      </c>
      <c r="I19" s="7">
        <v>0.82097399999999998</v>
      </c>
      <c r="J19" s="7">
        <v>0.91439800000000004</v>
      </c>
      <c r="K19" s="7">
        <v>0.93174100000000004</v>
      </c>
      <c r="L19" s="7">
        <v>0.79383899999999996</v>
      </c>
      <c r="M19" s="7">
        <v>0.96</v>
      </c>
      <c r="N19" s="7">
        <v>0.957982</v>
      </c>
      <c r="O19" s="7">
        <v>0.84</v>
      </c>
      <c r="P19" s="7">
        <v>0.96</v>
      </c>
      <c r="Q19" s="7">
        <v>0.9</v>
      </c>
      <c r="R19" s="7">
        <v>0.91271899999999995</v>
      </c>
      <c r="S19" s="7">
        <v>0.71320700000000004</v>
      </c>
      <c r="T19" s="7">
        <v>0.71320700000000004</v>
      </c>
      <c r="U19" s="7">
        <v>0.89297800000000005</v>
      </c>
      <c r="V19" s="7">
        <v>0.78999799999999998</v>
      </c>
    </row>
    <row r="20" spans="1:22" x14ac:dyDescent="0.25">
      <c r="A20" s="6">
        <v>2033</v>
      </c>
      <c r="B20" s="7">
        <v>0.92562500000000003</v>
      </c>
      <c r="C20" s="7">
        <v>0.92562500000000003</v>
      </c>
      <c r="D20" s="7">
        <v>0.95750000000000002</v>
      </c>
      <c r="E20" s="7">
        <v>0.88</v>
      </c>
      <c r="F20" s="7">
        <v>0.95750000000000002</v>
      </c>
      <c r="G20" s="7">
        <v>0.91100000000000003</v>
      </c>
      <c r="H20" s="7">
        <v>0.87549999999999994</v>
      </c>
      <c r="I20" s="7">
        <v>0.81097399999999997</v>
      </c>
      <c r="J20" s="7">
        <v>0.90939800000000004</v>
      </c>
      <c r="K20" s="7">
        <v>0.92799100000000001</v>
      </c>
      <c r="L20" s="7">
        <v>0.78474500000000003</v>
      </c>
      <c r="M20" s="7">
        <v>0.95750000000000002</v>
      </c>
      <c r="N20" s="7">
        <v>0.95548200000000005</v>
      </c>
      <c r="O20" s="7">
        <v>0.83</v>
      </c>
      <c r="P20" s="7">
        <v>0.95750000000000002</v>
      </c>
      <c r="Q20" s="7">
        <v>0.89375000000000004</v>
      </c>
      <c r="R20" s="7">
        <v>0.90771900000000005</v>
      </c>
      <c r="S20" s="7">
        <v>0.710453</v>
      </c>
      <c r="T20" s="7">
        <v>0.710453</v>
      </c>
      <c r="U20" s="7">
        <v>0.88534599999999997</v>
      </c>
      <c r="V20" s="7">
        <v>0.78394200000000003</v>
      </c>
    </row>
    <row r="21" spans="1:22" x14ac:dyDescent="0.25">
      <c r="A21" s="6">
        <v>2034</v>
      </c>
      <c r="B21" s="7">
        <v>0.92125000000000001</v>
      </c>
      <c r="C21" s="7">
        <v>0.92125000000000001</v>
      </c>
      <c r="D21" s="7">
        <v>0.95499999999999996</v>
      </c>
      <c r="E21" s="7">
        <v>0.87562399999999996</v>
      </c>
      <c r="F21" s="7">
        <v>0.95499999999999996</v>
      </c>
      <c r="G21" s="7">
        <v>0.90737500000000004</v>
      </c>
      <c r="H21" s="7">
        <v>0.86924999999999997</v>
      </c>
      <c r="I21" s="7">
        <v>0.80097399999999996</v>
      </c>
      <c r="J21" s="7">
        <v>0.90439800000000004</v>
      </c>
      <c r="K21" s="7">
        <v>0.92424099999999998</v>
      </c>
      <c r="L21" s="7">
        <v>0.77961599999999998</v>
      </c>
      <c r="M21" s="7">
        <v>0.95499999999999996</v>
      </c>
      <c r="N21" s="7">
        <v>0.952982</v>
      </c>
      <c r="O21" s="7">
        <v>0.82</v>
      </c>
      <c r="P21" s="7">
        <v>0.95499999999999996</v>
      </c>
      <c r="Q21" s="7">
        <v>0.88749999999999996</v>
      </c>
      <c r="R21" s="7">
        <v>0.90271900000000005</v>
      </c>
      <c r="S21" s="7">
        <v>0.70769700000000002</v>
      </c>
      <c r="T21" s="7">
        <v>0.70769700000000002</v>
      </c>
      <c r="U21" s="7">
        <v>0.87867899999999999</v>
      </c>
      <c r="V21" s="7">
        <v>0.77894200000000002</v>
      </c>
    </row>
    <row r="22" spans="1:22" x14ac:dyDescent="0.25">
      <c r="A22" s="6">
        <v>2035</v>
      </c>
      <c r="B22" s="7">
        <v>0.916875</v>
      </c>
      <c r="C22" s="7">
        <v>0.916875</v>
      </c>
      <c r="D22" s="7">
        <v>0.95250000000000001</v>
      </c>
      <c r="E22" s="7">
        <v>0.87165499999999996</v>
      </c>
      <c r="F22" s="7">
        <v>0.95250000000000001</v>
      </c>
      <c r="G22" s="7">
        <v>0.90399300000000005</v>
      </c>
      <c r="H22" s="7">
        <v>0.86316199999999998</v>
      </c>
      <c r="I22" s="7">
        <v>0.79097399999999995</v>
      </c>
      <c r="J22" s="7">
        <v>0.89939800000000003</v>
      </c>
      <c r="K22" s="7">
        <v>0.92049099999999995</v>
      </c>
      <c r="L22" s="7">
        <v>0.77461599999999997</v>
      </c>
      <c r="M22" s="7">
        <v>0.95250000000000001</v>
      </c>
      <c r="N22" s="7">
        <v>0.95048200000000005</v>
      </c>
      <c r="O22" s="7">
        <v>0.81</v>
      </c>
      <c r="P22" s="7">
        <v>0.95250000000000001</v>
      </c>
      <c r="Q22" s="7">
        <v>0.88124999999999998</v>
      </c>
      <c r="R22" s="7">
        <v>0.89771900000000004</v>
      </c>
      <c r="S22" s="7">
        <v>0.70494199999999996</v>
      </c>
      <c r="T22" s="7">
        <v>0.70494199999999996</v>
      </c>
      <c r="U22" s="7">
        <v>0.87235799999999997</v>
      </c>
      <c r="V22" s="7">
        <v>0.77394200000000002</v>
      </c>
    </row>
    <row r="23" spans="1:22" x14ac:dyDescent="0.25">
      <c r="A23" s="6">
        <v>2036</v>
      </c>
      <c r="B23" s="7">
        <v>0.91249999999999998</v>
      </c>
      <c r="C23" s="7">
        <v>0.91249999999999998</v>
      </c>
      <c r="D23" s="7">
        <v>0.95</v>
      </c>
      <c r="E23" s="7">
        <v>0.86756999999999995</v>
      </c>
      <c r="F23" s="7">
        <v>0.95</v>
      </c>
      <c r="G23" s="7">
        <v>0.90054199999999995</v>
      </c>
      <c r="H23" s="7">
        <v>0.85702800000000001</v>
      </c>
      <c r="I23" s="7">
        <v>0.78097399999999995</v>
      </c>
      <c r="J23" s="7">
        <v>0.89439800000000003</v>
      </c>
      <c r="K23" s="7">
        <v>0.91674100000000003</v>
      </c>
      <c r="L23" s="7">
        <v>0.76961599999999997</v>
      </c>
      <c r="M23" s="7">
        <v>0.95</v>
      </c>
      <c r="N23" s="7">
        <v>0.94798199999999999</v>
      </c>
      <c r="O23" s="7">
        <v>0.8</v>
      </c>
      <c r="P23" s="7">
        <v>0.95</v>
      </c>
      <c r="Q23" s="7">
        <v>0.875</v>
      </c>
      <c r="R23" s="7">
        <v>0.89271900000000004</v>
      </c>
      <c r="S23" s="7">
        <v>0.702179</v>
      </c>
      <c r="T23" s="7">
        <v>0.702179</v>
      </c>
      <c r="U23" s="7">
        <v>0.86614500000000005</v>
      </c>
      <c r="V23" s="7">
        <v>0.76894200000000001</v>
      </c>
    </row>
    <row r="24" spans="1:22" x14ac:dyDescent="0.25">
      <c r="A24" s="6">
        <v>2037</v>
      </c>
      <c r="B24" s="7">
        <v>0.90812499999999996</v>
      </c>
      <c r="C24" s="7">
        <v>0.90812499999999996</v>
      </c>
      <c r="D24" s="7">
        <v>0.94750000000000001</v>
      </c>
      <c r="E24" s="7">
        <v>0.86373500000000003</v>
      </c>
      <c r="F24" s="7">
        <v>0.94750000000000001</v>
      </c>
      <c r="G24" s="7">
        <v>0.89724099999999996</v>
      </c>
      <c r="H24" s="7">
        <v>0.85099400000000003</v>
      </c>
      <c r="I24" s="7">
        <v>0.77097400000000005</v>
      </c>
      <c r="J24" s="7">
        <v>0.88939800000000002</v>
      </c>
      <c r="K24" s="7">
        <v>0.912991</v>
      </c>
      <c r="L24" s="7">
        <v>0.76461599999999996</v>
      </c>
      <c r="M24" s="7">
        <v>0.94750000000000001</v>
      </c>
      <c r="N24" s="7">
        <v>0.94548200000000004</v>
      </c>
      <c r="O24" s="7">
        <v>0.79</v>
      </c>
      <c r="P24" s="7">
        <v>0.94750000000000001</v>
      </c>
      <c r="Q24" s="7">
        <v>0.86875000000000002</v>
      </c>
      <c r="R24" s="7">
        <v>0.88771900000000004</v>
      </c>
      <c r="S24" s="7">
        <v>0.7</v>
      </c>
      <c r="T24" s="7">
        <v>0.7</v>
      </c>
      <c r="U24" s="7">
        <v>0.86004899999999995</v>
      </c>
      <c r="V24" s="7">
        <v>0.76394200000000001</v>
      </c>
    </row>
    <row r="25" spans="1:22" x14ac:dyDescent="0.25">
      <c r="A25" s="6">
        <v>2038</v>
      </c>
      <c r="B25" s="7">
        <v>0.90375000000000005</v>
      </c>
      <c r="C25" s="7">
        <v>0.90375000000000005</v>
      </c>
      <c r="D25" s="7">
        <v>0.94499999999999995</v>
      </c>
      <c r="E25" s="7">
        <v>0.85882700000000001</v>
      </c>
      <c r="F25" s="7">
        <v>0.94499999999999995</v>
      </c>
      <c r="G25" s="7">
        <v>0.89329700000000001</v>
      </c>
      <c r="H25" s="7">
        <v>0.84453100000000003</v>
      </c>
      <c r="I25" s="7">
        <v>0.76097400000000004</v>
      </c>
      <c r="J25" s="7">
        <v>0.88439800000000002</v>
      </c>
      <c r="K25" s="7">
        <v>0.90924099999999997</v>
      </c>
      <c r="L25" s="7">
        <v>0.75961599999999996</v>
      </c>
      <c r="M25" s="7">
        <v>0.94499999999999995</v>
      </c>
      <c r="N25" s="7">
        <v>0.94298199999999999</v>
      </c>
      <c r="O25" s="7">
        <v>0.78</v>
      </c>
      <c r="P25" s="7">
        <v>0.94499999999999995</v>
      </c>
      <c r="Q25" s="7">
        <v>0.86250000000000004</v>
      </c>
      <c r="R25" s="7">
        <v>0.88271900000000003</v>
      </c>
      <c r="S25" s="7">
        <v>0.7</v>
      </c>
      <c r="T25" s="7">
        <v>0.7</v>
      </c>
      <c r="U25" s="7">
        <v>0.85504899999999995</v>
      </c>
      <c r="V25" s="7">
        <v>0.75894200000000001</v>
      </c>
    </row>
    <row r="26" spans="1:22" x14ac:dyDescent="0.25">
      <c r="A26" s="6">
        <v>2039</v>
      </c>
      <c r="B26" s="7">
        <v>0.89937500000000004</v>
      </c>
      <c r="C26" s="7">
        <v>0.89937500000000004</v>
      </c>
      <c r="D26" s="7">
        <v>0.9425</v>
      </c>
      <c r="E26" s="7">
        <v>0.85410799999999998</v>
      </c>
      <c r="F26" s="7">
        <v>0.9425</v>
      </c>
      <c r="G26" s="7">
        <v>0.88946499999999995</v>
      </c>
      <c r="H26" s="7">
        <v>0.83814299999999997</v>
      </c>
      <c r="I26" s="7">
        <v>0.75097400000000003</v>
      </c>
      <c r="J26" s="7">
        <v>0.87939800000000001</v>
      </c>
      <c r="K26" s="7">
        <v>0.90549100000000005</v>
      </c>
      <c r="L26" s="7">
        <v>0.75461599999999995</v>
      </c>
      <c r="M26" s="7">
        <v>0.9425</v>
      </c>
      <c r="N26" s="7">
        <v>0.94048200000000004</v>
      </c>
      <c r="O26" s="7">
        <v>0.77</v>
      </c>
      <c r="P26" s="7">
        <v>0.9425</v>
      </c>
      <c r="Q26" s="7">
        <v>0.85624999999999996</v>
      </c>
      <c r="R26" s="7">
        <v>0.87771900000000003</v>
      </c>
      <c r="S26" s="7">
        <v>0.7</v>
      </c>
      <c r="T26" s="7">
        <v>0.7</v>
      </c>
      <c r="U26" s="7">
        <v>0.85004900000000005</v>
      </c>
      <c r="V26" s="7">
        <v>0.753942</v>
      </c>
    </row>
    <row r="27" spans="1:22" x14ac:dyDescent="0.25">
      <c r="A27" s="6">
        <v>2040</v>
      </c>
      <c r="B27" s="7">
        <v>0.89500000000000002</v>
      </c>
      <c r="C27" s="7">
        <v>0.89500000000000002</v>
      </c>
      <c r="D27" s="7">
        <v>0.94</v>
      </c>
      <c r="E27" s="7">
        <v>0.849221</v>
      </c>
      <c r="F27" s="7">
        <v>0.94</v>
      </c>
      <c r="G27" s="7">
        <v>0.88553300000000001</v>
      </c>
      <c r="H27" s="7">
        <v>0.83168900000000001</v>
      </c>
      <c r="I27" s="7">
        <v>0.74097400000000002</v>
      </c>
      <c r="J27" s="7">
        <v>0.87439800000000001</v>
      </c>
      <c r="K27" s="7">
        <v>0.90174100000000001</v>
      </c>
      <c r="L27" s="7">
        <v>0.74961699999999998</v>
      </c>
      <c r="M27" s="7">
        <v>0.94</v>
      </c>
      <c r="N27" s="7">
        <v>0.93798199999999998</v>
      </c>
      <c r="O27" s="7">
        <v>0.76</v>
      </c>
      <c r="P27" s="7">
        <v>0.94</v>
      </c>
      <c r="Q27" s="7">
        <v>0.85</v>
      </c>
      <c r="R27" s="7">
        <v>0.87271900000000002</v>
      </c>
      <c r="S27" s="7">
        <v>0.7</v>
      </c>
      <c r="T27" s="7">
        <v>0.7</v>
      </c>
      <c r="U27" s="7">
        <v>0.84504900000000005</v>
      </c>
      <c r="V27" s="7">
        <v>0.748942</v>
      </c>
    </row>
    <row r="28" spans="1:22" x14ac:dyDescent="0.25">
      <c r="A28" s="6">
        <v>2041</v>
      </c>
      <c r="B28" s="7">
        <v>0.890625</v>
      </c>
      <c r="C28" s="7">
        <v>0.890625</v>
      </c>
      <c r="D28" s="7">
        <v>0.9375</v>
      </c>
      <c r="E28" s="7">
        <v>0.84452799999999995</v>
      </c>
      <c r="F28" s="7">
        <v>0.9375</v>
      </c>
      <c r="G28" s="7">
        <v>0.88171699999999997</v>
      </c>
      <c r="H28" s="7">
        <v>0.82531100000000002</v>
      </c>
      <c r="I28" s="7">
        <v>0.73097400000000001</v>
      </c>
      <c r="J28" s="7">
        <v>0.869398</v>
      </c>
      <c r="K28" s="7">
        <v>0.89799099999999998</v>
      </c>
      <c r="L28" s="7">
        <v>0.74461699999999997</v>
      </c>
      <c r="M28" s="7">
        <v>0.9375</v>
      </c>
      <c r="N28" s="7">
        <v>0.93548200000000004</v>
      </c>
      <c r="O28" s="7">
        <v>0.75</v>
      </c>
      <c r="P28" s="7">
        <v>0.9375</v>
      </c>
      <c r="Q28" s="7">
        <v>0.84375</v>
      </c>
      <c r="R28" s="7">
        <v>0.86771900000000002</v>
      </c>
      <c r="S28" s="7">
        <v>0.7</v>
      </c>
      <c r="T28" s="7">
        <v>0.7</v>
      </c>
      <c r="U28" s="7">
        <v>0.84004900000000005</v>
      </c>
      <c r="V28" s="7">
        <v>0.74394199999999999</v>
      </c>
    </row>
    <row r="29" spans="1:22" x14ac:dyDescent="0.25">
      <c r="A29" s="6">
        <v>2042</v>
      </c>
      <c r="B29" s="7">
        <v>0.88624999999999998</v>
      </c>
      <c r="C29" s="7">
        <v>0.88624999999999998</v>
      </c>
      <c r="D29" s="7">
        <v>0.93500000000000005</v>
      </c>
      <c r="E29" s="7">
        <v>0.84018199999999998</v>
      </c>
      <c r="F29" s="7">
        <v>0.93500000000000005</v>
      </c>
      <c r="G29" s="7">
        <v>0.87810999999999995</v>
      </c>
      <c r="H29" s="7">
        <v>0.81907300000000005</v>
      </c>
      <c r="I29" s="7">
        <v>0.720974</v>
      </c>
      <c r="J29" s="7">
        <v>0.864398</v>
      </c>
      <c r="K29" s="7">
        <v>0.89424099999999995</v>
      </c>
      <c r="L29" s="7">
        <v>0.73961699999999997</v>
      </c>
      <c r="M29" s="7">
        <v>0.93500000000000005</v>
      </c>
      <c r="N29" s="7">
        <v>0.93298199999999998</v>
      </c>
      <c r="O29" s="7">
        <v>0.74</v>
      </c>
      <c r="P29" s="7">
        <v>0.93500000000000005</v>
      </c>
      <c r="Q29" s="7">
        <v>0.83750000000000002</v>
      </c>
      <c r="R29" s="7">
        <v>0.86271900000000001</v>
      </c>
      <c r="S29" s="7">
        <v>0.7</v>
      </c>
      <c r="T29" s="7">
        <v>0.7</v>
      </c>
      <c r="U29" s="7">
        <v>0.83504900000000004</v>
      </c>
      <c r="V29" s="7">
        <v>0.73894199999999999</v>
      </c>
    </row>
    <row r="30" spans="1:22" x14ac:dyDescent="0.25">
      <c r="A30" s="6">
        <v>2043</v>
      </c>
      <c r="B30" s="7">
        <v>0.88187499999999996</v>
      </c>
      <c r="C30" s="7">
        <v>0.88187499999999996</v>
      </c>
      <c r="D30" s="7">
        <v>0.9325</v>
      </c>
      <c r="E30" s="7">
        <v>0.83540499999999995</v>
      </c>
      <c r="F30" s="7">
        <v>0.9325</v>
      </c>
      <c r="G30" s="7">
        <v>0.87424299999999999</v>
      </c>
      <c r="H30" s="7">
        <v>0.812662</v>
      </c>
      <c r="I30" s="7">
        <v>0.71097399999999999</v>
      </c>
      <c r="J30" s="7">
        <v>0.859398</v>
      </c>
      <c r="K30" s="7">
        <v>0.89049100000000003</v>
      </c>
      <c r="L30" s="7">
        <v>0.73461699999999996</v>
      </c>
      <c r="M30" s="7">
        <v>0.9325</v>
      </c>
      <c r="N30" s="7">
        <v>0.93048200000000003</v>
      </c>
      <c r="O30" s="7">
        <v>0.73</v>
      </c>
      <c r="P30" s="7">
        <v>0.9325</v>
      </c>
      <c r="Q30" s="7">
        <v>0.83125000000000004</v>
      </c>
      <c r="R30" s="7">
        <v>0.85771900000000001</v>
      </c>
      <c r="S30" s="7">
        <v>0.7</v>
      </c>
      <c r="T30" s="7">
        <v>0.7</v>
      </c>
      <c r="U30" s="7">
        <v>0.83004900000000004</v>
      </c>
      <c r="V30" s="7">
        <v>0.73394199999999998</v>
      </c>
    </row>
    <row r="31" spans="1:22" x14ac:dyDescent="0.25">
      <c r="A31" s="6">
        <v>2044</v>
      </c>
      <c r="B31" s="7">
        <v>0.87749999999999995</v>
      </c>
      <c r="C31" s="7">
        <v>0.87749999999999995</v>
      </c>
      <c r="D31" s="7">
        <v>0.93</v>
      </c>
      <c r="E31" s="7">
        <v>0.82958399999999999</v>
      </c>
      <c r="F31" s="7">
        <v>0.93</v>
      </c>
      <c r="G31" s="7">
        <v>0.86975000000000002</v>
      </c>
      <c r="H31" s="7">
        <v>0.80583400000000005</v>
      </c>
      <c r="I31" s="7">
        <v>0.70097399999999999</v>
      </c>
      <c r="J31" s="7">
        <v>0.85439799999999999</v>
      </c>
      <c r="K31" s="7">
        <v>0.886741</v>
      </c>
      <c r="L31" s="7">
        <v>0.72961699999999996</v>
      </c>
      <c r="M31" s="7">
        <v>0.93</v>
      </c>
      <c r="N31" s="7">
        <v>0.92798199999999997</v>
      </c>
      <c r="O31" s="7">
        <v>0.72</v>
      </c>
      <c r="P31" s="7">
        <v>0.93</v>
      </c>
      <c r="Q31" s="7">
        <v>0.82499999999999996</v>
      </c>
      <c r="R31" s="7">
        <v>0.852719</v>
      </c>
      <c r="S31" s="7">
        <v>0.7</v>
      </c>
      <c r="T31" s="7">
        <v>0.7</v>
      </c>
      <c r="U31" s="7">
        <v>0.82504900000000003</v>
      </c>
      <c r="V31" s="7">
        <v>0.72894199999999998</v>
      </c>
    </row>
    <row r="32" spans="1:22" x14ac:dyDescent="0.25">
      <c r="A32" s="6">
        <v>2045</v>
      </c>
      <c r="B32" s="7">
        <v>0.87312500000000004</v>
      </c>
      <c r="C32" s="7">
        <v>0.87312500000000004</v>
      </c>
      <c r="D32" s="7">
        <v>0.92749999999999999</v>
      </c>
      <c r="E32" s="7">
        <v>0.82469999999999999</v>
      </c>
      <c r="F32" s="7">
        <v>0.92749999999999999</v>
      </c>
      <c r="G32" s="7">
        <v>0.86582000000000003</v>
      </c>
      <c r="H32" s="7">
        <v>0.79937999999999998</v>
      </c>
      <c r="I32" s="7">
        <v>0.69097399999999998</v>
      </c>
      <c r="J32" s="7">
        <v>0.84939799999999999</v>
      </c>
      <c r="K32" s="7">
        <v>0.88299099999999997</v>
      </c>
      <c r="L32" s="7">
        <v>0.72461699999999996</v>
      </c>
      <c r="M32" s="7">
        <v>0.92749999999999999</v>
      </c>
      <c r="N32" s="7">
        <v>0.92548200000000003</v>
      </c>
      <c r="O32" s="7">
        <v>0.71</v>
      </c>
      <c r="P32" s="7">
        <v>0.92749999999999999</v>
      </c>
      <c r="Q32" s="7">
        <v>0.81874999999999998</v>
      </c>
      <c r="R32" s="7">
        <v>0.847719</v>
      </c>
      <c r="S32" s="7">
        <v>0.7</v>
      </c>
      <c r="T32" s="7">
        <v>0.7</v>
      </c>
      <c r="U32" s="7">
        <v>0.82004900000000003</v>
      </c>
      <c r="V32" s="7">
        <v>0.72394199999999997</v>
      </c>
    </row>
    <row r="33" spans="1:22" x14ac:dyDescent="0.25">
      <c r="A33" s="6">
        <v>2046</v>
      </c>
      <c r="B33" s="7">
        <v>0.86875000000000002</v>
      </c>
      <c r="C33" s="7">
        <v>0.86875000000000002</v>
      </c>
      <c r="D33" s="7">
        <v>0.92500000000000004</v>
      </c>
      <c r="E33" s="7">
        <v>0.818712</v>
      </c>
      <c r="F33" s="7">
        <v>0.92500000000000004</v>
      </c>
      <c r="G33" s="7">
        <v>0.86122699999999996</v>
      </c>
      <c r="H33" s="7">
        <v>0.79248499999999999</v>
      </c>
      <c r="I33" s="7">
        <v>0.68097399999999997</v>
      </c>
      <c r="J33" s="7">
        <v>0.84439799999999998</v>
      </c>
      <c r="K33" s="7">
        <v>0.87924100000000005</v>
      </c>
      <c r="L33" s="7">
        <v>0.71961699999999995</v>
      </c>
      <c r="M33" s="7">
        <v>0.92500000000000004</v>
      </c>
      <c r="N33" s="7">
        <v>0.92298199999999997</v>
      </c>
      <c r="O33" s="7">
        <v>0.7</v>
      </c>
      <c r="P33" s="7">
        <v>0.92500000000000004</v>
      </c>
      <c r="Q33" s="7">
        <v>0.8125</v>
      </c>
      <c r="R33" s="7">
        <v>0.842719</v>
      </c>
      <c r="S33" s="7">
        <v>0.7</v>
      </c>
      <c r="T33" s="7">
        <v>0.7</v>
      </c>
      <c r="U33" s="7">
        <v>0.81504900000000002</v>
      </c>
      <c r="V33" s="7">
        <v>0.71894199999999997</v>
      </c>
    </row>
    <row r="34" spans="1:22" x14ac:dyDescent="0.25">
      <c r="A34" s="6">
        <v>2047</v>
      </c>
      <c r="B34" s="7">
        <v>0.864375</v>
      </c>
      <c r="C34" s="7">
        <v>0.864375</v>
      </c>
      <c r="D34" s="7">
        <v>0.92249999999999999</v>
      </c>
      <c r="E34" s="7">
        <v>0.81254499999999996</v>
      </c>
      <c r="F34" s="7">
        <v>0.92249999999999999</v>
      </c>
      <c r="G34" s="7">
        <v>0.85652700000000004</v>
      </c>
      <c r="H34" s="7">
        <v>0.78551800000000005</v>
      </c>
      <c r="I34" s="7">
        <v>0.67097399999999996</v>
      </c>
      <c r="J34" s="7">
        <v>0.83939799999999998</v>
      </c>
      <c r="K34" s="7">
        <v>0.87549100000000002</v>
      </c>
      <c r="L34" s="7">
        <v>0.71461699999999995</v>
      </c>
      <c r="M34" s="7">
        <v>0.92249999999999999</v>
      </c>
      <c r="N34" s="7">
        <v>0.92048200000000002</v>
      </c>
      <c r="O34" s="7">
        <v>0.69</v>
      </c>
      <c r="P34" s="7">
        <v>0.92249999999999999</v>
      </c>
      <c r="Q34" s="7">
        <v>0.80625000000000002</v>
      </c>
      <c r="R34" s="7">
        <v>0.83771899999999999</v>
      </c>
      <c r="S34" s="7">
        <v>0.7</v>
      </c>
      <c r="T34" s="7">
        <v>0.7</v>
      </c>
      <c r="U34" s="7">
        <v>0.81004900000000002</v>
      </c>
      <c r="V34" s="7">
        <v>0.71394199999999997</v>
      </c>
    </row>
    <row r="35" spans="1:22" x14ac:dyDescent="0.25">
      <c r="A35" s="6">
        <v>2048</v>
      </c>
      <c r="B35" s="7">
        <v>0.86</v>
      </c>
      <c r="C35" s="7">
        <v>0.86</v>
      </c>
      <c r="D35" s="7">
        <v>0.92</v>
      </c>
      <c r="E35" s="7">
        <v>0.81</v>
      </c>
      <c r="F35" s="7">
        <v>0.92</v>
      </c>
      <c r="G35" s="7">
        <v>0.85399999999999998</v>
      </c>
      <c r="H35" s="7">
        <v>0.78</v>
      </c>
      <c r="I35" s="7">
        <v>0.66097399999999995</v>
      </c>
      <c r="J35" s="7">
        <v>0.83439799999999997</v>
      </c>
      <c r="K35" s="7">
        <v>0.87174099999999999</v>
      </c>
      <c r="L35" s="7">
        <v>0.70961700000000005</v>
      </c>
      <c r="M35" s="7">
        <v>0.92</v>
      </c>
      <c r="N35" s="7">
        <v>0.91798199999999996</v>
      </c>
      <c r="O35" s="7">
        <v>0.68</v>
      </c>
      <c r="P35" s="7">
        <v>0.92</v>
      </c>
      <c r="Q35" s="7">
        <v>0.8</v>
      </c>
      <c r="R35" s="7">
        <v>0.83271899999999999</v>
      </c>
      <c r="S35" s="7">
        <v>0.7</v>
      </c>
      <c r="T35" s="7">
        <v>0.7</v>
      </c>
      <c r="U35" s="7">
        <v>0.80504900000000001</v>
      </c>
      <c r="V35" s="7">
        <v>0.70894199999999996</v>
      </c>
    </row>
    <row r="36" spans="1:22" x14ac:dyDescent="0.25">
      <c r="A36" s="6">
        <v>2049</v>
      </c>
      <c r="B36" s="7">
        <v>0.85562499999999997</v>
      </c>
      <c r="C36" s="7">
        <v>0.85562499999999997</v>
      </c>
      <c r="D36" s="7">
        <v>0.91749999999999998</v>
      </c>
      <c r="E36" s="7">
        <v>0.80874999999999997</v>
      </c>
      <c r="F36" s="7">
        <v>0.91749999999999998</v>
      </c>
      <c r="G36" s="7">
        <v>0.85224999999999995</v>
      </c>
      <c r="H36" s="7">
        <v>0.77500000000000002</v>
      </c>
      <c r="I36" s="7">
        <v>0.65097400000000005</v>
      </c>
      <c r="J36" s="7">
        <v>0.82939799999999997</v>
      </c>
      <c r="K36" s="7">
        <v>0.86799099999999996</v>
      </c>
      <c r="L36" s="7">
        <v>0.70461700000000005</v>
      </c>
      <c r="M36" s="7">
        <v>0.91749999999999998</v>
      </c>
      <c r="N36" s="7">
        <v>0.91548200000000002</v>
      </c>
      <c r="O36" s="7">
        <v>0.67</v>
      </c>
      <c r="P36" s="7">
        <v>0.91749999999999998</v>
      </c>
      <c r="Q36" s="7">
        <v>0.79374999999999996</v>
      </c>
      <c r="R36" s="7">
        <v>0.82771899999999998</v>
      </c>
      <c r="S36" s="7">
        <v>0.7</v>
      </c>
      <c r="T36" s="7">
        <v>0.7</v>
      </c>
      <c r="U36" s="7">
        <v>0.80004900000000001</v>
      </c>
      <c r="V36" s="7">
        <v>0.70394199999999996</v>
      </c>
    </row>
    <row r="37" spans="1:22" x14ac:dyDescent="0.25">
      <c r="A37" s="6">
        <v>2050</v>
      </c>
      <c r="B37" s="7">
        <v>0.85124999999999995</v>
      </c>
      <c r="C37" s="7">
        <v>0.85124999999999995</v>
      </c>
      <c r="D37" s="7">
        <v>0.91500000000000004</v>
      </c>
      <c r="E37" s="7">
        <v>0.8075</v>
      </c>
      <c r="F37" s="7">
        <v>0.91500000000000004</v>
      </c>
      <c r="G37" s="7">
        <v>0.85050000000000003</v>
      </c>
      <c r="H37" s="7">
        <v>0.77</v>
      </c>
      <c r="I37" s="7">
        <v>0.64097400000000004</v>
      </c>
      <c r="J37" s="7">
        <v>0.82439799999999996</v>
      </c>
      <c r="K37" s="7">
        <v>0.86424100000000004</v>
      </c>
      <c r="L37" s="7">
        <v>0.7</v>
      </c>
      <c r="M37" s="7">
        <v>0.91500000000000004</v>
      </c>
      <c r="N37" s="7">
        <v>0.91298199999999996</v>
      </c>
      <c r="O37" s="7">
        <v>0.66</v>
      </c>
      <c r="P37" s="7">
        <v>0.91500000000000004</v>
      </c>
      <c r="Q37" s="7">
        <v>0.78749999999999998</v>
      </c>
      <c r="R37" s="7">
        <v>0.82271899999999998</v>
      </c>
      <c r="S37" s="7">
        <v>0.7</v>
      </c>
      <c r="T37" s="7">
        <v>0.7</v>
      </c>
      <c r="U37" s="7">
        <v>0.79504900000000001</v>
      </c>
      <c r="V37" s="7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INS</vt:lpstr>
      <vt:lpstr>NEMS learning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2020-03-07T09:37:15Z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15239894390106</vt:r8>
  </property>
</Properties>
</file>